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20001_{1964ED49-C9D0-40B6-A77F-B505DDC7D093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250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94" i="1" l="1"/>
  <c r="J1694" i="1"/>
  <c r="AK1693" i="1"/>
  <c r="J1693" i="1"/>
  <c r="AK1692" i="1"/>
  <c r="J1692" i="1"/>
  <c r="AK1691" i="1"/>
  <c r="J1691" i="1"/>
  <c r="AK1690" i="1"/>
  <c r="J1690" i="1"/>
  <c r="AK1689" i="1"/>
  <c r="J1689" i="1"/>
  <c r="AK1688" i="1"/>
  <c r="J1688" i="1"/>
  <c r="AK1687" i="1"/>
  <c r="J1687" i="1"/>
  <c r="AK1686" i="1"/>
  <c r="J1686" i="1"/>
  <c r="AK1685" i="1"/>
  <c r="J1685" i="1"/>
  <c r="AK1684" i="1"/>
  <c r="J1684" i="1"/>
  <c r="AK1683" i="1"/>
  <c r="J1683" i="1"/>
  <c r="AK1682" i="1"/>
  <c r="J1682" i="1"/>
  <c r="AK1681" i="1"/>
  <c r="J1681" i="1"/>
  <c r="AK1680" i="1"/>
  <c r="J1680" i="1"/>
  <c r="AK1679" i="1"/>
  <c r="J1679" i="1"/>
  <c r="AK1678" i="1"/>
  <c r="J1678" i="1"/>
  <c r="AK1677" i="1"/>
  <c r="J1677" i="1"/>
  <c r="AK1676" i="1"/>
  <c r="J1676" i="1"/>
  <c r="AK1675" i="1"/>
  <c r="J1675" i="1"/>
  <c r="AK1674" i="1"/>
  <c r="J1674" i="1"/>
  <c r="AK1673" i="1"/>
  <c r="J1673" i="1"/>
  <c r="AK1672" i="1"/>
  <c r="J1672" i="1"/>
  <c r="AK1671" i="1"/>
  <c r="J1671" i="1"/>
  <c r="AK1670" i="1"/>
  <c r="J1670" i="1"/>
  <c r="AK1669" i="1"/>
  <c r="J1669" i="1"/>
  <c r="AK1668" i="1"/>
  <c r="J1668" i="1"/>
  <c r="AK1667" i="1"/>
  <c r="J1667" i="1"/>
  <c r="AK1666" i="1"/>
  <c r="J1666" i="1"/>
  <c r="AK1665" i="1"/>
  <c r="J1665" i="1"/>
  <c r="AK1664" i="1"/>
  <c r="J1664" i="1"/>
  <c r="AK1663" i="1"/>
  <c r="J1663" i="1"/>
  <c r="AK1662" i="1"/>
  <c r="J1662" i="1"/>
  <c r="AK1661" i="1"/>
  <c r="J1661" i="1"/>
  <c r="AK1660" i="1"/>
  <c r="J1660" i="1"/>
  <c r="AK1659" i="1"/>
  <c r="J1659" i="1"/>
  <c r="AK1658" i="1"/>
  <c r="J1658" i="1"/>
  <c r="AK1657" i="1"/>
  <c r="J1657" i="1"/>
  <c r="AK1656" i="1"/>
  <c r="J1656" i="1"/>
  <c r="AK1655" i="1"/>
  <c r="J1655" i="1"/>
  <c r="AK1654" i="1"/>
  <c r="J1654" i="1"/>
  <c r="AK1653" i="1"/>
  <c r="J1653" i="1"/>
  <c r="AK1652" i="1"/>
  <c r="J1652" i="1"/>
  <c r="AK1651" i="1"/>
  <c r="J1651" i="1"/>
  <c r="AK1650" i="1"/>
  <c r="J1650" i="1"/>
  <c r="AK1649" i="1"/>
  <c r="J1649" i="1"/>
  <c r="AK1648" i="1"/>
  <c r="AL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K1615" i="1"/>
  <c r="J1615" i="1"/>
  <c r="AK1614" i="1"/>
  <c r="J1614" i="1"/>
  <c r="AK1613" i="1"/>
  <c r="J1613" i="1"/>
  <c r="AK1612" i="1"/>
  <c r="J1612" i="1"/>
  <c r="AK1611" i="1"/>
  <c r="J1611" i="1"/>
  <c r="AK1610" i="1"/>
  <c r="J1610" i="1"/>
  <c r="AK1609" i="1"/>
  <c r="J1609" i="1"/>
  <c r="AK1608" i="1"/>
  <c r="J1608" i="1"/>
  <c r="AK1607" i="1"/>
  <c r="AL1607" i="1" s="1"/>
  <c r="K1604" i="1"/>
  <c r="E1604" i="1"/>
  <c r="AK1601" i="1"/>
  <c r="J1601" i="1"/>
  <c r="AK1600" i="1"/>
  <c r="J1600" i="1"/>
  <c r="AK1599" i="1"/>
  <c r="J1599" i="1"/>
  <c r="AK1598" i="1"/>
  <c r="J1598" i="1"/>
  <c r="AK1597" i="1"/>
  <c r="J1597" i="1"/>
  <c r="AK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K1569" i="1"/>
  <c r="J1569" i="1"/>
  <c r="AK1568" i="1"/>
  <c r="J1568" i="1"/>
  <c r="AK1567" i="1"/>
  <c r="J1567" i="1"/>
  <c r="AK1566" i="1"/>
  <c r="J1566" i="1"/>
  <c r="AK1565" i="1"/>
  <c r="J1565" i="1"/>
  <c r="AK1564" i="1"/>
  <c r="J1564" i="1"/>
  <c r="AK1563" i="1"/>
  <c r="AL1563" i="1" s="1"/>
  <c r="K1560" i="1"/>
  <c r="E1560" i="1"/>
  <c r="AK1557" i="1"/>
  <c r="J1557" i="1"/>
  <c r="AK1556" i="1"/>
  <c r="J1556" i="1"/>
  <c r="AK1555" i="1"/>
  <c r="J1555" i="1"/>
  <c r="AK1554" i="1"/>
  <c r="J1554" i="1"/>
  <c r="AK1553" i="1"/>
  <c r="J1553" i="1"/>
  <c r="AK1552" i="1"/>
  <c r="J1552" i="1"/>
  <c r="AK1551" i="1"/>
  <c r="J1551" i="1"/>
  <c r="AK1550" i="1"/>
  <c r="J1550" i="1"/>
  <c r="AK1549" i="1"/>
  <c r="J1549" i="1"/>
  <c r="AK1548" i="1"/>
  <c r="J1548" i="1"/>
  <c r="AK1547" i="1"/>
  <c r="J1547" i="1"/>
  <c r="AK1546" i="1"/>
  <c r="J1546" i="1"/>
  <c r="AK1545" i="1"/>
  <c r="J1545" i="1"/>
  <c r="AK1544" i="1"/>
  <c r="J1544" i="1"/>
  <c r="AK1543" i="1"/>
  <c r="J1543" i="1"/>
  <c r="AK1542" i="1"/>
  <c r="J1542" i="1"/>
  <c r="AK1541" i="1"/>
  <c r="J1541" i="1"/>
  <c r="AK1540" i="1"/>
  <c r="J1540" i="1"/>
  <c r="AK1539" i="1"/>
  <c r="AL1539" i="1" s="1"/>
  <c r="K1536" i="1"/>
  <c r="E1536" i="1"/>
  <c r="AK1533" i="1"/>
  <c r="J1533" i="1"/>
  <c r="AK1532" i="1"/>
  <c r="J1532" i="1"/>
  <c r="AK1531" i="1"/>
  <c r="J1531" i="1"/>
  <c r="AK1530" i="1"/>
  <c r="J1530" i="1"/>
  <c r="AK1529" i="1"/>
  <c r="J1529" i="1"/>
  <c r="AK1528" i="1"/>
  <c r="J1528" i="1"/>
  <c r="AK1527" i="1"/>
  <c r="J1527" i="1"/>
  <c r="AK1526" i="1"/>
  <c r="J1526" i="1"/>
  <c r="AK1525" i="1"/>
  <c r="J1525" i="1"/>
  <c r="AK1524" i="1"/>
  <c r="J1524" i="1"/>
  <c r="AK1523" i="1"/>
  <c r="J1523" i="1"/>
  <c r="AK1522" i="1"/>
  <c r="J1522" i="1"/>
  <c r="AK1521" i="1"/>
  <c r="J1521" i="1"/>
  <c r="AK1520" i="1"/>
  <c r="J1520" i="1"/>
  <c r="AK1519" i="1"/>
  <c r="J1519" i="1"/>
  <c r="AK1518" i="1"/>
  <c r="J1518" i="1"/>
  <c r="AK1517" i="1"/>
  <c r="J1517" i="1"/>
  <c r="AK1516" i="1"/>
  <c r="J1516" i="1"/>
  <c r="AK1515" i="1"/>
  <c r="J1515" i="1"/>
  <c r="AK1514" i="1"/>
  <c r="J1514" i="1"/>
  <c r="AK1513" i="1"/>
  <c r="J1513" i="1"/>
  <c r="AK1512" i="1"/>
  <c r="J1512" i="1"/>
  <c r="AK1511" i="1"/>
  <c r="J1511" i="1"/>
  <c r="AK1510" i="1"/>
  <c r="J1510" i="1"/>
  <c r="AK1509" i="1"/>
  <c r="J1509" i="1"/>
  <c r="AK1508" i="1"/>
  <c r="J1508" i="1"/>
  <c r="AK1507" i="1"/>
  <c r="J1507" i="1"/>
  <c r="AK1506" i="1"/>
  <c r="J1506" i="1"/>
  <c r="AK1505" i="1"/>
  <c r="J1505" i="1"/>
  <c r="AK1504" i="1"/>
  <c r="J1504" i="1"/>
  <c r="AK1503" i="1"/>
  <c r="J1503" i="1"/>
  <c r="AK1502" i="1"/>
  <c r="J1502" i="1"/>
  <c r="AK1501" i="1"/>
  <c r="J1501" i="1"/>
  <c r="AK1500" i="1"/>
  <c r="J1500" i="1"/>
  <c r="AK1499" i="1"/>
  <c r="J1499" i="1"/>
  <c r="AK1498" i="1"/>
  <c r="J1498" i="1"/>
  <c r="AK1497" i="1"/>
  <c r="J1497" i="1"/>
  <c r="AK1496" i="1"/>
  <c r="J1496" i="1"/>
  <c r="AK1495" i="1"/>
  <c r="J1495" i="1"/>
  <c r="AK1494" i="1"/>
  <c r="J1494" i="1"/>
  <c r="AK1493" i="1"/>
  <c r="J1493" i="1"/>
  <c r="AK1492" i="1"/>
  <c r="J1492" i="1"/>
  <c r="AK1491" i="1"/>
  <c r="J1491" i="1"/>
  <c r="AK1490" i="1"/>
  <c r="J1490" i="1"/>
  <c r="AK1489" i="1"/>
  <c r="J1489" i="1"/>
  <c r="AK1488" i="1"/>
  <c r="J1488" i="1"/>
  <c r="AK1487" i="1"/>
  <c r="J1487" i="1"/>
  <c r="AK1486" i="1"/>
  <c r="J1486" i="1"/>
  <c r="AK1485" i="1"/>
  <c r="J1485" i="1"/>
  <c r="AK1484" i="1"/>
  <c r="J1484" i="1"/>
  <c r="AK1483" i="1"/>
  <c r="J1483" i="1"/>
  <c r="AK1482" i="1"/>
  <c r="J1482" i="1"/>
  <c r="AK1481" i="1"/>
  <c r="J1481" i="1"/>
  <c r="AK1480" i="1"/>
  <c r="J1480" i="1"/>
  <c r="AK1479" i="1"/>
  <c r="J1479" i="1"/>
  <c r="AK1478" i="1"/>
  <c r="J1478" i="1"/>
  <c r="AK1477" i="1"/>
  <c r="J1477" i="1"/>
  <c r="AK1476" i="1"/>
  <c r="J1476" i="1"/>
  <c r="AK1475" i="1"/>
  <c r="J1475" i="1"/>
  <c r="AK1474" i="1"/>
  <c r="J1474" i="1"/>
  <c r="AK1473" i="1"/>
  <c r="J1473" i="1"/>
  <c r="AK1472" i="1"/>
  <c r="J1472" i="1"/>
  <c r="AK1471" i="1"/>
  <c r="J1471" i="1"/>
  <c r="AK1470" i="1"/>
  <c r="J1470" i="1"/>
  <c r="AK1469" i="1"/>
  <c r="J1469" i="1"/>
  <c r="AK1468" i="1"/>
  <c r="J1468" i="1"/>
  <c r="AK1467" i="1"/>
  <c r="J1467" i="1"/>
  <c r="AK1466" i="1"/>
  <c r="J1466" i="1"/>
  <c r="AK1465" i="1"/>
  <c r="J1465" i="1"/>
  <c r="AK1464" i="1"/>
  <c r="J1464" i="1"/>
  <c r="AK1463" i="1"/>
  <c r="J1463" i="1"/>
  <c r="AK1462" i="1"/>
  <c r="J1462" i="1"/>
  <c r="AK1461" i="1"/>
  <c r="J1461" i="1"/>
  <c r="AK1460" i="1"/>
  <c r="J1460" i="1"/>
  <c r="AK1459" i="1"/>
  <c r="J1459" i="1"/>
  <c r="AK1458" i="1"/>
  <c r="J1458" i="1"/>
  <c r="AK1457" i="1"/>
  <c r="J1457" i="1"/>
  <c r="AK1456" i="1"/>
  <c r="J1456" i="1"/>
  <c r="AK1455" i="1"/>
  <c r="J1455" i="1"/>
  <c r="AK1454" i="1"/>
  <c r="J1454" i="1"/>
  <c r="AK1453" i="1"/>
  <c r="J1453" i="1"/>
  <c r="AK1452" i="1"/>
  <c r="J1452" i="1"/>
  <c r="AK1451" i="1"/>
  <c r="J1451" i="1"/>
  <c r="AK1450" i="1"/>
  <c r="J1450" i="1"/>
  <c r="AK1449" i="1"/>
  <c r="J1449" i="1"/>
  <c r="AK1448" i="1"/>
  <c r="J1448" i="1"/>
  <c r="AK1447" i="1"/>
  <c r="J1447" i="1"/>
  <c r="AK1446" i="1"/>
  <c r="J1446" i="1"/>
  <c r="AK1445" i="1"/>
  <c r="J1445" i="1"/>
  <c r="AK1444" i="1"/>
  <c r="J1444" i="1"/>
  <c r="AK1443" i="1"/>
  <c r="J1443" i="1"/>
  <c r="AK1442" i="1"/>
  <c r="J1442" i="1"/>
  <c r="AK1441" i="1"/>
  <c r="J1441" i="1"/>
  <c r="AK1440" i="1"/>
  <c r="J1440" i="1"/>
  <c r="AK1439" i="1"/>
  <c r="J1439" i="1"/>
  <c r="AK1438" i="1"/>
  <c r="J1438" i="1"/>
  <c r="AK1437" i="1"/>
  <c r="J1437" i="1"/>
  <c r="AK1436" i="1"/>
  <c r="J1436" i="1"/>
  <c r="AK1435" i="1"/>
  <c r="J1435" i="1"/>
  <c r="AK1434" i="1"/>
  <c r="J1434" i="1"/>
  <c r="AK1433" i="1"/>
  <c r="J1433" i="1"/>
  <c r="AK1432" i="1"/>
  <c r="J1432" i="1"/>
  <c r="AK1431" i="1"/>
  <c r="J1431" i="1"/>
  <c r="AK1430" i="1"/>
  <c r="J1430" i="1"/>
  <c r="AK1429" i="1"/>
  <c r="J1429" i="1"/>
  <c r="AK1428" i="1"/>
  <c r="J1428" i="1"/>
  <c r="AK1427" i="1"/>
  <c r="J1427" i="1"/>
  <c r="AK1426" i="1"/>
  <c r="J1426" i="1"/>
  <c r="AK1425" i="1"/>
  <c r="J1425" i="1"/>
  <c r="AK1424" i="1"/>
  <c r="J1424" i="1"/>
  <c r="AK1423" i="1"/>
  <c r="J1423" i="1"/>
  <c r="AK1422" i="1"/>
  <c r="J1422" i="1"/>
  <c r="AK1421" i="1"/>
  <c r="J1421" i="1"/>
  <c r="AK1420" i="1"/>
  <c r="J1420" i="1"/>
  <c r="AK1419" i="1"/>
  <c r="J1419" i="1"/>
  <c r="AK1418" i="1"/>
  <c r="J1418" i="1"/>
  <c r="AK1417" i="1"/>
  <c r="J1417" i="1"/>
  <c r="AK1416" i="1"/>
  <c r="J1416" i="1"/>
  <c r="AK1415" i="1"/>
  <c r="J1415" i="1"/>
  <c r="AK1414" i="1"/>
  <c r="J1414" i="1"/>
  <c r="AK1413" i="1"/>
  <c r="J1413" i="1"/>
  <c r="AK1412" i="1"/>
  <c r="J1412" i="1"/>
  <c r="AK1411" i="1"/>
  <c r="J1411" i="1"/>
  <c r="AK1410" i="1"/>
  <c r="J1410" i="1"/>
  <c r="AK1409" i="1"/>
  <c r="J1409" i="1"/>
  <c r="AK1408" i="1"/>
  <c r="J1408" i="1"/>
  <c r="AK1407" i="1"/>
  <c r="J1407" i="1"/>
  <c r="AK1406" i="1"/>
  <c r="J1406" i="1"/>
  <c r="AK1405" i="1"/>
  <c r="J1405" i="1"/>
  <c r="AK1404" i="1"/>
  <c r="J1404" i="1"/>
  <c r="AK1403" i="1"/>
  <c r="J1403" i="1"/>
  <c r="AK1402" i="1"/>
  <c r="J1402" i="1"/>
  <c r="AK1401" i="1"/>
  <c r="J1401" i="1"/>
  <c r="AK1400" i="1"/>
  <c r="J1400" i="1"/>
  <c r="AK1399" i="1"/>
  <c r="J1399" i="1"/>
  <c r="AK1398" i="1"/>
  <c r="J1398" i="1"/>
  <c r="AK1397" i="1"/>
  <c r="J1397" i="1"/>
  <c r="AK1396" i="1"/>
  <c r="J1396" i="1"/>
  <c r="AK1395" i="1"/>
  <c r="J1395" i="1"/>
  <c r="AK1394" i="1"/>
  <c r="J1394" i="1"/>
  <c r="AK1393" i="1"/>
  <c r="J1393" i="1"/>
  <c r="AK1392" i="1"/>
  <c r="J1392" i="1"/>
  <c r="AK1391" i="1"/>
  <c r="J1391" i="1"/>
  <c r="AK1390" i="1"/>
  <c r="J1390" i="1"/>
  <c r="AK1389" i="1"/>
  <c r="J1389" i="1"/>
  <c r="AK1388" i="1"/>
  <c r="J1388" i="1"/>
  <c r="AK1387" i="1"/>
  <c r="J1387" i="1"/>
  <c r="AK1386" i="1"/>
  <c r="J1386" i="1"/>
  <c r="AK1385" i="1"/>
  <c r="J1385" i="1"/>
  <c r="AK1384" i="1"/>
  <c r="J1384" i="1"/>
  <c r="AK1383" i="1"/>
  <c r="J1383" i="1"/>
  <c r="AK1382" i="1"/>
  <c r="J1382" i="1"/>
  <c r="AK1381" i="1"/>
  <c r="J1381" i="1"/>
  <c r="AK1380" i="1"/>
  <c r="J1380" i="1"/>
  <c r="AK1379" i="1"/>
  <c r="J1379" i="1"/>
  <c r="AK1378" i="1"/>
  <c r="J1378" i="1"/>
  <c r="AK1377" i="1"/>
  <c r="J1377" i="1"/>
  <c r="AK1376" i="1"/>
  <c r="J1376" i="1"/>
  <c r="AK1375" i="1"/>
  <c r="J1375" i="1"/>
  <c r="AK1374" i="1"/>
  <c r="J1374" i="1"/>
  <c r="AK1373" i="1"/>
  <c r="J1373" i="1"/>
  <c r="AK1372" i="1"/>
  <c r="J1372" i="1"/>
  <c r="AK1371" i="1"/>
  <c r="J1371" i="1"/>
  <c r="AK1370" i="1"/>
  <c r="J1370" i="1"/>
  <c r="AK1369" i="1"/>
  <c r="J1369" i="1"/>
  <c r="AK1368" i="1"/>
  <c r="J1368" i="1"/>
  <c r="AK1367" i="1"/>
  <c r="J1367" i="1"/>
  <c r="AK1366" i="1"/>
  <c r="J1366" i="1"/>
  <c r="AK1365" i="1"/>
  <c r="J1365" i="1"/>
  <c r="AK1364" i="1"/>
  <c r="J1364" i="1"/>
  <c r="AK1363" i="1"/>
  <c r="J1363" i="1"/>
  <c r="AK1362" i="1"/>
  <c r="J1362" i="1"/>
  <c r="AK1361" i="1"/>
  <c r="J1361" i="1"/>
  <c r="AK1360" i="1"/>
  <c r="J1360" i="1"/>
  <c r="AK1359" i="1"/>
  <c r="J1359" i="1"/>
  <c r="AK1358" i="1"/>
  <c r="J1358" i="1"/>
  <c r="AK1357" i="1"/>
  <c r="J1357" i="1"/>
  <c r="AK1356" i="1"/>
  <c r="J1356" i="1"/>
  <c r="AK1355" i="1"/>
  <c r="J1355" i="1"/>
  <c r="AK1354" i="1"/>
  <c r="J1354" i="1"/>
  <c r="AK1353" i="1"/>
  <c r="J1353" i="1"/>
  <c r="AK1352" i="1"/>
  <c r="J1352" i="1"/>
  <c r="AK1351" i="1"/>
  <c r="J1351" i="1"/>
  <c r="AK1350" i="1"/>
  <c r="J1350" i="1"/>
  <c r="AK1349" i="1"/>
  <c r="J1349" i="1"/>
  <c r="AK1348" i="1"/>
  <c r="J1348" i="1"/>
  <c r="AK1347" i="1"/>
  <c r="J1347" i="1"/>
  <c r="AK1346" i="1"/>
  <c r="J1346" i="1"/>
  <c r="AK1345" i="1"/>
  <c r="J1345" i="1"/>
  <c r="AK1344" i="1"/>
  <c r="J1344" i="1"/>
  <c r="AK1343" i="1"/>
  <c r="J1343" i="1"/>
  <c r="AK1342" i="1"/>
  <c r="J1342" i="1"/>
  <c r="AK1341" i="1"/>
  <c r="J1341" i="1"/>
  <c r="AK1340" i="1"/>
  <c r="J1340" i="1"/>
  <c r="AK1339" i="1"/>
  <c r="J1339" i="1"/>
  <c r="AK1338" i="1"/>
  <c r="J1338" i="1"/>
  <c r="AK1337" i="1"/>
  <c r="J1337" i="1"/>
  <c r="AK1336" i="1"/>
  <c r="J1336" i="1"/>
  <c r="AK1335" i="1"/>
  <c r="J1335" i="1"/>
  <c r="AK1334" i="1"/>
  <c r="J1334" i="1"/>
  <c r="AK1333" i="1"/>
  <c r="J1333" i="1"/>
  <c r="AK1332" i="1"/>
  <c r="J1332" i="1"/>
  <c r="AK1331" i="1"/>
  <c r="J1331" i="1"/>
  <c r="AK1330" i="1"/>
  <c r="J1330" i="1"/>
  <c r="AK1329" i="1"/>
  <c r="J1329" i="1"/>
  <c r="AK1328" i="1"/>
  <c r="J1328" i="1"/>
  <c r="AK1327" i="1"/>
  <c r="J1327" i="1"/>
  <c r="AK1326" i="1"/>
  <c r="J1326" i="1"/>
  <c r="AK1325" i="1"/>
  <c r="J1325" i="1"/>
  <c r="AK1324" i="1"/>
  <c r="J1324" i="1"/>
  <c r="AK1323" i="1"/>
  <c r="J1323" i="1"/>
  <c r="AK1322" i="1"/>
  <c r="J1322" i="1"/>
  <c r="AK1321" i="1"/>
  <c r="J1321" i="1"/>
  <c r="AK1320" i="1"/>
  <c r="J1320" i="1"/>
  <c r="AK1319" i="1"/>
  <c r="J1319" i="1"/>
  <c r="AK1318" i="1"/>
  <c r="J1318" i="1"/>
  <c r="AK1317" i="1"/>
  <c r="J1317" i="1"/>
  <c r="AK1316" i="1"/>
  <c r="J1316" i="1"/>
  <c r="AK1315" i="1"/>
  <c r="J1315" i="1"/>
  <c r="AK1314" i="1"/>
  <c r="J1314" i="1"/>
  <c r="AK1313" i="1"/>
  <c r="J1313" i="1"/>
  <c r="AK1312" i="1"/>
  <c r="J1312" i="1"/>
  <c r="AK1311" i="1"/>
  <c r="J1311" i="1"/>
  <c r="AK1310" i="1"/>
  <c r="J1310" i="1"/>
  <c r="AK1309" i="1"/>
  <c r="J1309" i="1"/>
  <c r="AK1308" i="1"/>
  <c r="J1308" i="1"/>
  <c r="AK1307" i="1"/>
  <c r="J1307" i="1"/>
  <c r="AK1306" i="1"/>
  <c r="J1306" i="1"/>
  <c r="AK1305" i="1"/>
  <c r="J1305" i="1"/>
  <c r="AK1304" i="1"/>
  <c r="J1304" i="1"/>
  <c r="AK1303" i="1"/>
  <c r="J1303" i="1"/>
  <c r="AK1302" i="1"/>
  <c r="J1302" i="1"/>
  <c r="AK1301" i="1"/>
  <c r="J1301" i="1"/>
  <c r="AK1300" i="1"/>
  <c r="J1300" i="1"/>
  <c r="AK1299" i="1"/>
  <c r="J1299" i="1"/>
  <c r="AK1298" i="1"/>
  <c r="J1298" i="1"/>
  <c r="AK1297" i="1"/>
  <c r="J1297" i="1"/>
  <c r="AK1296" i="1"/>
  <c r="J1296" i="1"/>
  <c r="AK1295" i="1"/>
  <c r="J1295" i="1"/>
  <c r="AK1294" i="1"/>
  <c r="J1294" i="1"/>
  <c r="AK1293" i="1"/>
  <c r="J1293" i="1"/>
  <c r="AK1292" i="1"/>
  <c r="J1292" i="1"/>
  <c r="AK1291" i="1"/>
  <c r="J1291" i="1"/>
  <c r="AK1290" i="1"/>
  <c r="J1290" i="1"/>
  <c r="AK1289" i="1"/>
  <c r="J1289" i="1"/>
  <c r="AK1288" i="1"/>
  <c r="J1288" i="1"/>
  <c r="AK1287" i="1"/>
  <c r="J1287" i="1"/>
  <c r="AK1286" i="1"/>
  <c r="J1286" i="1"/>
  <c r="AK1285" i="1"/>
  <c r="J1285" i="1"/>
  <c r="AK1284" i="1"/>
  <c r="J1284" i="1"/>
  <c r="AK1283" i="1"/>
  <c r="J1283" i="1"/>
  <c r="AK1282" i="1"/>
  <c r="J1282" i="1"/>
  <c r="AK1281" i="1"/>
  <c r="J1281" i="1"/>
  <c r="AK1280" i="1"/>
  <c r="J1280" i="1"/>
  <c r="AK1279" i="1"/>
  <c r="J1279" i="1"/>
  <c r="AK1278" i="1"/>
  <c r="J1278" i="1"/>
  <c r="AK1277" i="1"/>
  <c r="J1277" i="1"/>
  <c r="AK1276" i="1"/>
  <c r="J1276" i="1"/>
  <c r="AK1275" i="1"/>
  <c r="J1275" i="1"/>
  <c r="AK1274" i="1"/>
  <c r="J1274" i="1"/>
  <c r="AK1273" i="1"/>
  <c r="J1273" i="1"/>
  <c r="AK1272" i="1"/>
  <c r="J1272" i="1"/>
  <c r="AK1271" i="1"/>
  <c r="J1271" i="1"/>
  <c r="AK1270" i="1"/>
  <c r="J1270" i="1"/>
  <c r="AK1269" i="1"/>
  <c r="J1269" i="1"/>
  <c r="AK1268" i="1"/>
  <c r="J1268" i="1"/>
  <c r="AK1267" i="1"/>
  <c r="J1267" i="1"/>
  <c r="AK1266" i="1"/>
  <c r="J1266" i="1"/>
  <c r="AK1265" i="1"/>
  <c r="J1265" i="1"/>
  <c r="AK1264" i="1"/>
  <c r="J1264" i="1"/>
  <c r="AK1263" i="1"/>
  <c r="J1263" i="1"/>
  <c r="AK1262" i="1"/>
  <c r="J1262" i="1"/>
  <c r="AK1261" i="1"/>
  <c r="J1261" i="1"/>
  <c r="AK1260" i="1"/>
  <c r="J1260" i="1"/>
  <c r="AK1259" i="1"/>
  <c r="J1259" i="1"/>
  <c r="AK1258" i="1"/>
  <c r="J1258" i="1"/>
  <c r="AK1257" i="1"/>
  <c r="J1257" i="1"/>
  <c r="AK1256" i="1"/>
  <c r="J1256" i="1"/>
  <c r="AK1255" i="1"/>
  <c r="J1255" i="1"/>
  <c r="AK1254" i="1"/>
  <c r="J1254" i="1"/>
  <c r="AK1253" i="1"/>
  <c r="J1253" i="1"/>
  <c r="AK1252" i="1"/>
  <c r="J1252" i="1"/>
  <c r="AK1251" i="1"/>
  <c r="J1251" i="1"/>
  <c r="AK1250" i="1"/>
  <c r="J1250" i="1"/>
  <c r="AK1249" i="1"/>
  <c r="J1249" i="1"/>
  <c r="AK1248" i="1"/>
  <c r="J1248" i="1"/>
  <c r="AK1247" i="1"/>
  <c r="J1247" i="1"/>
  <c r="AK1246" i="1"/>
  <c r="J1246" i="1"/>
  <c r="AK1245" i="1"/>
  <c r="J1245" i="1"/>
  <c r="AK1244" i="1"/>
  <c r="J1244" i="1"/>
  <c r="AK1243" i="1"/>
  <c r="J1243" i="1"/>
  <c r="AK1242" i="1"/>
  <c r="J1242" i="1"/>
  <c r="AK1241" i="1"/>
  <c r="J1241" i="1"/>
  <c r="AK1240" i="1"/>
  <c r="J1240" i="1"/>
  <c r="AK1239" i="1"/>
  <c r="J1239" i="1"/>
  <c r="AK1238" i="1"/>
  <c r="J1238" i="1"/>
  <c r="AK1237" i="1"/>
  <c r="J1237" i="1"/>
  <c r="AK1236" i="1"/>
  <c r="J1236" i="1"/>
  <c r="AK1235" i="1"/>
  <c r="J1235" i="1"/>
  <c r="AK1234" i="1"/>
  <c r="J1234" i="1"/>
  <c r="AK1233" i="1"/>
  <c r="J1233" i="1"/>
  <c r="AK1232" i="1"/>
  <c r="J1232" i="1"/>
  <c r="AK1231" i="1"/>
  <c r="J1231" i="1"/>
  <c r="AK1230" i="1"/>
  <c r="J1230" i="1"/>
  <c r="AK1229" i="1"/>
  <c r="J1229" i="1"/>
  <c r="AK1228" i="1"/>
  <c r="J1228" i="1"/>
  <c r="AK1227" i="1"/>
  <c r="J1227" i="1"/>
  <c r="AK1226" i="1"/>
  <c r="J1226" i="1"/>
  <c r="AK1225" i="1"/>
  <c r="J1225" i="1"/>
  <c r="AK1224" i="1"/>
  <c r="J1224" i="1"/>
  <c r="AK1223" i="1"/>
  <c r="J1223" i="1"/>
  <c r="AK1222" i="1"/>
  <c r="J1222" i="1"/>
  <c r="AK1221" i="1"/>
  <c r="J1221" i="1"/>
  <c r="AK1220" i="1"/>
  <c r="J1220" i="1"/>
  <c r="AK1219" i="1"/>
  <c r="J1219" i="1"/>
  <c r="AK1218" i="1"/>
  <c r="J1218" i="1"/>
  <c r="AK1217" i="1"/>
  <c r="J1217" i="1"/>
  <c r="AK1216" i="1"/>
  <c r="J1216" i="1"/>
  <c r="AK1215" i="1"/>
  <c r="J1215" i="1"/>
  <c r="AK1214" i="1"/>
  <c r="J1214" i="1"/>
  <c r="AK1213" i="1"/>
  <c r="J1213" i="1"/>
  <c r="AK1212" i="1"/>
  <c r="J1212" i="1"/>
  <c r="AK1211" i="1"/>
  <c r="J1211" i="1"/>
  <c r="AK1210" i="1"/>
  <c r="J1210" i="1"/>
  <c r="AK1209" i="1"/>
  <c r="J1209" i="1"/>
  <c r="AK1208" i="1"/>
  <c r="J1208" i="1"/>
  <c r="AK1207" i="1"/>
  <c r="J1207" i="1"/>
  <c r="AK1206" i="1"/>
  <c r="J1206" i="1"/>
  <c r="AK1205" i="1"/>
  <c r="J1205" i="1"/>
  <c r="AK1204" i="1"/>
  <c r="J1204" i="1"/>
  <c r="AK1203" i="1"/>
  <c r="J1203" i="1"/>
  <c r="AK1202" i="1"/>
  <c r="J1202" i="1"/>
  <c r="AK1201" i="1"/>
  <c r="J1201" i="1"/>
  <c r="AK1200" i="1"/>
  <c r="J1200" i="1"/>
  <c r="AK1199" i="1"/>
  <c r="J1199" i="1"/>
  <c r="AK1198" i="1"/>
  <c r="J1198" i="1"/>
  <c r="AK1197" i="1"/>
  <c r="J1197" i="1"/>
  <c r="AK1196" i="1"/>
  <c r="J1196" i="1"/>
  <c r="AK1195" i="1"/>
  <c r="J1195" i="1"/>
  <c r="AK1194" i="1"/>
  <c r="J1194" i="1"/>
  <c r="AK1193" i="1"/>
  <c r="J1193" i="1"/>
  <c r="AK1192" i="1"/>
  <c r="J1192" i="1"/>
  <c r="AK1191" i="1"/>
  <c r="J1191" i="1"/>
  <c r="AK1190" i="1"/>
  <c r="J1190" i="1"/>
  <c r="AK1189" i="1"/>
  <c r="J1189" i="1"/>
  <c r="AK1188" i="1"/>
  <c r="J1188" i="1"/>
  <c r="AK1187" i="1"/>
  <c r="J1187" i="1"/>
  <c r="AK1186" i="1"/>
  <c r="J1186" i="1"/>
  <c r="AK1185" i="1"/>
  <c r="J1185" i="1"/>
  <c r="AK1184" i="1"/>
  <c r="J1184" i="1"/>
  <c r="AK1183" i="1"/>
  <c r="J1183" i="1"/>
  <c r="AK1182" i="1"/>
  <c r="J1182" i="1"/>
  <c r="AK1181" i="1"/>
  <c r="J1181" i="1"/>
  <c r="AK1180" i="1"/>
  <c r="J1180" i="1"/>
  <c r="AK1179" i="1"/>
  <c r="J1179" i="1"/>
  <c r="AK1178" i="1"/>
  <c r="J1178" i="1"/>
  <c r="AK1177" i="1"/>
  <c r="J1177" i="1"/>
  <c r="AK1176" i="1"/>
  <c r="J1176" i="1"/>
  <c r="AK1175" i="1"/>
  <c r="J1175" i="1"/>
  <c r="AK1174" i="1"/>
  <c r="J1174" i="1"/>
  <c r="AK1173" i="1"/>
  <c r="J1173" i="1"/>
  <c r="AK1172" i="1"/>
  <c r="J1172" i="1"/>
  <c r="AK1171" i="1"/>
  <c r="J1171" i="1"/>
  <c r="AK1170" i="1"/>
  <c r="J1170" i="1"/>
  <c r="AK1169" i="1"/>
  <c r="J1169" i="1"/>
  <c r="AK1168" i="1"/>
  <c r="J1168" i="1"/>
  <c r="AK1167" i="1"/>
  <c r="J1167" i="1"/>
  <c r="AK1166" i="1"/>
  <c r="J1166" i="1"/>
  <c r="AK1165" i="1"/>
  <c r="J1165" i="1"/>
  <c r="AK1164" i="1"/>
  <c r="J1164" i="1"/>
  <c r="AK1163" i="1"/>
  <c r="J1163" i="1"/>
  <c r="AK1162" i="1"/>
  <c r="J1162" i="1"/>
  <c r="AK1161" i="1"/>
  <c r="J1161" i="1"/>
  <c r="AK1160" i="1"/>
  <c r="J1160" i="1"/>
  <c r="AK1159" i="1"/>
  <c r="J1159" i="1"/>
  <c r="AK1158" i="1"/>
  <c r="J1158" i="1"/>
  <c r="AK1157" i="1"/>
  <c r="J1157" i="1"/>
  <c r="AK1156" i="1"/>
  <c r="J1156" i="1"/>
  <c r="AK1155" i="1"/>
  <c r="J1155" i="1"/>
  <c r="AK1154" i="1"/>
  <c r="J1154" i="1"/>
  <c r="AK1153" i="1"/>
  <c r="J1153" i="1"/>
  <c r="AK1152" i="1"/>
  <c r="J1152" i="1"/>
  <c r="AK1151" i="1"/>
  <c r="J1151" i="1"/>
  <c r="AK1150" i="1"/>
  <c r="J1150" i="1"/>
  <c r="AK1149" i="1"/>
  <c r="J1149" i="1"/>
  <c r="AK1148" i="1"/>
  <c r="J1148" i="1"/>
  <c r="AK1147" i="1"/>
  <c r="J1147" i="1"/>
  <c r="AK1146" i="1"/>
  <c r="J1146" i="1"/>
  <c r="AK1145" i="1"/>
  <c r="J1145" i="1"/>
  <c r="AK1144" i="1"/>
  <c r="J1144" i="1"/>
  <c r="AK1143" i="1"/>
  <c r="J1143" i="1"/>
  <c r="AK1142" i="1"/>
  <c r="J1142" i="1"/>
  <c r="AK1141" i="1"/>
  <c r="J1141" i="1"/>
  <c r="AK1140" i="1"/>
  <c r="J1140" i="1"/>
  <c r="AK1139" i="1"/>
  <c r="J1139" i="1"/>
  <c r="AK1138" i="1"/>
  <c r="J1138" i="1"/>
  <c r="AK1137" i="1"/>
  <c r="J1137" i="1"/>
  <c r="AK1136" i="1"/>
  <c r="J1136" i="1"/>
  <c r="AK1135" i="1"/>
  <c r="J1135" i="1"/>
  <c r="AK1134" i="1"/>
  <c r="J1134" i="1"/>
  <c r="AK1133" i="1"/>
  <c r="J1133" i="1"/>
  <c r="AK1132" i="1"/>
  <c r="J1132" i="1"/>
  <c r="AK1131" i="1"/>
  <c r="J1131" i="1"/>
  <c r="AK1130" i="1"/>
  <c r="J1130" i="1"/>
  <c r="AK1129" i="1"/>
  <c r="J1129" i="1"/>
  <c r="AK1128" i="1"/>
  <c r="J1128" i="1"/>
  <c r="AK1127" i="1"/>
  <c r="J1127" i="1"/>
  <c r="AK1126" i="1"/>
  <c r="J1126" i="1"/>
  <c r="AK1125" i="1"/>
  <c r="J1125" i="1"/>
  <c r="AK1124" i="1"/>
  <c r="J1124" i="1"/>
  <c r="AK1123" i="1"/>
  <c r="J1123" i="1"/>
  <c r="AK1122" i="1"/>
  <c r="J1122" i="1"/>
  <c r="AK1121" i="1"/>
  <c r="J1121" i="1"/>
  <c r="AK1120" i="1"/>
  <c r="J1120" i="1"/>
  <c r="AK1119" i="1"/>
  <c r="J1119" i="1"/>
  <c r="AK1118" i="1"/>
  <c r="J1118" i="1"/>
  <c r="AK1117" i="1"/>
  <c r="J1117" i="1"/>
  <c r="AK1116" i="1"/>
  <c r="J1116" i="1"/>
  <c r="AK1115" i="1"/>
  <c r="J1115" i="1"/>
  <c r="AK1114" i="1"/>
  <c r="J1114" i="1"/>
  <c r="AK1113" i="1"/>
  <c r="J1113" i="1"/>
  <c r="AK1112" i="1"/>
  <c r="J1112" i="1"/>
  <c r="AK1111" i="1"/>
  <c r="J1111" i="1"/>
  <c r="AK1110" i="1"/>
  <c r="J1110" i="1"/>
  <c r="AK1109" i="1"/>
  <c r="J1109" i="1"/>
  <c r="AK1108" i="1"/>
  <c r="J1108" i="1"/>
  <c r="AK1107" i="1"/>
  <c r="J1107" i="1"/>
  <c r="AK1106" i="1"/>
  <c r="J1106" i="1"/>
  <c r="AK1105" i="1"/>
  <c r="J1105" i="1"/>
  <c r="AK1104" i="1"/>
  <c r="J1104" i="1"/>
  <c r="AK1103" i="1"/>
  <c r="J1103" i="1"/>
  <c r="AK1102" i="1"/>
  <c r="J1102" i="1"/>
  <c r="AK1101" i="1"/>
  <c r="J1101" i="1"/>
  <c r="AK1100" i="1"/>
  <c r="J1100" i="1"/>
  <c r="AK1099" i="1"/>
  <c r="J1099" i="1"/>
  <c r="AK1098" i="1"/>
  <c r="J1098" i="1"/>
  <c r="AK1097" i="1"/>
  <c r="J1097" i="1"/>
  <c r="AK1096" i="1"/>
  <c r="J1096" i="1"/>
  <c r="AK1095" i="1"/>
  <c r="J1095" i="1"/>
  <c r="AK1094" i="1"/>
  <c r="J1094" i="1"/>
  <c r="AK1093" i="1"/>
  <c r="J1093" i="1"/>
  <c r="AK1092" i="1"/>
  <c r="J1092" i="1"/>
  <c r="AK1091" i="1"/>
  <c r="J1091" i="1"/>
  <c r="AK1090" i="1"/>
  <c r="J1090" i="1"/>
  <c r="AK1089" i="1"/>
  <c r="J1089" i="1"/>
  <c r="AK1088" i="1"/>
  <c r="J1088" i="1"/>
  <c r="AK1087" i="1"/>
  <c r="J1087" i="1"/>
  <c r="AK1086" i="1"/>
  <c r="J1086" i="1"/>
  <c r="AK1085" i="1"/>
  <c r="J1085" i="1"/>
  <c r="AK1084" i="1"/>
  <c r="J1084" i="1"/>
  <c r="AK1083" i="1"/>
  <c r="J1083" i="1"/>
  <c r="AK1082" i="1"/>
  <c r="J1082" i="1"/>
  <c r="AK1081" i="1"/>
  <c r="J1081" i="1"/>
  <c r="AK1080" i="1"/>
  <c r="J1080" i="1"/>
  <c r="AK1079" i="1"/>
  <c r="J1079" i="1"/>
  <c r="AK1078" i="1"/>
  <c r="J1078" i="1"/>
  <c r="AK1077" i="1"/>
  <c r="J1077" i="1"/>
  <c r="AK1076" i="1"/>
  <c r="J1076" i="1"/>
  <c r="AK1075" i="1"/>
  <c r="J1075" i="1"/>
  <c r="AK1074" i="1"/>
  <c r="J1074" i="1"/>
  <c r="AK1073" i="1"/>
  <c r="J1073" i="1"/>
  <c r="AK1072" i="1"/>
  <c r="J1072" i="1"/>
  <c r="AK1071" i="1"/>
  <c r="J1071" i="1"/>
  <c r="AK1070" i="1"/>
  <c r="J1070" i="1"/>
  <c r="AK1069" i="1"/>
  <c r="J1069" i="1"/>
  <c r="AK1068" i="1"/>
  <c r="J1068" i="1"/>
  <c r="AK1067" i="1"/>
  <c r="J1067" i="1"/>
  <c r="AK1066" i="1"/>
  <c r="J1066" i="1"/>
  <c r="AK1065" i="1"/>
  <c r="J1065" i="1"/>
  <c r="AK1064" i="1"/>
  <c r="J1064" i="1"/>
  <c r="AK1063" i="1"/>
  <c r="J1063" i="1"/>
  <c r="AK1062" i="1"/>
  <c r="J1062" i="1"/>
  <c r="AK1061" i="1"/>
  <c r="J1061" i="1"/>
  <c r="AK1060" i="1"/>
  <c r="J1060" i="1"/>
  <c r="AK1059" i="1"/>
  <c r="J1059" i="1"/>
  <c r="AK1058" i="1"/>
  <c r="J1058" i="1"/>
  <c r="AK1057" i="1"/>
  <c r="J1057" i="1"/>
  <c r="AK1056" i="1"/>
  <c r="J1056" i="1"/>
  <c r="AK1055" i="1"/>
  <c r="J1055" i="1"/>
  <c r="AK1054" i="1"/>
  <c r="J1054" i="1"/>
  <c r="AK1053" i="1"/>
  <c r="J1053" i="1"/>
  <c r="AK1052" i="1"/>
  <c r="J1052" i="1"/>
  <c r="AK1051" i="1"/>
  <c r="J1051" i="1"/>
  <c r="AK1050" i="1"/>
  <c r="J1050" i="1"/>
  <c r="AK1049" i="1"/>
  <c r="J1049" i="1"/>
  <c r="AK1048" i="1"/>
  <c r="J1048" i="1"/>
  <c r="AK1047" i="1"/>
  <c r="J1047" i="1"/>
  <c r="AK1046" i="1"/>
  <c r="J1046" i="1"/>
  <c r="AK1045" i="1"/>
  <c r="J1045" i="1"/>
  <c r="AK1044" i="1"/>
  <c r="J1044" i="1"/>
  <c r="AK1043" i="1"/>
  <c r="J1043" i="1"/>
  <c r="AK1042" i="1"/>
  <c r="J1042" i="1"/>
  <c r="AK1041" i="1"/>
  <c r="J1041" i="1"/>
  <c r="AK1040" i="1"/>
  <c r="J1040" i="1"/>
  <c r="AK1039" i="1"/>
  <c r="J1039" i="1"/>
  <c r="AK1038" i="1"/>
  <c r="J1038" i="1"/>
  <c r="AK1037" i="1"/>
  <c r="J1037" i="1"/>
  <c r="AK1036" i="1"/>
  <c r="J1036" i="1"/>
  <c r="AK1035" i="1"/>
  <c r="J1035" i="1"/>
  <c r="AK1034" i="1"/>
  <c r="J1034" i="1"/>
  <c r="AK1033" i="1"/>
  <c r="J1033" i="1"/>
  <c r="AK1032" i="1"/>
  <c r="J1032" i="1"/>
  <c r="AK1031" i="1"/>
  <c r="J1031" i="1"/>
  <c r="AK1030" i="1"/>
  <c r="J1030" i="1"/>
  <c r="AK1029" i="1"/>
  <c r="J1029" i="1"/>
  <c r="AK1028" i="1"/>
  <c r="J1028" i="1"/>
  <c r="AK1027" i="1"/>
  <c r="J1027" i="1"/>
  <c r="AK1026" i="1"/>
  <c r="J1026" i="1"/>
  <c r="AK1025" i="1"/>
  <c r="J1025" i="1"/>
  <c r="AK1024" i="1"/>
  <c r="J1024" i="1"/>
  <c r="AK1023" i="1"/>
  <c r="J1023" i="1"/>
  <c r="AK1022" i="1"/>
  <c r="J1022" i="1"/>
  <c r="AK1021" i="1"/>
  <c r="J1021" i="1"/>
  <c r="AK1020" i="1"/>
  <c r="J1020" i="1"/>
  <c r="AK1019" i="1"/>
  <c r="J1019" i="1"/>
  <c r="AK1018" i="1"/>
  <c r="J1018" i="1"/>
  <c r="AK1017" i="1"/>
  <c r="J1017" i="1"/>
  <c r="AK1016" i="1"/>
  <c r="J1016" i="1"/>
  <c r="AK1015" i="1"/>
  <c r="J1015" i="1"/>
  <c r="AK1014" i="1"/>
  <c r="J1014" i="1"/>
  <c r="AK1013" i="1"/>
  <c r="J1013" i="1"/>
  <c r="AK1012" i="1"/>
  <c r="J1012" i="1"/>
  <c r="AK1011" i="1"/>
  <c r="J1011" i="1"/>
  <c r="AK1010" i="1"/>
  <c r="J1010" i="1"/>
  <c r="AK1009" i="1"/>
  <c r="J1009" i="1"/>
  <c r="AK1008" i="1"/>
  <c r="J1008" i="1"/>
  <c r="AK1007" i="1"/>
  <c r="J1007" i="1"/>
  <c r="AK1006" i="1"/>
  <c r="J1006" i="1"/>
  <c r="AK1005" i="1"/>
  <c r="J1005" i="1"/>
  <c r="AK1004" i="1"/>
  <c r="J1004" i="1"/>
  <c r="AK1003" i="1"/>
  <c r="J1003" i="1"/>
  <c r="AK1002" i="1"/>
  <c r="J1002" i="1"/>
  <c r="AK1001" i="1"/>
  <c r="J1001" i="1"/>
  <c r="AK1000" i="1"/>
  <c r="J1000" i="1"/>
  <c r="AK999" i="1"/>
  <c r="J999" i="1"/>
  <c r="AK998" i="1"/>
  <c r="J998" i="1"/>
  <c r="AK997" i="1"/>
  <c r="J997" i="1"/>
  <c r="AK996" i="1"/>
  <c r="J996" i="1"/>
  <c r="AK995" i="1"/>
  <c r="J995" i="1"/>
  <c r="AK994" i="1"/>
  <c r="J994" i="1"/>
  <c r="AK993" i="1"/>
  <c r="J993" i="1"/>
  <c r="AK992" i="1"/>
  <c r="J992" i="1"/>
  <c r="AK991" i="1"/>
  <c r="J991" i="1"/>
  <c r="AK990" i="1"/>
  <c r="J990" i="1"/>
  <c r="AK989" i="1"/>
  <c r="J989" i="1"/>
  <c r="AK988" i="1"/>
  <c r="J988" i="1"/>
  <c r="AK987" i="1"/>
  <c r="J987" i="1"/>
  <c r="AK986" i="1"/>
  <c r="J986" i="1"/>
  <c r="AK985" i="1"/>
  <c r="J985" i="1"/>
  <c r="AK984" i="1"/>
  <c r="J984" i="1"/>
  <c r="AK983" i="1"/>
  <c r="J983" i="1"/>
  <c r="AK982" i="1"/>
  <c r="J982" i="1"/>
  <c r="AK981" i="1"/>
  <c r="J981" i="1"/>
  <c r="AK980" i="1"/>
  <c r="J980" i="1"/>
  <c r="AK979" i="1"/>
  <c r="J979" i="1"/>
  <c r="AK978" i="1"/>
  <c r="J978" i="1"/>
  <c r="AK977" i="1"/>
  <c r="J977" i="1"/>
  <c r="AK976" i="1"/>
  <c r="J976" i="1"/>
  <c r="AK975" i="1"/>
  <c r="J975" i="1"/>
  <c r="AK974" i="1"/>
  <c r="J974" i="1"/>
  <c r="AK973" i="1"/>
  <c r="J973" i="1"/>
  <c r="AK972" i="1"/>
  <c r="J972" i="1"/>
  <c r="AK971" i="1"/>
  <c r="J971" i="1"/>
  <c r="AK970" i="1"/>
  <c r="J970" i="1"/>
  <c r="AK969" i="1"/>
  <c r="J969" i="1"/>
  <c r="AK968" i="1"/>
  <c r="J968" i="1"/>
  <c r="AK967" i="1"/>
  <c r="J967" i="1"/>
  <c r="AK966" i="1"/>
  <c r="J966" i="1"/>
  <c r="AK965" i="1"/>
  <c r="J965" i="1"/>
  <c r="AK964" i="1"/>
  <c r="J964" i="1"/>
  <c r="AK963" i="1"/>
  <c r="J963" i="1"/>
  <c r="AK962" i="1"/>
  <c r="J962" i="1"/>
  <c r="AK961" i="1"/>
  <c r="J961" i="1"/>
  <c r="AK960" i="1"/>
  <c r="J960" i="1"/>
  <c r="AK959" i="1"/>
  <c r="J959" i="1"/>
  <c r="AK958" i="1"/>
  <c r="J958" i="1"/>
  <c r="AK957" i="1"/>
  <c r="J957" i="1"/>
  <c r="AK956" i="1"/>
  <c r="J956" i="1"/>
  <c r="AK955" i="1"/>
  <c r="J955" i="1"/>
  <c r="AK954" i="1"/>
  <c r="J954" i="1"/>
  <c r="AK953" i="1"/>
  <c r="J953" i="1"/>
  <c r="AK952" i="1"/>
  <c r="J952" i="1"/>
  <c r="AK951" i="1"/>
  <c r="J951" i="1"/>
  <c r="AK950" i="1"/>
  <c r="J950" i="1"/>
  <c r="AK949" i="1"/>
  <c r="J949" i="1"/>
  <c r="AK948" i="1"/>
  <c r="J948" i="1"/>
  <c r="AK947" i="1"/>
  <c r="J947" i="1"/>
  <c r="AK946" i="1"/>
  <c r="J946" i="1"/>
  <c r="AK945" i="1"/>
  <c r="J945" i="1"/>
  <c r="AK944" i="1"/>
  <c r="J944" i="1"/>
  <c r="AK943" i="1"/>
  <c r="J943" i="1"/>
  <c r="AK942" i="1"/>
  <c r="J942" i="1"/>
  <c r="AK941" i="1"/>
  <c r="J941" i="1"/>
  <c r="AK940" i="1"/>
  <c r="J940" i="1"/>
  <c r="AK939" i="1"/>
  <c r="J939" i="1"/>
  <c r="AK938" i="1"/>
  <c r="J938" i="1"/>
  <c r="AK937" i="1"/>
  <c r="J937" i="1"/>
  <c r="AK936" i="1"/>
  <c r="J936" i="1"/>
  <c r="AK935" i="1"/>
  <c r="J935" i="1"/>
  <c r="AK934" i="1"/>
  <c r="J934" i="1"/>
  <c r="AK933" i="1"/>
  <c r="J933" i="1"/>
  <c r="AK932" i="1"/>
  <c r="J932" i="1"/>
  <c r="AK931" i="1"/>
  <c r="J931" i="1"/>
  <c r="AK930" i="1"/>
  <c r="J930" i="1"/>
  <c r="AK929" i="1"/>
  <c r="J929" i="1"/>
  <c r="AK928" i="1"/>
  <c r="J928" i="1"/>
  <c r="AK927" i="1"/>
  <c r="J927" i="1"/>
  <c r="AK926" i="1"/>
  <c r="J926" i="1"/>
  <c r="AK925" i="1"/>
  <c r="J925" i="1"/>
  <c r="AK924" i="1"/>
  <c r="J924" i="1"/>
  <c r="AK923" i="1"/>
  <c r="J923" i="1"/>
  <c r="AK922" i="1"/>
  <c r="J922" i="1"/>
  <c r="AK921" i="1"/>
  <c r="J921" i="1"/>
  <c r="AK920" i="1"/>
  <c r="J920" i="1"/>
  <c r="AK919" i="1"/>
  <c r="J919" i="1"/>
  <c r="AK918" i="1"/>
  <c r="J918" i="1"/>
  <c r="AK917" i="1"/>
  <c r="J917" i="1"/>
  <c r="AK916" i="1"/>
  <c r="J916" i="1"/>
  <c r="AK915" i="1"/>
  <c r="J915" i="1"/>
  <c r="AK914" i="1"/>
  <c r="J914" i="1"/>
  <c r="AK913" i="1"/>
  <c r="J913" i="1"/>
  <c r="AK912" i="1"/>
  <c r="J912" i="1"/>
  <c r="AK911" i="1"/>
  <c r="J911" i="1"/>
  <c r="AK910" i="1"/>
  <c r="J910" i="1"/>
  <c r="AK909" i="1"/>
  <c r="J909" i="1"/>
  <c r="AK908" i="1"/>
  <c r="J908" i="1"/>
  <c r="AK907" i="1"/>
  <c r="J907" i="1"/>
  <c r="AK906" i="1"/>
  <c r="J906" i="1"/>
  <c r="AK905" i="1"/>
  <c r="J905" i="1"/>
  <c r="AK904" i="1"/>
  <c r="J904" i="1"/>
  <c r="AK903" i="1"/>
  <c r="J903" i="1"/>
  <c r="AK902" i="1"/>
  <c r="J902" i="1"/>
  <c r="AK901" i="1"/>
  <c r="J901" i="1"/>
  <c r="AK900" i="1"/>
  <c r="J900" i="1"/>
  <c r="AK899" i="1"/>
  <c r="J899" i="1"/>
  <c r="AK898" i="1"/>
  <c r="J898" i="1"/>
  <c r="AK897" i="1"/>
  <c r="J897" i="1"/>
  <c r="AK896" i="1"/>
  <c r="J896" i="1"/>
  <c r="AK895" i="1"/>
  <c r="J895" i="1"/>
  <c r="AK894" i="1"/>
  <c r="J894" i="1"/>
  <c r="AK893" i="1"/>
  <c r="J893" i="1"/>
  <c r="AK892" i="1"/>
  <c r="J892" i="1"/>
  <c r="AK891" i="1"/>
  <c r="J891" i="1"/>
  <c r="AK890" i="1"/>
  <c r="J890" i="1"/>
  <c r="AK889" i="1"/>
  <c r="J889" i="1"/>
  <c r="AK888" i="1"/>
  <c r="J888" i="1"/>
  <c r="AK887" i="1"/>
  <c r="J887" i="1"/>
  <c r="AK886" i="1"/>
  <c r="J886" i="1"/>
  <c r="AK885" i="1"/>
  <c r="J885" i="1"/>
  <c r="AK884" i="1"/>
  <c r="J884" i="1"/>
  <c r="AK883" i="1"/>
  <c r="J883" i="1"/>
  <c r="AK882" i="1"/>
  <c r="J882" i="1"/>
  <c r="AK881" i="1"/>
  <c r="J881" i="1"/>
  <c r="AK880" i="1"/>
  <c r="J880" i="1"/>
  <c r="AK879" i="1"/>
  <c r="J879" i="1"/>
  <c r="AK878" i="1"/>
  <c r="J878" i="1"/>
  <c r="AK877" i="1"/>
  <c r="J877" i="1"/>
  <c r="AK876" i="1"/>
  <c r="J876" i="1"/>
  <c r="AK875" i="1"/>
  <c r="J875" i="1"/>
  <c r="AK874" i="1"/>
  <c r="J874" i="1"/>
  <c r="AK873" i="1"/>
  <c r="J873" i="1"/>
  <c r="AK872" i="1"/>
  <c r="J872" i="1"/>
  <c r="AK871" i="1"/>
  <c r="J871" i="1"/>
  <c r="AK870" i="1"/>
  <c r="J870" i="1"/>
  <c r="AK869" i="1"/>
  <c r="J869" i="1"/>
  <c r="AK868" i="1"/>
  <c r="J868" i="1"/>
  <c r="AK867" i="1"/>
  <c r="J867" i="1"/>
  <c r="AK866" i="1"/>
  <c r="J866" i="1"/>
  <c r="AK865" i="1"/>
  <c r="J865" i="1"/>
  <c r="AK864" i="1"/>
  <c r="J864" i="1"/>
  <c r="AK863" i="1"/>
  <c r="J863" i="1"/>
  <c r="AK862" i="1"/>
  <c r="J862" i="1"/>
  <c r="AK861" i="1"/>
  <c r="J861" i="1"/>
  <c r="AK860" i="1"/>
  <c r="J860" i="1"/>
  <c r="AK859" i="1"/>
  <c r="J859" i="1"/>
  <c r="AK858" i="1"/>
  <c r="J858" i="1"/>
  <c r="AK857" i="1"/>
  <c r="J857" i="1"/>
  <c r="AK856" i="1"/>
  <c r="J856" i="1"/>
  <c r="AK855" i="1"/>
  <c r="J855" i="1"/>
  <c r="AK854" i="1"/>
  <c r="J854" i="1"/>
  <c r="AK853" i="1"/>
  <c r="J853" i="1"/>
  <c r="AK852" i="1"/>
  <c r="J852" i="1"/>
  <c r="AK851" i="1"/>
  <c r="J851" i="1"/>
  <c r="AK850" i="1"/>
  <c r="J850" i="1"/>
  <c r="AK849" i="1"/>
  <c r="J849" i="1"/>
  <c r="AK848" i="1"/>
  <c r="J848" i="1"/>
  <c r="AK847" i="1"/>
  <c r="J847" i="1"/>
  <c r="AK846" i="1"/>
  <c r="J846" i="1"/>
  <c r="AK845" i="1"/>
  <c r="J845" i="1"/>
  <c r="AK844" i="1"/>
  <c r="J844" i="1"/>
  <c r="AK843" i="1"/>
  <c r="J843" i="1"/>
  <c r="AK842" i="1"/>
  <c r="J842" i="1"/>
  <c r="AK841" i="1"/>
  <c r="J841" i="1"/>
  <c r="AK840" i="1"/>
  <c r="J840" i="1"/>
  <c r="AK839" i="1"/>
  <c r="J839" i="1"/>
  <c r="AK838" i="1"/>
  <c r="J838" i="1"/>
  <c r="AK837" i="1"/>
  <c r="J837" i="1"/>
  <c r="AK836" i="1"/>
  <c r="J836" i="1"/>
  <c r="AK835" i="1"/>
  <c r="J835" i="1"/>
  <c r="AK834" i="1"/>
  <c r="J834" i="1"/>
  <c r="AK833" i="1"/>
  <c r="J833" i="1"/>
  <c r="AK832" i="1"/>
  <c r="J832" i="1"/>
  <c r="AK831" i="1"/>
  <c r="J831" i="1"/>
  <c r="AK830" i="1"/>
  <c r="J830" i="1"/>
  <c r="AK829" i="1"/>
  <c r="J829" i="1"/>
  <c r="AK828" i="1"/>
  <c r="J828" i="1"/>
  <c r="AK827" i="1"/>
  <c r="J827" i="1"/>
  <c r="AK826" i="1"/>
  <c r="J826" i="1"/>
  <c r="AK825" i="1"/>
  <c r="J825" i="1"/>
  <c r="AK824" i="1"/>
  <c r="J824" i="1"/>
  <c r="AK823" i="1"/>
  <c r="J823" i="1"/>
  <c r="AK822" i="1"/>
  <c r="J822" i="1"/>
  <c r="AK821" i="1"/>
  <c r="J821" i="1"/>
  <c r="AK820" i="1"/>
  <c r="J820" i="1"/>
  <c r="AK819" i="1"/>
  <c r="J819" i="1"/>
  <c r="AK818" i="1"/>
  <c r="J818" i="1"/>
  <c r="AK817" i="1"/>
  <c r="J817" i="1"/>
  <c r="AK816" i="1"/>
  <c r="J816" i="1"/>
  <c r="AK815" i="1"/>
  <c r="J815" i="1"/>
  <c r="AK814" i="1"/>
  <c r="J814" i="1"/>
  <c r="AK813" i="1"/>
  <c r="J813" i="1"/>
  <c r="AK812" i="1"/>
  <c r="J812" i="1"/>
  <c r="AK811" i="1"/>
  <c r="J811" i="1"/>
  <c r="AK810" i="1"/>
  <c r="J810" i="1"/>
  <c r="AK809" i="1"/>
  <c r="J809" i="1"/>
  <c r="AK808" i="1"/>
  <c r="J808" i="1"/>
  <c r="AK807" i="1"/>
  <c r="J807" i="1"/>
  <c r="AK806" i="1"/>
  <c r="J806" i="1"/>
  <c r="AK805" i="1"/>
  <c r="J805" i="1"/>
  <c r="AK804" i="1"/>
  <c r="J804" i="1"/>
  <c r="AK803" i="1"/>
  <c r="J803" i="1"/>
  <c r="AK802" i="1"/>
  <c r="J802" i="1"/>
  <c r="AK801" i="1"/>
  <c r="J801" i="1"/>
  <c r="AK800" i="1"/>
  <c r="J800" i="1"/>
  <c r="AK799" i="1"/>
  <c r="J799" i="1"/>
  <c r="AK798" i="1"/>
  <c r="J798" i="1"/>
  <c r="AK797" i="1"/>
  <c r="J797" i="1"/>
  <c r="AK796" i="1"/>
  <c r="J796" i="1"/>
  <c r="AK795" i="1"/>
  <c r="J795" i="1"/>
  <c r="AK794" i="1"/>
  <c r="J794" i="1"/>
  <c r="AK793" i="1"/>
  <c r="J793" i="1"/>
  <c r="AK792" i="1"/>
  <c r="J792" i="1"/>
  <c r="AK791" i="1"/>
  <c r="J791" i="1"/>
  <c r="AK790" i="1"/>
  <c r="J790" i="1"/>
  <c r="AK789" i="1"/>
  <c r="J789" i="1"/>
  <c r="AK788" i="1"/>
  <c r="J788" i="1"/>
  <c r="AK787" i="1"/>
  <c r="J787" i="1"/>
  <c r="AK786" i="1"/>
  <c r="J786" i="1"/>
  <c r="AK785" i="1"/>
  <c r="J785" i="1"/>
  <c r="AK784" i="1"/>
  <c r="J784" i="1"/>
  <c r="AK783" i="1"/>
  <c r="J783" i="1"/>
  <c r="AK782" i="1"/>
  <c r="J782" i="1"/>
  <c r="AK781" i="1"/>
  <c r="J781" i="1"/>
  <c r="AK780" i="1"/>
  <c r="J780" i="1"/>
  <c r="AK779" i="1"/>
  <c r="J779" i="1"/>
  <c r="AK778" i="1"/>
  <c r="J778" i="1"/>
  <c r="AK777" i="1"/>
  <c r="J777" i="1"/>
  <c r="AK776" i="1"/>
  <c r="J776" i="1"/>
  <c r="AK775" i="1"/>
  <c r="J775" i="1"/>
  <c r="AK774" i="1"/>
  <c r="J774" i="1"/>
  <c r="AK773" i="1"/>
  <c r="J773" i="1"/>
  <c r="AK772" i="1"/>
  <c r="J772" i="1"/>
  <c r="AK771" i="1"/>
  <c r="J771" i="1"/>
  <c r="AK770" i="1"/>
  <c r="J770" i="1"/>
  <c r="AK769" i="1"/>
  <c r="J769" i="1"/>
  <c r="AK768" i="1"/>
  <c r="J768" i="1"/>
  <c r="AK767" i="1"/>
  <c r="J767" i="1"/>
  <c r="AK766" i="1"/>
  <c r="J766" i="1"/>
  <c r="AK765" i="1"/>
  <c r="J765" i="1"/>
  <c r="AK764" i="1"/>
  <c r="J764" i="1"/>
  <c r="AK763" i="1"/>
  <c r="J763" i="1"/>
  <c r="AK762" i="1"/>
  <c r="J762" i="1"/>
  <c r="AK761" i="1"/>
  <c r="J761" i="1"/>
  <c r="AK760" i="1"/>
  <c r="J760" i="1"/>
  <c r="AK759" i="1"/>
  <c r="J759" i="1"/>
  <c r="AK758" i="1"/>
  <c r="J758" i="1"/>
  <c r="AK757" i="1"/>
  <c r="J757" i="1"/>
  <c r="AK756" i="1"/>
  <c r="J756" i="1"/>
  <c r="AK755" i="1"/>
  <c r="J755" i="1"/>
  <c r="AK754" i="1"/>
  <c r="J754" i="1"/>
  <c r="AK753" i="1"/>
  <c r="J753" i="1"/>
  <c r="AK752" i="1"/>
  <c r="J752" i="1"/>
  <c r="AK751" i="1"/>
  <c r="J751" i="1"/>
  <c r="AK750" i="1"/>
  <c r="J750" i="1"/>
  <c r="AK749" i="1"/>
  <c r="J749" i="1"/>
  <c r="AK748" i="1"/>
  <c r="J748" i="1"/>
  <c r="AK747" i="1"/>
  <c r="J747" i="1"/>
  <c r="AK746" i="1"/>
  <c r="J746" i="1"/>
  <c r="AK745" i="1"/>
  <c r="J745" i="1"/>
  <c r="AK744" i="1"/>
  <c r="J744" i="1"/>
  <c r="AK743" i="1"/>
  <c r="J743" i="1"/>
  <c r="AK742" i="1"/>
  <c r="J742" i="1"/>
  <c r="AK741" i="1"/>
  <c r="J741" i="1"/>
  <c r="AK740" i="1"/>
  <c r="J740" i="1"/>
  <c r="AK739" i="1"/>
  <c r="J739" i="1"/>
  <c r="AK738" i="1"/>
  <c r="J738" i="1"/>
  <c r="AK737" i="1"/>
  <c r="J737" i="1"/>
  <c r="AK736" i="1"/>
  <c r="J736" i="1"/>
  <c r="AK735" i="1"/>
  <c r="J735" i="1"/>
  <c r="AK734" i="1"/>
  <c r="J734" i="1"/>
  <c r="AK733" i="1"/>
  <c r="J733" i="1"/>
  <c r="AK732" i="1"/>
  <c r="J732" i="1"/>
  <c r="AK731" i="1"/>
  <c r="J731" i="1"/>
  <c r="AK730" i="1"/>
  <c r="J730" i="1"/>
  <c r="AK729" i="1"/>
  <c r="J729" i="1"/>
  <c r="AK728" i="1"/>
  <c r="J728" i="1"/>
  <c r="AK727" i="1"/>
  <c r="J727" i="1"/>
  <c r="AK726" i="1"/>
  <c r="J726" i="1"/>
  <c r="AK725" i="1"/>
  <c r="J725" i="1"/>
  <c r="AK724" i="1"/>
  <c r="J724" i="1"/>
  <c r="AK723" i="1"/>
  <c r="J723" i="1"/>
  <c r="AK722" i="1"/>
  <c r="J722" i="1"/>
  <c r="AK721" i="1"/>
  <c r="J721" i="1"/>
  <c r="AK720" i="1"/>
  <c r="J720" i="1"/>
  <c r="AK719" i="1"/>
  <c r="J719" i="1"/>
  <c r="AK718" i="1"/>
  <c r="J718" i="1"/>
  <c r="AK717" i="1"/>
  <c r="J717" i="1"/>
  <c r="AK716" i="1"/>
  <c r="J716" i="1"/>
  <c r="AK715" i="1"/>
  <c r="J715" i="1"/>
  <c r="AK714" i="1"/>
  <c r="J714" i="1"/>
  <c r="AK713" i="1"/>
  <c r="J713" i="1"/>
  <c r="AK712" i="1"/>
  <c r="J712" i="1"/>
  <c r="AK711" i="1"/>
  <c r="J711" i="1"/>
  <c r="AK710" i="1"/>
  <c r="J710" i="1"/>
  <c r="AK709" i="1"/>
  <c r="J709" i="1"/>
  <c r="AK708" i="1"/>
  <c r="J708" i="1"/>
  <c r="AK707" i="1"/>
  <c r="J707" i="1"/>
  <c r="AK706" i="1"/>
  <c r="J706" i="1"/>
  <c r="AK705" i="1"/>
  <c r="J705" i="1"/>
  <c r="AK704" i="1"/>
  <c r="J704" i="1"/>
  <c r="AK703" i="1"/>
  <c r="J703" i="1"/>
  <c r="AK702" i="1"/>
  <c r="J702" i="1"/>
  <c r="AK701" i="1"/>
  <c r="J701" i="1"/>
  <c r="AK700" i="1"/>
  <c r="J700" i="1"/>
  <c r="AK699" i="1"/>
  <c r="J699" i="1"/>
  <c r="AK698" i="1"/>
  <c r="J698" i="1"/>
  <c r="AK697" i="1"/>
  <c r="J697" i="1"/>
  <c r="AK696" i="1"/>
  <c r="J696" i="1"/>
  <c r="AK695" i="1"/>
  <c r="J695" i="1"/>
  <c r="AK694" i="1"/>
  <c r="J694" i="1"/>
  <c r="AK693" i="1"/>
  <c r="J693" i="1"/>
  <c r="AK692" i="1"/>
  <c r="J692" i="1"/>
  <c r="AK691" i="1"/>
  <c r="J691" i="1"/>
  <c r="AK690" i="1"/>
  <c r="J690" i="1"/>
  <c r="AK689" i="1"/>
  <c r="J689" i="1"/>
  <c r="AK688" i="1"/>
  <c r="J688" i="1"/>
  <c r="AK687" i="1"/>
  <c r="J687" i="1"/>
  <c r="AK686" i="1"/>
  <c r="J686" i="1"/>
  <c r="AK685" i="1"/>
  <c r="J685" i="1"/>
  <c r="AK684" i="1"/>
  <c r="J684" i="1"/>
  <c r="AK683" i="1"/>
  <c r="J683" i="1"/>
  <c r="AK682" i="1"/>
  <c r="J682" i="1"/>
  <c r="AK681" i="1"/>
  <c r="J681" i="1"/>
  <c r="AK680" i="1"/>
  <c r="J680" i="1"/>
  <c r="AK679" i="1"/>
  <c r="J679" i="1"/>
  <c r="AK678" i="1"/>
  <c r="J678" i="1"/>
  <c r="AK677" i="1"/>
  <c r="J677" i="1"/>
  <c r="AK676" i="1"/>
  <c r="J676" i="1"/>
  <c r="AK675" i="1"/>
  <c r="J675" i="1"/>
  <c r="AK674" i="1"/>
  <c r="J674" i="1"/>
  <c r="AK673" i="1"/>
  <c r="J673" i="1"/>
  <c r="AK672" i="1"/>
  <c r="J672" i="1"/>
  <c r="AK671" i="1"/>
  <c r="J671" i="1"/>
  <c r="AK670" i="1"/>
  <c r="J670" i="1"/>
  <c r="AK669" i="1"/>
  <c r="J669" i="1"/>
  <c r="AK668" i="1"/>
  <c r="J668" i="1"/>
  <c r="AK667" i="1"/>
  <c r="J667" i="1"/>
  <c r="AK666" i="1"/>
  <c r="J666" i="1"/>
  <c r="AK665" i="1"/>
  <c r="J665" i="1"/>
  <c r="AK664" i="1"/>
  <c r="J664" i="1"/>
  <c r="AK663" i="1"/>
  <c r="J663" i="1"/>
  <c r="AK662" i="1"/>
  <c r="J662" i="1"/>
  <c r="AK661" i="1"/>
  <c r="J661" i="1"/>
  <c r="AK660" i="1"/>
  <c r="J660" i="1"/>
  <c r="AK659" i="1"/>
  <c r="J659" i="1"/>
  <c r="AK658" i="1"/>
  <c r="J658" i="1"/>
  <c r="AK657" i="1"/>
  <c r="J657" i="1"/>
  <c r="AK656" i="1"/>
  <c r="J656" i="1"/>
  <c r="AK655" i="1"/>
  <c r="J655" i="1"/>
  <c r="AK654" i="1"/>
  <c r="J654" i="1"/>
  <c r="AK653" i="1"/>
  <c r="J653" i="1"/>
  <c r="AK652" i="1"/>
  <c r="J652" i="1"/>
  <c r="AK651" i="1"/>
  <c r="J651" i="1"/>
  <c r="AK650" i="1"/>
  <c r="J650" i="1"/>
  <c r="AK649" i="1"/>
  <c r="J649" i="1"/>
  <c r="AK648" i="1"/>
  <c r="J648" i="1"/>
  <c r="AK647" i="1"/>
  <c r="J647" i="1"/>
  <c r="AK646" i="1"/>
  <c r="J646" i="1"/>
  <c r="AK645" i="1"/>
  <c r="J645" i="1"/>
  <c r="AK644" i="1"/>
  <c r="J644" i="1"/>
  <c r="AK643" i="1"/>
  <c r="J643" i="1"/>
  <c r="AK642" i="1"/>
  <c r="J642" i="1"/>
  <c r="AK641" i="1"/>
  <c r="J641" i="1"/>
  <c r="AK640" i="1"/>
  <c r="J640" i="1"/>
  <c r="AK639" i="1"/>
  <c r="J639" i="1"/>
  <c r="AK638" i="1"/>
  <c r="J638" i="1"/>
  <c r="AK637" i="1"/>
  <c r="J637" i="1"/>
  <c r="AK636" i="1"/>
  <c r="J636" i="1"/>
  <c r="AK635" i="1"/>
  <c r="J635" i="1"/>
  <c r="AK634" i="1"/>
  <c r="J634" i="1"/>
  <c r="AK633" i="1"/>
  <c r="J633" i="1"/>
  <c r="AK632" i="1"/>
  <c r="J632" i="1"/>
  <c r="AK631" i="1"/>
  <c r="J631" i="1"/>
  <c r="AK630" i="1"/>
  <c r="J630" i="1"/>
  <c r="AK629" i="1"/>
  <c r="J629" i="1"/>
  <c r="AK628" i="1"/>
  <c r="J628" i="1"/>
  <c r="AK627" i="1"/>
  <c r="J627" i="1"/>
  <c r="AK626" i="1"/>
  <c r="J626" i="1"/>
  <c r="AK625" i="1"/>
  <c r="J625" i="1"/>
  <c r="AK624" i="1"/>
  <c r="J624" i="1"/>
  <c r="AK623" i="1"/>
  <c r="J623" i="1"/>
  <c r="AK622" i="1"/>
  <c r="J622" i="1"/>
  <c r="AK621" i="1"/>
  <c r="J621" i="1"/>
  <c r="AK620" i="1"/>
  <c r="J620" i="1"/>
  <c r="AK619" i="1"/>
  <c r="J619" i="1"/>
  <c r="AK618" i="1"/>
  <c r="J618" i="1"/>
  <c r="AK617" i="1"/>
  <c r="J617" i="1"/>
  <c r="AK616" i="1"/>
  <c r="J616" i="1"/>
  <c r="AK615" i="1"/>
  <c r="J615" i="1"/>
  <c r="AK614" i="1"/>
  <c r="J614" i="1"/>
  <c r="AK613" i="1"/>
  <c r="J613" i="1"/>
  <c r="AK612" i="1"/>
  <c r="J612" i="1"/>
  <c r="AK611" i="1"/>
  <c r="J611" i="1"/>
  <c r="AK610" i="1"/>
  <c r="J610" i="1"/>
  <c r="AK609" i="1"/>
  <c r="J609" i="1"/>
  <c r="AK608" i="1"/>
  <c r="J608" i="1"/>
  <c r="AK607" i="1"/>
  <c r="J607" i="1"/>
  <c r="AK606" i="1"/>
  <c r="J606" i="1"/>
  <c r="AK605" i="1"/>
  <c r="J605" i="1"/>
  <c r="AK604" i="1"/>
  <c r="J604" i="1"/>
  <c r="AK603" i="1"/>
  <c r="J603" i="1"/>
  <c r="AK602" i="1"/>
  <c r="J602" i="1"/>
  <c r="AK601" i="1"/>
  <c r="J601" i="1"/>
  <c r="AK600" i="1"/>
  <c r="J600" i="1"/>
  <c r="AK599" i="1"/>
  <c r="J599" i="1"/>
  <c r="AK598" i="1"/>
  <c r="J598" i="1"/>
  <c r="AK597" i="1"/>
  <c r="J597" i="1"/>
  <c r="AK596" i="1"/>
  <c r="J596" i="1"/>
  <c r="AK595" i="1"/>
  <c r="J595" i="1"/>
  <c r="AK594" i="1"/>
  <c r="J594" i="1"/>
  <c r="AK593" i="1"/>
  <c r="J593" i="1"/>
  <c r="AK592" i="1"/>
  <c r="J592" i="1"/>
  <c r="AK591" i="1"/>
  <c r="J591" i="1"/>
  <c r="AK590" i="1"/>
  <c r="J590" i="1"/>
  <c r="AK589" i="1"/>
  <c r="J589" i="1"/>
  <c r="AK588" i="1"/>
  <c r="J588" i="1"/>
  <c r="AK587" i="1"/>
  <c r="J587" i="1"/>
  <c r="AK586" i="1"/>
  <c r="J586" i="1"/>
  <c r="AK585" i="1"/>
  <c r="J585" i="1"/>
  <c r="AK584" i="1"/>
  <c r="J584" i="1"/>
  <c r="AK583" i="1"/>
  <c r="J583" i="1"/>
  <c r="AK582" i="1"/>
  <c r="J582" i="1"/>
  <c r="AK581" i="1"/>
  <c r="J581" i="1"/>
  <c r="AK580" i="1"/>
  <c r="J580" i="1"/>
  <c r="AK579" i="1"/>
  <c r="J579" i="1"/>
  <c r="AK578" i="1"/>
  <c r="J578" i="1"/>
  <c r="AK577" i="1"/>
  <c r="J577" i="1"/>
  <c r="AK576" i="1"/>
  <c r="J576" i="1"/>
  <c r="AK575" i="1"/>
  <c r="J575" i="1"/>
  <c r="AK574" i="1"/>
  <c r="J574" i="1"/>
  <c r="AK573" i="1"/>
  <c r="J573" i="1"/>
  <c r="AK572" i="1"/>
  <c r="J572" i="1"/>
  <c r="AK571" i="1"/>
  <c r="J571" i="1"/>
  <c r="AK570" i="1"/>
  <c r="J570" i="1"/>
  <c r="AK569" i="1"/>
  <c r="J569" i="1"/>
  <c r="AK568" i="1"/>
  <c r="J568" i="1"/>
  <c r="AK567" i="1"/>
  <c r="J567" i="1"/>
  <c r="AK566" i="1"/>
  <c r="J566" i="1"/>
  <c r="AK565" i="1"/>
  <c r="J565" i="1"/>
  <c r="AK564" i="1"/>
  <c r="J564" i="1"/>
  <c r="AK563" i="1"/>
  <c r="J563" i="1"/>
  <c r="AK562" i="1"/>
  <c r="J562" i="1"/>
  <c r="AK561" i="1"/>
  <c r="J561" i="1"/>
  <c r="AK560" i="1"/>
  <c r="J560" i="1"/>
  <c r="AK559" i="1"/>
  <c r="J559" i="1"/>
  <c r="AK558" i="1"/>
  <c r="J558" i="1"/>
  <c r="AK557" i="1"/>
  <c r="J557" i="1"/>
  <c r="AK556" i="1"/>
  <c r="J556" i="1"/>
  <c r="AK555" i="1"/>
  <c r="J555" i="1"/>
  <c r="AK554" i="1"/>
  <c r="J554" i="1"/>
  <c r="AK553" i="1"/>
  <c r="J553" i="1"/>
  <c r="AK552" i="1"/>
  <c r="J552" i="1"/>
  <c r="AK551" i="1"/>
  <c r="J551" i="1"/>
  <c r="AK550" i="1"/>
  <c r="J550" i="1"/>
  <c r="AK549" i="1"/>
  <c r="J549" i="1"/>
  <c r="AK548" i="1"/>
  <c r="J548" i="1"/>
  <c r="AK547" i="1"/>
  <c r="J547" i="1"/>
  <c r="AK546" i="1"/>
  <c r="J546" i="1"/>
  <c r="AK545" i="1"/>
  <c r="J545" i="1"/>
  <c r="AK544" i="1"/>
  <c r="J544" i="1"/>
  <c r="AK543" i="1"/>
  <c r="J543" i="1"/>
  <c r="AK542" i="1"/>
  <c r="J542" i="1"/>
  <c r="AK541" i="1"/>
  <c r="J541" i="1"/>
  <c r="AK540" i="1"/>
  <c r="J540" i="1"/>
  <c r="AK539" i="1"/>
  <c r="J539" i="1"/>
  <c r="AK538" i="1"/>
  <c r="J538" i="1"/>
  <c r="AK537" i="1"/>
  <c r="J537" i="1"/>
  <c r="AK536" i="1"/>
  <c r="J536" i="1"/>
  <c r="AK535" i="1"/>
  <c r="J535" i="1"/>
  <c r="AK534" i="1"/>
  <c r="J534" i="1"/>
  <c r="AK533" i="1"/>
  <c r="J533" i="1"/>
  <c r="AK532" i="1"/>
  <c r="J532" i="1"/>
  <c r="AK531" i="1"/>
  <c r="J531" i="1"/>
  <c r="AK530" i="1"/>
  <c r="J530" i="1"/>
  <c r="AK529" i="1"/>
  <c r="J529" i="1"/>
  <c r="AK528" i="1"/>
  <c r="J528" i="1"/>
  <c r="AK527" i="1"/>
  <c r="J527" i="1"/>
  <c r="AK526" i="1"/>
  <c r="J526" i="1"/>
  <c r="AK525" i="1"/>
  <c r="J525" i="1"/>
  <c r="AK524" i="1"/>
  <c r="J524" i="1"/>
  <c r="AK523" i="1"/>
  <c r="J523" i="1"/>
  <c r="AK522" i="1"/>
  <c r="J522" i="1"/>
  <c r="AK521" i="1"/>
  <c r="J521" i="1"/>
  <c r="AK520" i="1"/>
  <c r="J520" i="1"/>
  <c r="AK519" i="1"/>
  <c r="J519" i="1"/>
  <c r="AK518" i="1"/>
  <c r="J518" i="1"/>
  <c r="AK517" i="1"/>
  <c r="J517" i="1"/>
  <c r="AK516" i="1"/>
  <c r="J516" i="1"/>
  <c r="AK515" i="1"/>
  <c r="J515" i="1"/>
  <c r="AK514" i="1"/>
  <c r="J514" i="1"/>
  <c r="AK513" i="1"/>
  <c r="J513" i="1"/>
  <c r="AK512" i="1"/>
  <c r="J512" i="1"/>
  <c r="AK511" i="1"/>
  <c r="J511" i="1"/>
  <c r="AK510" i="1"/>
  <c r="J510" i="1"/>
  <c r="AK509" i="1"/>
  <c r="J509" i="1"/>
  <c r="AK508" i="1"/>
  <c r="J508" i="1"/>
  <c r="AK507" i="1"/>
  <c r="J507" i="1"/>
  <c r="AK506" i="1"/>
  <c r="J506" i="1"/>
  <c r="AK505" i="1"/>
  <c r="J505" i="1"/>
  <c r="AK504" i="1"/>
  <c r="J504" i="1"/>
  <c r="AK503" i="1"/>
  <c r="J503" i="1"/>
  <c r="AK502" i="1"/>
  <c r="J502" i="1"/>
  <c r="AK501" i="1"/>
  <c r="J501" i="1"/>
  <c r="AK500" i="1"/>
  <c r="J500" i="1"/>
  <c r="AK499" i="1"/>
  <c r="J499" i="1"/>
  <c r="AK498" i="1"/>
  <c r="J498" i="1"/>
  <c r="AK497" i="1"/>
  <c r="J497" i="1"/>
  <c r="AK496" i="1"/>
  <c r="J496" i="1"/>
  <c r="AK495" i="1"/>
  <c r="J495" i="1"/>
  <c r="AK494" i="1"/>
  <c r="J494" i="1"/>
  <c r="AK493" i="1"/>
  <c r="J493" i="1"/>
  <c r="AK492" i="1"/>
  <c r="J492" i="1"/>
  <c r="AK491" i="1"/>
  <c r="J491" i="1"/>
  <c r="AK490" i="1"/>
  <c r="J490" i="1"/>
  <c r="AK489" i="1"/>
  <c r="J489" i="1"/>
  <c r="AK488" i="1"/>
  <c r="J488" i="1"/>
  <c r="AK487" i="1"/>
  <c r="J487" i="1"/>
  <c r="AK486" i="1"/>
  <c r="J486" i="1"/>
  <c r="AK485" i="1"/>
  <c r="J485" i="1"/>
  <c r="AK484" i="1"/>
  <c r="J484" i="1"/>
  <c r="AK483" i="1"/>
  <c r="J483" i="1"/>
  <c r="AK482" i="1"/>
  <c r="J482" i="1"/>
  <c r="AK481" i="1"/>
  <c r="J481" i="1"/>
  <c r="AK480" i="1"/>
  <c r="J480" i="1"/>
  <c r="AK479" i="1"/>
  <c r="J479" i="1"/>
  <c r="AK478" i="1"/>
  <c r="J478" i="1"/>
  <c r="AK477" i="1"/>
  <c r="J477" i="1"/>
  <c r="AK476" i="1"/>
  <c r="J476" i="1"/>
  <c r="AK475" i="1"/>
  <c r="J475" i="1"/>
  <c r="AK474" i="1"/>
  <c r="J474" i="1"/>
  <c r="AK473" i="1"/>
  <c r="J473" i="1"/>
  <c r="AK472" i="1"/>
  <c r="J472" i="1"/>
  <c r="AK471" i="1"/>
  <c r="J471" i="1"/>
  <c r="AK470" i="1"/>
  <c r="J470" i="1"/>
  <c r="AK469" i="1"/>
  <c r="J469" i="1"/>
  <c r="AK468" i="1"/>
  <c r="J468" i="1"/>
  <c r="AK467" i="1"/>
  <c r="J467" i="1"/>
  <c r="AK466" i="1"/>
  <c r="J466" i="1"/>
  <c r="AK465" i="1"/>
  <c r="J465" i="1"/>
  <c r="AK464" i="1"/>
  <c r="J464" i="1"/>
  <c r="AK463" i="1"/>
  <c r="J463" i="1"/>
  <c r="AK462" i="1"/>
  <c r="J462" i="1"/>
  <c r="AK461" i="1"/>
  <c r="J461" i="1"/>
  <c r="AK460" i="1"/>
  <c r="J460" i="1"/>
  <c r="AK459" i="1"/>
  <c r="J459" i="1"/>
  <c r="AK458" i="1"/>
  <c r="J458" i="1"/>
  <c r="AK457" i="1"/>
  <c r="J457" i="1"/>
  <c r="AK456" i="1"/>
  <c r="J456" i="1"/>
  <c r="AK455" i="1"/>
  <c r="J455" i="1"/>
  <c r="AK454" i="1"/>
  <c r="J454" i="1"/>
  <c r="AK453" i="1"/>
  <c r="J453" i="1"/>
  <c r="AK452" i="1"/>
  <c r="J452" i="1"/>
  <c r="AK451" i="1"/>
  <c r="J451" i="1"/>
  <c r="AK450" i="1"/>
  <c r="J450" i="1"/>
  <c r="AK449" i="1"/>
  <c r="J449" i="1"/>
  <c r="AK448" i="1"/>
  <c r="J448" i="1"/>
  <c r="AK447" i="1"/>
  <c r="J447" i="1"/>
  <c r="AK446" i="1"/>
  <c r="J446" i="1"/>
  <c r="AK445" i="1"/>
  <c r="J445" i="1"/>
  <c r="AK444" i="1"/>
  <c r="J444" i="1"/>
  <c r="AK443" i="1"/>
  <c r="J443" i="1"/>
  <c r="AK442" i="1"/>
  <c r="J442" i="1"/>
  <c r="AK441" i="1"/>
  <c r="J441" i="1"/>
  <c r="AK440" i="1"/>
  <c r="J440" i="1"/>
  <c r="AK439" i="1"/>
  <c r="J439" i="1"/>
  <c r="AK438" i="1"/>
  <c r="J438" i="1"/>
  <c r="AK437" i="1"/>
  <c r="J437" i="1"/>
  <c r="AK436" i="1"/>
  <c r="J436" i="1"/>
  <c r="AK435" i="1"/>
  <c r="J435" i="1"/>
  <c r="AK434" i="1"/>
  <c r="J434" i="1"/>
  <c r="AK433" i="1"/>
  <c r="J433" i="1"/>
  <c r="AK432" i="1"/>
  <c r="J432" i="1"/>
  <c r="AK431" i="1"/>
  <c r="J431" i="1"/>
  <c r="AK430" i="1"/>
  <c r="J430" i="1"/>
  <c r="AK429" i="1"/>
  <c r="J429" i="1"/>
  <c r="AK428" i="1"/>
  <c r="J428" i="1"/>
  <c r="AK427" i="1"/>
  <c r="J427" i="1"/>
  <c r="AK426" i="1"/>
  <c r="J426" i="1"/>
  <c r="AK425" i="1"/>
  <c r="J425" i="1"/>
  <c r="AK424" i="1"/>
  <c r="J424" i="1"/>
  <c r="AK423" i="1"/>
  <c r="J423" i="1"/>
  <c r="AK422" i="1"/>
  <c r="J422" i="1"/>
  <c r="AK421" i="1"/>
  <c r="J421" i="1"/>
  <c r="AK420" i="1"/>
  <c r="J420" i="1"/>
  <c r="AK419" i="1"/>
  <c r="J419" i="1"/>
  <c r="AK418" i="1"/>
  <c r="J418" i="1"/>
  <c r="AK417" i="1"/>
  <c r="J417" i="1"/>
  <c r="AK416" i="1"/>
  <c r="J416" i="1"/>
  <c r="AK415" i="1"/>
  <c r="J415" i="1"/>
  <c r="AK414" i="1"/>
  <c r="J414" i="1"/>
  <c r="AK413" i="1"/>
  <c r="J413" i="1"/>
  <c r="AK412" i="1"/>
  <c r="J412" i="1"/>
  <c r="AK411" i="1"/>
  <c r="J411" i="1"/>
  <c r="AK410" i="1"/>
  <c r="J410" i="1"/>
  <c r="AK409" i="1"/>
  <c r="J409" i="1"/>
  <c r="AK408" i="1"/>
  <c r="J408" i="1"/>
  <c r="AK407" i="1"/>
  <c r="J407" i="1"/>
  <c r="AK406" i="1"/>
  <c r="J406" i="1"/>
  <c r="AK405" i="1"/>
  <c r="J405" i="1"/>
  <c r="AK404" i="1"/>
  <c r="J404" i="1"/>
  <c r="AK403" i="1"/>
  <c r="J403" i="1"/>
  <c r="AK402" i="1"/>
  <c r="J402" i="1"/>
  <c r="AK401" i="1"/>
  <c r="J401" i="1"/>
  <c r="AK400" i="1"/>
  <c r="J400" i="1"/>
  <c r="AK399" i="1"/>
  <c r="J399" i="1"/>
  <c r="AK398" i="1"/>
  <c r="J398" i="1"/>
  <c r="AK397" i="1"/>
  <c r="J397" i="1"/>
  <c r="AK396" i="1"/>
  <c r="J396" i="1"/>
  <c r="AK395" i="1"/>
  <c r="J395" i="1"/>
  <c r="AK394" i="1"/>
  <c r="J394" i="1"/>
  <c r="AK393" i="1"/>
  <c r="J393" i="1"/>
  <c r="AK392" i="1"/>
  <c r="J392" i="1"/>
  <c r="AK391" i="1"/>
  <c r="J391" i="1"/>
  <c r="AK390" i="1"/>
  <c r="J390" i="1"/>
  <c r="AK389" i="1"/>
  <c r="J389" i="1"/>
  <c r="AK388" i="1"/>
  <c r="J388" i="1"/>
  <c r="AK387" i="1"/>
  <c r="J387" i="1"/>
  <c r="AK386" i="1"/>
  <c r="J386" i="1"/>
  <c r="AK385" i="1"/>
  <c r="J385" i="1"/>
  <c r="AK384" i="1"/>
  <c r="J384" i="1"/>
  <c r="AK383" i="1"/>
  <c r="J383" i="1"/>
  <c r="AK382" i="1"/>
  <c r="J382" i="1"/>
  <c r="AK381" i="1"/>
  <c r="J381" i="1"/>
  <c r="AK380" i="1"/>
  <c r="J380" i="1"/>
  <c r="AK379" i="1"/>
  <c r="J379" i="1"/>
  <c r="AK378" i="1"/>
  <c r="J378" i="1"/>
  <c r="AK377" i="1"/>
  <c r="J377" i="1"/>
  <c r="AK376" i="1"/>
  <c r="J376" i="1"/>
  <c r="AK375" i="1"/>
  <c r="J375" i="1"/>
  <c r="AK374" i="1"/>
  <c r="J374" i="1"/>
  <c r="AK373" i="1"/>
  <c r="J373" i="1"/>
  <c r="AK372" i="1"/>
  <c r="J372" i="1"/>
  <c r="AK371" i="1"/>
  <c r="J371" i="1"/>
  <c r="AK370" i="1"/>
  <c r="J370" i="1"/>
  <c r="AK369" i="1"/>
  <c r="J369" i="1"/>
  <c r="AK368" i="1"/>
  <c r="J368" i="1"/>
  <c r="AK367" i="1"/>
  <c r="J367" i="1"/>
  <c r="AK366" i="1"/>
  <c r="J366" i="1"/>
  <c r="AK365" i="1"/>
  <c r="J365" i="1"/>
  <c r="AK364" i="1"/>
  <c r="J364" i="1"/>
  <c r="AK363" i="1"/>
  <c r="J363" i="1"/>
  <c r="AK362" i="1"/>
  <c r="J362" i="1"/>
  <c r="AK361" i="1"/>
  <c r="J361" i="1"/>
  <c r="AK360" i="1"/>
  <c r="J360" i="1"/>
  <c r="AK359" i="1"/>
  <c r="J359" i="1"/>
  <c r="AK358" i="1"/>
  <c r="J358" i="1"/>
  <c r="AK357" i="1"/>
  <c r="J357" i="1"/>
  <c r="AK356" i="1"/>
  <c r="J356" i="1"/>
  <c r="AK355" i="1"/>
  <c r="J355" i="1"/>
  <c r="AK354" i="1"/>
  <c r="J354" i="1"/>
  <c r="AK353" i="1"/>
  <c r="J353" i="1"/>
  <c r="AK352" i="1"/>
  <c r="J352" i="1"/>
  <c r="AK351" i="1"/>
  <c r="J351" i="1"/>
  <c r="AK350" i="1"/>
  <c r="J350" i="1"/>
  <c r="AK349" i="1"/>
  <c r="J349" i="1"/>
  <c r="AK348" i="1"/>
  <c r="J348" i="1"/>
  <c r="AK347" i="1"/>
  <c r="J347" i="1"/>
  <c r="AK346" i="1"/>
  <c r="J346" i="1"/>
  <c r="AK345" i="1"/>
  <c r="J345" i="1"/>
  <c r="AK344" i="1"/>
  <c r="J344" i="1"/>
  <c r="AK343" i="1"/>
  <c r="J343" i="1"/>
  <c r="AK342" i="1"/>
  <c r="J342" i="1"/>
  <c r="AK341" i="1"/>
  <c r="J341" i="1"/>
  <c r="AK340" i="1"/>
  <c r="J340" i="1"/>
  <c r="AK339" i="1"/>
  <c r="J339" i="1"/>
  <c r="AK338" i="1"/>
  <c r="J338" i="1"/>
  <c r="AK337" i="1"/>
  <c r="J337" i="1"/>
  <c r="AK336" i="1"/>
  <c r="J336" i="1"/>
  <c r="AK335" i="1"/>
  <c r="J335" i="1"/>
  <c r="AK334" i="1"/>
  <c r="J334" i="1"/>
  <c r="AK333" i="1"/>
  <c r="J333" i="1"/>
  <c r="AK332" i="1"/>
  <c r="J332" i="1"/>
  <c r="AK331" i="1"/>
  <c r="J331" i="1"/>
  <c r="AK330" i="1"/>
  <c r="J330" i="1"/>
  <c r="AK329" i="1"/>
  <c r="J329" i="1"/>
  <c r="AK328" i="1"/>
  <c r="J328" i="1"/>
  <c r="AK327" i="1"/>
  <c r="J327" i="1"/>
  <c r="AK326" i="1"/>
  <c r="J326" i="1"/>
  <c r="AK325" i="1"/>
  <c r="J325" i="1"/>
  <c r="AK324" i="1"/>
  <c r="J324" i="1"/>
  <c r="AK323" i="1"/>
  <c r="J323" i="1"/>
  <c r="AK322" i="1"/>
  <c r="J322" i="1"/>
  <c r="AK321" i="1"/>
  <c r="J321" i="1"/>
  <c r="AK320" i="1"/>
  <c r="J320" i="1"/>
  <c r="AK319" i="1"/>
  <c r="J319" i="1"/>
  <c r="AK318" i="1"/>
  <c r="J318" i="1"/>
  <c r="AK317" i="1"/>
  <c r="J317" i="1"/>
  <c r="AK316" i="1"/>
  <c r="J316" i="1"/>
  <c r="AK315" i="1"/>
  <c r="J315" i="1"/>
  <c r="AK314" i="1"/>
  <c r="J314" i="1"/>
  <c r="AK313" i="1"/>
  <c r="J313" i="1"/>
  <c r="AK312" i="1"/>
  <c r="J312" i="1"/>
  <c r="AK311" i="1"/>
  <c r="J311" i="1"/>
  <c r="AK310" i="1"/>
  <c r="J310" i="1"/>
  <c r="AK309" i="1"/>
  <c r="J309" i="1"/>
  <c r="AK308" i="1"/>
  <c r="J308" i="1"/>
  <c r="AK307" i="1"/>
  <c r="J307" i="1"/>
  <c r="AK306" i="1"/>
  <c r="J306" i="1"/>
  <c r="AK305" i="1"/>
  <c r="J305" i="1"/>
  <c r="AK304" i="1"/>
  <c r="J304" i="1"/>
  <c r="AK303" i="1"/>
  <c r="J303" i="1"/>
  <c r="AK302" i="1"/>
  <c r="J302" i="1"/>
  <c r="AK301" i="1"/>
  <c r="J301" i="1"/>
  <c r="AK300" i="1"/>
  <c r="J300" i="1"/>
  <c r="AK299" i="1"/>
  <c r="J299" i="1"/>
  <c r="AK298" i="1"/>
  <c r="J298" i="1"/>
  <c r="AK297" i="1"/>
  <c r="J297" i="1"/>
  <c r="AK296" i="1"/>
  <c r="J296" i="1"/>
  <c r="AK295" i="1"/>
  <c r="J295" i="1"/>
  <c r="AK294" i="1"/>
  <c r="J294" i="1"/>
  <c r="AK293" i="1"/>
  <c r="J293" i="1"/>
  <c r="AK292" i="1"/>
  <c r="J292" i="1"/>
  <c r="AK291" i="1"/>
  <c r="J291" i="1"/>
  <c r="AK290" i="1"/>
  <c r="J290" i="1"/>
  <c r="AK289" i="1"/>
  <c r="J289" i="1"/>
  <c r="AK288" i="1"/>
  <c r="J288" i="1"/>
  <c r="AK287" i="1"/>
  <c r="J287" i="1"/>
  <c r="AK286" i="1"/>
  <c r="J286" i="1"/>
  <c r="AK285" i="1"/>
  <c r="J285" i="1"/>
  <c r="AK284" i="1"/>
  <c r="J284" i="1"/>
  <c r="AK283" i="1"/>
  <c r="J283" i="1"/>
  <c r="AK282" i="1"/>
  <c r="J282" i="1"/>
  <c r="AK281" i="1"/>
  <c r="J281" i="1"/>
  <c r="AK280" i="1"/>
  <c r="J280" i="1"/>
  <c r="AK279" i="1"/>
  <c r="J279" i="1"/>
  <c r="AK278" i="1"/>
  <c r="J278" i="1"/>
  <c r="AK277" i="1"/>
  <c r="J277" i="1"/>
  <c r="AK276" i="1"/>
  <c r="J276" i="1"/>
  <c r="AK275" i="1"/>
  <c r="J275" i="1"/>
  <c r="AK274" i="1"/>
  <c r="J274" i="1"/>
  <c r="AK273" i="1"/>
  <c r="J273" i="1"/>
  <c r="AK272" i="1"/>
  <c r="J272" i="1"/>
  <c r="AK271" i="1"/>
  <c r="J271" i="1"/>
  <c r="AK270" i="1"/>
  <c r="J270" i="1"/>
  <c r="AK269" i="1"/>
  <c r="J269" i="1"/>
  <c r="AK268" i="1"/>
  <c r="J268" i="1"/>
  <c r="AK267" i="1"/>
  <c r="J267" i="1"/>
  <c r="AK266" i="1"/>
  <c r="J266" i="1"/>
  <c r="AK265" i="1"/>
  <c r="J265" i="1"/>
  <c r="AK264" i="1"/>
  <c r="J264" i="1"/>
  <c r="AK263" i="1"/>
  <c r="J263" i="1"/>
  <c r="AK262" i="1"/>
  <c r="J262" i="1"/>
  <c r="AK261" i="1"/>
  <c r="J261" i="1"/>
  <c r="AK260" i="1"/>
  <c r="J260" i="1"/>
  <c r="AK259" i="1"/>
  <c r="J259" i="1"/>
  <c r="AK258" i="1"/>
  <c r="J258" i="1"/>
  <c r="AK257" i="1"/>
  <c r="J257" i="1"/>
  <c r="AK256" i="1"/>
  <c r="J256" i="1"/>
  <c r="AK255" i="1"/>
  <c r="J255" i="1"/>
  <c r="AK254" i="1"/>
  <c r="J254" i="1"/>
  <c r="AK253" i="1"/>
  <c r="J253" i="1"/>
  <c r="AK252" i="1"/>
  <c r="J252" i="1"/>
  <c r="AK251" i="1"/>
  <c r="J251" i="1"/>
  <c r="AK250" i="1"/>
  <c r="J250" i="1"/>
  <c r="AK249" i="1"/>
  <c r="J249" i="1"/>
  <c r="AK248" i="1"/>
  <c r="J248" i="1"/>
  <c r="AK247" i="1"/>
  <c r="J247" i="1"/>
  <c r="AK246" i="1"/>
  <c r="J246" i="1"/>
  <c r="AK245" i="1"/>
  <c r="J245" i="1"/>
  <c r="AK244" i="1"/>
  <c r="J244" i="1"/>
  <c r="AK243" i="1"/>
  <c r="J243" i="1"/>
  <c r="AK242" i="1"/>
  <c r="J242" i="1"/>
  <c r="AK241" i="1"/>
  <c r="J241" i="1"/>
  <c r="AK240" i="1"/>
  <c r="J240" i="1"/>
  <c r="AK239" i="1"/>
  <c r="J239" i="1"/>
  <c r="AK238" i="1"/>
  <c r="J238" i="1"/>
  <c r="AK237" i="1"/>
  <c r="J237" i="1"/>
  <c r="AK236" i="1"/>
  <c r="J236" i="1"/>
  <c r="AK235" i="1"/>
  <c r="J235" i="1"/>
  <c r="AK234" i="1"/>
  <c r="J234" i="1"/>
  <c r="AK233" i="1"/>
  <c r="J233" i="1"/>
  <c r="AK232" i="1"/>
  <c r="J232" i="1"/>
  <c r="AK231" i="1"/>
  <c r="J231" i="1"/>
  <c r="AK230" i="1"/>
  <c r="J230" i="1"/>
  <c r="AK229" i="1"/>
  <c r="J229" i="1"/>
  <c r="AK228" i="1"/>
  <c r="J228" i="1"/>
  <c r="AK227" i="1"/>
  <c r="J227" i="1"/>
  <c r="AK226" i="1"/>
  <c r="J226" i="1"/>
  <c r="AK225" i="1"/>
  <c r="J225" i="1"/>
  <c r="AK224" i="1"/>
  <c r="J224" i="1"/>
  <c r="AK223" i="1"/>
  <c r="J223" i="1"/>
  <c r="AK222" i="1"/>
  <c r="J222" i="1"/>
  <c r="AK221" i="1"/>
  <c r="J221" i="1"/>
  <c r="AK220" i="1"/>
  <c r="J220" i="1"/>
  <c r="AK219" i="1"/>
  <c r="J219" i="1"/>
  <c r="AK218" i="1"/>
  <c r="J218" i="1"/>
  <c r="AK217" i="1"/>
  <c r="J217" i="1"/>
  <c r="AK216" i="1"/>
  <c r="J216" i="1"/>
  <c r="AK215" i="1"/>
  <c r="J215" i="1"/>
  <c r="AK214" i="1"/>
  <c r="J214" i="1"/>
  <c r="AK213" i="1"/>
  <c r="J213" i="1"/>
  <c r="AK212" i="1"/>
  <c r="J212" i="1"/>
  <c r="AK211" i="1"/>
  <c r="J211" i="1"/>
  <c r="AK210" i="1"/>
  <c r="J210" i="1"/>
  <c r="AK209" i="1"/>
  <c r="J209" i="1"/>
  <c r="AK208" i="1"/>
  <c r="J208" i="1"/>
  <c r="AK207" i="1"/>
  <c r="J207" i="1"/>
  <c r="AK206" i="1"/>
  <c r="J206" i="1"/>
  <c r="AK205" i="1"/>
  <c r="J205" i="1"/>
  <c r="AK204" i="1"/>
  <c r="J204" i="1"/>
  <c r="AK203" i="1"/>
  <c r="J203" i="1"/>
  <c r="AK202" i="1"/>
  <c r="J202" i="1"/>
  <c r="AK201" i="1"/>
  <c r="J201" i="1"/>
  <c r="AK200" i="1"/>
  <c r="J200" i="1"/>
  <c r="AK199" i="1"/>
  <c r="J199" i="1"/>
  <c r="AK198" i="1"/>
  <c r="J198" i="1"/>
  <c r="AK197" i="1"/>
  <c r="J197" i="1"/>
  <c r="AK196" i="1"/>
  <c r="J196" i="1"/>
  <c r="AK195" i="1"/>
  <c r="J195" i="1"/>
  <c r="AK194" i="1"/>
  <c r="J194" i="1"/>
  <c r="AK193" i="1"/>
  <c r="J193" i="1"/>
  <c r="AK192" i="1"/>
  <c r="J192" i="1"/>
  <c r="AK191" i="1"/>
  <c r="J191" i="1"/>
  <c r="AK190" i="1"/>
  <c r="J190" i="1"/>
  <c r="AK189" i="1"/>
  <c r="J189" i="1"/>
  <c r="AK188" i="1"/>
  <c r="J188" i="1"/>
  <c r="AK187" i="1"/>
  <c r="J187" i="1"/>
  <c r="AK186" i="1"/>
  <c r="J186" i="1"/>
  <c r="AK185" i="1"/>
  <c r="J185" i="1"/>
  <c r="AK184" i="1"/>
  <c r="J184" i="1"/>
  <c r="AK183" i="1"/>
  <c r="J183" i="1"/>
  <c r="AK182" i="1"/>
  <c r="J182" i="1"/>
  <c r="AK181" i="1"/>
  <c r="J181" i="1"/>
  <c r="AK180" i="1"/>
  <c r="J180" i="1"/>
  <c r="AK179" i="1"/>
  <c r="J179" i="1"/>
  <c r="AK178" i="1"/>
  <c r="J178" i="1"/>
  <c r="AK177" i="1"/>
  <c r="J177" i="1"/>
  <c r="AK176" i="1"/>
  <c r="J176" i="1"/>
  <c r="AK175" i="1"/>
  <c r="J175" i="1"/>
  <c r="AK174" i="1"/>
  <c r="J174" i="1"/>
  <c r="AK173" i="1"/>
  <c r="J173" i="1"/>
  <c r="AK172" i="1"/>
  <c r="J172" i="1"/>
  <c r="AK171" i="1"/>
  <c r="J171" i="1"/>
  <c r="AK170" i="1"/>
  <c r="J170" i="1"/>
  <c r="AK169" i="1"/>
  <c r="J169" i="1"/>
  <c r="AK168" i="1"/>
  <c r="J168" i="1"/>
  <c r="AK167" i="1"/>
  <c r="J167" i="1"/>
  <c r="AK166" i="1"/>
  <c r="J166" i="1"/>
  <c r="AK165" i="1"/>
  <c r="J165" i="1"/>
  <c r="AK164" i="1"/>
  <c r="J164" i="1"/>
  <c r="AK163" i="1"/>
  <c r="J163" i="1"/>
  <c r="AK162" i="1"/>
  <c r="J162" i="1"/>
  <c r="AK161" i="1"/>
  <c r="J161" i="1"/>
  <c r="AK160" i="1"/>
  <c r="J160" i="1"/>
  <c r="AK159" i="1"/>
  <c r="J159" i="1"/>
  <c r="AK158" i="1"/>
  <c r="J158" i="1"/>
  <c r="AK157" i="1"/>
  <c r="J157" i="1"/>
  <c r="AK156" i="1"/>
  <c r="J156" i="1"/>
  <c r="AK155" i="1"/>
  <c r="J155" i="1"/>
  <c r="AK154" i="1"/>
  <c r="J154" i="1"/>
  <c r="AK153" i="1"/>
  <c r="J153" i="1"/>
  <c r="AK152" i="1"/>
  <c r="J152" i="1"/>
  <c r="AK151" i="1"/>
  <c r="J151" i="1"/>
  <c r="AK150" i="1"/>
  <c r="AL150" i="1" s="1"/>
  <c r="K147" i="1"/>
  <c r="E147" i="1"/>
  <c r="AK144" i="1"/>
  <c r="J144" i="1"/>
  <c r="AK143" i="1"/>
  <c r="J143" i="1"/>
  <c r="AK142" i="1"/>
  <c r="J142" i="1"/>
  <c r="AK141" i="1"/>
  <c r="J141" i="1"/>
  <c r="AK140" i="1"/>
  <c r="J140" i="1"/>
  <c r="AK139" i="1"/>
  <c r="J139" i="1"/>
  <c r="AK138" i="1"/>
  <c r="J138" i="1"/>
  <c r="AK137" i="1"/>
  <c r="J137" i="1"/>
  <c r="AK136" i="1"/>
  <c r="J136" i="1"/>
  <c r="AK135" i="1"/>
  <c r="J135" i="1"/>
  <c r="AK134" i="1"/>
  <c r="J134" i="1"/>
  <c r="AK133" i="1"/>
  <c r="K130" i="1"/>
  <c r="E130" i="1"/>
  <c r="H122" i="1"/>
  <c r="F122" i="1"/>
  <c r="G122" i="1" s="1"/>
  <c r="C122" i="1"/>
  <c r="B122" i="1"/>
  <c r="H121" i="1"/>
  <c r="F121" i="1"/>
  <c r="G121" i="1" s="1"/>
  <c r="C121" i="1"/>
  <c r="B121" i="1"/>
  <c r="H120" i="1"/>
  <c r="F120" i="1"/>
  <c r="G120" i="1" s="1"/>
  <c r="C120" i="1"/>
  <c r="B120" i="1"/>
  <c r="H119" i="1"/>
  <c r="F119" i="1"/>
  <c r="G119" i="1" s="1"/>
  <c r="C119" i="1"/>
  <c r="B119" i="1"/>
  <c r="H118" i="1"/>
  <c r="F118" i="1"/>
  <c r="G118" i="1" s="1"/>
  <c r="C118" i="1"/>
  <c r="B118" i="1"/>
  <c r="H117" i="1"/>
  <c r="F117" i="1"/>
  <c r="G117" i="1" s="1"/>
  <c r="C117" i="1"/>
  <c r="B117" i="1"/>
  <c r="H116" i="1"/>
  <c r="F116" i="1"/>
  <c r="G116" i="1" s="1"/>
  <c r="C116" i="1"/>
  <c r="B116" i="1"/>
  <c r="H115" i="1"/>
  <c r="F115" i="1"/>
  <c r="G115" i="1" s="1"/>
  <c r="C115" i="1"/>
  <c r="B115" i="1"/>
  <c r="H114" i="1"/>
  <c r="F114" i="1"/>
  <c r="G114" i="1" s="1"/>
  <c r="C114" i="1"/>
  <c r="B114" i="1"/>
  <c r="H113" i="1"/>
  <c r="F113" i="1"/>
  <c r="G113" i="1" s="1"/>
  <c r="C113" i="1"/>
  <c r="B113" i="1"/>
  <c r="H112" i="1"/>
  <c r="F112" i="1"/>
  <c r="G112" i="1" s="1"/>
  <c r="C112" i="1"/>
  <c r="B112" i="1"/>
  <c r="H111" i="1"/>
  <c r="F111" i="1"/>
  <c r="G111" i="1" s="1"/>
  <c r="C111" i="1"/>
  <c r="B111" i="1"/>
  <c r="H110" i="1"/>
  <c r="F110" i="1"/>
  <c r="G110" i="1" s="1"/>
  <c r="C110" i="1"/>
  <c r="B110" i="1"/>
  <c r="H109" i="1"/>
  <c r="F109" i="1"/>
  <c r="G109" i="1" s="1"/>
  <c r="C109" i="1"/>
  <c r="B109" i="1"/>
  <c r="H108" i="1"/>
  <c r="F108" i="1"/>
  <c r="G108" i="1" s="1"/>
  <c r="C108" i="1"/>
  <c r="B108" i="1"/>
  <c r="H107" i="1"/>
  <c r="F107" i="1"/>
  <c r="G107" i="1" s="1"/>
  <c r="C107" i="1"/>
  <c r="B107" i="1"/>
  <c r="H106" i="1"/>
  <c r="F106" i="1"/>
  <c r="G106" i="1" s="1"/>
  <c r="C106" i="1"/>
  <c r="B106" i="1"/>
  <c r="H105" i="1"/>
  <c r="F105" i="1"/>
  <c r="G105" i="1" s="1"/>
  <c r="C105" i="1"/>
  <c r="B105" i="1"/>
  <c r="H104" i="1"/>
  <c r="F104" i="1"/>
  <c r="G104" i="1" s="1"/>
  <c r="C104" i="1"/>
  <c r="B104" i="1"/>
  <c r="H103" i="1"/>
  <c r="F103" i="1"/>
  <c r="G103" i="1" s="1"/>
  <c r="C103" i="1"/>
  <c r="B103" i="1"/>
  <c r="H102" i="1"/>
  <c r="F102" i="1"/>
  <c r="G102" i="1" s="1"/>
  <c r="C102" i="1"/>
  <c r="B102" i="1"/>
  <c r="H101" i="1"/>
  <c r="F101" i="1"/>
  <c r="G101" i="1" s="1"/>
  <c r="C101" i="1"/>
  <c r="B101" i="1"/>
  <c r="H100" i="1"/>
  <c r="F100" i="1"/>
  <c r="G100" i="1" s="1"/>
  <c r="C100" i="1"/>
  <c r="B100" i="1"/>
  <c r="H99" i="1"/>
  <c r="F99" i="1"/>
  <c r="G99" i="1" s="1"/>
  <c r="C99" i="1"/>
  <c r="B99" i="1"/>
  <c r="H98" i="1"/>
  <c r="F98" i="1"/>
  <c r="G98" i="1" s="1"/>
  <c r="C98" i="1"/>
  <c r="B98" i="1"/>
  <c r="H97" i="1"/>
  <c r="F97" i="1"/>
  <c r="G97" i="1" s="1"/>
  <c r="C97" i="1"/>
  <c r="B97" i="1"/>
  <c r="H96" i="1"/>
  <c r="F96" i="1"/>
  <c r="G96" i="1" s="1"/>
  <c r="C96" i="1"/>
  <c r="B96" i="1"/>
  <c r="H95" i="1"/>
  <c r="F95" i="1"/>
  <c r="G95" i="1" s="1"/>
  <c r="C95" i="1"/>
  <c r="B95" i="1"/>
  <c r="H94" i="1"/>
  <c r="F94" i="1"/>
  <c r="G94" i="1" s="1"/>
  <c r="C94" i="1"/>
  <c r="B94" i="1"/>
  <c r="H93" i="1"/>
  <c r="F93" i="1"/>
  <c r="G93" i="1" s="1"/>
  <c r="C93" i="1"/>
  <c r="B93" i="1"/>
  <c r="H92" i="1"/>
  <c r="F92" i="1"/>
  <c r="G92" i="1" s="1"/>
  <c r="C92" i="1"/>
  <c r="B92" i="1"/>
  <c r="H91" i="1"/>
  <c r="F91" i="1"/>
  <c r="G91" i="1" s="1"/>
  <c r="C91" i="1"/>
  <c r="B91" i="1"/>
  <c r="H90" i="1"/>
  <c r="F90" i="1"/>
  <c r="G90" i="1" s="1"/>
  <c r="C90" i="1"/>
  <c r="B90" i="1"/>
  <c r="H89" i="1"/>
  <c r="F89" i="1"/>
  <c r="G89" i="1" s="1"/>
  <c r="C89" i="1"/>
  <c r="B89" i="1"/>
  <c r="H88" i="1"/>
  <c r="F88" i="1"/>
  <c r="G88" i="1" s="1"/>
  <c r="C88" i="1"/>
  <c r="B88" i="1"/>
  <c r="H87" i="1"/>
  <c r="F87" i="1"/>
  <c r="G87" i="1" s="1"/>
  <c r="C87" i="1"/>
  <c r="B87" i="1"/>
  <c r="H86" i="1"/>
  <c r="F86" i="1"/>
  <c r="G86" i="1" s="1"/>
  <c r="C86" i="1"/>
  <c r="B86" i="1"/>
  <c r="H85" i="1"/>
  <c r="F85" i="1"/>
  <c r="G85" i="1" s="1"/>
  <c r="C85" i="1"/>
  <c r="B85" i="1"/>
  <c r="H84" i="1"/>
  <c r="F84" i="1"/>
  <c r="G84" i="1" s="1"/>
  <c r="C84" i="1"/>
  <c r="B84" i="1"/>
  <c r="H83" i="1"/>
  <c r="F83" i="1"/>
  <c r="G83" i="1" s="1"/>
  <c r="C83" i="1"/>
  <c r="B83" i="1"/>
  <c r="H82" i="1"/>
  <c r="F82" i="1"/>
  <c r="G82" i="1" s="1"/>
  <c r="C82" i="1"/>
  <c r="B82" i="1"/>
  <c r="H81" i="1"/>
  <c r="F81" i="1"/>
  <c r="G81" i="1" s="1"/>
  <c r="C81" i="1"/>
  <c r="B81" i="1"/>
  <c r="H80" i="1"/>
  <c r="F80" i="1"/>
  <c r="G80" i="1" s="1"/>
  <c r="C80" i="1"/>
  <c r="B80" i="1"/>
  <c r="H79" i="1"/>
  <c r="F79" i="1"/>
  <c r="G79" i="1" s="1"/>
  <c r="C79" i="1"/>
  <c r="B79" i="1"/>
  <c r="H78" i="1"/>
  <c r="F78" i="1"/>
  <c r="G78" i="1" s="1"/>
  <c r="C78" i="1"/>
  <c r="B78" i="1"/>
  <c r="H77" i="1"/>
  <c r="F77" i="1"/>
  <c r="G77" i="1" s="1"/>
  <c r="C77" i="1"/>
  <c r="B77" i="1"/>
  <c r="H76" i="1"/>
  <c r="F76" i="1"/>
  <c r="G76" i="1" s="1"/>
  <c r="C76" i="1"/>
  <c r="B76" i="1"/>
  <c r="H75" i="1"/>
  <c r="F75" i="1"/>
  <c r="G75" i="1" s="1"/>
  <c r="C75" i="1"/>
  <c r="B75" i="1"/>
  <c r="H74" i="1"/>
  <c r="F74" i="1"/>
  <c r="G74" i="1" s="1"/>
  <c r="C74" i="1"/>
  <c r="B74" i="1"/>
  <c r="H73" i="1"/>
  <c r="F73" i="1"/>
  <c r="G73" i="1" s="1"/>
  <c r="C73" i="1"/>
  <c r="B73" i="1"/>
  <c r="H72" i="1"/>
  <c r="F72" i="1"/>
  <c r="G72" i="1" s="1"/>
  <c r="C72" i="1"/>
  <c r="B72" i="1"/>
  <c r="H71" i="1"/>
  <c r="F71" i="1"/>
  <c r="G71" i="1" s="1"/>
  <c r="C71" i="1"/>
  <c r="B71" i="1"/>
  <c r="H70" i="1"/>
  <c r="F70" i="1"/>
  <c r="G70" i="1" s="1"/>
  <c r="C70" i="1"/>
  <c r="B70" i="1"/>
  <c r="H69" i="1"/>
  <c r="F69" i="1"/>
  <c r="G69" i="1" s="1"/>
  <c r="C69" i="1"/>
  <c r="B69" i="1"/>
  <c r="H68" i="1"/>
  <c r="F68" i="1"/>
  <c r="G68" i="1" s="1"/>
  <c r="C68" i="1"/>
  <c r="B68" i="1"/>
  <c r="H67" i="1"/>
  <c r="F67" i="1"/>
  <c r="G67" i="1" s="1"/>
  <c r="C67" i="1"/>
  <c r="B67" i="1"/>
  <c r="H66" i="1"/>
  <c r="F66" i="1"/>
  <c r="G66" i="1" s="1"/>
  <c r="C66" i="1"/>
  <c r="B66" i="1"/>
  <c r="H65" i="1"/>
  <c r="F65" i="1"/>
  <c r="G65" i="1" s="1"/>
  <c r="C65" i="1"/>
  <c r="B65" i="1"/>
  <c r="H64" i="1"/>
  <c r="F64" i="1"/>
  <c r="G64" i="1" s="1"/>
  <c r="C64" i="1"/>
  <c r="B64" i="1"/>
  <c r="H63" i="1"/>
  <c r="F63" i="1"/>
  <c r="G63" i="1" s="1"/>
  <c r="C63" i="1"/>
  <c r="B63" i="1"/>
  <c r="H62" i="1"/>
  <c r="F62" i="1"/>
  <c r="G62" i="1" s="1"/>
  <c r="C62" i="1"/>
  <c r="B62" i="1"/>
  <c r="H61" i="1"/>
  <c r="F61" i="1"/>
  <c r="G61" i="1" s="1"/>
  <c r="C61" i="1"/>
  <c r="B61" i="1"/>
  <c r="H60" i="1"/>
  <c r="F60" i="1"/>
  <c r="G60" i="1" s="1"/>
  <c r="C60" i="1"/>
  <c r="B60" i="1"/>
  <c r="H59" i="1"/>
  <c r="F59" i="1"/>
  <c r="G59" i="1" s="1"/>
  <c r="C59" i="1"/>
  <c r="B59" i="1"/>
  <c r="H58" i="1"/>
  <c r="F58" i="1"/>
  <c r="G58" i="1" s="1"/>
  <c r="C58" i="1"/>
  <c r="B58" i="1"/>
  <c r="H57" i="1"/>
  <c r="F57" i="1"/>
  <c r="G57" i="1" s="1"/>
  <c r="C57" i="1"/>
  <c r="B57" i="1"/>
  <c r="H56" i="1"/>
  <c r="F56" i="1"/>
  <c r="G56" i="1" s="1"/>
  <c r="C56" i="1"/>
  <c r="B56" i="1"/>
  <c r="H55" i="1"/>
  <c r="F55" i="1"/>
  <c r="G55" i="1" s="1"/>
  <c r="C55" i="1"/>
  <c r="B55" i="1"/>
  <c r="H54" i="1"/>
  <c r="F54" i="1"/>
  <c r="G54" i="1" s="1"/>
  <c r="C54" i="1"/>
  <c r="B54" i="1"/>
  <c r="H53" i="1"/>
  <c r="F53" i="1"/>
  <c r="G53" i="1" s="1"/>
  <c r="C53" i="1"/>
  <c r="B53" i="1"/>
  <c r="H52" i="1"/>
  <c r="F52" i="1"/>
  <c r="G52" i="1" s="1"/>
  <c r="C52" i="1"/>
  <c r="B52" i="1"/>
  <c r="H51" i="1"/>
  <c r="F51" i="1"/>
  <c r="G51" i="1" s="1"/>
  <c r="C51" i="1"/>
  <c r="B51" i="1"/>
  <c r="H50" i="1"/>
  <c r="F50" i="1"/>
  <c r="G50" i="1" s="1"/>
  <c r="C50" i="1"/>
  <c r="B50" i="1"/>
  <c r="H49" i="1"/>
  <c r="F49" i="1"/>
  <c r="G49" i="1" s="1"/>
  <c r="C49" i="1"/>
  <c r="B49" i="1"/>
  <c r="H48" i="1"/>
  <c r="F48" i="1"/>
  <c r="G48" i="1" s="1"/>
  <c r="C48" i="1"/>
  <c r="B48" i="1"/>
  <c r="H47" i="1"/>
  <c r="F47" i="1"/>
  <c r="G47" i="1" s="1"/>
  <c r="C47" i="1"/>
  <c r="B47" i="1"/>
  <c r="H46" i="1"/>
  <c r="F46" i="1"/>
  <c r="G46" i="1" s="1"/>
  <c r="C46" i="1"/>
  <c r="B46" i="1"/>
  <c r="H45" i="1"/>
  <c r="F45" i="1"/>
  <c r="G45" i="1" s="1"/>
  <c r="C45" i="1"/>
  <c r="B45" i="1"/>
  <c r="H44" i="1"/>
  <c r="F44" i="1"/>
  <c r="G44" i="1" s="1"/>
  <c r="C44" i="1"/>
  <c r="B44" i="1"/>
  <c r="H43" i="1"/>
  <c r="F43" i="1"/>
  <c r="G43" i="1" s="1"/>
  <c r="E43" i="1"/>
  <c r="D43" i="1"/>
  <c r="C43" i="1"/>
  <c r="B43" i="1"/>
  <c r="T34" i="1"/>
  <c r="N33" i="1"/>
  <c r="N32" i="1"/>
  <c r="K150" i="1" s="1"/>
  <c r="N31" i="1"/>
  <c r="H130" i="1" s="1"/>
  <c r="I12" i="1"/>
  <c r="I11" i="1"/>
  <c r="P10" i="1"/>
  <c r="U1694" i="1" s="1"/>
  <c r="P9" i="1"/>
  <c r="L1648" i="1" s="1"/>
  <c r="P8" i="1"/>
  <c r="N93" i="1" s="1"/>
  <c r="P7" i="1"/>
  <c r="M48" i="1" s="1"/>
  <c r="L98" i="1"/>
  <c r="P5" i="1"/>
  <c r="K116" i="1" s="1"/>
  <c r="I64" i="1" l="1"/>
  <c r="J64" i="1" s="1"/>
  <c r="I94" i="1"/>
  <c r="J94" i="1" s="1"/>
  <c r="I65" i="1"/>
  <c r="J65" i="1" s="1"/>
  <c r="N48" i="1"/>
  <c r="R43" i="1"/>
  <c r="L47" i="1"/>
  <c r="I92" i="1"/>
  <c r="J92" i="1" s="1"/>
  <c r="AL1564" i="1"/>
  <c r="AL1565" i="1" s="1"/>
  <c r="AL1566" i="1" s="1"/>
  <c r="AL1567" i="1" s="1"/>
  <c r="AL1568" i="1" s="1"/>
  <c r="AL1569" i="1" s="1"/>
  <c r="AL1540" i="1"/>
  <c r="AL1541" i="1" s="1"/>
  <c r="AL1542" i="1" s="1"/>
  <c r="AL1543" i="1" s="1"/>
  <c r="AL1544" i="1" s="1"/>
  <c r="AL1545" i="1" s="1"/>
  <c r="AL1546" i="1" s="1"/>
  <c r="AL1547" i="1" s="1"/>
  <c r="AL1548" i="1" s="1"/>
  <c r="AL1549" i="1" s="1"/>
  <c r="AL1550" i="1" s="1"/>
  <c r="AL1551" i="1" s="1"/>
  <c r="AL1552" i="1" s="1"/>
  <c r="AL1553" i="1" s="1"/>
  <c r="AL1554" i="1" s="1"/>
  <c r="AL1555" i="1" s="1"/>
  <c r="AL1556" i="1" s="1"/>
  <c r="AL1557" i="1" s="1"/>
  <c r="L103" i="1"/>
  <c r="I82" i="1"/>
  <c r="J82" i="1" s="1"/>
  <c r="I117" i="1"/>
  <c r="J117" i="1" s="1"/>
  <c r="I85" i="1"/>
  <c r="J85" i="1" s="1"/>
  <c r="N87" i="1"/>
  <c r="I97" i="1"/>
  <c r="J97" i="1" s="1"/>
  <c r="M47" i="1"/>
  <c r="I102" i="1"/>
  <c r="J102" i="1" s="1"/>
  <c r="N47" i="1"/>
  <c r="N115" i="1"/>
  <c r="L51" i="1"/>
  <c r="L79" i="1"/>
  <c r="I88" i="1"/>
  <c r="J88" i="1" s="1"/>
  <c r="N79" i="1"/>
  <c r="AL1649" i="1"/>
  <c r="AL1650" i="1" s="1"/>
  <c r="AL1651" i="1" s="1"/>
  <c r="AL1652" i="1" s="1"/>
  <c r="AL1653" i="1" s="1"/>
  <c r="AL1654" i="1" s="1"/>
  <c r="AL1655" i="1" s="1"/>
  <c r="AL1656" i="1" s="1"/>
  <c r="AL1657" i="1" s="1"/>
  <c r="AL1658" i="1" s="1"/>
  <c r="AL1659" i="1" s="1"/>
  <c r="AL1660" i="1" s="1"/>
  <c r="AL1661" i="1" s="1"/>
  <c r="AL1662" i="1" s="1"/>
  <c r="AL1663" i="1" s="1"/>
  <c r="AL1664" i="1" s="1"/>
  <c r="AL1665" i="1" s="1"/>
  <c r="AL1666" i="1" s="1"/>
  <c r="AL1667" i="1" s="1"/>
  <c r="AL1668" i="1" s="1"/>
  <c r="AL1669" i="1" s="1"/>
  <c r="AL1670" i="1" s="1"/>
  <c r="AL1671" i="1" s="1"/>
  <c r="AL1672" i="1" s="1"/>
  <c r="AL1673" i="1" s="1"/>
  <c r="AL1674" i="1" s="1"/>
  <c r="AL1675" i="1" s="1"/>
  <c r="AL1676" i="1" s="1"/>
  <c r="AL1677" i="1" s="1"/>
  <c r="AL1678" i="1" s="1"/>
  <c r="AL1679" i="1" s="1"/>
  <c r="AL1680" i="1" s="1"/>
  <c r="AL1681" i="1" s="1"/>
  <c r="AL1682" i="1" s="1"/>
  <c r="AL1683" i="1" s="1"/>
  <c r="AL1684" i="1" s="1"/>
  <c r="AL1685" i="1" s="1"/>
  <c r="AL1686" i="1" s="1"/>
  <c r="AL1687" i="1" s="1"/>
  <c r="AL1688" i="1" s="1"/>
  <c r="AL1689" i="1" s="1"/>
  <c r="AL1690" i="1" s="1"/>
  <c r="AL1691" i="1" s="1"/>
  <c r="AL1692" i="1" s="1"/>
  <c r="AL1693" i="1" s="1"/>
  <c r="AL1694" i="1" s="1"/>
  <c r="I72" i="1"/>
  <c r="J72" i="1" s="1"/>
  <c r="I63" i="1"/>
  <c r="J63" i="1" s="1"/>
  <c r="N99" i="1"/>
  <c r="L122" i="1"/>
  <c r="M67" i="1"/>
  <c r="N49" i="1"/>
  <c r="I81" i="1"/>
  <c r="J81" i="1" s="1"/>
  <c r="K133" i="1"/>
  <c r="K134" i="1" s="1"/>
  <c r="O31" i="1"/>
  <c r="M79" i="1"/>
  <c r="M78" i="1"/>
  <c r="M50" i="1"/>
  <c r="N78" i="1"/>
  <c r="N119" i="1"/>
  <c r="N50" i="1"/>
  <c r="N69" i="1"/>
  <c r="I83" i="1"/>
  <c r="J83" i="1" s="1"/>
  <c r="I67" i="1"/>
  <c r="J67" i="1" s="1"/>
  <c r="I105" i="1"/>
  <c r="J105" i="1" s="1"/>
  <c r="I119" i="1"/>
  <c r="J119" i="1" s="1"/>
  <c r="O33" i="1"/>
  <c r="I106" i="1"/>
  <c r="J106" i="1" s="1"/>
  <c r="I122" i="1"/>
  <c r="J122" i="1" s="1"/>
  <c r="M86" i="1"/>
  <c r="M98" i="1"/>
  <c r="N98" i="1"/>
  <c r="AL133" i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I108" i="1"/>
  <c r="J108" i="1" s="1"/>
  <c r="K48" i="1"/>
  <c r="M51" i="1"/>
  <c r="M68" i="1"/>
  <c r="M120" i="1"/>
  <c r="N68" i="1"/>
  <c r="N120" i="1"/>
  <c r="I87" i="1"/>
  <c r="J87" i="1" s="1"/>
  <c r="I111" i="1"/>
  <c r="J111" i="1" s="1"/>
  <c r="H147" i="1"/>
  <c r="N34" i="1"/>
  <c r="H1560" i="1" s="1"/>
  <c r="AL151" i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AL372" i="1" s="1"/>
  <c r="AL373" i="1" s="1"/>
  <c r="AL374" i="1" s="1"/>
  <c r="AL375" i="1" s="1"/>
  <c r="AL376" i="1" s="1"/>
  <c r="AL377" i="1" s="1"/>
  <c r="AL378" i="1" s="1"/>
  <c r="AL379" i="1" s="1"/>
  <c r="AL380" i="1" s="1"/>
  <c r="AL381" i="1" s="1"/>
  <c r="AL382" i="1" s="1"/>
  <c r="AL383" i="1" s="1"/>
  <c r="AL384" i="1" s="1"/>
  <c r="AL385" i="1" s="1"/>
  <c r="AL386" i="1" s="1"/>
  <c r="AL387" i="1" s="1"/>
  <c r="AL388" i="1" s="1"/>
  <c r="AL389" i="1" s="1"/>
  <c r="AL390" i="1" s="1"/>
  <c r="AL391" i="1" s="1"/>
  <c r="AL392" i="1" s="1"/>
  <c r="AL393" i="1" s="1"/>
  <c r="AL394" i="1" s="1"/>
  <c r="AL395" i="1" s="1"/>
  <c r="AL396" i="1" s="1"/>
  <c r="AL397" i="1" s="1"/>
  <c r="AL398" i="1" s="1"/>
  <c r="AL399" i="1" s="1"/>
  <c r="AL400" i="1" s="1"/>
  <c r="AL401" i="1" s="1"/>
  <c r="AL402" i="1" s="1"/>
  <c r="AL403" i="1" s="1"/>
  <c r="AL404" i="1" s="1"/>
  <c r="AL405" i="1" s="1"/>
  <c r="AL406" i="1" s="1"/>
  <c r="AL407" i="1" s="1"/>
  <c r="AL408" i="1" s="1"/>
  <c r="AL409" i="1" s="1"/>
  <c r="AL410" i="1" s="1"/>
  <c r="AL411" i="1" s="1"/>
  <c r="AL412" i="1" s="1"/>
  <c r="AL413" i="1" s="1"/>
  <c r="AL414" i="1" s="1"/>
  <c r="AL415" i="1" s="1"/>
  <c r="AL416" i="1" s="1"/>
  <c r="AL417" i="1" s="1"/>
  <c r="AL418" i="1" s="1"/>
  <c r="AL419" i="1" s="1"/>
  <c r="AL420" i="1" s="1"/>
  <c r="AL421" i="1" s="1"/>
  <c r="AL422" i="1" s="1"/>
  <c r="AL423" i="1" s="1"/>
  <c r="AL424" i="1" s="1"/>
  <c r="AL425" i="1" s="1"/>
  <c r="AL426" i="1" s="1"/>
  <c r="AL427" i="1" s="1"/>
  <c r="AL428" i="1" s="1"/>
  <c r="AL429" i="1" s="1"/>
  <c r="AL430" i="1" s="1"/>
  <c r="AL431" i="1" s="1"/>
  <c r="AL432" i="1" s="1"/>
  <c r="AL433" i="1" s="1"/>
  <c r="AL434" i="1" s="1"/>
  <c r="AL435" i="1" s="1"/>
  <c r="AL436" i="1" s="1"/>
  <c r="AL437" i="1" s="1"/>
  <c r="AL438" i="1" s="1"/>
  <c r="AL439" i="1" s="1"/>
  <c r="AL440" i="1" s="1"/>
  <c r="AL441" i="1" s="1"/>
  <c r="AL442" i="1" s="1"/>
  <c r="AL443" i="1" s="1"/>
  <c r="AL444" i="1" s="1"/>
  <c r="AL445" i="1" s="1"/>
  <c r="AL446" i="1" s="1"/>
  <c r="AL447" i="1" s="1"/>
  <c r="AL448" i="1" s="1"/>
  <c r="AL449" i="1" s="1"/>
  <c r="AL450" i="1" s="1"/>
  <c r="AL451" i="1" s="1"/>
  <c r="AL452" i="1" s="1"/>
  <c r="AL453" i="1" s="1"/>
  <c r="AL454" i="1" s="1"/>
  <c r="AL455" i="1" s="1"/>
  <c r="AL456" i="1" s="1"/>
  <c r="AL457" i="1" s="1"/>
  <c r="AL458" i="1" s="1"/>
  <c r="AL459" i="1" s="1"/>
  <c r="AL460" i="1" s="1"/>
  <c r="AL461" i="1" s="1"/>
  <c r="AL462" i="1" s="1"/>
  <c r="AL463" i="1" s="1"/>
  <c r="AL464" i="1" s="1"/>
  <c r="AL465" i="1" s="1"/>
  <c r="AL466" i="1" s="1"/>
  <c r="AL467" i="1" s="1"/>
  <c r="AL468" i="1" s="1"/>
  <c r="AL469" i="1" s="1"/>
  <c r="AL470" i="1" s="1"/>
  <c r="AL471" i="1" s="1"/>
  <c r="AL472" i="1" s="1"/>
  <c r="AL473" i="1" s="1"/>
  <c r="AL474" i="1" s="1"/>
  <c r="AL475" i="1" s="1"/>
  <c r="AL476" i="1" s="1"/>
  <c r="AL477" i="1" s="1"/>
  <c r="AL478" i="1" s="1"/>
  <c r="AL479" i="1" s="1"/>
  <c r="AL480" i="1" s="1"/>
  <c r="AL481" i="1" s="1"/>
  <c r="AL482" i="1" s="1"/>
  <c r="AL483" i="1" s="1"/>
  <c r="AL484" i="1" s="1"/>
  <c r="AL485" i="1" s="1"/>
  <c r="AL486" i="1" s="1"/>
  <c r="AL487" i="1" s="1"/>
  <c r="AL488" i="1" s="1"/>
  <c r="AL489" i="1" s="1"/>
  <c r="AL490" i="1" s="1"/>
  <c r="AL491" i="1" s="1"/>
  <c r="AL492" i="1" s="1"/>
  <c r="AL493" i="1" s="1"/>
  <c r="AL494" i="1" s="1"/>
  <c r="AL495" i="1" s="1"/>
  <c r="AL496" i="1" s="1"/>
  <c r="AL497" i="1" s="1"/>
  <c r="AL498" i="1" s="1"/>
  <c r="AL499" i="1" s="1"/>
  <c r="AL500" i="1" s="1"/>
  <c r="AL501" i="1" s="1"/>
  <c r="AL502" i="1" s="1"/>
  <c r="AL503" i="1" s="1"/>
  <c r="AL504" i="1" s="1"/>
  <c r="AL505" i="1" s="1"/>
  <c r="AL506" i="1" s="1"/>
  <c r="AL507" i="1" s="1"/>
  <c r="AL508" i="1" s="1"/>
  <c r="AL509" i="1" s="1"/>
  <c r="AL510" i="1" s="1"/>
  <c r="AL511" i="1" s="1"/>
  <c r="AL512" i="1" s="1"/>
  <c r="AL513" i="1" s="1"/>
  <c r="AL514" i="1" s="1"/>
  <c r="AL515" i="1" s="1"/>
  <c r="AL516" i="1" s="1"/>
  <c r="AL517" i="1" s="1"/>
  <c r="AL518" i="1" s="1"/>
  <c r="AL519" i="1" s="1"/>
  <c r="AL520" i="1" s="1"/>
  <c r="AL521" i="1" s="1"/>
  <c r="AL522" i="1" s="1"/>
  <c r="AL523" i="1" s="1"/>
  <c r="AL524" i="1" s="1"/>
  <c r="AL525" i="1" s="1"/>
  <c r="AL526" i="1" s="1"/>
  <c r="AL527" i="1" s="1"/>
  <c r="AL528" i="1" s="1"/>
  <c r="AL529" i="1" s="1"/>
  <c r="AL530" i="1" s="1"/>
  <c r="AL531" i="1" s="1"/>
  <c r="AL532" i="1" s="1"/>
  <c r="AL533" i="1" s="1"/>
  <c r="AL534" i="1" s="1"/>
  <c r="AL535" i="1" s="1"/>
  <c r="AL536" i="1" s="1"/>
  <c r="AL537" i="1" s="1"/>
  <c r="AL538" i="1" s="1"/>
  <c r="AL539" i="1" s="1"/>
  <c r="AL540" i="1" s="1"/>
  <c r="AL541" i="1" s="1"/>
  <c r="AL542" i="1" s="1"/>
  <c r="AL543" i="1" s="1"/>
  <c r="AL544" i="1" s="1"/>
  <c r="AL545" i="1" s="1"/>
  <c r="AL546" i="1" s="1"/>
  <c r="AL547" i="1" s="1"/>
  <c r="AL548" i="1" s="1"/>
  <c r="AL549" i="1" s="1"/>
  <c r="AL550" i="1" s="1"/>
  <c r="AL551" i="1" s="1"/>
  <c r="AL552" i="1" s="1"/>
  <c r="AL553" i="1" s="1"/>
  <c r="AL554" i="1" s="1"/>
  <c r="AL555" i="1" s="1"/>
  <c r="AL556" i="1" s="1"/>
  <c r="AL557" i="1" s="1"/>
  <c r="AL558" i="1" s="1"/>
  <c r="AL559" i="1" s="1"/>
  <c r="AL560" i="1" s="1"/>
  <c r="AL561" i="1" s="1"/>
  <c r="AL562" i="1" s="1"/>
  <c r="AL563" i="1" s="1"/>
  <c r="AL564" i="1" s="1"/>
  <c r="AL565" i="1" s="1"/>
  <c r="AL566" i="1" s="1"/>
  <c r="AL567" i="1" s="1"/>
  <c r="AL568" i="1" s="1"/>
  <c r="AL569" i="1" s="1"/>
  <c r="AL570" i="1" s="1"/>
  <c r="AL571" i="1" s="1"/>
  <c r="AL572" i="1" s="1"/>
  <c r="AL573" i="1" s="1"/>
  <c r="AL574" i="1" s="1"/>
  <c r="AL575" i="1" s="1"/>
  <c r="AL576" i="1" s="1"/>
  <c r="AL577" i="1" s="1"/>
  <c r="AL578" i="1" s="1"/>
  <c r="AL579" i="1" s="1"/>
  <c r="AL580" i="1" s="1"/>
  <c r="AL581" i="1" s="1"/>
  <c r="AL582" i="1" s="1"/>
  <c r="AL583" i="1" s="1"/>
  <c r="AL584" i="1" s="1"/>
  <c r="AL585" i="1" s="1"/>
  <c r="AL586" i="1" s="1"/>
  <c r="AL587" i="1" s="1"/>
  <c r="AL588" i="1" s="1"/>
  <c r="AL589" i="1" s="1"/>
  <c r="AL590" i="1" s="1"/>
  <c r="AL591" i="1" s="1"/>
  <c r="AL592" i="1" s="1"/>
  <c r="AL593" i="1" s="1"/>
  <c r="AL594" i="1" s="1"/>
  <c r="AL595" i="1" s="1"/>
  <c r="AL596" i="1" s="1"/>
  <c r="AL597" i="1" s="1"/>
  <c r="AL598" i="1" s="1"/>
  <c r="AL599" i="1" s="1"/>
  <c r="AL600" i="1" s="1"/>
  <c r="AL601" i="1" s="1"/>
  <c r="AL602" i="1" s="1"/>
  <c r="AL603" i="1" s="1"/>
  <c r="AL604" i="1" s="1"/>
  <c r="AL605" i="1" s="1"/>
  <c r="AL606" i="1" s="1"/>
  <c r="AL607" i="1" s="1"/>
  <c r="AL608" i="1" s="1"/>
  <c r="AL609" i="1" s="1"/>
  <c r="AL610" i="1" s="1"/>
  <c r="AL611" i="1" s="1"/>
  <c r="AL612" i="1" s="1"/>
  <c r="AL613" i="1" s="1"/>
  <c r="AL614" i="1" s="1"/>
  <c r="AL615" i="1" s="1"/>
  <c r="AL616" i="1" s="1"/>
  <c r="AL617" i="1" s="1"/>
  <c r="AL618" i="1" s="1"/>
  <c r="AL619" i="1" s="1"/>
  <c r="AL620" i="1" s="1"/>
  <c r="AL621" i="1" s="1"/>
  <c r="AL622" i="1" s="1"/>
  <c r="AL623" i="1" s="1"/>
  <c r="AL624" i="1" s="1"/>
  <c r="AL625" i="1" s="1"/>
  <c r="AL626" i="1" s="1"/>
  <c r="AL627" i="1" s="1"/>
  <c r="AL628" i="1" s="1"/>
  <c r="AL629" i="1" s="1"/>
  <c r="AL630" i="1" s="1"/>
  <c r="AL631" i="1" s="1"/>
  <c r="AL632" i="1" s="1"/>
  <c r="AL633" i="1" s="1"/>
  <c r="AL634" i="1" s="1"/>
  <c r="AL635" i="1" s="1"/>
  <c r="AL636" i="1" s="1"/>
  <c r="AL637" i="1" s="1"/>
  <c r="AL638" i="1" s="1"/>
  <c r="AL639" i="1" s="1"/>
  <c r="AL640" i="1" s="1"/>
  <c r="AL641" i="1" s="1"/>
  <c r="AL642" i="1" s="1"/>
  <c r="AL643" i="1" s="1"/>
  <c r="AL644" i="1" s="1"/>
  <c r="AL645" i="1" s="1"/>
  <c r="AL646" i="1" s="1"/>
  <c r="AL647" i="1" s="1"/>
  <c r="AL648" i="1" s="1"/>
  <c r="AL649" i="1" s="1"/>
  <c r="AL650" i="1" s="1"/>
  <c r="AL651" i="1" s="1"/>
  <c r="AL652" i="1" s="1"/>
  <c r="AL653" i="1" s="1"/>
  <c r="AL654" i="1" s="1"/>
  <c r="AL655" i="1" s="1"/>
  <c r="AL656" i="1" s="1"/>
  <c r="AL657" i="1" s="1"/>
  <c r="AL658" i="1" s="1"/>
  <c r="AL659" i="1" s="1"/>
  <c r="AL660" i="1" s="1"/>
  <c r="AL661" i="1" s="1"/>
  <c r="AL662" i="1" s="1"/>
  <c r="AL663" i="1" s="1"/>
  <c r="AL664" i="1" s="1"/>
  <c r="AL665" i="1" s="1"/>
  <c r="AL666" i="1" s="1"/>
  <c r="AL667" i="1" s="1"/>
  <c r="AL668" i="1" s="1"/>
  <c r="AL669" i="1" s="1"/>
  <c r="AL670" i="1" s="1"/>
  <c r="AL671" i="1" s="1"/>
  <c r="AL672" i="1" s="1"/>
  <c r="AL673" i="1" s="1"/>
  <c r="AL674" i="1" s="1"/>
  <c r="AL675" i="1" s="1"/>
  <c r="AL676" i="1" s="1"/>
  <c r="AL677" i="1" s="1"/>
  <c r="AL678" i="1" s="1"/>
  <c r="AL679" i="1" s="1"/>
  <c r="AL680" i="1" s="1"/>
  <c r="AL681" i="1" s="1"/>
  <c r="AL682" i="1" s="1"/>
  <c r="AL683" i="1" s="1"/>
  <c r="AL684" i="1" s="1"/>
  <c r="AL685" i="1" s="1"/>
  <c r="AL686" i="1" s="1"/>
  <c r="AL687" i="1" s="1"/>
  <c r="AL688" i="1" s="1"/>
  <c r="AL689" i="1" s="1"/>
  <c r="AL690" i="1" s="1"/>
  <c r="AL691" i="1" s="1"/>
  <c r="AL692" i="1" s="1"/>
  <c r="AL693" i="1" s="1"/>
  <c r="AL694" i="1" s="1"/>
  <c r="AL695" i="1" s="1"/>
  <c r="AL696" i="1" s="1"/>
  <c r="AL697" i="1" s="1"/>
  <c r="AL698" i="1" s="1"/>
  <c r="AL699" i="1" s="1"/>
  <c r="AL700" i="1" s="1"/>
  <c r="AL701" i="1" s="1"/>
  <c r="AL702" i="1" s="1"/>
  <c r="AL703" i="1" s="1"/>
  <c r="AL704" i="1" s="1"/>
  <c r="AL705" i="1" s="1"/>
  <c r="AL706" i="1" s="1"/>
  <c r="AL707" i="1" s="1"/>
  <c r="AL708" i="1" s="1"/>
  <c r="AL709" i="1" s="1"/>
  <c r="AL710" i="1" s="1"/>
  <c r="AL711" i="1" s="1"/>
  <c r="AL712" i="1" s="1"/>
  <c r="AL713" i="1" s="1"/>
  <c r="AL714" i="1" s="1"/>
  <c r="AL715" i="1" s="1"/>
  <c r="AL716" i="1" s="1"/>
  <c r="AL717" i="1" s="1"/>
  <c r="AL718" i="1" s="1"/>
  <c r="AL719" i="1" s="1"/>
  <c r="AL720" i="1" s="1"/>
  <c r="AL721" i="1" s="1"/>
  <c r="AL722" i="1" s="1"/>
  <c r="AL723" i="1" s="1"/>
  <c r="AL724" i="1" s="1"/>
  <c r="AL725" i="1" s="1"/>
  <c r="AL726" i="1" s="1"/>
  <c r="AL727" i="1" s="1"/>
  <c r="AL728" i="1" s="1"/>
  <c r="AL729" i="1" s="1"/>
  <c r="AL730" i="1" s="1"/>
  <c r="AL731" i="1" s="1"/>
  <c r="AL732" i="1" s="1"/>
  <c r="AL733" i="1" s="1"/>
  <c r="AL734" i="1" s="1"/>
  <c r="AL735" i="1" s="1"/>
  <c r="AL736" i="1" s="1"/>
  <c r="AL737" i="1" s="1"/>
  <c r="AL738" i="1" s="1"/>
  <c r="AL739" i="1" s="1"/>
  <c r="AL740" i="1" s="1"/>
  <c r="AL741" i="1" s="1"/>
  <c r="AL742" i="1" s="1"/>
  <c r="AL743" i="1" s="1"/>
  <c r="AL744" i="1" s="1"/>
  <c r="AL745" i="1" s="1"/>
  <c r="AL746" i="1" s="1"/>
  <c r="AL747" i="1" s="1"/>
  <c r="AL748" i="1" s="1"/>
  <c r="AL749" i="1" s="1"/>
  <c r="AL750" i="1" s="1"/>
  <c r="AL751" i="1" s="1"/>
  <c r="AL752" i="1" s="1"/>
  <c r="AL753" i="1" s="1"/>
  <c r="AL754" i="1" s="1"/>
  <c r="AL755" i="1" s="1"/>
  <c r="AL756" i="1" s="1"/>
  <c r="AL757" i="1" s="1"/>
  <c r="AL758" i="1" s="1"/>
  <c r="AL759" i="1" s="1"/>
  <c r="AL760" i="1" s="1"/>
  <c r="AL761" i="1" s="1"/>
  <c r="AL762" i="1" s="1"/>
  <c r="AL763" i="1" s="1"/>
  <c r="AL764" i="1" s="1"/>
  <c r="AL765" i="1" s="1"/>
  <c r="AL766" i="1" s="1"/>
  <c r="AL767" i="1" s="1"/>
  <c r="AL768" i="1" s="1"/>
  <c r="AL769" i="1" s="1"/>
  <c r="AL770" i="1" s="1"/>
  <c r="AL771" i="1" s="1"/>
  <c r="AL772" i="1" s="1"/>
  <c r="AL773" i="1" s="1"/>
  <c r="AL774" i="1" s="1"/>
  <c r="AL775" i="1" s="1"/>
  <c r="AL776" i="1" s="1"/>
  <c r="AL777" i="1" s="1"/>
  <c r="AL778" i="1" s="1"/>
  <c r="AL779" i="1" s="1"/>
  <c r="AL780" i="1" s="1"/>
  <c r="AL781" i="1" s="1"/>
  <c r="AL782" i="1" s="1"/>
  <c r="AL783" i="1" s="1"/>
  <c r="AL784" i="1" s="1"/>
  <c r="AL785" i="1" s="1"/>
  <c r="AL786" i="1" s="1"/>
  <c r="AL787" i="1" s="1"/>
  <c r="AL788" i="1" s="1"/>
  <c r="AL789" i="1" s="1"/>
  <c r="AL790" i="1" s="1"/>
  <c r="AL791" i="1" s="1"/>
  <c r="AL792" i="1" s="1"/>
  <c r="AL793" i="1" s="1"/>
  <c r="AL794" i="1" s="1"/>
  <c r="AL795" i="1" s="1"/>
  <c r="AL796" i="1" s="1"/>
  <c r="AL797" i="1" s="1"/>
  <c r="AL798" i="1" s="1"/>
  <c r="AL799" i="1" s="1"/>
  <c r="AL800" i="1" s="1"/>
  <c r="AL801" i="1" s="1"/>
  <c r="AL802" i="1" s="1"/>
  <c r="AL803" i="1" s="1"/>
  <c r="AL804" i="1" s="1"/>
  <c r="AL805" i="1" s="1"/>
  <c r="AL806" i="1" s="1"/>
  <c r="AL807" i="1" s="1"/>
  <c r="AL808" i="1" s="1"/>
  <c r="AL809" i="1" s="1"/>
  <c r="AL810" i="1" s="1"/>
  <c r="AL811" i="1" s="1"/>
  <c r="AL812" i="1" s="1"/>
  <c r="AL813" i="1" s="1"/>
  <c r="AL814" i="1" s="1"/>
  <c r="AL815" i="1" s="1"/>
  <c r="AL816" i="1" s="1"/>
  <c r="AL817" i="1" s="1"/>
  <c r="AL818" i="1" s="1"/>
  <c r="AL819" i="1" s="1"/>
  <c r="AL820" i="1" s="1"/>
  <c r="AL821" i="1" s="1"/>
  <c r="AL822" i="1" s="1"/>
  <c r="AL823" i="1" s="1"/>
  <c r="AL824" i="1" s="1"/>
  <c r="AL825" i="1" s="1"/>
  <c r="AL826" i="1" s="1"/>
  <c r="AL827" i="1" s="1"/>
  <c r="AL828" i="1" s="1"/>
  <c r="AL829" i="1" s="1"/>
  <c r="AL830" i="1" s="1"/>
  <c r="AL831" i="1" s="1"/>
  <c r="AL832" i="1" s="1"/>
  <c r="AL833" i="1" s="1"/>
  <c r="AL834" i="1" s="1"/>
  <c r="AL835" i="1" s="1"/>
  <c r="AL836" i="1" s="1"/>
  <c r="AL837" i="1" s="1"/>
  <c r="AL838" i="1" s="1"/>
  <c r="AL839" i="1" s="1"/>
  <c r="AL840" i="1" s="1"/>
  <c r="AL841" i="1" s="1"/>
  <c r="AL842" i="1" s="1"/>
  <c r="AL843" i="1" s="1"/>
  <c r="AL844" i="1" s="1"/>
  <c r="AL845" i="1" s="1"/>
  <c r="AL846" i="1" s="1"/>
  <c r="AL847" i="1" s="1"/>
  <c r="AL848" i="1" s="1"/>
  <c r="AL849" i="1" s="1"/>
  <c r="AL850" i="1" s="1"/>
  <c r="AL851" i="1" s="1"/>
  <c r="AL852" i="1" s="1"/>
  <c r="AL853" i="1" s="1"/>
  <c r="AL854" i="1" s="1"/>
  <c r="AL855" i="1" s="1"/>
  <c r="AL856" i="1" s="1"/>
  <c r="AL857" i="1" s="1"/>
  <c r="AL858" i="1" s="1"/>
  <c r="AL859" i="1" s="1"/>
  <c r="AL860" i="1" s="1"/>
  <c r="AL861" i="1" s="1"/>
  <c r="AL862" i="1" s="1"/>
  <c r="AL863" i="1" s="1"/>
  <c r="AL864" i="1" s="1"/>
  <c r="AL865" i="1" s="1"/>
  <c r="AL866" i="1" s="1"/>
  <c r="AL867" i="1" s="1"/>
  <c r="AL868" i="1" s="1"/>
  <c r="AL869" i="1" s="1"/>
  <c r="AL870" i="1" s="1"/>
  <c r="AL871" i="1" s="1"/>
  <c r="AL872" i="1" s="1"/>
  <c r="AL873" i="1" s="1"/>
  <c r="AL874" i="1" s="1"/>
  <c r="AL875" i="1" s="1"/>
  <c r="AL876" i="1" s="1"/>
  <c r="AL877" i="1" s="1"/>
  <c r="AL878" i="1" s="1"/>
  <c r="AL879" i="1" s="1"/>
  <c r="AL880" i="1" s="1"/>
  <c r="AL881" i="1" s="1"/>
  <c r="AL882" i="1" s="1"/>
  <c r="AL883" i="1" s="1"/>
  <c r="AL884" i="1" s="1"/>
  <c r="AL885" i="1" s="1"/>
  <c r="AL886" i="1" s="1"/>
  <c r="AL887" i="1" s="1"/>
  <c r="AL888" i="1" s="1"/>
  <c r="AL889" i="1" s="1"/>
  <c r="AL890" i="1" s="1"/>
  <c r="AL891" i="1" s="1"/>
  <c r="AL892" i="1" s="1"/>
  <c r="AL893" i="1" s="1"/>
  <c r="AL894" i="1" s="1"/>
  <c r="AL895" i="1" s="1"/>
  <c r="AL896" i="1" s="1"/>
  <c r="AL897" i="1" s="1"/>
  <c r="AL898" i="1" s="1"/>
  <c r="AL899" i="1" s="1"/>
  <c r="AL900" i="1" s="1"/>
  <c r="AL901" i="1" s="1"/>
  <c r="AL902" i="1" s="1"/>
  <c r="AL903" i="1" s="1"/>
  <c r="AL904" i="1" s="1"/>
  <c r="AL905" i="1" s="1"/>
  <c r="AL906" i="1" s="1"/>
  <c r="AL907" i="1" s="1"/>
  <c r="AL908" i="1" s="1"/>
  <c r="AL909" i="1" s="1"/>
  <c r="AL910" i="1" s="1"/>
  <c r="AL911" i="1" s="1"/>
  <c r="AL912" i="1" s="1"/>
  <c r="AL913" i="1" s="1"/>
  <c r="AL914" i="1" s="1"/>
  <c r="AL915" i="1" s="1"/>
  <c r="AL916" i="1" s="1"/>
  <c r="AL917" i="1" s="1"/>
  <c r="AL918" i="1" s="1"/>
  <c r="AL919" i="1" s="1"/>
  <c r="AL920" i="1" s="1"/>
  <c r="AL921" i="1" s="1"/>
  <c r="AL922" i="1" s="1"/>
  <c r="AL923" i="1" s="1"/>
  <c r="AL924" i="1" s="1"/>
  <c r="AL925" i="1" s="1"/>
  <c r="AL926" i="1" s="1"/>
  <c r="AL927" i="1" s="1"/>
  <c r="AL928" i="1" s="1"/>
  <c r="AL929" i="1" s="1"/>
  <c r="AL930" i="1" s="1"/>
  <c r="AL931" i="1" s="1"/>
  <c r="AL932" i="1" s="1"/>
  <c r="AL933" i="1" s="1"/>
  <c r="AL934" i="1" s="1"/>
  <c r="AL935" i="1" s="1"/>
  <c r="AL936" i="1" s="1"/>
  <c r="AL937" i="1" s="1"/>
  <c r="AL938" i="1" s="1"/>
  <c r="AL939" i="1" s="1"/>
  <c r="AL940" i="1" s="1"/>
  <c r="AL941" i="1" s="1"/>
  <c r="AL942" i="1" s="1"/>
  <c r="AL943" i="1" s="1"/>
  <c r="AL944" i="1" s="1"/>
  <c r="AL945" i="1" s="1"/>
  <c r="AL946" i="1" s="1"/>
  <c r="AL947" i="1" s="1"/>
  <c r="AL948" i="1" s="1"/>
  <c r="AL949" i="1" s="1"/>
  <c r="AL950" i="1" s="1"/>
  <c r="AL951" i="1" s="1"/>
  <c r="AL952" i="1" s="1"/>
  <c r="AL953" i="1" s="1"/>
  <c r="AL954" i="1" s="1"/>
  <c r="AL955" i="1" s="1"/>
  <c r="AL956" i="1" s="1"/>
  <c r="AL957" i="1" s="1"/>
  <c r="AL958" i="1" s="1"/>
  <c r="AL959" i="1" s="1"/>
  <c r="AL960" i="1" s="1"/>
  <c r="AL961" i="1" s="1"/>
  <c r="AL962" i="1" s="1"/>
  <c r="AL963" i="1" s="1"/>
  <c r="AL964" i="1" s="1"/>
  <c r="AL965" i="1" s="1"/>
  <c r="AL966" i="1" s="1"/>
  <c r="AL967" i="1" s="1"/>
  <c r="AL968" i="1" s="1"/>
  <c r="AL969" i="1" s="1"/>
  <c r="AL970" i="1" s="1"/>
  <c r="AL971" i="1" s="1"/>
  <c r="AL972" i="1" s="1"/>
  <c r="AL973" i="1" s="1"/>
  <c r="AL974" i="1" s="1"/>
  <c r="AL975" i="1" s="1"/>
  <c r="AL976" i="1" s="1"/>
  <c r="AL977" i="1" s="1"/>
  <c r="AL978" i="1" s="1"/>
  <c r="AL979" i="1" s="1"/>
  <c r="AL980" i="1" s="1"/>
  <c r="AL981" i="1" s="1"/>
  <c r="AL982" i="1" s="1"/>
  <c r="AL983" i="1" s="1"/>
  <c r="AL984" i="1" s="1"/>
  <c r="AL985" i="1" s="1"/>
  <c r="AL986" i="1" s="1"/>
  <c r="AL987" i="1" s="1"/>
  <c r="AL988" i="1" s="1"/>
  <c r="AL989" i="1" s="1"/>
  <c r="AL990" i="1" s="1"/>
  <c r="AL991" i="1" s="1"/>
  <c r="AL992" i="1" s="1"/>
  <c r="AL993" i="1" s="1"/>
  <c r="AL994" i="1" s="1"/>
  <c r="AL995" i="1" s="1"/>
  <c r="AL996" i="1" s="1"/>
  <c r="AL997" i="1" s="1"/>
  <c r="AL998" i="1" s="1"/>
  <c r="AL999" i="1" s="1"/>
  <c r="AL1000" i="1" s="1"/>
  <c r="AL1001" i="1" s="1"/>
  <c r="AL1002" i="1" s="1"/>
  <c r="AL1003" i="1" s="1"/>
  <c r="AL1004" i="1" s="1"/>
  <c r="AL1005" i="1" s="1"/>
  <c r="AL1006" i="1" s="1"/>
  <c r="AL1007" i="1" s="1"/>
  <c r="AL1008" i="1" s="1"/>
  <c r="AL1009" i="1" s="1"/>
  <c r="AL1010" i="1" s="1"/>
  <c r="AL1011" i="1" s="1"/>
  <c r="AL1012" i="1" s="1"/>
  <c r="AL1013" i="1" s="1"/>
  <c r="AL1014" i="1" s="1"/>
  <c r="AL1015" i="1" s="1"/>
  <c r="AL1016" i="1" s="1"/>
  <c r="AL1017" i="1" s="1"/>
  <c r="AL1018" i="1" s="1"/>
  <c r="AL1019" i="1" s="1"/>
  <c r="AL1020" i="1" s="1"/>
  <c r="AL1021" i="1" s="1"/>
  <c r="AL1022" i="1" s="1"/>
  <c r="AL1023" i="1" s="1"/>
  <c r="AL1024" i="1" s="1"/>
  <c r="AL1025" i="1" s="1"/>
  <c r="AL1026" i="1" s="1"/>
  <c r="AL1027" i="1" s="1"/>
  <c r="AL1028" i="1" s="1"/>
  <c r="AL1029" i="1" s="1"/>
  <c r="AL1030" i="1" s="1"/>
  <c r="AL1031" i="1" s="1"/>
  <c r="AL1032" i="1" s="1"/>
  <c r="AL1033" i="1" s="1"/>
  <c r="AL1034" i="1" s="1"/>
  <c r="AL1035" i="1" s="1"/>
  <c r="AL1036" i="1" s="1"/>
  <c r="AL1037" i="1" s="1"/>
  <c r="AL1038" i="1" s="1"/>
  <c r="AL1039" i="1" s="1"/>
  <c r="AL1040" i="1" s="1"/>
  <c r="AL1041" i="1" s="1"/>
  <c r="AL1042" i="1" s="1"/>
  <c r="AL1043" i="1" s="1"/>
  <c r="AL1044" i="1" s="1"/>
  <c r="AL1045" i="1" s="1"/>
  <c r="AL1046" i="1" s="1"/>
  <c r="AL1047" i="1" s="1"/>
  <c r="AL1048" i="1" s="1"/>
  <c r="AL1049" i="1" s="1"/>
  <c r="AL1050" i="1" s="1"/>
  <c r="AL1051" i="1" s="1"/>
  <c r="AL1052" i="1" s="1"/>
  <c r="AL1053" i="1" s="1"/>
  <c r="AL1054" i="1" s="1"/>
  <c r="AL1055" i="1" s="1"/>
  <c r="AL1056" i="1" s="1"/>
  <c r="AL1057" i="1" s="1"/>
  <c r="AL1058" i="1" s="1"/>
  <c r="AL1059" i="1" s="1"/>
  <c r="AL1060" i="1" s="1"/>
  <c r="AL1061" i="1" s="1"/>
  <c r="AL1062" i="1" s="1"/>
  <c r="AL1063" i="1" s="1"/>
  <c r="AL1064" i="1" s="1"/>
  <c r="AL1065" i="1" s="1"/>
  <c r="AL1066" i="1" s="1"/>
  <c r="AL1067" i="1" s="1"/>
  <c r="AL1068" i="1" s="1"/>
  <c r="AL1069" i="1" s="1"/>
  <c r="AL1070" i="1" s="1"/>
  <c r="AL1071" i="1" s="1"/>
  <c r="AL1072" i="1" s="1"/>
  <c r="AL1073" i="1" s="1"/>
  <c r="AL1074" i="1" s="1"/>
  <c r="AL1075" i="1" s="1"/>
  <c r="AL1076" i="1" s="1"/>
  <c r="AL1077" i="1" s="1"/>
  <c r="AL1078" i="1" s="1"/>
  <c r="AL1079" i="1" s="1"/>
  <c r="AL1080" i="1" s="1"/>
  <c r="AL1081" i="1" s="1"/>
  <c r="AL1082" i="1" s="1"/>
  <c r="AL1083" i="1" s="1"/>
  <c r="AL1084" i="1" s="1"/>
  <c r="AL1085" i="1" s="1"/>
  <c r="AL1086" i="1" s="1"/>
  <c r="AL1087" i="1" s="1"/>
  <c r="AL1088" i="1" s="1"/>
  <c r="AL1089" i="1" s="1"/>
  <c r="AL1090" i="1" s="1"/>
  <c r="AL1091" i="1" s="1"/>
  <c r="AL1092" i="1" s="1"/>
  <c r="AL1093" i="1" s="1"/>
  <c r="AL1094" i="1" s="1"/>
  <c r="AL1095" i="1" s="1"/>
  <c r="AL1096" i="1" s="1"/>
  <c r="AL1097" i="1" s="1"/>
  <c r="AL1098" i="1" s="1"/>
  <c r="AL1099" i="1" s="1"/>
  <c r="AL1100" i="1" s="1"/>
  <c r="AL1101" i="1" s="1"/>
  <c r="AL1102" i="1" s="1"/>
  <c r="AL1103" i="1" s="1"/>
  <c r="AL1104" i="1" s="1"/>
  <c r="AL1105" i="1" s="1"/>
  <c r="AL1106" i="1" s="1"/>
  <c r="AL1107" i="1" s="1"/>
  <c r="AL1108" i="1" s="1"/>
  <c r="AL1109" i="1" s="1"/>
  <c r="AL1110" i="1" s="1"/>
  <c r="AL1111" i="1" s="1"/>
  <c r="AL1112" i="1" s="1"/>
  <c r="AL1113" i="1" s="1"/>
  <c r="AL1114" i="1" s="1"/>
  <c r="AL1115" i="1" s="1"/>
  <c r="AL1116" i="1" s="1"/>
  <c r="AL1117" i="1" s="1"/>
  <c r="AL1118" i="1" s="1"/>
  <c r="AL1119" i="1" s="1"/>
  <c r="AL1120" i="1" s="1"/>
  <c r="AL1121" i="1" s="1"/>
  <c r="AL1122" i="1" s="1"/>
  <c r="AL1123" i="1" s="1"/>
  <c r="AL1124" i="1" s="1"/>
  <c r="AL1125" i="1" s="1"/>
  <c r="AL1126" i="1" s="1"/>
  <c r="AL1127" i="1" s="1"/>
  <c r="AL1128" i="1" s="1"/>
  <c r="AL1129" i="1" s="1"/>
  <c r="AL1130" i="1" s="1"/>
  <c r="AL1131" i="1" s="1"/>
  <c r="AL1132" i="1" s="1"/>
  <c r="AL1133" i="1" s="1"/>
  <c r="AL1134" i="1" s="1"/>
  <c r="AL1135" i="1" s="1"/>
  <c r="AL1136" i="1" s="1"/>
  <c r="AL1137" i="1" s="1"/>
  <c r="AL1138" i="1" s="1"/>
  <c r="AL1139" i="1" s="1"/>
  <c r="AL1140" i="1" s="1"/>
  <c r="AL1141" i="1" s="1"/>
  <c r="AL1142" i="1" s="1"/>
  <c r="AL1143" i="1" s="1"/>
  <c r="AL1144" i="1" s="1"/>
  <c r="AL1145" i="1" s="1"/>
  <c r="AL1146" i="1" s="1"/>
  <c r="AL1147" i="1" s="1"/>
  <c r="AL1148" i="1" s="1"/>
  <c r="AL1149" i="1" s="1"/>
  <c r="AL1150" i="1" s="1"/>
  <c r="AL1151" i="1" s="1"/>
  <c r="AL1152" i="1" s="1"/>
  <c r="AL1153" i="1" s="1"/>
  <c r="AL1154" i="1" s="1"/>
  <c r="AL1155" i="1" s="1"/>
  <c r="AL1156" i="1" s="1"/>
  <c r="AL1157" i="1" s="1"/>
  <c r="AL1158" i="1" s="1"/>
  <c r="AL1159" i="1" s="1"/>
  <c r="AL1160" i="1" s="1"/>
  <c r="AL1161" i="1" s="1"/>
  <c r="AL1162" i="1" s="1"/>
  <c r="AL1163" i="1" s="1"/>
  <c r="AL1164" i="1" s="1"/>
  <c r="AL1165" i="1" s="1"/>
  <c r="AL1166" i="1" s="1"/>
  <c r="AL1167" i="1" s="1"/>
  <c r="AL1168" i="1" s="1"/>
  <c r="AL1169" i="1" s="1"/>
  <c r="AL1170" i="1" s="1"/>
  <c r="AL1171" i="1" s="1"/>
  <c r="AL1172" i="1" s="1"/>
  <c r="AL1173" i="1" s="1"/>
  <c r="AL1174" i="1" s="1"/>
  <c r="AL1175" i="1" s="1"/>
  <c r="AL1176" i="1" s="1"/>
  <c r="AL1177" i="1" s="1"/>
  <c r="AL1178" i="1" s="1"/>
  <c r="AL1179" i="1" s="1"/>
  <c r="AL1180" i="1" s="1"/>
  <c r="AL1181" i="1" s="1"/>
  <c r="AL1182" i="1" s="1"/>
  <c r="AL1183" i="1" s="1"/>
  <c r="AL1184" i="1" s="1"/>
  <c r="AL1185" i="1" s="1"/>
  <c r="AL1186" i="1" s="1"/>
  <c r="AL1187" i="1" s="1"/>
  <c r="AL1188" i="1" s="1"/>
  <c r="AL1189" i="1" s="1"/>
  <c r="AL1190" i="1" s="1"/>
  <c r="AL1191" i="1" s="1"/>
  <c r="AL1192" i="1" s="1"/>
  <c r="AL1193" i="1" s="1"/>
  <c r="AL1194" i="1" s="1"/>
  <c r="AL1195" i="1" s="1"/>
  <c r="AL1196" i="1" s="1"/>
  <c r="AL1197" i="1" s="1"/>
  <c r="AL1198" i="1" s="1"/>
  <c r="AL1199" i="1" s="1"/>
  <c r="AL1200" i="1" s="1"/>
  <c r="AL1201" i="1" s="1"/>
  <c r="AL1202" i="1" s="1"/>
  <c r="AL1203" i="1" s="1"/>
  <c r="AL1204" i="1" s="1"/>
  <c r="AL1205" i="1" s="1"/>
  <c r="AL1206" i="1" s="1"/>
  <c r="AL1207" i="1" s="1"/>
  <c r="AL1208" i="1" s="1"/>
  <c r="AL1209" i="1" s="1"/>
  <c r="AL1210" i="1" s="1"/>
  <c r="AL1211" i="1" s="1"/>
  <c r="AL1212" i="1" s="1"/>
  <c r="AL1213" i="1" s="1"/>
  <c r="AL1214" i="1" s="1"/>
  <c r="AL1215" i="1" s="1"/>
  <c r="AL1216" i="1" s="1"/>
  <c r="AL1217" i="1" s="1"/>
  <c r="AL1218" i="1" s="1"/>
  <c r="AL1219" i="1" s="1"/>
  <c r="AL1220" i="1" s="1"/>
  <c r="AL1221" i="1" s="1"/>
  <c r="AL1222" i="1" s="1"/>
  <c r="AL1223" i="1" s="1"/>
  <c r="AL1224" i="1" s="1"/>
  <c r="AL1225" i="1" s="1"/>
  <c r="AL1226" i="1" s="1"/>
  <c r="AL1227" i="1" s="1"/>
  <c r="AL1228" i="1" s="1"/>
  <c r="AL1229" i="1" s="1"/>
  <c r="AL1230" i="1" s="1"/>
  <c r="AL1231" i="1" s="1"/>
  <c r="AL1232" i="1" s="1"/>
  <c r="AL1233" i="1" s="1"/>
  <c r="AL1234" i="1" s="1"/>
  <c r="AL1235" i="1" s="1"/>
  <c r="AL1236" i="1" s="1"/>
  <c r="AL1237" i="1" s="1"/>
  <c r="AL1238" i="1" s="1"/>
  <c r="AL1239" i="1" s="1"/>
  <c r="AL1240" i="1" s="1"/>
  <c r="AL1241" i="1" s="1"/>
  <c r="AL1242" i="1" s="1"/>
  <c r="AL1243" i="1" s="1"/>
  <c r="AL1244" i="1" s="1"/>
  <c r="AL1245" i="1" s="1"/>
  <c r="AL1246" i="1" s="1"/>
  <c r="AL1247" i="1" s="1"/>
  <c r="AL1248" i="1" s="1"/>
  <c r="AL1249" i="1" s="1"/>
  <c r="AL1250" i="1" s="1"/>
  <c r="AL1251" i="1" s="1"/>
  <c r="AL1252" i="1" s="1"/>
  <c r="AL1253" i="1" s="1"/>
  <c r="AL1254" i="1" s="1"/>
  <c r="AL1255" i="1" s="1"/>
  <c r="AL1256" i="1" s="1"/>
  <c r="AL1257" i="1" s="1"/>
  <c r="AL1258" i="1" s="1"/>
  <c r="AL1259" i="1" s="1"/>
  <c r="AL1260" i="1" s="1"/>
  <c r="AL1261" i="1" s="1"/>
  <c r="AL1262" i="1" s="1"/>
  <c r="AL1263" i="1" s="1"/>
  <c r="AL1264" i="1" s="1"/>
  <c r="AL1265" i="1" s="1"/>
  <c r="AL1266" i="1" s="1"/>
  <c r="AL1267" i="1" s="1"/>
  <c r="AL1268" i="1" s="1"/>
  <c r="AL1269" i="1" s="1"/>
  <c r="AL1270" i="1" s="1"/>
  <c r="AL1271" i="1" s="1"/>
  <c r="AL1272" i="1" s="1"/>
  <c r="AL1273" i="1" s="1"/>
  <c r="AL1274" i="1" s="1"/>
  <c r="AL1275" i="1" s="1"/>
  <c r="AL1276" i="1" s="1"/>
  <c r="AL1277" i="1" s="1"/>
  <c r="AL1278" i="1" s="1"/>
  <c r="AL1279" i="1" s="1"/>
  <c r="AL1280" i="1" s="1"/>
  <c r="AL1281" i="1" s="1"/>
  <c r="AL1282" i="1" s="1"/>
  <c r="AL1283" i="1" s="1"/>
  <c r="AL1284" i="1" s="1"/>
  <c r="AL1285" i="1" s="1"/>
  <c r="AL1286" i="1" s="1"/>
  <c r="AL1287" i="1" s="1"/>
  <c r="AL1288" i="1" s="1"/>
  <c r="AL1289" i="1" s="1"/>
  <c r="AL1290" i="1" s="1"/>
  <c r="AL1291" i="1" s="1"/>
  <c r="AL1292" i="1" s="1"/>
  <c r="AL1293" i="1" s="1"/>
  <c r="AL1294" i="1" s="1"/>
  <c r="AL1295" i="1" s="1"/>
  <c r="AL1296" i="1" s="1"/>
  <c r="AL1297" i="1" s="1"/>
  <c r="AL1298" i="1" s="1"/>
  <c r="AL1299" i="1" s="1"/>
  <c r="AL1300" i="1" s="1"/>
  <c r="AL1301" i="1" s="1"/>
  <c r="AL1302" i="1" s="1"/>
  <c r="AL1303" i="1" s="1"/>
  <c r="AL1304" i="1" s="1"/>
  <c r="AL1305" i="1" s="1"/>
  <c r="AL1306" i="1" s="1"/>
  <c r="AL1307" i="1" s="1"/>
  <c r="AL1308" i="1" s="1"/>
  <c r="AL1309" i="1" s="1"/>
  <c r="AL1310" i="1" s="1"/>
  <c r="AL1311" i="1" s="1"/>
  <c r="AL1312" i="1" s="1"/>
  <c r="AL1313" i="1" s="1"/>
  <c r="AL1314" i="1" s="1"/>
  <c r="AL1315" i="1" s="1"/>
  <c r="AL1316" i="1" s="1"/>
  <c r="AL1317" i="1" s="1"/>
  <c r="AL1318" i="1" s="1"/>
  <c r="AL1319" i="1" s="1"/>
  <c r="AL1320" i="1" s="1"/>
  <c r="AL1321" i="1" s="1"/>
  <c r="AL1322" i="1" s="1"/>
  <c r="AL1323" i="1" s="1"/>
  <c r="AL1324" i="1" s="1"/>
  <c r="AL1325" i="1" s="1"/>
  <c r="AL1326" i="1" s="1"/>
  <c r="AL1327" i="1" s="1"/>
  <c r="AL1328" i="1" s="1"/>
  <c r="AL1329" i="1" s="1"/>
  <c r="AL1330" i="1" s="1"/>
  <c r="AL1331" i="1" s="1"/>
  <c r="AL1332" i="1" s="1"/>
  <c r="AL1333" i="1" s="1"/>
  <c r="AL1334" i="1" s="1"/>
  <c r="AL1335" i="1" s="1"/>
  <c r="AL1336" i="1" s="1"/>
  <c r="AL1337" i="1" s="1"/>
  <c r="AL1338" i="1" s="1"/>
  <c r="AL1339" i="1" s="1"/>
  <c r="AL1340" i="1" s="1"/>
  <c r="AL1341" i="1" s="1"/>
  <c r="AL1342" i="1" s="1"/>
  <c r="AL1343" i="1" s="1"/>
  <c r="AL1344" i="1" s="1"/>
  <c r="AL1345" i="1" s="1"/>
  <c r="AL1346" i="1" s="1"/>
  <c r="AL1347" i="1" s="1"/>
  <c r="AL1348" i="1" s="1"/>
  <c r="AL1349" i="1" s="1"/>
  <c r="AL1350" i="1" s="1"/>
  <c r="AL1351" i="1" s="1"/>
  <c r="AL1352" i="1" s="1"/>
  <c r="AL1353" i="1" s="1"/>
  <c r="AL1354" i="1" s="1"/>
  <c r="AL1355" i="1" s="1"/>
  <c r="AL1356" i="1" s="1"/>
  <c r="AL1357" i="1" s="1"/>
  <c r="AL1358" i="1" s="1"/>
  <c r="AL1359" i="1" s="1"/>
  <c r="AL1360" i="1" s="1"/>
  <c r="AL1361" i="1" s="1"/>
  <c r="AL1362" i="1" s="1"/>
  <c r="AL1363" i="1" s="1"/>
  <c r="AL1364" i="1" s="1"/>
  <c r="AL1365" i="1" s="1"/>
  <c r="AL1366" i="1" s="1"/>
  <c r="AL1367" i="1" s="1"/>
  <c r="AL1368" i="1" s="1"/>
  <c r="AL1369" i="1" s="1"/>
  <c r="AL1370" i="1" s="1"/>
  <c r="AL1371" i="1" s="1"/>
  <c r="AL1372" i="1" s="1"/>
  <c r="AL1373" i="1" s="1"/>
  <c r="AL1374" i="1" s="1"/>
  <c r="AL1375" i="1" s="1"/>
  <c r="AL1376" i="1" s="1"/>
  <c r="AL1377" i="1" s="1"/>
  <c r="AL1378" i="1" s="1"/>
  <c r="AL1379" i="1" s="1"/>
  <c r="AL1380" i="1" s="1"/>
  <c r="AL1381" i="1" s="1"/>
  <c r="AL1382" i="1" s="1"/>
  <c r="AL1383" i="1" s="1"/>
  <c r="AL1384" i="1" s="1"/>
  <c r="AL1385" i="1" s="1"/>
  <c r="AL1386" i="1" s="1"/>
  <c r="AL1387" i="1" s="1"/>
  <c r="AL1388" i="1" s="1"/>
  <c r="AL1389" i="1" s="1"/>
  <c r="AL1390" i="1" s="1"/>
  <c r="AL1391" i="1" s="1"/>
  <c r="AL1392" i="1" s="1"/>
  <c r="AL1393" i="1" s="1"/>
  <c r="AL1394" i="1" s="1"/>
  <c r="AL1395" i="1" s="1"/>
  <c r="AL1396" i="1" s="1"/>
  <c r="AL1397" i="1" s="1"/>
  <c r="AL1398" i="1" s="1"/>
  <c r="AL1399" i="1" s="1"/>
  <c r="AL1400" i="1" s="1"/>
  <c r="AL1401" i="1" s="1"/>
  <c r="AL1402" i="1" s="1"/>
  <c r="AL1403" i="1" s="1"/>
  <c r="AL1404" i="1" s="1"/>
  <c r="AL1405" i="1" s="1"/>
  <c r="AL1406" i="1" s="1"/>
  <c r="AL1407" i="1" s="1"/>
  <c r="AL1408" i="1" s="1"/>
  <c r="AL1409" i="1" s="1"/>
  <c r="AL1410" i="1" s="1"/>
  <c r="AL1411" i="1" s="1"/>
  <c r="AL1412" i="1" s="1"/>
  <c r="AL1413" i="1" s="1"/>
  <c r="AL1414" i="1" s="1"/>
  <c r="AL1415" i="1" s="1"/>
  <c r="AL1416" i="1" s="1"/>
  <c r="AL1417" i="1" s="1"/>
  <c r="AL1418" i="1" s="1"/>
  <c r="AL1419" i="1" s="1"/>
  <c r="AL1420" i="1" s="1"/>
  <c r="AL1421" i="1" s="1"/>
  <c r="AL1422" i="1" s="1"/>
  <c r="AL1423" i="1" s="1"/>
  <c r="AL1424" i="1" s="1"/>
  <c r="AL1425" i="1" s="1"/>
  <c r="AL1426" i="1" s="1"/>
  <c r="AL1427" i="1" s="1"/>
  <c r="AL1428" i="1" s="1"/>
  <c r="AL1429" i="1" s="1"/>
  <c r="AL1430" i="1" s="1"/>
  <c r="AL1431" i="1" s="1"/>
  <c r="AL1432" i="1" s="1"/>
  <c r="AL1433" i="1" s="1"/>
  <c r="AL1434" i="1" s="1"/>
  <c r="AL1435" i="1" s="1"/>
  <c r="AL1436" i="1" s="1"/>
  <c r="AL1437" i="1" s="1"/>
  <c r="AL1438" i="1" s="1"/>
  <c r="AL1439" i="1" s="1"/>
  <c r="AL1440" i="1" s="1"/>
  <c r="AL1441" i="1" s="1"/>
  <c r="AL1442" i="1" s="1"/>
  <c r="AL1443" i="1" s="1"/>
  <c r="AL1444" i="1" s="1"/>
  <c r="AL1445" i="1" s="1"/>
  <c r="AL1446" i="1" s="1"/>
  <c r="AL1447" i="1" s="1"/>
  <c r="AL1448" i="1" s="1"/>
  <c r="AL1449" i="1" s="1"/>
  <c r="AL1450" i="1" s="1"/>
  <c r="AL1451" i="1" s="1"/>
  <c r="AL1452" i="1" s="1"/>
  <c r="AL1453" i="1" s="1"/>
  <c r="AL1454" i="1" s="1"/>
  <c r="AL1455" i="1" s="1"/>
  <c r="AL1456" i="1" s="1"/>
  <c r="AL1457" i="1" s="1"/>
  <c r="AL1458" i="1" s="1"/>
  <c r="AL1459" i="1" s="1"/>
  <c r="AL1460" i="1" s="1"/>
  <c r="AL1461" i="1" s="1"/>
  <c r="AL1462" i="1" s="1"/>
  <c r="AL1463" i="1" s="1"/>
  <c r="AL1464" i="1" s="1"/>
  <c r="AL1465" i="1" s="1"/>
  <c r="AL1466" i="1" s="1"/>
  <c r="AL1467" i="1" s="1"/>
  <c r="AL1468" i="1" s="1"/>
  <c r="AL1469" i="1" s="1"/>
  <c r="AL1470" i="1" s="1"/>
  <c r="AL1471" i="1" s="1"/>
  <c r="AL1472" i="1" s="1"/>
  <c r="AL1473" i="1" s="1"/>
  <c r="AL1474" i="1" s="1"/>
  <c r="AL1475" i="1" s="1"/>
  <c r="AL1476" i="1" s="1"/>
  <c r="AL1477" i="1" s="1"/>
  <c r="AL1478" i="1" s="1"/>
  <c r="AL1479" i="1" s="1"/>
  <c r="AL1480" i="1" s="1"/>
  <c r="AL1481" i="1" s="1"/>
  <c r="AL1482" i="1" s="1"/>
  <c r="AL1483" i="1" s="1"/>
  <c r="AL1484" i="1" s="1"/>
  <c r="AL1485" i="1" s="1"/>
  <c r="AL1486" i="1" s="1"/>
  <c r="AL1487" i="1" s="1"/>
  <c r="AL1488" i="1" s="1"/>
  <c r="AL1489" i="1" s="1"/>
  <c r="AL1490" i="1" s="1"/>
  <c r="AL1491" i="1" s="1"/>
  <c r="AL1492" i="1" s="1"/>
  <c r="AL1493" i="1" s="1"/>
  <c r="AL1494" i="1" s="1"/>
  <c r="AL1495" i="1" s="1"/>
  <c r="AL1496" i="1" s="1"/>
  <c r="AL1497" i="1" s="1"/>
  <c r="AL1498" i="1" s="1"/>
  <c r="AL1499" i="1" s="1"/>
  <c r="AL1500" i="1" s="1"/>
  <c r="AL1501" i="1" s="1"/>
  <c r="AL1502" i="1" s="1"/>
  <c r="AL1503" i="1" s="1"/>
  <c r="AL1504" i="1" s="1"/>
  <c r="AL1505" i="1" s="1"/>
  <c r="AL1506" i="1" s="1"/>
  <c r="AL1507" i="1" s="1"/>
  <c r="AL1508" i="1" s="1"/>
  <c r="AL1509" i="1" s="1"/>
  <c r="AL1510" i="1" s="1"/>
  <c r="AL1511" i="1" s="1"/>
  <c r="AL1512" i="1" s="1"/>
  <c r="AL1513" i="1" s="1"/>
  <c r="AL1514" i="1" s="1"/>
  <c r="AL1515" i="1" s="1"/>
  <c r="AL1516" i="1" s="1"/>
  <c r="AL1517" i="1" s="1"/>
  <c r="AL1518" i="1" s="1"/>
  <c r="AL1519" i="1" s="1"/>
  <c r="AL1520" i="1" s="1"/>
  <c r="AL1521" i="1" s="1"/>
  <c r="AL1522" i="1" s="1"/>
  <c r="AL1523" i="1" s="1"/>
  <c r="AL1524" i="1" s="1"/>
  <c r="AL1525" i="1" s="1"/>
  <c r="AL1526" i="1" s="1"/>
  <c r="AL1527" i="1" s="1"/>
  <c r="AL1528" i="1" s="1"/>
  <c r="AL1529" i="1" s="1"/>
  <c r="AL1530" i="1" s="1"/>
  <c r="AL1531" i="1" s="1"/>
  <c r="AL1532" i="1" s="1"/>
  <c r="AL1533" i="1" s="1"/>
  <c r="L89" i="1"/>
  <c r="I58" i="1"/>
  <c r="J58" i="1" s="1"/>
  <c r="I70" i="1"/>
  <c r="J70" i="1" s="1"/>
  <c r="I90" i="1"/>
  <c r="J90" i="1" s="1"/>
  <c r="I75" i="1"/>
  <c r="J75" i="1" s="1"/>
  <c r="U43" i="1"/>
  <c r="I43" i="1"/>
  <c r="J43" i="1" s="1"/>
  <c r="V43" i="1" s="1"/>
  <c r="I71" i="1"/>
  <c r="J71" i="1" s="1"/>
  <c r="I84" i="1"/>
  <c r="J84" i="1" s="1"/>
  <c r="I80" i="1"/>
  <c r="J80" i="1" s="1"/>
  <c r="I44" i="1"/>
  <c r="J44" i="1" s="1"/>
  <c r="I48" i="1"/>
  <c r="J48" i="1" s="1"/>
  <c r="I60" i="1"/>
  <c r="J60" i="1" s="1"/>
  <c r="I99" i="1"/>
  <c r="J99" i="1" s="1"/>
  <c r="I93" i="1"/>
  <c r="J93" i="1" s="1"/>
  <c r="I62" i="1"/>
  <c r="J62" i="1" s="1"/>
  <c r="I74" i="1"/>
  <c r="J74" i="1" s="1"/>
  <c r="I98" i="1"/>
  <c r="J98" i="1" s="1"/>
  <c r="I66" i="1"/>
  <c r="J66" i="1" s="1"/>
  <c r="I76" i="1"/>
  <c r="J76" i="1" s="1"/>
  <c r="I56" i="1"/>
  <c r="J56" i="1" s="1"/>
  <c r="I52" i="1"/>
  <c r="J52" i="1" s="1"/>
  <c r="I57" i="1"/>
  <c r="J57" i="1" s="1"/>
  <c r="K75" i="1"/>
  <c r="L109" i="1"/>
  <c r="U1642" i="1"/>
  <c r="N105" i="1"/>
  <c r="N100" i="1"/>
  <c r="N86" i="1"/>
  <c r="N67" i="1"/>
  <c r="N114" i="1"/>
  <c r="N81" i="1"/>
  <c r="N76" i="1"/>
  <c r="N62" i="1"/>
  <c r="N109" i="1"/>
  <c r="N104" i="1"/>
  <c r="N90" i="1"/>
  <c r="N71" i="1"/>
  <c r="N85" i="1"/>
  <c r="N80" i="1"/>
  <c r="N66" i="1"/>
  <c r="N113" i="1"/>
  <c r="N108" i="1"/>
  <c r="N94" i="1"/>
  <c r="N122" i="1"/>
  <c r="N103" i="1"/>
  <c r="N89" i="1"/>
  <c r="N84" i="1"/>
  <c r="N70" i="1"/>
  <c r="N51" i="1"/>
  <c r="N107" i="1"/>
  <c r="N111" i="1"/>
  <c r="N97" i="1"/>
  <c r="N92" i="1"/>
  <c r="L76" i="1"/>
  <c r="U1601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119" i="1"/>
  <c r="M72" i="1"/>
  <c r="M58" i="1"/>
  <c r="M100" i="1"/>
  <c r="M114" i="1"/>
  <c r="M95" i="1"/>
  <c r="M76" i="1"/>
  <c r="M62" i="1"/>
  <c r="M118" i="1"/>
  <c r="M99" i="1"/>
  <c r="M52" i="1"/>
  <c r="M108" i="1"/>
  <c r="M94" i="1"/>
  <c r="M122" i="1"/>
  <c r="M103" i="1"/>
  <c r="M56" i="1"/>
  <c r="M112" i="1"/>
  <c r="M116" i="1"/>
  <c r="M102" i="1"/>
  <c r="M111" i="1"/>
  <c r="N73" i="1"/>
  <c r="M75" i="1"/>
  <c r="K94" i="1"/>
  <c r="N112" i="1"/>
  <c r="O1648" i="1"/>
  <c r="M1648" i="1"/>
  <c r="P1648" i="1"/>
  <c r="Q1648" i="1" s="1"/>
  <c r="R1648" i="1"/>
  <c r="N1648" i="1"/>
  <c r="K151" i="1"/>
  <c r="I68" i="1"/>
  <c r="I69" i="1"/>
  <c r="J69" i="1" s="1"/>
  <c r="N72" i="1"/>
  <c r="M74" i="1"/>
  <c r="N75" i="1"/>
  <c r="I86" i="1"/>
  <c r="J86" i="1" s="1"/>
  <c r="K87" i="1"/>
  <c r="M88" i="1"/>
  <c r="K74" i="1"/>
  <c r="M106" i="1"/>
  <c r="L74" i="1"/>
  <c r="L88" i="1"/>
  <c r="N106" i="1"/>
  <c r="I114" i="1"/>
  <c r="J114" i="1" s="1"/>
  <c r="N117" i="1"/>
  <c r="K68" i="1"/>
  <c r="K71" i="1"/>
  <c r="N74" i="1"/>
  <c r="L87" i="1"/>
  <c r="N88" i="1"/>
  <c r="K98" i="1"/>
  <c r="K102" i="1"/>
  <c r="K114" i="1"/>
  <c r="K73" i="1"/>
  <c r="L106" i="1"/>
  <c r="K112" i="1"/>
  <c r="L73" i="1"/>
  <c r="L112" i="1"/>
  <c r="L72" i="1"/>
  <c r="Y1694" i="1"/>
  <c r="W1694" i="1"/>
  <c r="V1694" i="1"/>
  <c r="AD1694" i="1"/>
  <c r="AE1694" i="1" s="1"/>
  <c r="O32" i="1"/>
  <c r="L68" i="1"/>
  <c r="K69" i="1"/>
  <c r="K70" i="1"/>
  <c r="M71" i="1"/>
  <c r="M87" i="1"/>
  <c r="K93" i="1"/>
  <c r="N102" i="1"/>
  <c r="U1557" i="1"/>
  <c r="L110" i="1"/>
  <c r="L91" i="1"/>
  <c r="L77" i="1"/>
  <c r="L49" i="1"/>
  <c r="L45" i="1"/>
  <c r="L119" i="1"/>
  <c r="L105" i="1"/>
  <c r="L100" i="1"/>
  <c r="L86" i="1"/>
  <c r="L67" i="1"/>
  <c r="L53" i="1"/>
  <c r="L114" i="1"/>
  <c r="L95" i="1"/>
  <c r="L81" i="1"/>
  <c r="L104" i="1"/>
  <c r="L90" i="1"/>
  <c r="L71" i="1"/>
  <c r="L57" i="1"/>
  <c r="L48" i="1"/>
  <c r="L44" i="1"/>
  <c r="L118" i="1"/>
  <c r="L99" i="1"/>
  <c r="L113" i="1"/>
  <c r="L108" i="1"/>
  <c r="L94" i="1"/>
  <c r="L75" i="1"/>
  <c r="L61" i="1"/>
  <c r="L117" i="1"/>
  <c r="L121" i="1"/>
  <c r="L116" i="1"/>
  <c r="L102" i="1"/>
  <c r="I61" i="1"/>
  <c r="J61" i="1" s="1"/>
  <c r="K64" i="1"/>
  <c r="K65" i="1"/>
  <c r="M66" i="1"/>
  <c r="K92" i="1"/>
  <c r="K97" i="1"/>
  <c r="K101" i="1"/>
  <c r="L111" i="1"/>
  <c r="I116" i="1"/>
  <c r="J116" i="1" s="1"/>
  <c r="I121" i="1"/>
  <c r="J121" i="1" s="1"/>
  <c r="I59" i="1"/>
  <c r="J59" i="1" s="1"/>
  <c r="L62" i="1"/>
  <c r="L63" i="1"/>
  <c r="L64" i="1"/>
  <c r="L65" i="1"/>
  <c r="L85" i="1"/>
  <c r="K91" i="1"/>
  <c r="L92" i="1"/>
  <c r="L97" i="1"/>
  <c r="L101" i="1"/>
  <c r="I104" i="1"/>
  <c r="J104" i="1" s="1"/>
  <c r="L58" i="1"/>
  <c r="K61" i="1"/>
  <c r="M63" i="1"/>
  <c r="M64" i="1"/>
  <c r="N65" i="1"/>
  <c r="M91" i="1"/>
  <c r="M92" i="1"/>
  <c r="I96" i="1"/>
  <c r="J96" i="1" s="1"/>
  <c r="N101" i="1"/>
  <c r="I113" i="1"/>
  <c r="J113" i="1" s="1"/>
  <c r="N121" i="1"/>
  <c r="I101" i="1"/>
  <c r="J101" i="1" s="1"/>
  <c r="I100" i="1"/>
  <c r="J100" i="1" s="1"/>
  <c r="M104" i="1"/>
  <c r="I110" i="1"/>
  <c r="J110" i="1" s="1"/>
  <c r="N116" i="1"/>
  <c r="I118" i="1"/>
  <c r="J118" i="1" s="1"/>
  <c r="K96" i="1"/>
  <c r="K82" i="1"/>
  <c r="K63" i="1"/>
  <c r="K110" i="1"/>
  <c r="K119" i="1"/>
  <c r="K105" i="1"/>
  <c r="K72" i="1"/>
  <c r="K58" i="1"/>
  <c r="K100" i="1"/>
  <c r="K86" i="1"/>
  <c r="K67" i="1"/>
  <c r="K53" i="1"/>
  <c r="K109" i="1"/>
  <c r="K76" i="1"/>
  <c r="K62" i="1"/>
  <c r="K104" i="1"/>
  <c r="K118" i="1"/>
  <c r="K99" i="1"/>
  <c r="K85" i="1"/>
  <c r="K113" i="1"/>
  <c r="K80" i="1"/>
  <c r="K66" i="1"/>
  <c r="K122" i="1"/>
  <c r="L133" i="1"/>
  <c r="K117" i="1"/>
  <c r="K107" i="1"/>
  <c r="K121" i="1"/>
  <c r="K88" i="1"/>
  <c r="L69" i="1"/>
  <c r="N58" i="1"/>
  <c r="N61" i="1"/>
  <c r="N63" i="1"/>
  <c r="I53" i="1"/>
  <c r="J53" i="1" s="1"/>
  <c r="L96" i="1"/>
  <c r="N118" i="1"/>
  <c r="I109" i="1"/>
  <c r="J109" i="1" s="1"/>
  <c r="L93" i="1"/>
  <c r="K108" i="1"/>
  <c r="K60" i="1"/>
  <c r="N64" i="1"/>
  <c r="H1536" i="1"/>
  <c r="K1539" i="1"/>
  <c r="K57" i="1"/>
  <c r="M43" i="1"/>
  <c r="K44" i="1"/>
  <c r="K45" i="1"/>
  <c r="I46" i="1"/>
  <c r="J46" i="1" s="1"/>
  <c r="K54" i="1"/>
  <c r="I55" i="1"/>
  <c r="J55" i="1" s="1"/>
  <c r="N57" i="1"/>
  <c r="M59" i="1"/>
  <c r="M60" i="1"/>
  <c r="K84" i="1"/>
  <c r="M96" i="1"/>
  <c r="I107" i="1"/>
  <c r="J107" i="1" s="1"/>
  <c r="M110" i="1"/>
  <c r="M70" i="1"/>
  <c r="L43" i="1"/>
  <c r="Q43" i="1" s="1"/>
  <c r="N43" i="1"/>
  <c r="K56" i="1"/>
  <c r="N59" i="1"/>
  <c r="I77" i="1"/>
  <c r="J77" i="1" s="1"/>
  <c r="K81" i="1"/>
  <c r="L82" i="1"/>
  <c r="L84" i="1"/>
  <c r="K90" i="1"/>
  <c r="I95" i="1"/>
  <c r="J95" i="1" s="1"/>
  <c r="N96" i="1"/>
  <c r="L107" i="1"/>
  <c r="N110" i="1"/>
  <c r="I115" i="1"/>
  <c r="J115" i="1" s="1"/>
  <c r="L70" i="1"/>
  <c r="L66" i="1"/>
  <c r="K43" i="1"/>
  <c r="O43" i="1" s="1"/>
  <c r="K83" i="1"/>
  <c r="N44" i="1"/>
  <c r="N45" i="1"/>
  <c r="K46" i="1"/>
  <c r="I49" i="1"/>
  <c r="J49" i="1" s="1"/>
  <c r="N53" i="1"/>
  <c r="M54" i="1"/>
  <c r="K55" i="1"/>
  <c r="L56" i="1"/>
  <c r="I78" i="1"/>
  <c r="J78" i="1" s="1"/>
  <c r="M82" i="1"/>
  <c r="L83" i="1"/>
  <c r="M84" i="1"/>
  <c r="M90" i="1"/>
  <c r="M107" i="1"/>
  <c r="I120" i="1"/>
  <c r="I45" i="1"/>
  <c r="J45" i="1" s="1"/>
  <c r="L59" i="1"/>
  <c r="M45" i="1"/>
  <c r="I50" i="1"/>
  <c r="P43" i="1"/>
  <c r="L46" i="1"/>
  <c r="I47" i="1"/>
  <c r="J47" i="1" s="1"/>
  <c r="I51" i="1"/>
  <c r="J51" i="1" s="1"/>
  <c r="K52" i="1"/>
  <c r="N54" i="1"/>
  <c r="L55" i="1"/>
  <c r="N56" i="1"/>
  <c r="K77" i="1"/>
  <c r="I79" i="1"/>
  <c r="J79" i="1" s="1"/>
  <c r="N82" i="1"/>
  <c r="M83" i="1"/>
  <c r="I89" i="1"/>
  <c r="J89" i="1" s="1"/>
  <c r="K95" i="1"/>
  <c r="I103" i="1"/>
  <c r="J103" i="1" s="1"/>
  <c r="K115" i="1"/>
  <c r="I91" i="1"/>
  <c r="J91" i="1" s="1"/>
  <c r="K111" i="1"/>
  <c r="K59" i="1"/>
  <c r="L60" i="1"/>
  <c r="M44" i="1"/>
  <c r="L54" i="1"/>
  <c r="M46" i="1"/>
  <c r="K49" i="1"/>
  <c r="K50" i="1"/>
  <c r="L52" i="1"/>
  <c r="M55" i="1"/>
  <c r="I73" i="1"/>
  <c r="J73" i="1" s="1"/>
  <c r="N77" i="1"/>
  <c r="K78" i="1"/>
  <c r="L80" i="1"/>
  <c r="N83" i="1"/>
  <c r="N95" i="1"/>
  <c r="L115" i="1"/>
  <c r="K120" i="1"/>
  <c r="K106" i="1"/>
  <c r="N91" i="1"/>
  <c r="I54" i="1"/>
  <c r="J54" i="1" s="1"/>
  <c r="N60" i="1"/>
  <c r="N46" i="1"/>
  <c r="K47" i="1"/>
  <c r="M49" i="1"/>
  <c r="L50" i="1"/>
  <c r="K51" i="1"/>
  <c r="N52" i="1"/>
  <c r="N55" i="1"/>
  <c r="L78" i="1"/>
  <c r="K79" i="1"/>
  <c r="M80" i="1"/>
  <c r="K89" i="1"/>
  <c r="K103" i="1"/>
  <c r="I112" i="1"/>
  <c r="J112" i="1" s="1"/>
  <c r="M115" i="1"/>
  <c r="L120" i="1"/>
  <c r="AL1608" i="1"/>
  <c r="AL1609" i="1" s="1"/>
  <c r="AL1610" i="1" s="1"/>
  <c r="AL1611" i="1" s="1"/>
  <c r="AL1612" i="1" s="1"/>
  <c r="AL1613" i="1" s="1"/>
  <c r="AL1614" i="1" s="1"/>
  <c r="AL1615" i="1" s="1"/>
  <c r="S43" i="1" l="1"/>
  <c r="R133" i="1"/>
  <c r="K1563" i="1"/>
  <c r="K1564" i="1" s="1"/>
  <c r="N35" i="1"/>
  <c r="H1604" i="1" s="1"/>
  <c r="O133" i="1"/>
  <c r="K1540" i="1"/>
  <c r="K152" i="1"/>
  <c r="AD1642" i="1"/>
  <c r="AE1642" i="1" s="1"/>
  <c r="W1642" i="1"/>
  <c r="V1642" i="1"/>
  <c r="Y1642" i="1"/>
  <c r="J120" i="1"/>
  <c r="M36" i="1"/>
  <c r="K135" i="1"/>
  <c r="J50" i="1"/>
  <c r="J68" i="1"/>
  <c r="T43" i="1"/>
  <c r="AD1557" i="1"/>
  <c r="AE1557" i="1" s="1"/>
  <c r="W1557" i="1"/>
  <c r="V1557" i="1"/>
  <c r="Y1557" i="1"/>
  <c r="P133" i="1"/>
  <c r="Q133" i="1" s="1"/>
  <c r="M133" i="1"/>
  <c r="N133" i="1"/>
  <c r="W43" i="1"/>
  <c r="AA43" i="1"/>
  <c r="D44" i="1" s="1"/>
  <c r="O44" i="1" s="1"/>
  <c r="AD1601" i="1"/>
  <c r="AE1601" i="1" s="1"/>
  <c r="W1601" i="1"/>
  <c r="Y1601" i="1"/>
  <c r="V1601" i="1"/>
  <c r="K1607" i="1" l="1"/>
  <c r="K1608" i="1" s="1"/>
  <c r="X43" i="1"/>
  <c r="Q44" i="1"/>
  <c r="K153" i="1"/>
  <c r="K1565" i="1"/>
  <c r="M33" i="1"/>
  <c r="M34" i="1"/>
  <c r="AB43" i="1"/>
  <c r="E44" i="1" s="1"/>
  <c r="R44" i="1" s="1"/>
  <c r="U44" i="1"/>
  <c r="K136" i="1"/>
  <c r="K1541" i="1"/>
  <c r="AJ1642" i="1"/>
  <c r="M35" i="1"/>
  <c r="K1542" i="1" l="1"/>
  <c r="K1566" i="1"/>
  <c r="K137" i="1"/>
  <c r="K1609" i="1"/>
  <c r="P44" i="1"/>
  <c r="V44" i="1"/>
  <c r="T44" i="1"/>
  <c r="S44" i="1"/>
  <c r="K154" i="1"/>
  <c r="X44" i="1" l="1"/>
  <c r="AB44" i="1"/>
  <c r="E45" i="1" s="1"/>
  <c r="W44" i="1"/>
  <c r="AA44" i="1"/>
  <c r="D45" i="1" s="1"/>
  <c r="K155" i="1"/>
  <c r="K138" i="1"/>
  <c r="K1567" i="1"/>
  <c r="K1610" i="1"/>
  <c r="K1543" i="1"/>
  <c r="K1568" i="1" l="1"/>
  <c r="K1544" i="1"/>
  <c r="K139" i="1"/>
  <c r="K156" i="1"/>
  <c r="K1611" i="1"/>
  <c r="R45" i="1"/>
  <c r="U45" i="1"/>
  <c r="Q45" i="1"/>
  <c r="O45" i="1"/>
  <c r="P45" i="1"/>
  <c r="V45" i="1"/>
  <c r="T45" i="1"/>
  <c r="S45" i="1"/>
  <c r="AB45" i="1" l="1"/>
  <c r="E46" i="1" s="1"/>
  <c r="V46" i="1" s="1"/>
  <c r="W45" i="1"/>
  <c r="K140" i="1"/>
  <c r="AA45" i="1"/>
  <c r="D46" i="1" s="1"/>
  <c r="K1545" i="1"/>
  <c r="K157" i="1"/>
  <c r="K1569" i="1"/>
  <c r="X45" i="1"/>
  <c r="K1612" i="1"/>
  <c r="T46" i="1" l="1"/>
  <c r="S46" i="1"/>
  <c r="U46" i="1"/>
  <c r="R46" i="1"/>
  <c r="Q46" i="1"/>
  <c r="O46" i="1"/>
  <c r="K1546" i="1"/>
  <c r="K141" i="1"/>
  <c r="K1570" i="1"/>
  <c r="P46" i="1"/>
  <c r="K1613" i="1"/>
  <c r="K158" i="1"/>
  <c r="W46" i="1" l="1"/>
  <c r="K1547" i="1"/>
  <c r="K159" i="1"/>
  <c r="K142" i="1"/>
  <c r="K1614" i="1"/>
  <c r="X46" i="1"/>
  <c r="AB46" i="1"/>
  <c r="E47" i="1" s="1"/>
  <c r="AA46" i="1"/>
  <c r="D47" i="1" s="1"/>
  <c r="U47" i="1" l="1"/>
  <c r="R47" i="1"/>
  <c r="Q47" i="1"/>
  <c r="O47" i="1"/>
  <c r="K160" i="1"/>
  <c r="V47" i="1"/>
  <c r="P47" i="1"/>
  <c r="S47" i="1"/>
  <c r="T47" i="1"/>
  <c r="K1615" i="1"/>
  <c r="K1548" i="1"/>
  <c r="K143" i="1"/>
  <c r="AB47" i="1" l="1"/>
  <c r="E48" i="1" s="1"/>
  <c r="V48" i="1" s="1"/>
  <c r="K144" i="1"/>
  <c r="K161" i="1"/>
  <c r="X47" i="1"/>
  <c r="K1616" i="1"/>
  <c r="W47" i="1"/>
  <c r="AA47" i="1"/>
  <c r="D48" i="1" s="1"/>
  <c r="K1549" i="1"/>
  <c r="T48" i="1" l="1"/>
  <c r="S48" i="1"/>
  <c r="K1550" i="1"/>
  <c r="K162" i="1"/>
  <c r="U48" i="1"/>
  <c r="R48" i="1"/>
  <c r="O48" i="1"/>
  <c r="Q48" i="1"/>
  <c r="P31" i="1"/>
  <c r="P48" i="1"/>
  <c r="W48" i="1" l="1"/>
  <c r="AA48" i="1"/>
  <c r="D49" i="1" s="1"/>
  <c r="K163" i="1"/>
  <c r="K1551" i="1"/>
  <c r="X48" i="1"/>
  <c r="AB48" i="1"/>
  <c r="E49" i="1" s="1"/>
  <c r="V49" i="1" l="1"/>
  <c r="P49" i="1"/>
  <c r="S49" i="1"/>
  <c r="T49" i="1"/>
  <c r="K1552" i="1"/>
  <c r="K164" i="1"/>
  <c r="U49" i="1"/>
  <c r="R49" i="1"/>
  <c r="Q49" i="1"/>
  <c r="O49" i="1"/>
  <c r="AA49" i="1" l="1"/>
  <c r="D50" i="1" s="1"/>
  <c r="U50" i="1" s="1"/>
  <c r="O50" i="1"/>
  <c r="Q50" i="1"/>
  <c r="X49" i="1"/>
  <c r="K165" i="1"/>
  <c r="K1553" i="1"/>
  <c r="W49" i="1"/>
  <c r="AB49" i="1"/>
  <c r="E50" i="1" s="1"/>
  <c r="K1554" i="1" l="1"/>
  <c r="V50" i="1"/>
  <c r="P50" i="1"/>
  <c r="W50" i="1" s="1"/>
  <c r="S50" i="1"/>
  <c r="T50" i="1"/>
  <c r="R50" i="1"/>
  <c r="K166" i="1"/>
  <c r="AA50" i="1" l="1"/>
  <c r="D51" i="1" s="1"/>
  <c r="U51" i="1" s="1"/>
  <c r="K167" i="1"/>
  <c r="X50" i="1"/>
  <c r="AB50" i="1"/>
  <c r="E51" i="1" s="1"/>
  <c r="K1555" i="1"/>
  <c r="O51" i="1" l="1"/>
  <c r="Q51" i="1"/>
  <c r="K168" i="1"/>
  <c r="K1556" i="1"/>
  <c r="V51" i="1"/>
  <c r="P51" i="1"/>
  <c r="W51" i="1" s="1"/>
  <c r="S51" i="1"/>
  <c r="T51" i="1"/>
  <c r="R51" i="1"/>
  <c r="X51" i="1" l="1"/>
  <c r="AA51" i="1"/>
  <c r="D52" i="1" s="1"/>
  <c r="K1557" i="1"/>
  <c r="AB51" i="1"/>
  <c r="E52" i="1" s="1"/>
  <c r="K169" i="1"/>
  <c r="K170" i="1" l="1"/>
  <c r="P52" i="1"/>
  <c r="V52" i="1"/>
  <c r="S52" i="1"/>
  <c r="T52" i="1"/>
  <c r="X1557" i="1"/>
  <c r="AM1557" i="1"/>
  <c r="AN1557" i="1" s="1"/>
  <c r="AA1557" i="1"/>
  <c r="AO1557" i="1" s="1"/>
  <c r="Z1557" i="1"/>
  <c r="AF1557" i="1"/>
  <c r="R52" i="1"/>
  <c r="U52" i="1"/>
  <c r="Q52" i="1"/>
  <c r="O52" i="1"/>
  <c r="W52" i="1" s="1"/>
  <c r="X52" i="1" l="1"/>
  <c r="AA52" i="1"/>
  <c r="D53" i="1" s="1"/>
  <c r="U53" i="1" s="1"/>
  <c r="AB52" i="1"/>
  <c r="E53" i="1" s="1"/>
  <c r="R53" i="1" s="1"/>
  <c r="Q53" i="1"/>
  <c r="O53" i="1"/>
  <c r="K171" i="1"/>
  <c r="K172" i="1" l="1"/>
  <c r="P53" i="1"/>
  <c r="AA53" i="1" s="1"/>
  <c r="D54" i="1" s="1"/>
  <c r="V53" i="1"/>
  <c r="T53" i="1"/>
  <c r="S53" i="1"/>
  <c r="X53" i="1" l="1"/>
  <c r="U54" i="1"/>
  <c r="Q54" i="1"/>
  <c r="O54" i="1"/>
  <c r="AB53" i="1"/>
  <c r="E54" i="1" s="1"/>
  <c r="R54" i="1" s="1"/>
  <c r="W53" i="1"/>
  <c r="K173" i="1"/>
  <c r="K174" i="1" l="1"/>
  <c r="V54" i="1"/>
  <c r="P54" i="1"/>
  <c r="W54" i="1" s="1"/>
  <c r="S54" i="1"/>
  <c r="T54" i="1"/>
  <c r="X54" i="1" l="1"/>
  <c r="AA54" i="1"/>
  <c r="D55" i="1" s="1"/>
  <c r="U55" i="1" s="1"/>
  <c r="O55" i="1"/>
  <c r="Q55" i="1"/>
  <c r="AB54" i="1"/>
  <c r="E55" i="1" s="1"/>
  <c r="K175" i="1"/>
  <c r="K176" i="1" l="1"/>
  <c r="V55" i="1"/>
  <c r="P55" i="1"/>
  <c r="W55" i="1" s="1"/>
  <c r="T55" i="1"/>
  <c r="S55" i="1"/>
  <c r="R55" i="1"/>
  <c r="X55" i="1" l="1"/>
  <c r="AA55" i="1"/>
  <c r="D56" i="1" s="1"/>
  <c r="U56" i="1" s="1"/>
  <c r="AB55" i="1"/>
  <c r="E56" i="1" s="1"/>
  <c r="K177" i="1"/>
  <c r="Q56" i="1" l="1"/>
  <c r="O56" i="1"/>
  <c r="K178" i="1"/>
  <c r="V56" i="1"/>
  <c r="P56" i="1"/>
  <c r="T56" i="1"/>
  <c r="S56" i="1"/>
  <c r="R56" i="1"/>
  <c r="W56" i="1" l="1"/>
  <c r="X56" i="1"/>
  <c r="AB56" i="1"/>
  <c r="E57" i="1" s="1"/>
  <c r="K179" i="1"/>
  <c r="AA56" i="1"/>
  <c r="D57" i="1" s="1"/>
  <c r="K180" i="1" l="1"/>
  <c r="R57" i="1"/>
  <c r="U57" i="1"/>
  <c r="Q57" i="1"/>
  <c r="O57" i="1"/>
  <c r="P57" i="1"/>
  <c r="V57" i="1"/>
  <c r="T57" i="1"/>
  <c r="S57" i="1"/>
  <c r="AB57" i="1" l="1"/>
  <c r="E58" i="1" s="1"/>
  <c r="AA57" i="1"/>
  <c r="D58" i="1" s="1"/>
  <c r="V58" i="1"/>
  <c r="P58" i="1"/>
  <c r="T58" i="1"/>
  <c r="S58" i="1"/>
  <c r="U58" i="1"/>
  <c r="R58" i="1"/>
  <c r="Q58" i="1"/>
  <c r="O58" i="1"/>
  <c r="W58" i="1" s="1"/>
  <c r="X57" i="1"/>
  <c r="W57" i="1"/>
  <c r="K181" i="1"/>
  <c r="X58" i="1" l="1"/>
  <c r="AB58" i="1"/>
  <c r="E59" i="1" s="1"/>
  <c r="K182" i="1"/>
  <c r="AA58" i="1"/>
  <c r="D59" i="1" s="1"/>
  <c r="R59" i="1" l="1"/>
  <c r="U59" i="1"/>
  <c r="Q59" i="1"/>
  <c r="O59" i="1"/>
  <c r="K183" i="1"/>
  <c r="P59" i="1"/>
  <c r="V59" i="1"/>
  <c r="T59" i="1"/>
  <c r="S59" i="1"/>
  <c r="AA59" i="1" l="1"/>
  <c r="D60" i="1" s="1"/>
  <c r="U60" i="1" s="1"/>
  <c r="AB59" i="1"/>
  <c r="E60" i="1" s="1"/>
  <c r="V60" i="1" s="1"/>
  <c r="R60" i="1"/>
  <c r="Q60" i="1"/>
  <c r="O60" i="1"/>
  <c r="W59" i="1"/>
  <c r="K184" i="1"/>
  <c r="X59" i="1"/>
  <c r="S60" i="1" l="1"/>
  <c r="T60" i="1"/>
  <c r="X60" i="1" s="1"/>
  <c r="P60" i="1"/>
  <c r="W60" i="1" s="1"/>
  <c r="K185" i="1"/>
  <c r="AB60" i="1" l="1"/>
  <c r="E61" i="1" s="1"/>
  <c r="AA60" i="1"/>
  <c r="D61" i="1" s="1"/>
  <c r="K186" i="1"/>
  <c r="P61" i="1"/>
  <c r="V61" i="1"/>
  <c r="T61" i="1"/>
  <c r="S61" i="1"/>
  <c r="U61" i="1"/>
  <c r="R61" i="1"/>
  <c r="Q61" i="1"/>
  <c r="O61" i="1"/>
  <c r="W61" i="1" s="1"/>
  <c r="X61" i="1" l="1"/>
  <c r="AA61" i="1"/>
  <c r="D62" i="1" s="1"/>
  <c r="AB61" i="1"/>
  <c r="E62" i="1" s="1"/>
  <c r="K187" i="1"/>
  <c r="K188" i="1" l="1"/>
  <c r="P62" i="1"/>
  <c r="V62" i="1"/>
  <c r="T62" i="1"/>
  <c r="S62" i="1"/>
  <c r="U62" i="1"/>
  <c r="R62" i="1"/>
  <c r="O62" i="1"/>
  <c r="W62" i="1" s="1"/>
  <c r="Q62" i="1"/>
  <c r="X62" i="1" l="1"/>
  <c r="AA62" i="1"/>
  <c r="D63" i="1" s="1"/>
  <c r="AB62" i="1"/>
  <c r="E63" i="1" s="1"/>
  <c r="K189" i="1"/>
  <c r="U63" i="1" l="1"/>
  <c r="R63" i="1"/>
  <c r="Q63" i="1"/>
  <c r="O63" i="1"/>
  <c r="K190" i="1"/>
  <c r="V63" i="1"/>
  <c r="P63" i="1"/>
  <c r="T63" i="1"/>
  <c r="S63" i="1"/>
  <c r="AB63" i="1" l="1"/>
  <c r="E64" i="1" s="1"/>
  <c r="V64" i="1" s="1"/>
  <c r="W63" i="1"/>
  <c r="AA63" i="1"/>
  <c r="D64" i="1" s="1"/>
  <c r="K191" i="1"/>
  <c r="X63" i="1"/>
  <c r="T64" i="1" l="1"/>
  <c r="S64" i="1"/>
  <c r="K192" i="1"/>
  <c r="R64" i="1"/>
  <c r="U64" i="1"/>
  <c r="Q64" i="1"/>
  <c r="O64" i="1"/>
  <c r="P64" i="1"/>
  <c r="W64" i="1" l="1"/>
  <c r="AA64" i="1"/>
  <c r="D65" i="1" s="1"/>
  <c r="K193" i="1"/>
  <c r="X64" i="1"/>
  <c r="AB64" i="1"/>
  <c r="E65" i="1" s="1"/>
  <c r="V65" i="1" l="1"/>
  <c r="P65" i="1"/>
  <c r="S65" i="1"/>
  <c r="T65" i="1"/>
  <c r="U65" i="1"/>
  <c r="R65" i="1"/>
  <c r="Q65" i="1"/>
  <c r="O65" i="1"/>
  <c r="W65" i="1" s="1"/>
  <c r="K194" i="1"/>
  <c r="X65" i="1" l="1"/>
  <c r="K195" i="1"/>
  <c r="AB65" i="1"/>
  <c r="E66" i="1" s="1"/>
  <c r="AA65" i="1"/>
  <c r="D66" i="1" s="1"/>
  <c r="U66" i="1" l="1"/>
  <c r="R66" i="1"/>
  <c r="O66" i="1"/>
  <c r="Q66" i="1"/>
  <c r="P66" i="1"/>
  <c r="V66" i="1"/>
  <c r="T66" i="1"/>
  <c r="S66" i="1"/>
  <c r="K196" i="1"/>
  <c r="AB66" i="1" l="1"/>
  <c r="E67" i="1" s="1"/>
  <c r="V67" i="1" s="1"/>
  <c r="K197" i="1"/>
  <c r="X66" i="1"/>
  <c r="W66" i="1"/>
  <c r="AA66" i="1"/>
  <c r="D67" i="1" s="1"/>
  <c r="P67" i="1" l="1"/>
  <c r="T67" i="1"/>
  <c r="S67" i="1"/>
  <c r="U67" i="1"/>
  <c r="R67" i="1"/>
  <c r="O67" i="1"/>
  <c r="Q67" i="1"/>
  <c r="K198" i="1"/>
  <c r="W67" i="1" l="1"/>
  <c r="K199" i="1"/>
  <c r="X67" i="1"/>
  <c r="AB67" i="1"/>
  <c r="E68" i="1" s="1"/>
  <c r="AA67" i="1"/>
  <c r="D68" i="1" s="1"/>
  <c r="R68" i="1" l="1"/>
  <c r="U68" i="1"/>
  <c r="O68" i="1"/>
  <c r="Q68" i="1"/>
  <c r="V68" i="1"/>
  <c r="P68" i="1"/>
  <c r="S68" i="1"/>
  <c r="T68" i="1"/>
  <c r="K200" i="1"/>
  <c r="AB68" i="1" l="1"/>
  <c r="E69" i="1" s="1"/>
  <c r="V69" i="1" s="1"/>
  <c r="K201" i="1"/>
  <c r="W68" i="1"/>
  <c r="AA68" i="1"/>
  <c r="D69" i="1" s="1"/>
  <c r="X68" i="1"/>
  <c r="P69" i="1" l="1"/>
  <c r="S69" i="1"/>
  <c r="T69" i="1"/>
  <c r="R69" i="1"/>
  <c r="U69" i="1"/>
  <c r="Q69" i="1"/>
  <c r="O69" i="1"/>
  <c r="K202" i="1"/>
  <c r="W69" i="1" l="1"/>
  <c r="X69" i="1"/>
  <c r="AB69" i="1"/>
  <c r="E70" i="1" s="1"/>
  <c r="K203" i="1"/>
  <c r="AA69" i="1"/>
  <c r="D70" i="1" s="1"/>
  <c r="U70" i="1" l="1"/>
  <c r="R70" i="1"/>
  <c r="Q70" i="1"/>
  <c r="O70" i="1"/>
  <c r="V70" i="1"/>
  <c r="P70" i="1"/>
  <c r="T70" i="1"/>
  <c r="S70" i="1"/>
  <c r="K204" i="1"/>
  <c r="W70" i="1" l="1"/>
  <c r="K205" i="1"/>
  <c r="X70" i="1"/>
  <c r="AB70" i="1"/>
  <c r="E71" i="1" s="1"/>
  <c r="AA70" i="1"/>
  <c r="D71" i="1" s="1"/>
  <c r="V71" i="1" l="1"/>
  <c r="P71" i="1"/>
  <c r="T71" i="1"/>
  <c r="S71" i="1"/>
  <c r="R71" i="1"/>
  <c r="U71" i="1"/>
  <c r="O71" i="1"/>
  <c r="W71" i="1" s="1"/>
  <c r="Q71" i="1"/>
  <c r="K206" i="1"/>
  <c r="X71" i="1" l="1"/>
  <c r="K207" i="1"/>
  <c r="AA71" i="1"/>
  <c r="D72" i="1" s="1"/>
  <c r="AB71" i="1"/>
  <c r="E72" i="1" s="1"/>
  <c r="V72" i="1" l="1"/>
  <c r="P72" i="1"/>
  <c r="S72" i="1"/>
  <c r="T72" i="1"/>
  <c r="R72" i="1"/>
  <c r="U72" i="1"/>
  <c r="O72" i="1"/>
  <c r="Q72" i="1"/>
  <c r="K208" i="1"/>
  <c r="W72" i="1" l="1"/>
  <c r="X72" i="1"/>
  <c r="K209" i="1"/>
  <c r="AA72" i="1"/>
  <c r="D73" i="1" s="1"/>
  <c r="AB72" i="1"/>
  <c r="E73" i="1" s="1"/>
  <c r="V73" i="1" l="1"/>
  <c r="P73" i="1"/>
  <c r="S73" i="1"/>
  <c r="T73" i="1"/>
  <c r="U73" i="1"/>
  <c r="R73" i="1"/>
  <c r="O73" i="1"/>
  <c r="W73" i="1" s="1"/>
  <c r="Q73" i="1"/>
  <c r="K210" i="1"/>
  <c r="X73" i="1" l="1"/>
  <c r="K211" i="1"/>
  <c r="AB73" i="1"/>
  <c r="E74" i="1" s="1"/>
  <c r="AA73" i="1"/>
  <c r="D74" i="1" s="1"/>
  <c r="V74" i="1" l="1"/>
  <c r="P74" i="1"/>
  <c r="S74" i="1"/>
  <c r="T74" i="1"/>
  <c r="R74" i="1"/>
  <c r="U74" i="1"/>
  <c r="O74" i="1"/>
  <c r="W74" i="1" s="1"/>
  <c r="Q74" i="1"/>
  <c r="K212" i="1"/>
  <c r="X74" i="1" l="1"/>
  <c r="AA74" i="1"/>
  <c r="D75" i="1" s="1"/>
  <c r="AB74" i="1"/>
  <c r="E75" i="1" s="1"/>
  <c r="K213" i="1"/>
  <c r="V75" i="1" l="1"/>
  <c r="P75" i="1"/>
  <c r="S75" i="1"/>
  <c r="T75" i="1"/>
  <c r="K214" i="1"/>
  <c r="R75" i="1"/>
  <c r="U75" i="1"/>
  <c r="Q75" i="1"/>
  <c r="O75" i="1"/>
  <c r="W75" i="1" s="1"/>
  <c r="X75" i="1" l="1"/>
  <c r="AA75" i="1"/>
  <c r="D76" i="1" s="1"/>
  <c r="K215" i="1"/>
  <c r="AB75" i="1"/>
  <c r="E76" i="1" s="1"/>
  <c r="K216" i="1" l="1"/>
  <c r="P76" i="1"/>
  <c r="V76" i="1"/>
  <c r="S76" i="1"/>
  <c r="T76" i="1"/>
  <c r="R76" i="1"/>
  <c r="X76" i="1" s="1"/>
  <c r="U76" i="1"/>
  <c r="O76" i="1"/>
  <c r="W76" i="1" s="1"/>
  <c r="Q76" i="1"/>
  <c r="AB76" i="1" l="1"/>
  <c r="E77" i="1" s="1"/>
  <c r="AA76" i="1"/>
  <c r="D77" i="1" s="1"/>
  <c r="K217" i="1"/>
  <c r="K218" i="1" l="1"/>
  <c r="U77" i="1"/>
  <c r="R77" i="1"/>
  <c r="O77" i="1"/>
  <c r="Q77" i="1"/>
  <c r="P77" i="1"/>
  <c r="V77" i="1"/>
  <c r="S77" i="1"/>
  <c r="T77" i="1"/>
  <c r="AB77" i="1" l="1"/>
  <c r="E78" i="1" s="1"/>
  <c r="V78" i="1" s="1"/>
  <c r="W77" i="1"/>
  <c r="AA77" i="1"/>
  <c r="D78" i="1" s="1"/>
  <c r="X77" i="1"/>
  <c r="K219" i="1"/>
  <c r="T78" i="1" l="1"/>
  <c r="S78" i="1"/>
  <c r="U78" i="1"/>
  <c r="R78" i="1"/>
  <c r="O78" i="1"/>
  <c r="Q78" i="1"/>
  <c r="P78" i="1"/>
  <c r="K220" i="1"/>
  <c r="K221" i="1" l="1"/>
  <c r="W78" i="1"/>
  <c r="X78" i="1"/>
  <c r="AB78" i="1"/>
  <c r="E79" i="1" s="1"/>
  <c r="AA78" i="1"/>
  <c r="D79" i="1" s="1"/>
  <c r="U79" i="1" l="1"/>
  <c r="R79" i="1"/>
  <c r="Q79" i="1"/>
  <c r="O79" i="1"/>
  <c r="V79" i="1"/>
  <c r="P79" i="1"/>
  <c r="S79" i="1"/>
  <c r="T79" i="1"/>
  <c r="K222" i="1"/>
  <c r="K223" i="1" l="1"/>
  <c r="W79" i="1"/>
  <c r="AA79" i="1"/>
  <c r="D80" i="1" s="1"/>
  <c r="X79" i="1"/>
  <c r="AB79" i="1"/>
  <c r="E80" i="1" s="1"/>
  <c r="P80" i="1" l="1"/>
  <c r="V80" i="1"/>
  <c r="T80" i="1"/>
  <c r="S80" i="1"/>
  <c r="R80" i="1"/>
  <c r="U80" i="1"/>
  <c r="Q80" i="1"/>
  <c r="O80" i="1"/>
  <c r="W80" i="1" s="1"/>
  <c r="K224" i="1"/>
  <c r="X80" i="1" l="1"/>
  <c r="K225" i="1"/>
  <c r="AB80" i="1"/>
  <c r="E81" i="1" s="1"/>
  <c r="AA80" i="1"/>
  <c r="D81" i="1" s="1"/>
  <c r="R81" i="1" l="1"/>
  <c r="U81" i="1"/>
  <c r="O81" i="1"/>
  <c r="Q81" i="1"/>
  <c r="K226" i="1"/>
  <c r="P81" i="1"/>
  <c r="V81" i="1"/>
  <c r="T81" i="1"/>
  <c r="S81" i="1"/>
  <c r="AB81" i="1" l="1"/>
  <c r="E82" i="1" s="1"/>
  <c r="V82" i="1" s="1"/>
  <c r="S82" i="1"/>
  <c r="T82" i="1"/>
  <c r="W81" i="1"/>
  <c r="AA81" i="1"/>
  <c r="D82" i="1" s="1"/>
  <c r="P82" i="1" s="1"/>
  <c r="K227" i="1"/>
  <c r="X81" i="1"/>
  <c r="K228" i="1" l="1"/>
  <c r="R82" i="1"/>
  <c r="U82" i="1"/>
  <c r="O82" i="1"/>
  <c r="W82" i="1" s="1"/>
  <c r="Q82" i="1"/>
  <c r="AA82" i="1" l="1"/>
  <c r="D83" i="1" s="1"/>
  <c r="X82" i="1"/>
  <c r="AB82" i="1"/>
  <c r="E83" i="1" s="1"/>
  <c r="K229" i="1"/>
  <c r="K230" i="1" l="1"/>
  <c r="P83" i="1"/>
  <c r="V83" i="1"/>
  <c r="T83" i="1"/>
  <c r="S83" i="1"/>
  <c r="U83" i="1"/>
  <c r="R83" i="1"/>
  <c r="Q83" i="1"/>
  <c r="O83" i="1"/>
  <c r="W83" i="1" s="1"/>
  <c r="X83" i="1" l="1"/>
  <c r="AB83" i="1"/>
  <c r="E84" i="1" s="1"/>
  <c r="AA83" i="1"/>
  <c r="D84" i="1" s="1"/>
  <c r="K231" i="1"/>
  <c r="R84" i="1" l="1"/>
  <c r="U84" i="1"/>
  <c r="O84" i="1"/>
  <c r="Q84" i="1"/>
  <c r="K232" i="1"/>
  <c r="V84" i="1"/>
  <c r="P84" i="1"/>
  <c r="T84" i="1"/>
  <c r="S84" i="1"/>
  <c r="AB84" i="1" l="1"/>
  <c r="E85" i="1" s="1"/>
  <c r="V85" i="1" s="1"/>
  <c r="S85" i="1"/>
  <c r="W84" i="1"/>
  <c r="AA84" i="1"/>
  <c r="D85" i="1" s="1"/>
  <c r="K233" i="1"/>
  <c r="X84" i="1"/>
  <c r="T85" i="1" l="1"/>
  <c r="K234" i="1"/>
  <c r="U85" i="1"/>
  <c r="R85" i="1"/>
  <c r="Q85" i="1"/>
  <c r="O85" i="1"/>
  <c r="P85" i="1"/>
  <c r="W85" i="1" l="1"/>
  <c r="X85" i="1"/>
  <c r="AB85" i="1"/>
  <c r="E86" i="1" s="1"/>
  <c r="K235" i="1"/>
  <c r="AA85" i="1"/>
  <c r="D86" i="1" s="1"/>
  <c r="U86" i="1" l="1"/>
  <c r="R86" i="1"/>
  <c r="Q86" i="1"/>
  <c r="O86" i="1"/>
  <c r="V86" i="1"/>
  <c r="P86" i="1"/>
  <c r="S86" i="1"/>
  <c r="T86" i="1"/>
  <c r="K236" i="1"/>
  <c r="AB86" i="1" l="1"/>
  <c r="E87" i="1" s="1"/>
  <c r="V87" i="1" s="1"/>
  <c r="W86" i="1"/>
  <c r="K237" i="1"/>
  <c r="X86" i="1"/>
  <c r="AA86" i="1"/>
  <c r="D87" i="1" s="1"/>
  <c r="P87" i="1" s="1"/>
  <c r="T87" i="1" l="1"/>
  <c r="S87" i="1"/>
  <c r="K238" i="1"/>
  <c r="U87" i="1"/>
  <c r="R87" i="1"/>
  <c r="O87" i="1"/>
  <c r="W87" i="1" s="1"/>
  <c r="Q87" i="1"/>
  <c r="AA87" i="1" l="1"/>
  <c r="D88" i="1" s="1"/>
  <c r="X87" i="1"/>
  <c r="AB87" i="1"/>
  <c r="E88" i="1" s="1"/>
  <c r="K239" i="1"/>
  <c r="K240" i="1" l="1"/>
  <c r="P88" i="1"/>
  <c r="V88" i="1"/>
  <c r="S88" i="1"/>
  <c r="T88" i="1"/>
  <c r="R88" i="1"/>
  <c r="U88" i="1"/>
  <c r="Q88" i="1"/>
  <c r="O88" i="1"/>
  <c r="W88" i="1" s="1"/>
  <c r="X88" i="1" l="1"/>
  <c r="AA88" i="1"/>
  <c r="D89" i="1" s="1"/>
  <c r="AB88" i="1"/>
  <c r="E89" i="1" s="1"/>
  <c r="K241" i="1"/>
  <c r="V89" i="1" l="1"/>
  <c r="P89" i="1"/>
  <c r="S89" i="1"/>
  <c r="T89" i="1"/>
  <c r="K242" i="1"/>
  <c r="R89" i="1"/>
  <c r="U89" i="1"/>
  <c r="Q89" i="1"/>
  <c r="O89" i="1"/>
  <c r="W89" i="1" s="1"/>
  <c r="X89" i="1" l="1"/>
  <c r="AA89" i="1"/>
  <c r="D90" i="1" s="1"/>
  <c r="AB89" i="1"/>
  <c r="E90" i="1" s="1"/>
  <c r="K243" i="1"/>
  <c r="K244" i="1" l="1"/>
  <c r="P90" i="1"/>
  <c r="V90" i="1"/>
  <c r="S90" i="1"/>
  <c r="T90" i="1"/>
  <c r="R90" i="1"/>
  <c r="U90" i="1"/>
  <c r="O90" i="1"/>
  <c r="W90" i="1" s="1"/>
  <c r="Q90" i="1"/>
  <c r="X90" i="1" l="1"/>
  <c r="AA90" i="1"/>
  <c r="D91" i="1" s="1"/>
  <c r="AB90" i="1"/>
  <c r="E91" i="1" s="1"/>
  <c r="K245" i="1"/>
  <c r="K246" i="1" l="1"/>
  <c r="V91" i="1"/>
  <c r="P91" i="1"/>
  <c r="S91" i="1"/>
  <c r="T91" i="1"/>
  <c r="R91" i="1"/>
  <c r="U91" i="1"/>
  <c r="Q91" i="1"/>
  <c r="O91" i="1"/>
  <c r="W91" i="1" s="1"/>
  <c r="X91" i="1" l="1"/>
  <c r="AA91" i="1"/>
  <c r="D92" i="1" s="1"/>
  <c r="AB91" i="1"/>
  <c r="E92" i="1" s="1"/>
  <c r="K247" i="1"/>
  <c r="K248" i="1" l="1"/>
  <c r="V92" i="1"/>
  <c r="P92" i="1"/>
  <c r="S92" i="1"/>
  <c r="T92" i="1"/>
  <c r="R92" i="1"/>
  <c r="U92" i="1"/>
  <c r="Q92" i="1"/>
  <c r="O92" i="1"/>
  <c r="W92" i="1" s="1"/>
  <c r="X92" i="1" l="1"/>
  <c r="AA92" i="1"/>
  <c r="D93" i="1" s="1"/>
  <c r="AB92" i="1"/>
  <c r="E93" i="1" s="1"/>
  <c r="K249" i="1"/>
  <c r="K250" i="1" l="1"/>
  <c r="V93" i="1"/>
  <c r="P93" i="1"/>
  <c r="T93" i="1"/>
  <c r="S93" i="1"/>
  <c r="R93" i="1"/>
  <c r="U93" i="1"/>
  <c r="O93" i="1"/>
  <c r="W93" i="1" s="1"/>
  <c r="Q93" i="1"/>
  <c r="X93" i="1" l="1"/>
  <c r="AA93" i="1"/>
  <c r="D94" i="1" s="1"/>
  <c r="AB93" i="1"/>
  <c r="E94" i="1" s="1"/>
  <c r="K251" i="1"/>
  <c r="K252" i="1" l="1"/>
  <c r="V94" i="1"/>
  <c r="P94" i="1"/>
  <c r="S94" i="1"/>
  <c r="T94" i="1"/>
  <c r="R94" i="1"/>
  <c r="X94" i="1" s="1"/>
  <c r="U94" i="1"/>
  <c r="O94" i="1"/>
  <c r="W94" i="1" s="1"/>
  <c r="Q94" i="1"/>
  <c r="AA94" i="1" l="1"/>
  <c r="D95" i="1" s="1"/>
  <c r="AB94" i="1"/>
  <c r="E95" i="1" s="1"/>
  <c r="K253" i="1"/>
  <c r="K254" i="1" l="1"/>
  <c r="P95" i="1"/>
  <c r="V95" i="1"/>
  <c r="S95" i="1"/>
  <c r="T95" i="1"/>
  <c r="U95" i="1"/>
  <c r="R95" i="1"/>
  <c r="O95" i="1"/>
  <c r="W95" i="1" s="1"/>
  <c r="Q95" i="1"/>
  <c r="X95" i="1" l="1"/>
  <c r="AB95" i="1"/>
  <c r="E96" i="1" s="1"/>
  <c r="AA95" i="1"/>
  <c r="D96" i="1" s="1"/>
  <c r="K255" i="1"/>
  <c r="K256" i="1" l="1"/>
  <c r="R96" i="1"/>
  <c r="U96" i="1"/>
  <c r="Q96" i="1"/>
  <c r="O96" i="1"/>
  <c r="P96" i="1"/>
  <c r="V96" i="1"/>
  <c r="T96" i="1"/>
  <c r="S96" i="1"/>
  <c r="AB96" i="1" l="1"/>
  <c r="E97" i="1" s="1"/>
  <c r="V97" i="1" s="1"/>
  <c r="T97" i="1"/>
  <c r="W96" i="1"/>
  <c r="X96" i="1"/>
  <c r="AA96" i="1"/>
  <c r="D97" i="1" s="1"/>
  <c r="K257" i="1"/>
  <c r="S97" i="1" l="1"/>
  <c r="K258" i="1"/>
  <c r="U97" i="1"/>
  <c r="R97" i="1"/>
  <c r="O97" i="1"/>
  <c r="Q97" i="1"/>
  <c r="P97" i="1"/>
  <c r="X97" i="1" l="1"/>
  <c r="AB97" i="1"/>
  <c r="E98" i="1" s="1"/>
  <c r="W97" i="1"/>
  <c r="AA97" i="1"/>
  <c r="D98" i="1" s="1"/>
  <c r="K259" i="1"/>
  <c r="K260" i="1" l="1"/>
  <c r="V98" i="1"/>
  <c r="P98" i="1"/>
  <c r="T98" i="1"/>
  <c r="S98" i="1"/>
  <c r="U98" i="1"/>
  <c r="R98" i="1"/>
  <c r="Q98" i="1"/>
  <c r="O98" i="1"/>
  <c r="W98" i="1" s="1"/>
  <c r="X98" i="1" l="1"/>
  <c r="AA98" i="1"/>
  <c r="D99" i="1" s="1"/>
  <c r="AB98" i="1"/>
  <c r="E99" i="1" s="1"/>
  <c r="K261" i="1"/>
  <c r="P99" i="1" l="1"/>
  <c r="V99" i="1"/>
  <c r="S99" i="1"/>
  <c r="T99" i="1"/>
  <c r="K262" i="1"/>
  <c r="R99" i="1"/>
  <c r="U99" i="1"/>
  <c r="Q99" i="1"/>
  <c r="O99" i="1"/>
  <c r="W99" i="1" s="1"/>
  <c r="X99" i="1" l="1"/>
  <c r="K263" i="1"/>
  <c r="AB99" i="1"/>
  <c r="E100" i="1" s="1"/>
  <c r="AA99" i="1"/>
  <c r="D100" i="1" s="1"/>
  <c r="P100" i="1" l="1"/>
  <c r="V100" i="1"/>
  <c r="T100" i="1"/>
  <c r="S100" i="1"/>
  <c r="R100" i="1"/>
  <c r="U100" i="1"/>
  <c r="O100" i="1"/>
  <c r="W100" i="1" s="1"/>
  <c r="Q100" i="1"/>
  <c r="K264" i="1"/>
  <c r="AB100" i="1" l="1"/>
  <c r="E101" i="1" s="1"/>
  <c r="V101" i="1" s="1"/>
  <c r="S101" i="1"/>
  <c r="AA100" i="1"/>
  <c r="D101" i="1" s="1"/>
  <c r="K265" i="1"/>
  <c r="X100" i="1"/>
  <c r="T101" i="1" l="1"/>
  <c r="K266" i="1"/>
  <c r="R101" i="1"/>
  <c r="U101" i="1"/>
  <c r="Q101" i="1"/>
  <c r="O101" i="1"/>
  <c r="P101" i="1"/>
  <c r="W101" i="1" l="1"/>
  <c r="X101" i="1"/>
  <c r="AB101" i="1"/>
  <c r="E102" i="1" s="1"/>
  <c r="AA101" i="1"/>
  <c r="D102" i="1" s="1"/>
  <c r="K267" i="1"/>
  <c r="K268" i="1" l="1"/>
  <c r="U102" i="1"/>
  <c r="R102" i="1"/>
  <c r="O102" i="1"/>
  <c r="Q102" i="1"/>
  <c r="P102" i="1"/>
  <c r="V102" i="1"/>
  <c r="T102" i="1"/>
  <c r="S102" i="1"/>
  <c r="X102" i="1" l="1"/>
  <c r="AB102" i="1"/>
  <c r="E103" i="1" s="1"/>
  <c r="K269" i="1"/>
  <c r="W102" i="1"/>
  <c r="AA102" i="1"/>
  <c r="D103" i="1" s="1"/>
  <c r="U103" i="1" l="1"/>
  <c r="R103" i="1"/>
  <c r="Q103" i="1"/>
  <c r="O103" i="1"/>
  <c r="P103" i="1"/>
  <c r="V103" i="1"/>
  <c r="T103" i="1"/>
  <c r="S103" i="1"/>
  <c r="K270" i="1"/>
  <c r="AB103" i="1" l="1"/>
  <c r="E104" i="1" s="1"/>
  <c r="V104" i="1" s="1"/>
  <c r="W103" i="1"/>
  <c r="AA103" i="1"/>
  <c r="D104" i="1" s="1"/>
  <c r="K271" i="1"/>
  <c r="X103" i="1"/>
  <c r="T104" i="1" l="1"/>
  <c r="S104" i="1"/>
  <c r="K272" i="1"/>
  <c r="R104" i="1"/>
  <c r="U104" i="1"/>
  <c r="O104" i="1"/>
  <c r="Q104" i="1"/>
  <c r="P104" i="1"/>
  <c r="W104" i="1" l="1"/>
  <c r="AA104" i="1"/>
  <c r="D105" i="1" s="1"/>
  <c r="K273" i="1"/>
  <c r="X104" i="1"/>
  <c r="AB104" i="1"/>
  <c r="E105" i="1" s="1"/>
  <c r="V105" i="1" l="1"/>
  <c r="P105" i="1"/>
  <c r="S105" i="1"/>
  <c r="T105" i="1"/>
  <c r="U105" i="1"/>
  <c r="R105" i="1"/>
  <c r="O105" i="1"/>
  <c r="W105" i="1" s="1"/>
  <c r="Q105" i="1"/>
  <c r="K274" i="1"/>
  <c r="X105" i="1" l="1"/>
  <c r="K275" i="1"/>
  <c r="AA105" i="1"/>
  <c r="D106" i="1" s="1"/>
  <c r="AB105" i="1"/>
  <c r="E106" i="1" s="1"/>
  <c r="U106" i="1" l="1"/>
  <c r="R106" i="1"/>
  <c r="Q106" i="1"/>
  <c r="O106" i="1"/>
  <c r="K276" i="1"/>
  <c r="V106" i="1"/>
  <c r="P106" i="1"/>
  <c r="S106" i="1"/>
  <c r="T106" i="1"/>
  <c r="W106" i="1" l="1"/>
  <c r="X106" i="1"/>
  <c r="AA106" i="1"/>
  <c r="D107" i="1" s="1"/>
  <c r="AB106" i="1"/>
  <c r="E107" i="1" s="1"/>
  <c r="K277" i="1"/>
  <c r="V107" i="1" l="1"/>
  <c r="P107" i="1"/>
  <c r="S107" i="1"/>
  <c r="T107" i="1"/>
  <c r="K278" i="1"/>
  <c r="U107" i="1"/>
  <c r="R107" i="1"/>
  <c r="X107" i="1" s="1"/>
  <c r="O107" i="1"/>
  <c r="W107" i="1" s="1"/>
  <c r="Q107" i="1"/>
  <c r="AB107" i="1" l="1"/>
  <c r="E108" i="1" s="1"/>
  <c r="AA107" i="1"/>
  <c r="D108" i="1" s="1"/>
  <c r="K279" i="1"/>
  <c r="R108" i="1" l="1"/>
  <c r="U108" i="1"/>
  <c r="Q108" i="1"/>
  <c r="O108" i="1"/>
  <c r="K280" i="1"/>
  <c r="V108" i="1"/>
  <c r="P108" i="1"/>
  <c r="T108" i="1"/>
  <c r="S108" i="1"/>
  <c r="AB108" i="1" l="1"/>
  <c r="E109" i="1" s="1"/>
  <c r="V109" i="1" s="1"/>
  <c r="W108" i="1"/>
  <c r="AA108" i="1"/>
  <c r="D109" i="1" s="1"/>
  <c r="K281" i="1"/>
  <c r="X108" i="1"/>
  <c r="T109" i="1" l="1"/>
  <c r="S109" i="1"/>
  <c r="K282" i="1"/>
  <c r="U109" i="1"/>
  <c r="R109" i="1"/>
  <c r="O109" i="1"/>
  <c r="Q109" i="1"/>
  <c r="P109" i="1"/>
  <c r="X109" i="1" l="1"/>
  <c r="AB109" i="1"/>
  <c r="E110" i="1" s="1"/>
  <c r="K283" i="1"/>
  <c r="W109" i="1"/>
  <c r="AA109" i="1"/>
  <c r="D110" i="1" s="1"/>
  <c r="K284" i="1" l="1"/>
  <c r="V110" i="1"/>
  <c r="P110" i="1"/>
  <c r="T110" i="1"/>
  <c r="S110" i="1"/>
  <c r="R110" i="1"/>
  <c r="X110" i="1" s="1"/>
  <c r="U110" i="1"/>
  <c r="O110" i="1"/>
  <c r="Q110" i="1"/>
  <c r="W110" i="1" l="1"/>
  <c r="AB110" i="1"/>
  <c r="E111" i="1" s="1"/>
  <c r="AA110" i="1"/>
  <c r="D111" i="1" s="1"/>
  <c r="K285" i="1"/>
  <c r="U111" i="1" l="1"/>
  <c r="R111" i="1"/>
  <c r="Q111" i="1"/>
  <c r="O111" i="1"/>
  <c r="K286" i="1"/>
  <c r="V111" i="1"/>
  <c r="P111" i="1"/>
  <c r="S111" i="1"/>
  <c r="T111" i="1"/>
  <c r="AB111" i="1" l="1"/>
  <c r="E112" i="1" s="1"/>
  <c r="V112" i="1" s="1"/>
  <c r="S112" i="1"/>
  <c r="W111" i="1"/>
  <c r="K287" i="1"/>
  <c r="X111" i="1"/>
  <c r="AA111" i="1"/>
  <c r="D112" i="1" s="1"/>
  <c r="T112" i="1" l="1"/>
  <c r="R112" i="1"/>
  <c r="U112" i="1"/>
  <c r="O112" i="1"/>
  <c r="Q112" i="1"/>
  <c r="K288" i="1"/>
  <c r="P112" i="1"/>
  <c r="W112" i="1" l="1"/>
  <c r="AA112" i="1"/>
  <c r="D113" i="1" s="1"/>
  <c r="K289" i="1"/>
  <c r="X112" i="1"/>
  <c r="AB112" i="1"/>
  <c r="E113" i="1" s="1"/>
  <c r="R113" i="1" l="1"/>
  <c r="U113" i="1"/>
  <c r="O113" i="1"/>
  <c r="Q113" i="1"/>
  <c r="V113" i="1"/>
  <c r="P113" i="1"/>
  <c r="T113" i="1"/>
  <c r="S113" i="1"/>
  <c r="K290" i="1"/>
  <c r="AB113" i="1" l="1"/>
  <c r="E114" i="1" s="1"/>
  <c r="V114" i="1" s="1"/>
  <c r="K291" i="1"/>
  <c r="W113" i="1"/>
  <c r="AA113" i="1"/>
  <c r="D114" i="1" s="1"/>
  <c r="X113" i="1"/>
  <c r="S114" i="1" l="1"/>
  <c r="T114" i="1"/>
  <c r="U114" i="1"/>
  <c r="R114" i="1"/>
  <c r="O114" i="1"/>
  <c r="Q114" i="1"/>
  <c r="K292" i="1"/>
  <c r="P114" i="1"/>
  <c r="W114" i="1" l="1"/>
  <c r="K293" i="1"/>
  <c r="X114" i="1"/>
  <c r="AB114" i="1"/>
  <c r="E115" i="1" s="1"/>
  <c r="AA114" i="1"/>
  <c r="D115" i="1" s="1"/>
  <c r="U115" i="1" l="1"/>
  <c r="R115" i="1"/>
  <c r="Q115" i="1"/>
  <c r="O115" i="1"/>
  <c r="K294" i="1"/>
  <c r="V115" i="1"/>
  <c r="P115" i="1"/>
  <c r="T115" i="1"/>
  <c r="S115" i="1"/>
  <c r="AB115" i="1" l="1"/>
  <c r="E116" i="1" s="1"/>
  <c r="V116" i="1" s="1"/>
  <c r="T116" i="1"/>
  <c r="S116" i="1"/>
  <c r="W115" i="1"/>
  <c r="K295" i="1"/>
  <c r="X115" i="1"/>
  <c r="AA115" i="1"/>
  <c r="D116" i="1" s="1"/>
  <c r="R116" i="1" l="1"/>
  <c r="U116" i="1"/>
  <c r="O116" i="1"/>
  <c r="Q116" i="1"/>
  <c r="K296" i="1"/>
  <c r="P116" i="1"/>
  <c r="W116" i="1" l="1"/>
  <c r="K297" i="1"/>
  <c r="AA116" i="1"/>
  <c r="D117" i="1" s="1"/>
  <c r="X116" i="1"/>
  <c r="AB116" i="1"/>
  <c r="E117" i="1" s="1"/>
  <c r="V117" i="1" l="1"/>
  <c r="P117" i="1"/>
  <c r="S117" i="1"/>
  <c r="T117" i="1"/>
  <c r="U117" i="1"/>
  <c r="R117" i="1"/>
  <c r="O117" i="1"/>
  <c r="W117" i="1" s="1"/>
  <c r="Q117" i="1"/>
  <c r="K298" i="1"/>
  <c r="X117" i="1" l="1"/>
  <c r="K299" i="1"/>
  <c r="AB117" i="1"/>
  <c r="E118" i="1" s="1"/>
  <c r="AA117" i="1"/>
  <c r="D118" i="1" s="1"/>
  <c r="R118" i="1" l="1"/>
  <c r="U118" i="1"/>
  <c r="Q118" i="1"/>
  <c r="O118" i="1"/>
  <c r="K300" i="1"/>
  <c r="P118" i="1"/>
  <c r="V118" i="1"/>
  <c r="S118" i="1"/>
  <c r="T118" i="1"/>
  <c r="AB118" i="1" l="1"/>
  <c r="E119" i="1" s="1"/>
  <c r="V119" i="1" s="1"/>
  <c r="W118" i="1"/>
  <c r="K301" i="1"/>
  <c r="AA118" i="1"/>
  <c r="D119" i="1" s="1"/>
  <c r="X118" i="1"/>
  <c r="S119" i="1" l="1"/>
  <c r="T119" i="1"/>
  <c r="U119" i="1"/>
  <c r="R119" i="1"/>
  <c r="Q119" i="1"/>
  <c r="O119" i="1"/>
  <c r="K302" i="1"/>
  <c r="P119" i="1"/>
  <c r="W119" i="1" l="1"/>
  <c r="K303" i="1"/>
  <c r="X119" i="1"/>
  <c r="AB119" i="1"/>
  <c r="E120" i="1" s="1"/>
  <c r="AA119" i="1"/>
  <c r="D120" i="1" s="1"/>
  <c r="R120" i="1" l="1"/>
  <c r="U120" i="1"/>
  <c r="O120" i="1"/>
  <c r="Q120" i="1"/>
  <c r="K304" i="1"/>
  <c r="V120" i="1"/>
  <c r="P120" i="1"/>
  <c r="S120" i="1"/>
  <c r="T120" i="1"/>
  <c r="AB120" i="1" l="1"/>
  <c r="E121" i="1" s="1"/>
  <c r="V121" i="1" s="1"/>
  <c r="W120" i="1"/>
  <c r="K305" i="1"/>
  <c r="AA120" i="1"/>
  <c r="D121" i="1" s="1"/>
  <c r="X120" i="1"/>
  <c r="T121" i="1" l="1"/>
  <c r="S121" i="1"/>
  <c r="U121" i="1"/>
  <c r="R121" i="1"/>
  <c r="Q121" i="1"/>
  <c r="O121" i="1"/>
  <c r="K306" i="1"/>
  <c r="P121" i="1"/>
  <c r="W121" i="1" l="1"/>
  <c r="K307" i="1"/>
  <c r="X121" i="1"/>
  <c r="AB121" i="1"/>
  <c r="E122" i="1" s="1"/>
  <c r="AA121" i="1"/>
  <c r="D122" i="1" s="1"/>
  <c r="V122" i="1" l="1"/>
  <c r="P122" i="1"/>
  <c r="S122" i="1"/>
  <c r="T122" i="1"/>
  <c r="U122" i="1"/>
  <c r="R122" i="1"/>
  <c r="Q122" i="1"/>
  <c r="O122" i="1"/>
  <c r="W122" i="1" s="1"/>
  <c r="I16" i="1" s="1"/>
  <c r="K308" i="1"/>
  <c r="X122" i="1" l="1"/>
  <c r="I17" i="1" s="1"/>
  <c r="K309" i="1"/>
  <c r="AB122" i="1"/>
  <c r="I14" i="1" s="1"/>
  <c r="AA122" i="1"/>
  <c r="I13" i="1" s="1"/>
  <c r="L1607" i="1" l="1"/>
  <c r="U1533" i="1"/>
  <c r="L1563" i="1"/>
  <c r="T35" i="1"/>
  <c r="L1539" i="1"/>
  <c r="U144" i="1"/>
  <c r="L150" i="1"/>
  <c r="T32" i="1"/>
  <c r="T33" i="1"/>
  <c r="K310" i="1"/>
  <c r="K311" i="1" l="1"/>
  <c r="W144" i="1"/>
  <c r="AD144" i="1"/>
  <c r="Y144" i="1"/>
  <c r="Z144" i="1" s="1"/>
  <c r="V144" i="1"/>
  <c r="X144" i="1"/>
  <c r="AA144" i="1"/>
  <c r="AO144" i="1" s="1"/>
  <c r="Y1533" i="1"/>
  <c r="W1533" i="1"/>
  <c r="V1533" i="1"/>
  <c r="AD1533" i="1"/>
  <c r="AE1533" i="1" s="1"/>
  <c r="P150" i="1"/>
  <c r="Q150" i="1" s="1"/>
  <c r="N150" i="1"/>
  <c r="M150" i="1"/>
  <c r="O150" i="1"/>
  <c r="R150" i="1"/>
  <c r="P1539" i="1"/>
  <c r="Q1539" i="1" s="1"/>
  <c r="M1539" i="1"/>
  <c r="N1539" i="1"/>
  <c r="O1539" i="1"/>
  <c r="R1539" i="1"/>
  <c r="P1563" i="1"/>
  <c r="Q1563" i="1" s="1"/>
  <c r="N1563" i="1"/>
  <c r="M1563" i="1"/>
  <c r="O1563" i="1"/>
  <c r="R1563" i="1"/>
  <c r="P1607" i="1"/>
  <c r="Q1607" i="1" s="1"/>
  <c r="N1607" i="1"/>
  <c r="M1607" i="1"/>
  <c r="O1607" i="1"/>
  <c r="R1607" i="1"/>
  <c r="M32" i="1" l="1"/>
  <c r="AE144" i="1"/>
  <c r="AM144" i="1"/>
  <c r="AN144" i="1" s="1"/>
  <c r="K312" i="1"/>
  <c r="K313" i="1" l="1"/>
  <c r="AF144" i="1"/>
  <c r="M31" i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AM1533" i="1" l="1"/>
  <c r="AN1533" i="1" s="1"/>
  <c r="X1533" i="1"/>
  <c r="AA1533" i="1"/>
  <c r="AO1533" i="1" s="1"/>
  <c r="P32" i="1"/>
  <c r="AF1533" i="1"/>
  <c r="Z1533" i="1"/>
  <c r="I15" i="1"/>
  <c r="L31" i="1"/>
  <c r="Q31" i="1"/>
  <c r="R31" i="1"/>
  <c r="S31" i="1"/>
  <c r="U31" i="1"/>
  <c r="L32" i="1"/>
  <c r="Q32" i="1"/>
  <c r="R32" i="1"/>
  <c r="S32" i="1"/>
  <c r="U32" i="1"/>
  <c r="L33" i="1"/>
  <c r="Q33" i="1"/>
  <c r="R33" i="1"/>
  <c r="S33" i="1"/>
  <c r="U33" i="1"/>
  <c r="L34" i="1"/>
  <c r="O34" i="1"/>
  <c r="P34" i="1"/>
  <c r="Q34" i="1"/>
  <c r="R34" i="1"/>
  <c r="S34" i="1"/>
  <c r="U34" i="1"/>
  <c r="L35" i="1"/>
  <c r="O35" i="1"/>
  <c r="Q35" i="1"/>
  <c r="R35" i="1"/>
  <c r="S35" i="1"/>
  <c r="U35" i="1"/>
  <c r="L36" i="1"/>
  <c r="N36" i="1"/>
  <c r="P36" i="1"/>
  <c r="Q36" i="1"/>
  <c r="R36" i="1"/>
  <c r="S36" i="1"/>
  <c r="U36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M133" i="1"/>
  <c r="AN133" i="1"/>
  <c r="AO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M134" i="1"/>
  <c r="AN134" i="1"/>
  <c r="AO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M135" i="1"/>
  <c r="AN135" i="1"/>
  <c r="AO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M136" i="1"/>
  <c r="AN136" i="1"/>
  <c r="AO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M137" i="1"/>
  <c r="AN137" i="1"/>
  <c r="AO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M138" i="1"/>
  <c r="AN138" i="1"/>
  <c r="AO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M139" i="1"/>
  <c r="AN139" i="1"/>
  <c r="AO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M140" i="1"/>
  <c r="AN140" i="1"/>
  <c r="AO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M141" i="1"/>
  <c r="AN141" i="1"/>
  <c r="AO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M142" i="1"/>
  <c r="AN142" i="1"/>
  <c r="AO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M143" i="1"/>
  <c r="AN143" i="1"/>
  <c r="AO143" i="1"/>
  <c r="L144" i="1"/>
  <c r="M144" i="1"/>
  <c r="N144" i="1"/>
  <c r="O144" i="1"/>
  <c r="P144" i="1"/>
  <c r="Q144" i="1"/>
  <c r="R144" i="1"/>
  <c r="S144" i="1"/>
  <c r="T144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M150" i="1"/>
  <c r="AN150" i="1"/>
  <c r="AO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M151" i="1"/>
  <c r="AN151" i="1"/>
  <c r="AO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M152" i="1"/>
  <c r="AN152" i="1"/>
  <c r="AO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M153" i="1"/>
  <c r="AN153" i="1"/>
  <c r="AO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M154" i="1"/>
  <c r="AN154" i="1"/>
  <c r="AO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M155" i="1"/>
  <c r="AN155" i="1"/>
  <c r="AO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M156" i="1"/>
  <c r="AN156" i="1"/>
  <c r="AO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M157" i="1"/>
  <c r="AN157" i="1"/>
  <c r="AO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M158" i="1"/>
  <c r="AN158" i="1"/>
  <c r="AO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M159" i="1"/>
  <c r="AN159" i="1"/>
  <c r="AO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M160" i="1"/>
  <c r="AN160" i="1"/>
  <c r="AO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M161" i="1"/>
  <c r="AN161" i="1"/>
  <c r="AO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M162" i="1"/>
  <c r="AN162" i="1"/>
  <c r="AO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M163" i="1"/>
  <c r="AN163" i="1"/>
  <c r="AO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M164" i="1"/>
  <c r="AN164" i="1"/>
  <c r="AO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M165" i="1"/>
  <c r="AN165" i="1"/>
  <c r="AO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M166" i="1"/>
  <c r="AN166" i="1"/>
  <c r="AO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M167" i="1"/>
  <c r="AN167" i="1"/>
  <c r="AO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M168" i="1"/>
  <c r="AN168" i="1"/>
  <c r="AO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M169" i="1"/>
  <c r="AN169" i="1"/>
  <c r="AO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M170" i="1"/>
  <c r="AN170" i="1"/>
  <c r="AO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M171" i="1"/>
  <c r="AN171" i="1"/>
  <c r="AO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M172" i="1"/>
  <c r="AN172" i="1"/>
  <c r="AO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M173" i="1"/>
  <c r="AN173" i="1"/>
  <c r="AO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M174" i="1"/>
  <c r="AN174" i="1"/>
  <c r="AO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M175" i="1"/>
  <c r="AN175" i="1"/>
  <c r="AO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M176" i="1"/>
  <c r="AN176" i="1"/>
  <c r="AO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M177" i="1"/>
  <c r="AN177" i="1"/>
  <c r="AO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M178" i="1"/>
  <c r="AN178" i="1"/>
  <c r="AO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M179" i="1"/>
  <c r="AN179" i="1"/>
  <c r="AO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M180" i="1"/>
  <c r="AN180" i="1"/>
  <c r="AO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M181" i="1"/>
  <c r="AN181" i="1"/>
  <c r="AO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M182" i="1"/>
  <c r="AN182" i="1"/>
  <c r="AO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M183" i="1"/>
  <c r="AN183" i="1"/>
  <c r="AO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M184" i="1"/>
  <c r="AN184" i="1"/>
  <c r="AO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M185" i="1"/>
  <c r="AN185" i="1"/>
  <c r="AO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M186" i="1"/>
  <c r="AN186" i="1"/>
  <c r="AO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M187" i="1"/>
  <c r="AN187" i="1"/>
  <c r="AO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M188" i="1"/>
  <c r="AN188" i="1"/>
  <c r="AO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M189" i="1"/>
  <c r="AN189" i="1"/>
  <c r="AO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M190" i="1"/>
  <c r="AN190" i="1"/>
  <c r="AO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M191" i="1"/>
  <c r="AN191" i="1"/>
  <c r="AO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M192" i="1"/>
  <c r="AN192" i="1"/>
  <c r="AO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M193" i="1"/>
  <c r="AN193" i="1"/>
  <c r="AO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M194" i="1"/>
  <c r="AN194" i="1"/>
  <c r="AO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M195" i="1"/>
  <c r="AN195" i="1"/>
  <c r="AO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M196" i="1"/>
  <c r="AN196" i="1"/>
  <c r="AO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M197" i="1"/>
  <c r="AN197" i="1"/>
  <c r="AO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M198" i="1"/>
  <c r="AN198" i="1"/>
  <c r="AO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M199" i="1"/>
  <c r="AN199" i="1"/>
  <c r="AO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M200" i="1"/>
  <c r="AN200" i="1"/>
  <c r="AO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M201" i="1"/>
  <c r="AN201" i="1"/>
  <c r="AO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M202" i="1"/>
  <c r="AN202" i="1"/>
  <c r="AO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M203" i="1"/>
  <c r="AN203" i="1"/>
  <c r="AO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M204" i="1"/>
  <c r="AN204" i="1"/>
  <c r="AO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M205" i="1"/>
  <c r="AN205" i="1"/>
  <c r="AO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M206" i="1"/>
  <c r="AN206" i="1"/>
  <c r="AO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M207" i="1"/>
  <c r="AN207" i="1"/>
  <c r="AO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M208" i="1"/>
  <c r="AN208" i="1"/>
  <c r="AO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M209" i="1"/>
  <c r="AN209" i="1"/>
  <c r="AO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M210" i="1"/>
  <c r="AN210" i="1"/>
  <c r="AO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M211" i="1"/>
  <c r="AN211" i="1"/>
  <c r="AO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M212" i="1"/>
  <c r="AN212" i="1"/>
  <c r="AO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M213" i="1"/>
  <c r="AN213" i="1"/>
  <c r="AO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M214" i="1"/>
  <c r="AN214" i="1"/>
  <c r="AO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M215" i="1"/>
  <c r="AN215" i="1"/>
  <c r="AO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M216" i="1"/>
  <c r="AN216" i="1"/>
  <c r="AO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M217" i="1"/>
  <c r="AN217" i="1"/>
  <c r="AO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M218" i="1"/>
  <c r="AN218" i="1"/>
  <c r="AO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M219" i="1"/>
  <c r="AN219" i="1"/>
  <c r="AO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M220" i="1"/>
  <c r="AN220" i="1"/>
  <c r="AO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M221" i="1"/>
  <c r="AN221" i="1"/>
  <c r="AO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M222" i="1"/>
  <c r="AN222" i="1"/>
  <c r="AO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M223" i="1"/>
  <c r="AN223" i="1"/>
  <c r="AO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M224" i="1"/>
  <c r="AN224" i="1"/>
  <c r="AO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M225" i="1"/>
  <c r="AN225" i="1"/>
  <c r="AO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M226" i="1"/>
  <c r="AN226" i="1"/>
  <c r="AO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M227" i="1"/>
  <c r="AN227" i="1"/>
  <c r="AO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M228" i="1"/>
  <c r="AN228" i="1"/>
  <c r="AO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M229" i="1"/>
  <c r="AN229" i="1"/>
  <c r="AO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M230" i="1"/>
  <c r="AN230" i="1"/>
  <c r="AO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M231" i="1"/>
  <c r="AN231" i="1"/>
  <c r="AO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M232" i="1"/>
  <c r="AN232" i="1"/>
  <c r="AO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M233" i="1"/>
  <c r="AN233" i="1"/>
  <c r="AO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M234" i="1"/>
  <c r="AN234" i="1"/>
  <c r="AO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M235" i="1"/>
  <c r="AN235" i="1"/>
  <c r="AO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M236" i="1"/>
  <c r="AN236" i="1"/>
  <c r="AO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M237" i="1"/>
  <c r="AN237" i="1"/>
  <c r="AO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M238" i="1"/>
  <c r="AN238" i="1"/>
  <c r="AO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M239" i="1"/>
  <c r="AN239" i="1"/>
  <c r="AO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M240" i="1"/>
  <c r="AN240" i="1"/>
  <c r="AO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M241" i="1"/>
  <c r="AN241" i="1"/>
  <c r="AO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M242" i="1"/>
  <c r="AN242" i="1"/>
  <c r="AO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M243" i="1"/>
  <c r="AN243" i="1"/>
  <c r="AO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M244" i="1"/>
  <c r="AN244" i="1"/>
  <c r="AO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M245" i="1"/>
  <c r="AN245" i="1"/>
  <c r="AO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M246" i="1"/>
  <c r="AN246" i="1"/>
  <c r="AO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M247" i="1"/>
  <c r="AN247" i="1"/>
  <c r="AO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M248" i="1"/>
  <c r="AN248" i="1"/>
  <c r="AO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M249" i="1"/>
  <c r="AN249" i="1"/>
  <c r="AO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M250" i="1"/>
  <c r="AN250" i="1"/>
  <c r="AO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M251" i="1"/>
  <c r="AN251" i="1"/>
  <c r="AO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M252" i="1"/>
  <c r="AN252" i="1"/>
  <c r="AO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M253" i="1"/>
  <c r="AN253" i="1"/>
  <c r="AO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M254" i="1"/>
  <c r="AN254" i="1"/>
  <c r="AO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M255" i="1"/>
  <c r="AN255" i="1"/>
  <c r="AO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M256" i="1"/>
  <c r="AN256" i="1"/>
  <c r="AO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M257" i="1"/>
  <c r="AN257" i="1"/>
  <c r="AO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M258" i="1"/>
  <c r="AN258" i="1"/>
  <c r="AO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M259" i="1"/>
  <c r="AN259" i="1"/>
  <c r="AO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M260" i="1"/>
  <c r="AN260" i="1"/>
  <c r="AO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M261" i="1"/>
  <c r="AN261" i="1"/>
  <c r="AO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M262" i="1"/>
  <c r="AN262" i="1"/>
  <c r="AO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M263" i="1"/>
  <c r="AN263" i="1"/>
  <c r="AO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M264" i="1"/>
  <c r="AN264" i="1"/>
  <c r="AO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M265" i="1"/>
  <c r="AN265" i="1"/>
  <c r="AO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M266" i="1"/>
  <c r="AN266" i="1"/>
  <c r="AO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M267" i="1"/>
  <c r="AN267" i="1"/>
  <c r="AO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M268" i="1"/>
  <c r="AN268" i="1"/>
  <c r="AO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M269" i="1"/>
  <c r="AN269" i="1"/>
  <c r="AO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M270" i="1"/>
  <c r="AN270" i="1"/>
  <c r="AO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M271" i="1"/>
  <c r="AN271" i="1"/>
  <c r="AO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M272" i="1"/>
  <c r="AN272" i="1"/>
  <c r="AO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M273" i="1"/>
  <c r="AN273" i="1"/>
  <c r="AO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M274" i="1"/>
  <c r="AN274" i="1"/>
  <c r="AO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M275" i="1"/>
  <c r="AN275" i="1"/>
  <c r="AO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M276" i="1"/>
  <c r="AN276" i="1"/>
  <c r="AO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M277" i="1"/>
  <c r="AN277" i="1"/>
  <c r="AO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M278" i="1"/>
  <c r="AN278" i="1"/>
  <c r="AO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M279" i="1"/>
  <c r="AN279" i="1"/>
  <c r="AO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M280" i="1"/>
  <c r="AN280" i="1"/>
  <c r="AO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M281" i="1"/>
  <c r="AN281" i="1"/>
  <c r="AO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M282" i="1"/>
  <c r="AN282" i="1"/>
  <c r="AO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M283" i="1"/>
  <c r="AN283" i="1"/>
  <c r="AO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M284" i="1"/>
  <c r="AN284" i="1"/>
  <c r="AO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M285" i="1"/>
  <c r="AN285" i="1"/>
  <c r="AO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M286" i="1"/>
  <c r="AN286" i="1"/>
  <c r="AO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M287" i="1"/>
  <c r="AN287" i="1"/>
  <c r="AO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M288" i="1"/>
  <c r="AN288" i="1"/>
  <c r="AO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M289" i="1"/>
  <c r="AN289" i="1"/>
  <c r="AO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M290" i="1"/>
  <c r="AN290" i="1"/>
  <c r="AO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M291" i="1"/>
  <c r="AN291" i="1"/>
  <c r="AO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M292" i="1"/>
  <c r="AN292" i="1"/>
  <c r="AO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M293" i="1"/>
  <c r="AN293" i="1"/>
  <c r="AO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M294" i="1"/>
  <c r="AN294" i="1"/>
  <c r="AO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M295" i="1"/>
  <c r="AN295" i="1"/>
  <c r="AO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M296" i="1"/>
  <c r="AN296" i="1"/>
  <c r="AO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M297" i="1"/>
  <c r="AN297" i="1"/>
  <c r="AO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M298" i="1"/>
  <c r="AN298" i="1"/>
  <c r="AO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M299" i="1"/>
  <c r="AN299" i="1"/>
  <c r="AO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M300" i="1"/>
  <c r="AN300" i="1"/>
  <c r="AO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M301" i="1"/>
  <c r="AN301" i="1"/>
  <c r="AO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M302" i="1"/>
  <c r="AN302" i="1"/>
  <c r="AO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M303" i="1"/>
  <c r="AN303" i="1"/>
  <c r="AO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M304" i="1"/>
  <c r="AN304" i="1"/>
  <c r="AO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M305" i="1"/>
  <c r="AN305" i="1"/>
  <c r="AO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M306" i="1"/>
  <c r="AN306" i="1"/>
  <c r="AO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M307" i="1"/>
  <c r="AN307" i="1"/>
  <c r="AO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M308" i="1"/>
  <c r="AN308" i="1"/>
  <c r="AO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M309" i="1"/>
  <c r="AN309" i="1"/>
  <c r="AO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M310" i="1"/>
  <c r="AN310" i="1"/>
  <c r="AO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M311" i="1"/>
  <c r="AN311" i="1"/>
  <c r="AO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M312" i="1"/>
  <c r="AN312" i="1"/>
  <c r="AO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M313" i="1"/>
  <c r="AN313" i="1"/>
  <c r="AO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M314" i="1"/>
  <c r="AN314" i="1"/>
  <c r="AO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M315" i="1"/>
  <c r="AN315" i="1"/>
  <c r="AO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M316" i="1"/>
  <c r="AN316" i="1"/>
  <c r="AO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M317" i="1"/>
  <c r="AN317" i="1"/>
  <c r="AO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M318" i="1"/>
  <c r="AN318" i="1"/>
  <c r="AO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M319" i="1"/>
  <c r="AN319" i="1"/>
  <c r="AO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M320" i="1"/>
  <c r="AN320" i="1"/>
  <c r="AO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M321" i="1"/>
  <c r="AN321" i="1"/>
  <c r="AO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M322" i="1"/>
  <c r="AN322" i="1"/>
  <c r="AO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M323" i="1"/>
  <c r="AN323" i="1"/>
  <c r="AO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M324" i="1"/>
  <c r="AN324" i="1"/>
  <c r="AO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M325" i="1"/>
  <c r="AN325" i="1"/>
  <c r="AO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M326" i="1"/>
  <c r="AN326" i="1"/>
  <c r="AO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M327" i="1"/>
  <c r="AN327" i="1"/>
  <c r="AO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M328" i="1"/>
  <c r="AN328" i="1"/>
  <c r="AO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M329" i="1"/>
  <c r="AN329" i="1"/>
  <c r="AO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M330" i="1"/>
  <c r="AN330" i="1"/>
  <c r="AO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M331" i="1"/>
  <c r="AN331" i="1"/>
  <c r="AO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M332" i="1"/>
  <c r="AN332" i="1"/>
  <c r="AO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M333" i="1"/>
  <c r="AN333" i="1"/>
  <c r="AO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M334" i="1"/>
  <c r="AN334" i="1"/>
  <c r="AO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M335" i="1"/>
  <c r="AN335" i="1"/>
  <c r="AO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M336" i="1"/>
  <c r="AN336" i="1"/>
  <c r="AO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M337" i="1"/>
  <c r="AN337" i="1"/>
  <c r="AO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M338" i="1"/>
  <c r="AN338" i="1"/>
  <c r="AO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M339" i="1"/>
  <c r="AN339" i="1"/>
  <c r="AO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M340" i="1"/>
  <c r="AN340" i="1"/>
  <c r="AO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M341" i="1"/>
  <c r="AN341" i="1"/>
  <c r="AO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M342" i="1"/>
  <c r="AN342" i="1"/>
  <c r="AO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M343" i="1"/>
  <c r="AN343" i="1"/>
  <c r="AO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M344" i="1"/>
  <c r="AN344" i="1"/>
  <c r="AO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M345" i="1"/>
  <c r="AN345" i="1"/>
  <c r="AO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M346" i="1"/>
  <c r="AN346" i="1"/>
  <c r="AO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M347" i="1"/>
  <c r="AN347" i="1"/>
  <c r="AO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M348" i="1"/>
  <c r="AN348" i="1"/>
  <c r="AO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M349" i="1"/>
  <c r="AN349" i="1"/>
  <c r="AO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M350" i="1"/>
  <c r="AN350" i="1"/>
  <c r="AO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M351" i="1"/>
  <c r="AN351" i="1"/>
  <c r="AO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M352" i="1"/>
  <c r="AN352" i="1"/>
  <c r="AO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M353" i="1"/>
  <c r="AN353" i="1"/>
  <c r="AO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M354" i="1"/>
  <c r="AN354" i="1"/>
  <c r="AO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M355" i="1"/>
  <c r="AN355" i="1"/>
  <c r="AO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M356" i="1"/>
  <c r="AN356" i="1"/>
  <c r="AO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M357" i="1"/>
  <c r="AN357" i="1"/>
  <c r="AO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M358" i="1"/>
  <c r="AN358" i="1"/>
  <c r="AO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M359" i="1"/>
  <c r="AN359" i="1"/>
  <c r="AO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M360" i="1"/>
  <c r="AN360" i="1"/>
  <c r="AO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M361" i="1"/>
  <c r="AN361" i="1"/>
  <c r="AO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M362" i="1"/>
  <c r="AN362" i="1"/>
  <c r="AO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M363" i="1"/>
  <c r="AN363" i="1"/>
  <c r="AO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M364" i="1"/>
  <c r="AN364" i="1"/>
  <c r="AO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M365" i="1"/>
  <c r="AN365" i="1"/>
  <c r="AO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M366" i="1"/>
  <c r="AN366" i="1"/>
  <c r="AO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M367" i="1"/>
  <c r="AN367" i="1"/>
  <c r="AO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M368" i="1"/>
  <c r="AN368" i="1"/>
  <c r="AO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M369" i="1"/>
  <c r="AN369" i="1"/>
  <c r="AO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M370" i="1"/>
  <c r="AN370" i="1"/>
  <c r="AO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M371" i="1"/>
  <c r="AN371" i="1"/>
  <c r="AO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M372" i="1"/>
  <c r="AN372" i="1"/>
  <c r="AO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M373" i="1"/>
  <c r="AN373" i="1"/>
  <c r="AO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M374" i="1"/>
  <c r="AN374" i="1"/>
  <c r="AO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M375" i="1"/>
  <c r="AN375" i="1"/>
  <c r="AO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M376" i="1"/>
  <c r="AN376" i="1"/>
  <c r="AO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M377" i="1"/>
  <c r="AN377" i="1"/>
  <c r="AO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M378" i="1"/>
  <c r="AN378" i="1"/>
  <c r="AO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M379" i="1"/>
  <c r="AN379" i="1"/>
  <c r="AO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M380" i="1"/>
  <c r="AN380" i="1"/>
  <c r="AO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M381" i="1"/>
  <c r="AN381" i="1"/>
  <c r="AO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M382" i="1"/>
  <c r="AN382" i="1"/>
  <c r="AO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M383" i="1"/>
  <c r="AN383" i="1"/>
  <c r="AO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M384" i="1"/>
  <c r="AN384" i="1"/>
  <c r="AO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M385" i="1"/>
  <c r="AN385" i="1"/>
  <c r="AO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M386" i="1"/>
  <c r="AN386" i="1"/>
  <c r="AO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M387" i="1"/>
  <c r="AN387" i="1"/>
  <c r="AO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M388" i="1"/>
  <c r="AN388" i="1"/>
  <c r="AO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M389" i="1"/>
  <c r="AN389" i="1"/>
  <c r="AO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M390" i="1"/>
  <c r="AN390" i="1"/>
  <c r="AO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M391" i="1"/>
  <c r="AN391" i="1"/>
  <c r="AO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M392" i="1"/>
  <c r="AN392" i="1"/>
  <c r="AO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M393" i="1"/>
  <c r="AN393" i="1"/>
  <c r="AO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M394" i="1"/>
  <c r="AN394" i="1"/>
  <c r="AO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M395" i="1"/>
  <c r="AN395" i="1"/>
  <c r="AO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M396" i="1"/>
  <c r="AN396" i="1"/>
  <c r="AO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M397" i="1"/>
  <c r="AN397" i="1"/>
  <c r="AO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M398" i="1"/>
  <c r="AN398" i="1"/>
  <c r="AO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M399" i="1"/>
  <c r="AN399" i="1"/>
  <c r="AO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M400" i="1"/>
  <c r="AN400" i="1"/>
  <c r="AO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M401" i="1"/>
  <c r="AN401" i="1"/>
  <c r="AO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M402" i="1"/>
  <c r="AN402" i="1"/>
  <c r="AO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M403" i="1"/>
  <c r="AN403" i="1"/>
  <c r="AO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M404" i="1"/>
  <c r="AN404" i="1"/>
  <c r="AO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M405" i="1"/>
  <c r="AN405" i="1"/>
  <c r="AO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M406" i="1"/>
  <c r="AN406" i="1"/>
  <c r="AO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M407" i="1"/>
  <c r="AN407" i="1"/>
  <c r="AO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M408" i="1"/>
  <c r="AN408" i="1"/>
  <c r="AO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M409" i="1"/>
  <c r="AN409" i="1"/>
  <c r="AO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M410" i="1"/>
  <c r="AN410" i="1"/>
  <c r="AO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M411" i="1"/>
  <c r="AN411" i="1"/>
  <c r="AO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M412" i="1"/>
  <c r="AN412" i="1"/>
  <c r="AO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M413" i="1"/>
  <c r="AN413" i="1"/>
  <c r="AO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M414" i="1"/>
  <c r="AN414" i="1"/>
  <c r="AO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M415" i="1"/>
  <c r="AN415" i="1"/>
  <c r="AO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M416" i="1"/>
  <c r="AN416" i="1"/>
  <c r="AO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M417" i="1"/>
  <c r="AN417" i="1"/>
  <c r="AO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M418" i="1"/>
  <c r="AN418" i="1"/>
  <c r="AO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M419" i="1"/>
  <c r="AN419" i="1"/>
  <c r="AO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M420" i="1"/>
  <c r="AN420" i="1"/>
  <c r="AO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M421" i="1"/>
  <c r="AN421" i="1"/>
  <c r="AO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M422" i="1"/>
  <c r="AN422" i="1"/>
  <c r="AO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M423" i="1"/>
  <c r="AN423" i="1"/>
  <c r="AO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M424" i="1"/>
  <c r="AN424" i="1"/>
  <c r="AO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M425" i="1"/>
  <c r="AN425" i="1"/>
  <c r="AO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M426" i="1"/>
  <c r="AN426" i="1"/>
  <c r="AO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M427" i="1"/>
  <c r="AN427" i="1"/>
  <c r="AO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M428" i="1"/>
  <c r="AN428" i="1"/>
  <c r="AO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M429" i="1"/>
  <c r="AN429" i="1"/>
  <c r="AO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M430" i="1"/>
  <c r="AN430" i="1"/>
  <c r="AO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M431" i="1"/>
  <c r="AN431" i="1"/>
  <c r="AO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M432" i="1"/>
  <c r="AN432" i="1"/>
  <c r="AO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M433" i="1"/>
  <c r="AN433" i="1"/>
  <c r="AO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M434" i="1"/>
  <c r="AN434" i="1"/>
  <c r="AO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M435" i="1"/>
  <c r="AN435" i="1"/>
  <c r="AO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M436" i="1"/>
  <c r="AN436" i="1"/>
  <c r="AO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M437" i="1"/>
  <c r="AN437" i="1"/>
  <c r="AO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M438" i="1"/>
  <c r="AN438" i="1"/>
  <c r="AO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M439" i="1"/>
  <c r="AN439" i="1"/>
  <c r="AO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M440" i="1"/>
  <c r="AN440" i="1"/>
  <c r="AO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M441" i="1"/>
  <c r="AN441" i="1"/>
  <c r="AO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M442" i="1"/>
  <c r="AN442" i="1"/>
  <c r="AO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M443" i="1"/>
  <c r="AN443" i="1"/>
  <c r="AO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M444" i="1"/>
  <c r="AN444" i="1"/>
  <c r="AO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M445" i="1"/>
  <c r="AN445" i="1"/>
  <c r="AO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M446" i="1"/>
  <c r="AN446" i="1"/>
  <c r="AO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M447" i="1"/>
  <c r="AN447" i="1"/>
  <c r="AO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M448" i="1"/>
  <c r="AN448" i="1"/>
  <c r="AO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M449" i="1"/>
  <c r="AN449" i="1"/>
  <c r="AO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M450" i="1"/>
  <c r="AN450" i="1"/>
  <c r="AO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M451" i="1"/>
  <c r="AN451" i="1"/>
  <c r="AO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M452" i="1"/>
  <c r="AN452" i="1"/>
  <c r="AO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M453" i="1"/>
  <c r="AN453" i="1"/>
  <c r="AO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M454" i="1"/>
  <c r="AN454" i="1"/>
  <c r="AO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M455" i="1"/>
  <c r="AN455" i="1"/>
  <c r="AO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M456" i="1"/>
  <c r="AN456" i="1"/>
  <c r="AO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M457" i="1"/>
  <c r="AN457" i="1"/>
  <c r="AO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M458" i="1"/>
  <c r="AN458" i="1"/>
  <c r="AO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M459" i="1"/>
  <c r="AN459" i="1"/>
  <c r="AO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M460" i="1"/>
  <c r="AN460" i="1"/>
  <c r="AO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M461" i="1"/>
  <c r="AN461" i="1"/>
  <c r="AO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M462" i="1"/>
  <c r="AN462" i="1"/>
  <c r="AO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M463" i="1"/>
  <c r="AN463" i="1"/>
  <c r="AO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M464" i="1"/>
  <c r="AN464" i="1"/>
  <c r="AO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M465" i="1"/>
  <c r="AN465" i="1"/>
  <c r="AO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M466" i="1"/>
  <c r="AN466" i="1"/>
  <c r="AO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M467" i="1"/>
  <c r="AN467" i="1"/>
  <c r="AO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M468" i="1"/>
  <c r="AN468" i="1"/>
  <c r="AO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M469" i="1"/>
  <c r="AN469" i="1"/>
  <c r="AO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M470" i="1"/>
  <c r="AN470" i="1"/>
  <c r="AO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M471" i="1"/>
  <c r="AN471" i="1"/>
  <c r="AO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M472" i="1"/>
  <c r="AN472" i="1"/>
  <c r="AO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M473" i="1"/>
  <c r="AN473" i="1"/>
  <c r="AO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M474" i="1"/>
  <c r="AN474" i="1"/>
  <c r="AO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M475" i="1"/>
  <c r="AN475" i="1"/>
  <c r="AO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M476" i="1"/>
  <c r="AN476" i="1"/>
  <c r="AO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M477" i="1"/>
  <c r="AN477" i="1"/>
  <c r="AO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M478" i="1"/>
  <c r="AN478" i="1"/>
  <c r="AO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M479" i="1"/>
  <c r="AN479" i="1"/>
  <c r="AO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M480" i="1"/>
  <c r="AN480" i="1"/>
  <c r="AO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M481" i="1"/>
  <c r="AN481" i="1"/>
  <c r="AO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M482" i="1"/>
  <c r="AN482" i="1"/>
  <c r="AO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M483" i="1"/>
  <c r="AN483" i="1"/>
  <c r="AO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M484" i="1"/>
  <c r="AN484" i="1"/>
  <c r="AO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M485" i="1"/>
  <c r="AN485" i="1"/>
  <c r="AO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M486" i="1"/>
  <c r="AN486" i="1"/>
  <c r="AO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M487" i="1"/>
  <c r="AN487" i="1"/>
  <c r="AO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M488" i="1"/>
  <c r="AN488" i="1"/>
  <c r="AO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M489" i="1"/>
  <c r="AN489" i="1"/>
  <c r="AO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M490" i="1"/>
  <c r="AN490" i="1"/>
  <c r="AO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M491" i="1"/>
  <c r="AN491" i="1"/>
  <c r="AO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M492" i="1"/>
  <c r="AN492" i="1"/>
  <c r="AO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M493" i="1"/>
  <c r="AN493" i="1"/>
  <c r="AO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M494" i="1"/>
  <c r="AN494" i="1"/>
  <c r="AO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M495" i="1"/>
  <c r="AN495" i="1"/>
  <c r="AO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M496" i="1"/>
  <c r="AN496" i="1"/>
  <c r="AO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M497" i="1"/>
  <c r="AN497" i="1"/>
  <c r="AO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M498" i="1"/>
  <c r="AN498" i="1"/>
  <c r="AO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M499" i="1"/>
  <c r="AN499" i="1"/>
  <c r="AO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M500" i="1"/>
  <c r="AN500" i="1"/>
  <c r="AO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M501" i="1"/>
  <c r="AN501" i="1"/>
  <c r="AO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M502" i="1"/>
  <c r="AN502" i="1"/>
  <c r="AO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M503" i="1"/>
  <c r="AN503" i="1"/>
  <c r="AO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M504" i="1"/>
  <c r="AN504" i="1"/>
  <c r="AO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M505" i="1"/>
  <c r="AN505" i="1"/>
  <c r="AO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M506" i="1"/>
  <c r="AN506" i="1"/>
  <c r="AO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M507" i="1"/>
  <c r="AN507" i="1"/>
  <c r="AO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M508" i="1"/>
  <c r="AN508" i="1"/>
  <c r="AO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M509" i="1"/>
  <c r="AN509" i="1"/>
  <c r="AO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M510" i="1"/>
  <c r="AN510" i="1"/>
  <c r="AO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M511" i="1"/>
  <c r="AN511" i="1"/>
  <c r="AO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M512" i="1"/>
  <c r="AN512" i="1"/>
  <c r="AO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M513" i="1"/>
  <c r="AN513" i="1"/>
  <c r="AO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M514" i="1"/>
  <c r="AN514" i="1"/>
  <c r="AO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M515" i="1"/>
  <c r="AN515" i="1"/>
  <c r="AO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M516" i="1"/>
  <c r="AN516" i="1"/>
  <c r="AO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M517" i="1"/>
  <c r="AN517" i="1"/>
  <c r="AO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M518" i="1"/>
  <c r="AN518" i="1"/>
  <c r="AO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M519" i="1"/>
  <c r="AN519" i="1"/>
  <c r="AO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M520" i="1"/>
  <c r="AN520" i="1"/>
  <c r="AO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M521" i="1"/>
  <c r="AN521" i="1"/>
  <c r="AO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M522" i="1"/>
  <c r="AN522" i="1"/>
  <c r="AO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M523" i="1"/>
  <c r="AN523" i="1"/>
  <c r="AO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M524" i="1"/>
  <c r="AN524" i="1"/>
  <c r="AO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M525" i="1"/>
  <c r="AN525" i="1"/>
  <c r="AO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M526" i="1"/>
  <c r="AN526" i="1"/>
  <c r="AO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M527" i="1"/>
  <c r="AN527" i="1"/>
  <c r="AO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M528" i="1"/>
  <c r="AN528" i="1"/>
  <c r="AO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M529" i="1"/>
  <c r="AN529" i="1"/>
  <c r="AO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M530" i="1"/>
  <c r="AN530" i="1"/>
  <c r="AO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M531" i="1"/>
  <c r="AN531" i="1"/>
  <c r="AO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M532" i="1"/>
  <c r="AN532" i="1"/>
  <c r="AO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M533" i="1"/>
  <c r="AN533" i="1"/>
  <c r="AO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M534" i="1"/>
  <c r="AN534" i="1"/>
  <c r="AO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M535" i="1"/>
  <c r="AN535" i="1"/>
  <c r="AO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M536" i="1"/>
  <c r="AN536" i="1"/>
  <c r="AO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M537" i="1"/>
  <c r="AN537" i="1"/>
  <c r="AO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M538" i="1"/>
  <c r="AN538" i="1"/>
  <c r="AO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M539" i="1"/>
  <c r="AN539" i="1"/>
  <c r="AO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M540" i="1"/>
  <c r="AN540" i="1"/>
  <c r="AO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M541" i="1"/>
  <c r="AN541" i="1"/>
  <c r="AO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M542" i="1"/>
  <c r="AN542" i="1"/>
  <c r="AO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M543" i="1"/>
  <c r="AN543" i="1"/>
  <c r="AO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M544" i="1"/>
  <c r="AN544" i="1"/>
  <c r="AO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M545" i="1"/>
  <c r="AN545" i="1"/>
  <c r="AO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M546" i="1"/>
  <c r="AN546" i="1"/>
  <c r="AO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M547" i="1"/>
  <c r="AN547" i="1"/>
  <c r="AO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M548" i="1"/>
  <c r="AN548" i="1"/>
  <c r="AO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M549" i="1"/>
  <c r="AN549" i="1"/>
  <c r="AO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M550" i="1"/>
  <c r="AN550" i="1"/>
  <c r="AO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M551" i="1"/>
  <c r="AN551" i="1"/>
  <c r="AO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M552" i="1"/>
  <c r="AN552" i="1"/>
  <c r="AO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M553" i="1"/>
  <c r="AN553" i="1"/>
  <c r="AO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M554" i="1"/>
  <c r="AN554" i="1"/>
  <c r="AO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M555" i="1"/>
  <c r="AN555" i="1"/>
  <c r="AO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M556" i="1"/>
  <c r="AN556" i="1"/>
  <c r="AO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M557" i="1"/>
  <c r="AN557" i="1"/>
  <c r="AO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M558" i="1"/>
  <c r="AN558" i="1"/>
  <c r="AO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M559" i="1"/>
  <c r="AN559" i="1"/>
  <c r="AO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M560" i="1"/>
  <c r="AN560" i="1"/>
  <c r="AO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M561" i="1"/>
  <c r="AN561" i="1"/>
  <c r="AO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M562" i="1"/>
  <c r="AN562" i="1"/>
  <c r="AO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M563" i="1"/>
  <c r="AN563" i="1"/>
  <c r="AO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M564" i="1"/>
  <c r="AN564" i="1"/>
  <c r="AO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M565" i="1"/>
  <c r="AN565" i="1"/>
  <c r="AO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M566" i="1"/>
  <c r="AN566" i="1"/>
  <c r="AO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M567" i="1"/>
  <c r="AN567" i="1"/>
  <c r="AO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M568" i="1"/>
  <c r="AN568" i="1"/>
  <c r="AO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M569" i="1"/>
  <c r="AN569" i="1"/>
  <c r="AO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M570" i="1"/>
  <c r="AN570" i="1"/>
  <c r="AO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M571" i="1"/>
  <c r="AN571" i="1"/>
  <c r="AO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M572" i="1"/>
  <c r="AN572" i="1"/>
  <c r="AO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M573" i="1"/>
  <c r="AN573" i="1"/>
  <c r="AO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M574" i="1"/>
  <c r="AN574" i="1"/>
  <c r="AO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M575" i="1"/>
  <c r="AN575" i="1"/>
  <c r="AO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M576" i="1"/>
  <c r="AN576" i="1"/>
  <c r="AO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M577" i="1"/>
  <c r="AN577" i="1"/>
  <c r="AO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M578" i="1"/>
  <c r="AN578" i="1"/>
  <c r="AO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M579" i="1"/>
  <c r="AN579" i="1"/>
  <c r="AO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M580" i="1"/>
  <c r="AN580" i="1"/>
  <c r="AO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M581" i="1"/>
  <c r="AN581" i="1"/>
  <c r="AO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M582" i="1"/>
  <c r="AN582" i="1"/>
  <c r="AO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M583" i="1"/>
  <c r="AN583" i="1"/>
  <c r="AO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M584" i="1"/>
  <c r="AN584" i="1"/>
  <c r="AO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M585" i="1"/>
  <c r="AN585" i="1"/>
  <c r="AO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M586" i="1"/>
  <c r="AN586" i="1"/>
  <c r="AO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M587" i="1"/>
  <c r="AN587" i="1"/>
  <c r="AO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M588" i="1"/>
  <c r="AN588" i="1"/>
  <c r="AO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M589" i="1"/>
  <c r="AN589" i="1"/>
  <c r="AO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M590" i="1"/>
  <c r="AN590" i="1"/>
  <c r="AO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M591" i="1"/>
  <c r="AN591" i="1"/>
  <c r="AO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M592" i="1"/>
  <c r="AN592" i="1"/>
  <c r="AO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M593" i="1"/>
  <c r="AN593" i="1"/>
  <c r="AO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M594" i="1"/>
  <c r="AN594" i="1"/>
  <c r="AO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M595" i="1"/>
  <c r="AN595" i="1"/>
  <c r="AO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M596" i="1"/>
  <c r="AN596" i="1"/>
  <c r="AO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M597" i="1"/>
  <c r="AN597" i="1"/>
  <c r="AO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M598" i="1"/>
  <c r="AN598" i="1"/>
  <c r="AO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M599" i="1"/>
  <c r="AN599" i="1"/>
  <c r="AO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M600" i="1"/>
  <c r="AN600" i="1"/>
  <c r="AO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M601" i="1"/>
  <c r="AN601" i="1"/>
  <c r="AO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M602" i="1"/>
  <c r="AN602" i="1"/>
  <c r="AO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M603" i="1"/>
  <c r="AN603" i="1"/>
  <c r="AO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M604" i="1"/>
  <c r="AN604" i="1"/>
  <c r="AO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M605" i="1"/>
  <c r="AN605" i="1"/>
  <c r="AO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M606" i="1"/>
  <c r="AN606" i="1"/>
  <c r="AO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M607" i="1"/>
  <c r="AN607" i="1"/>
  <c r="AO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M608" i="1"/>
  <c r="AN608" i="1"/>
  <c r="AO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M609" i="1"/>
  <c r="AN609" i="1"/>
  <c r="AO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M610" i="1"/>
  <c r="AN610" i="1"/>
  <c r="AO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M611" i="1"/>
  <c r="AN611" i="1"/>
  <c r="AO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M612" i="1"/>
  <c r="AN612" i="1"/>
  <c r="AO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M613" i="1"/>
  <c r="AN613" i="1"/>
  <c r="AO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M614" i="1"/>
  <c r="AN614" i="1"/>
  <c r="AO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M615" i="1"/>
  <c r="AN615" i="1"/>
  <c r="AO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M616" i="1"/>
  <c r="AN616" i="1"/>
  <c r="AO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M617" i="1"/>
  <c r="AN617" i="1"/>
  <c r="AO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M618" i="1"/>
  <c r="AN618" i="1"/>
  <c r="AO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M619" i="1"/>
  <c r="AN619" i="1"/>
  <c r="AO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M620" i="1"/>
  <c r="AN620" i="1"/>
  <c r="AO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M621" i="1"/>
  <c r="AN621" i="1"/>
  <c r="AO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M622" i="1"/>
  <c r="AN622" i="1"/>
  <c r="AO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M623" i="1"/>
  <c r="AN623" i="1"/>
  <c r="AO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M624" i="1"/>
  <c r="AN624" i="1"/>
  <c r="AO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M625" i="1"/>
  <c r="AN625" i="1"/>
  <c r="AO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M626" i="1"/>
  <c r="AN626" i="1"/>
  <c r="AO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M627" i="1"/>
  <c r="AN627" i="1"/>
  <c r="AO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M628" i="1"/>
  <c r="AN628" i="1"/>
  <c r="AO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M629" i="1"/>
  <c r="AN629" i="1"/>
  <c r="AO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M630" i="1"/>
  <c r="AN630" i="1"/>
  <c r="AO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M631" i="1"/>
  <c r="AN631" i="1"/>
  <c r="AO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M632" i="1"/>
  <c r="AN632" i="1"/>
  <c r="AO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M633" i="1"/>
  <c r="AN633" i="1"/>
  <c r="AO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M634" i="1"/>
  <c r="AN634" i="1"/>
  <c r="AO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M635" i="1"/>
  <c r="AN635" i="1"/>
  <c r="AO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M636" i="1"/>
  <c r="AN636" i="1"/>
  <c r="AO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M637" i="1"/>
  <c r="AN637" i="1"/>
  <c r="AO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M638" i="1"/>
  <c r="AN638" i="1"/>
  <c r="AO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M639" i="1"/>
  <c r="AN639" i="1"/>
  <c r="AO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M640" i="1"/>
  <c r="AN640" i="1"/>
  <c r="AO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M641" i="1"/>
  <c r="AN641" i="1"/>
  <c r="AO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M642" i="1"/>
  <c r="AN642" i="1"/>
  <c r="AO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M643" i="1"/>
  <c r="AN643" i="1"/>
  <c r="AO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M644" i="1"/>
  <c r="AN644" i="1"/>
  <c r="AO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M645" i="1"/>
  <c r="AN645" i="1"/>
  <c r="AO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M646" i="1"/>
  <c r="AN646" i="1"/>
  <c r="AO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M647" i="1"/>
  <c r="AN647" i="1"/>
  <c r="AO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M648" i="1"/>
  <c r="AN648" i="1"/>
  <c r="AO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M649" i="1"/>
  <c r="AN649" i="1"/>
  <c r="AO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M650" i="1"/>
  <c r="AN650" i="1"/>
  <c r="AO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M651" i="1"/>
  <c r="AN651" i="1"/>
  <c r="AO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M652" i="1"/>
  <c r="AN652" i="1"/>
  <c r="AO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M653" i="1"/>
  <c r="AN653" i="1"/>
  <c r="AO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M654" i="1"/>
  <c r="AN654" i="1"/>
  <c r="AO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M655" i="1"/>
  <c r="AN655" i="1"/>
  <c r="AO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M656" i="1"/>
  <c r="AN656" i="1"/>
  <c r="AO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M657" i="1"/>
  <c r="AN657" i="1"/>
  <c r="AO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M658" i="1"/>
  <c r="AN658" i="1"/>
  <c r="AO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M659" i="1"/>
  <c r="AN659" i="1"/>
  <c r="AO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M660" i="1"/>
  <c r="AN660" i="1"/>
  <c r="AO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M661" i="1"/>
  <c r="AN661" i="1"/>
  <c r="AO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M662" i="1"/>
  <c r="AN662" i="1"/>
  <c r="AO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M663" i="1"/>
  <c r="AN663" i="1"/>
  <c r="AO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M664" i="1"/>
  <c r="AN664" i="1"/>
  <c r="AO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M665" i="1"/>
  <c r="AN665" i="1"/>
  <c r="AO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M666" i="1"/>
  <c r="AN666" i="1"/>
  <c r="AO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M667" i="1"/>
  <c r="AN667" i="1"/>
  <c r="AO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M668" i="1"/>
  <c r="AN668" i="1"/>
  <c r="AO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M669" i="1"/>
  <c r="AN669" i="1"/>
  <c r="AO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M670" i="1"/>
  <c r="AN670" i="1"/>
  <c r="AO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M671" i="1"/>
  <c r="AN671" i="1"/>
  <c r="AO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M672" i="1"/>
  <c r="AN672" i="1"/>
  <c r="AO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M673" i="1"/>
  <c r="AN673" i="1"/>
  <c r="AO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M674" i="1"/>
  <c r="AN674" i="1"/>
  <c r="AO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M675" i="1"/>
  <c r="AN675" i="1"/>
  <c r="AO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M676" i="1"/>
  <c r="AN676" i="1"/>
  <c r="AO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M677" i="1"/>
  <c r="AN677" i="1"/>
  <c r="AO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M678" i="1"/>
  <c r="AN678" i="1"/>
  <c r="AO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M679" i="1"/>
  <c r="AN679" i="1"/>
  <c r="AO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M680" i="1"/>
  <c r="AN680" i="1"/>
  <c r="AO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M681" i="1"/>
  <c r="AN681" i="1"/>
  <c r="AO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M682" i="1"/>
  <c r="AN682" i="1"/>
  <c r="AO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M683" i="1"/>
  <c r="AN683" i="1"/>
  <c r="AO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M684" i="1"/>
  <c r="AN684" i="1"/>
  <c r="AO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M685" i="1"/>
  <c r="AN685" i="1"/>
  <c r="AO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M686" i="1"/>
  <c r="AN686" i="1"/>
  <c r="AO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M687" i="1"/>
  <c r="AN687" i="1"/>
  <c r="AO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M688" i="1"/>
  <c r="AN688" i="1"/>
  <c r="AO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M689" i="1"/>
  <c r="AN689" i="1"/>
  <c r="AO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M690" i="1"/>
  <c r="AN690" i="1"/>
  <c r="AO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M691" i="1"/>
  <c r="AN691" i="1"/>
  <c r="AO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M692" i="1"/>
  <c r="AN692" i="1"/>
  <c r="AO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M693" i="1"/>
  <c r="AN693" i="1"/>
  <c r="AO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M694" i="1"/>
  <c r="AN694" i="1"/>
  <c r="AO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M695" i="1"/>
  <c r="AN695" i="1"/>
  <c r="AO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M696" i="1"/>
  <c r="AN696" i="1"/>
  <c r="AO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M697" i="1"/>
  <c r="AN697" i="1"/>
  <c r="AO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M698" i="1"/>
  <c r="AN698" i="1"/>
  <c r="AO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M699" i="1"/>
  <c r="AN699" i="1"/>
  <c r="AO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M700" i="1"/>
  <c r="AN700" i="1"/>
  <c r="AO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M701" i="1"/>
  <c r="AN701" i="1"/>
  <c r="AO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M702" i="1"/>
  <c r="AN702" i="1"/>
  <c r="AO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M703" i="1"/>
  <c r="AN703" i="1"/>
  <c r="AO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M704" i="1"/>
  <c r="AN704" i="1"/>
  <c r="AO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M705" i="1"/>
  <c r="AN705" i="1"/>
  <c r="AO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M706" i="1"/>
  <c r="AN706" i="1"/>
  <c r="AO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M707" i="1"/>
  <c r="AN707" i="1"/>
  <c r="AO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M708" i="1"/>
  <c r="AN708" i="1"/>
  <c r="AO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M709" i="1"/>
  <c r="AN709" i="1"/>
  <c r="AO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M710" i="1"/>
  <c r="AN710" i="1"/>
  <c r="AO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M711" i="1"/>
  <c r="AN711" i="1"/>
  <c r="AO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M712" i="1"/>
  <c r="AN712" i="1"/>
  <c r="AO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M713" i="1"/>
  <c r="AN713" i="1"/>
  <c r="AO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M714" i="1"/>
  <c r="AN714" i="1"/>
  <c r="AO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M715" i="1"/>
  <c r="AN715" i="1"/>
  <c r="AO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M716" i="1"/>
  <c r="AN716" i="1"/>
  <c r="AO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M717" i="1"/>
  <c r="AN717" i="1"/>
  <c r="AO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M718" i="1"/>
  <c r="AN718" i="1"/>
  <c r="AO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M719" i="1"/>
  <c r="AN719" i="1"/>
  <c r="AO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M720" i="1"/>
  <c r="AN720" i="1"/>
  <c r="AO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M721" i="1"/>
  <c r="AN721" i="1"/>
  <c r="AO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M722" i="1"/>
  <c r="AN722" i="1"/>
  <c r="AO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M723" i="1"/>
  <c r="AN723" i="1"/>
  <c r="AO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M724" i="1"/>
  <c r="AN724" i="1"/>
  <c r="AO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M725" i="1"/>
  <c r="AN725" i="1"/>
  <c r="AO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M726" i="1"/>
  <c r="AN726" i="1"/>
  <c r="AO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M727" i="1"/>
  <c r="AN727" i="1"/>
  <c r="AO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M728" i="1"/>
  <c r="AN728" i="1"/>
  <c r="AO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M729" i="1"/>
  <c r="AN729" i="1"/>
  <c r="AO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M730" i="1"/>
  <c r="AN730" i="1"/>
  <c r="AO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M731" i="1"/>
  <c r="AN731" i="1"/>
  <c r="AO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M732" i="1"/>
  <c r="AN732" i="1"/>
  <c r="AO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M733" i="1"/>
  <c r="AN733" i="1"/>
  <c r="AO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M734" i="1"/>
  <c r="AN734" i="1"/>
  <c r="AO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M735" i="1"/>
  <c r="AN735" i="1"/>
  <c r="AO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M736" i="1"/>
  <c r="AN736" i="1"/>
  <c r="AO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M737" i="1"/>
  <c r="AN737" i="1"/>
  <c r="AO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M738" i="1"/>
  <c r="AN738" i="1"/>
  <c r="AO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M739" i="1"/>
  <c r="AN739" i="1"/>
  <c r="AO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M740" i="1"/>
  <c r="AN740" i="1"/>
  <c r="AO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M741" i="1"/>
  <c r="AN741" i="1"/>
  <c r="AO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M742" i="1"/>
  <c r="AN742" i="1"/>
  <c r="AO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M743" i="1"/>
  <c r="AN743" i="1"/>
  <c r="AO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M744" i="1"/>
  <c r="AN744" i="1"/>
  <c r="AO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M745" i="1"/>
  <c r="AN745" i="1"/>
  <c r="AO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M746" i="1"/>
  <c r="AN746" i="1"/>
  <c r="AO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M747" i="1"/>
  <c r="AN747" i="1"/>
  <c r="AO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M748" i="1"/>
  <c r="AN748" i="1"/>
  <c r="AO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M749" i="1"/>
  <c r="AN749" i="1"/>
  <c r="AO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M750" i="1"/>
  <c r="AN750" i="1"/>
  <c r="AO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M751" i="1"/>
  <c r="AN751" i="1"/>
  <c r="AO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M752" i="1"/>
  <c r="AN752" i="1"/>
  <c r="AO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M753" i="1"/>
  <c r="AN753" i="1"/>
  <c r="AO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M754" i="1"/>
  <c r="AN754" i="1"/>
  <c r="AO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M755" i="1"/>
  <c r="AN755" i="1"/>
  <c r="AO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M756" i="1"/>
  <c r="AN756" i="1"/>
  <c r="AO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M757" i="1"/>
  <c r="AN757" i="1"/>
  <c r="AO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M758" i="1"/>
  <c r="AN758" i="1"/>
  <c r="AO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M759" i="1"/>
  <c r="AN759" i="1"/>
  <c r="AO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M760" i="1"/>
  <c r="AN760" i="1"/>
  <c r="AO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M761" i="1"/>
  <c r="AN761" i="1"/>
  <c r="AO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M762" i="1"/>
  <c r="AN762" i="1"/>
  <c r="AO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M763" i="1"/>
  <c r="AN763" i="1"/>
  <c r="AO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M764" i="1"/>
  <c r="AN764" i="1"/>
  <c r="AO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M765" i="1"/>
  <c r="AN765" i="1"/>
  <c r="AO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M766" i="1"/>
  <c r="AN766" i="1"/>
  <c r="AO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M767" i="1"/>
  <c r="AN767" i="1"/>
  <c r="AO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M768" i="1"/>
  <c r="AN768" i="1"/>
  <c r="AO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M769" i="1"/>
  <c r="AN769" i="1"/>
  <c r="AO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M770" i="1"/>
  <c r="AN770" i="1"/>
  <c r="AO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M771" i="1"/>
  <c r="AN771" i="1"/>
  <c r="AO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M772" i="1"/>
  <c r="AN772" i="1"/>
  <c r="AO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M773" i="1"/>
  <c r="AN773" i="1"/>
  <c r="AO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M774" i="1"/>
  <c r="AN774" i="1"/>
  <c r="AO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M775" i="1"/>
  <c r="AN775" i="1"/>
  <c r="AO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M776" i="1"/>
  <c r="AN776" i="1"/>
  <c r="AO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M777" i="1"/>
  <c r="AN777" i="1"/>
  <c r="AO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M778" i="1"/>
  <c r="AN778" i="1"/>
  <c r="AO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M779" i="1"/>
  <c r="AN779" i="1"/>
  <c r="AO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M780" i="1"/>
  <c r="AN780" i="1"/>
  <c r="AO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M781" i="1"/>
  <c r="AN781" i="1"/>
  <c r="AO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M782" i="1"/>
  <c r="AN782" i="1"/>
  <c r="AO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M783" i="1"/>
  <c r="AN783" i="1"/>
  <c r="AO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M784" i="1"/>
  <c r="AN784" i="1"/>
  <c r="AO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M785" i="1"/>
  <c r="AN785" i="1"/>
  <c r="AO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M786" i="1"/>
  <c r="AN786" i="1"/>
  <c r="AO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M787" i="1"/>
  <c r="AN787" i="1"/>
  <c r="AO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M788" i="1"/>
  <c r="AN788" i="1"/>
  <c r="AO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M789" i="1"/>
  <c r="AN789" i="1"/>
  <c r="AO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M790" i="1"/>
  <c r="AN790" i="1"/>
  <c r="AO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M791" i="1"/>
  <c r="AN791" i="1"/>
  <c r="AO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M792" i="1"/>
  <c r="AN792" i="1"/>
  <c r="AO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M793" i="1"/>
  <c r="AN793" i="1"/>
  <c r="AO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M794" i="1"/>
  <c r="AN794" i="1"/>
  <c r="AO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M795" i="1"/>
  <c r="AN795" i="1"/>
  <c r="AO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M796" i="1"/>
  <c r="AN796" i="1"/>
  <c r="AO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M797" i="1"/>
  <c r="AN797" i="1"/>
  <c r="AO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M798" i="1"/>
  <c r="AN798" i="1"/>
  <c r="AO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M799" i="1"/>
  <c r="AN799" i="1"/>
  <c r="AO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M800" i="1"/>
  <c r="AN800" i="1"/>
  <c r="AO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M801" i="1"/>
  <c r="AN801" i="1"/>
  <c r="AO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M802" i="1"/>
  <c r="AN802" i="1"/>
  <c r="AO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M803" i="1"/>
  <c r="AN803" i="1"/>
  <c r="AO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M804" i="1"/>
  <c r="AN804" i="1"/>
  <c r="AO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M805" i="1"/>
  <c r="AN805" i="1"/>
  <c r="AO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M806" i="1"/>
  <c r="AN806" i="1"/>
  <c r="AO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M807" i="1"/>
  <c r="AN807" i="1"/>
  <c r="AO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M808" i="1"/>
  <c r="AN808" i="1"/>
  <c r="AO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M809" i="1"/>
  <c r="AN809" i="1"/>
  <c r="AO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M810" i="1"/>
  <c r="AN810" i="1"/>
  <c r="AO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M811" i="1"/>
  <c r="AN811" i="1"/>
  <c r="AO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M812" i="1"/>
  <c r="AN812" i="1"/>
  <c r="AO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M813" i="1"/>
  <c r="AN813" i="1"/>
  <c r="AO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M814" i="1"/>
  <c r="AN814" i="1"/>
  <c r="AO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M815" i="1"/>
  <c r="AN815" i="1"/>
  <c r="AO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M816" i="1"/>
  <c r="AN816" i="1"/>
  <c r="AO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M817" i="1"/>
  <c r="AN817" i="1"/>
  <c r="AO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M818" i="1"/>
  <c r="AN818" i="1"/>
  <c r="AO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M819" i="1"/>
  <c r="AN819" i="1"/>
  <c r="AO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M820" i="1"/>
  <c r="AN820" i="1"/>
  <c r="AO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M821" i="1"/>
  <c r="AN821" i="1"/>
  <c r="AO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M822" i="1"/>
  <c r="AN822" i="1"/>
  <c r="AO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M823" i="1"/>
  <c r="AN823" i="1"/>
  <c r="AO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M824" i="1"/>
  <c r="AN824" i="1"/>
  <c r="AO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M825" i="1"/>
  <c r="AN825" i="1"/>
  <c r="AO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M826" i="1"/>
  <c r="AN826" i="1"/>
  <c r="AO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M827" i="1"/>
  <c r="AN827" i="1"/>
  <c r="AO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M828" i="1"/>
  <c r="AN828" i="1"/>
  <c r="AO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M829" i="1"/>
  <c r="AN829" i="1"/>
  <c r="AO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M830" i="1"/>
  <c r="AN830" i="1"/>
  <c r="AO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M831" i="1"/>
  <c r="AN831" i="1"/>
  <c r="AO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M832" i="1"/>
  <c r="AN832" i="1"/>
  <c r="AO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M833" i="1"/>
  <c r="AN833" i="1"/>
  <c r="AO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M834" i="1"/>
  <c r="AN834" i="1"/>
  <c r="AO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M835" i="1"/>
  <c r="AN835" i="1"/>
  <c r="AO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M836" i="1"/>
  <c r="AN836" i="1"/>
  <c r="AO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M837" i="1"/>
  <c r="AN837" i="1"/>
  <c r="AO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M838" i="1"/>
  <c r="AN838" i="1"/>
  <c r="AO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M839" i="1"/>
  <c r="AN839" i="1"/>
  <c r="AO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M840" i="1"/>
  <c r="AN840" i="1"/>
  <c r="AO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M841" i="1"/>
  <c r="AN841" i="1"/>
  <c r="AO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M842" i="1"/>
  <c r="AN842" i="1"/>
  <c r="AO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M843" i="1"/>
  <c r="AN843" i="1"/>
  <c r="AO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M844" i="1"/>
  <c r="AN844" i="1"/>
  <c r="AO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M845" i="1"/>
  <c r="AN845" i="1"/>
  <c r="AO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M846" i="1"/>
  <c r="AN846" i="1"/>
  <c r="AO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M847" i="1"/>
  <c r="AN847" i="1"/>
  <c r="AO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M848" i="1"/>
  <c r="AN848" i="1"/>
  <c r="AO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M849" i="1"/>
  <c r="AN849" i="1"/>
  <c r="AO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M850" i="1"/>
  <c r="AN850" i="1"/>
  <c r="AO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M851" i="1"/>
  <c r="AN851" i="1"/>
  <c r="AO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M852" i="1"/>
  <c r="AN852" i="1"/>
  <c r="AO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M853" i="1"/>
  <c r="AN853" i="1"/>
  <c r="AO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M854" i="1"/>
  <c r="AN854" i="1"/>
  <c r="AO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M855" i="1"/>
  <c r="AN855" i="1"/>
  <c r="AO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M856" i="1"/>
  <c r="AN856" i="1"/>
  <c r="AO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M857" i="1"/>
  <c r="AN857" i="1"/>
  <c r="AO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M858" i="1"/>
  <c r="AN858" i="1"/>
  <c r="AO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M859" i="1"/>
  <c r="AN859" i="1"/>
  <c r="AO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M860" i="1"/>
  <c r="AN860" i="1"/>
  <c r="AO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M861" i="1"/>
  <c r="AN861" i="1"/>
  <c r="AO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M862" i="1"/>
  <c r="AN862" i="1"/>
  <c r="AO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M863" i="1"/>
  <c r="AN863" i="1"/>
  <c r="AO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M864" i="1"/>
  <c r="AN864" i="1"/>
  <c r="AO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M865" i="1"/>
  <c r="AN865" i="1"/>
  <c r="AO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M866" i="1"/>
  <c r="AN866" i="1"/>
  <c r="AO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M867" i="1"/>
  <c r="AN867" i="1"/>
  <c r="AO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M868" i="1"/>
  <c r="AN868" i="1"/>
  <c r="AO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M869" i="1"/>
  <c r="AN869" i="1"/>
  <c r="AO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M870" i="1"/>
  <c r="AN870" i="1"/>
  <c r="AO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M871" i="1"/>
  <c r="AN871" i="1"/>
  <c r="AO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M872" i="1"/>
  <c r="AN872" i="1"/>
  <c r="AO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M873" i="1"/>
  <c r="AN873" i="1"/>
  <c r="AO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M874" i="1"/>
  <c r="AN874" i="1"/>
  <c r="AO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M875" i="1"/>
  <c r="AN875" i="1"/>
  <c r="AO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M876" i="1"/>
  <c r="AN876" i="1"/>
  <c r="AO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M877" i="1"/>
  <c r="AN877" i="1"/>
  <c r="AO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M878" i="1"/>
  <c r="AN878" i="1"/>
  <c r="AO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M879" i="1"/>
  <c r="AN879" i="1"/>
  <c r="AO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M880" i="1"/>
  <c r="AN880" i="1"/>
  <c r="AO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M881" i="1"/>
  <c r="AN881" i="1"/>
  <c r="AO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M882" i="1"/>
  <c r="AN882" i="1"/>
  <c r="AO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M883" i="1"/>
  <c r="AN883" i="1"/>
  <c r="AO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M884" i="1"/>
  <c r="AN884" i="1"/>
  <c r="AO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M885" i="1"/>
  <c r="AN885" i="1"/>
  <c r="AO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M886" i="1"/>
  <c r="AN886" i="1"/>
  <c r="AO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M887" i="1"/>
  <c r="AN887" i="1"/>
  <c r="AO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M888" i="1"/>
  <c r="AN888" i="1"/>
  <c r="AO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M889" i="1"/>
  <c r="AN889" i="1"/>
  <c r="AO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M890" i="1"/>
  <c r="AN890" i="1"/>
  <c r="AO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M891" i="1"/>
  <c r="AN891" i="1"/>
  <c r="AO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M892" i="1"/>
  <c r="AN892" i="1"/>
  <c r="AO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M893" i="1"/>
  <c r="AN893" i="1"/>
  <c r="AO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M894" i="1"/>
  <c r="AN894" i="1"/>
  <c r="AO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M895" i="1"/>
  <c r="AN895" i="1"/>
  <c r="AO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M896" i="1"/>
  <c r="AN896" i="1"/>
  <c r="AO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M897" i="1"/>
  <c r="AN897" i="1"/>
  <c r="AO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M898" i="1"/>
  <c r="AN898" i="1"/>
  <c r="AO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M899" i="1"/>
  <c r="AN899" i="1"/>
  <c r="AO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M900" i="1"/>
  <c r="AN900" i="1"/>
  <c r="AO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M901" i="1"/>
  <c r="AN901" i="1"/>
  <c r="AO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M902" i="1"/>
  <c r="AN902" i="1"/>
  <c r="AO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M903" i="1"/>
  <c r="AN903" i="1"/>
  <c r="AO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M904" i="1"/>
  <c r="AN904" i="1"/>
  <c r="AO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M905" i="1"/>
  <c r="AN905" i="1"/>
  <c r="AO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M906" i="1"/>
  <c r="AN906" i="1"/>
  <c r="AO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M907" i="1"/>
  <c r="AN907" i="1"/>
  <c r="AO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M908" i="1"/>
  <c r="AN908" i="1"/>
  <c r="AO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M909" i="1"/>
  <c r="AN909" i="1"/>
  <c r="AO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M910" i="1"/>
  <c r="AN910" i="1"/>
  <c r="AO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M911" i="1"/>
  <c r="AN911" i="1"/>
  <c r="AO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M912" i="1"/>
  <c r="AN912" i="1"/>
  <c r="AO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M913" i="1"/>
  <c r="AN913" i="1"/>
  <c r="AO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M914" i="1"/>
  <c r="AN914" i="1"/>
  <c r="AO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M915" i="1"/>
  <c r="AN915" i="1"/>
  <c r="AO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M916" i="1"/>
  <c r="AN916" i="1"/>
  <c r="AO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M917" i="1"/>
  <c r="AN917" i="1"/>
  <c r="AO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M918" i="1"/>
  <c r="AN918" i="1"/>
  <c r="AO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M919" i="1"/>
  <c r="AN919" i="1"/>
  <c r="AO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M920" i="1"/>
  <c r="AN920" i="1"/>
  <c r="AO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M921" i="1"/>
  <c r="AN921" i="1"/>
  <c r="AO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M922" i="1"/>
  <c r="AN922" i="1"/>
  <c r="AO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M923" i="1"/>
  <c r="AN923" i="1"/>
  <c r="AO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M924" i="1"/>
  <c r="AN924" i="1"/>
  <c r="AO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M925" i="1"/>
  <c r="AN925" i="1"/>
  <c r="AO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M926" i="1"/>
  <c r="AN926" i="1"/>
  <c r="AO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M927" i="1"/>
  <c r="AN927" i="1"/>
  <c r="AO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M928" i="1"/>
  <c r="AN928" i="1"/>
  <c r="AO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M929" i="1"/>
  <c r="AN929" i="1"/>
  <c r="AO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M930" i="1"/>
  <c r="AN930" i="1"/>
  <c r="AO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M931" i="1"/>
  <c r="AN931" i="1"/>
  <c r="AO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M932" i="1"/>
  <c r="AN932" i="1"/>
  <c r="AO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M933" i="1"/>
  <c r="AN933" i="1"/>
  <c r="AO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M934" i="1"/>
  <c r="AN934" i="1"/>
  <c r="AO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M935" i="1"/>
  <c r="AN935" i="1"/>
  <c r="AO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M936" i="1"/>
  <c r="AN936" i="1"/>
  <c r="AO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M937" i="1"/>
  <c r="AN937" i="1"/>
  <c r="AO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M938" i="1"/>
  <c r="AN938" i="1"/>
  <c r="AO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M939" i="1"/>
  <c r="AN939" i="1"/>
  <c r="AO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M940" i="1"/>
  <c r="AN940" i="1"/>
  <c r="AO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M941" i="1"/>
  <c r="AN941" i="1"/>
  <c r="AO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M942" i="1"/>
  <c r="AN942" i="1"/>
  <c r="AO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M943" i="1"/>
  <c r="AN943" i="1"/>
  <c r="AO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M944" i="1"/>
  <c r="AN944" i="1"/>
  <c r="AO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M945" i="1"/>
  <c r="AN945" i="1"/>
  <c r="AO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M946" i="1"/>
  <c r="AN946" i="1"/>
  <c r="AO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M947" i="1"/>
  <c r="AN947" i="1"/>
  <c r="AO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M948" i="1"/>
  <c r="AN948" i="1"/>
  <c r="AO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M949" i="1"/>
  <c r="AN949" i="1"/>
  <c r="AO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M950" i="1"/>
  <c r="AN950" i="1"/>
  <c r="AO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M951" i="1"/>
  <c r="AN951" i="1"/>
  <c r="AO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M952" i="1"/>
  <c r="AN952" i="1"/>
  <c r="AO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M953" i="1"/>
  <c r="AN953" i="1"/>
  <c r="AO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M954" i="1"/>
  <c r="AN954" i="1"/>
  <c r="AO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M955" i="1"/>
  <c r="AN955" i="1"/>
  <c r="AO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M956" i="1"/>
  <c r="AN956" i="1"/>
  <c r="AO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M957" i="1"/>
  <c r="AN957" i="1"/>
  <c r="AO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M958" i="1"/>
  <c r="AN958" i="1"/>
  <c r="AO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M959" i="1"/>
  <c r="AN959" i="1"/>
  <c r="AO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M960" i="1"/>
  <c r="AN960" i="1"/>
  <c r="AO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M961" i="1"/>
  <c r="AN961" i="1"/>
  <c r="AO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M962" i="1"/>
  <c r="AN962" i="1"/>
  <c r="AO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M963" i="1"/>
  <c r="AN963" i="1"/>
  <c r="AO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M964" i="1"/>
  <c r="AN964" i="1"/>
  <c r="AO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M965" i="1"/>
  <c r="AN965" i="1"/>
  <c r="AO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M966" i="1"/>
  <c r="AN966" i="1"/>
  <c r="AO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M967" i="1"/>
  <c r="AN967" i="1"/>
  <c r="AO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M968" i="1"/>
  <c r="AN968" i="1"/>
  <c r="AO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M969" i="1"/>
  <c r="AN969" i="1"/>
  <c r="AO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M970" i="1"/>
  <c r="AN970" i="1"/>
  <c r="AO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M971" i="1"/>
  <c r="AN971" i="1"/>
  <c r="AO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M972" i="1"/>
  <c r="AN972" i="1"/>
  <c r="AO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M973" i="1"/>
  <c r="AN973" i="1"/>
  <c r="AO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M974" i="1"/>
  <c r="AN974" i="1"/>
  <c r="AO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M975" i="1"/>
  <c r="AN975" i="1"/>
  <c r="AO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M976" i="1"/>
  <c r="AN976" i="1"/>
  <c r="AO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M977" i="1"/>
  <c r="AN977" i="1"/>
  <c r="AO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M978" i="1"/>
  <c r="AN978" i="1"/>
  <c r="AO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M979" i="1"/>
  <c r="AN979" i="1"/>
  <c r="AO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M980" i="1"/>
  <c r="AN980" i="1"/>
  <c r="AO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M981" i="1"/>
  <c r="AN981" i="1"/>
  <c r="AO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M982" i="1"/>
  <c r="AN982" i="1"/>
  <c r="AO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M983" i="1"/>
  <c r="AN983" i="1"/>
  <c r="AO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M984" i="1"/>
  <c r="AN984" i="1"/>
  <c r="AO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M985" i="1"/>
  <c r="AN985" i="1"/>
  <c r="AO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M986" i="1"/>
  <c r="AN986" i="1"/>
  <c r="AO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M987" i="1"/>
  <c r="AN987" i="1"/>
  <c r="AO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M988" i="1"/>
  <c r="AN988" i="1"/>
  <c r="AO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M989" i="1"/>
  <c r="AN989" i="1"/>
  <c r="AO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M990" i="1"/>
  <c r="AN990" i="1"/>
  <c r="AO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M991" i="1"/>
  <c r="AN991" i="1"/>
  <c r="AO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M992" i="1"/>
  <c r="AN992" i="1"/>
  <c r="AO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M993" i="1"/>
  <c r="AN993" i="1"/>
  <c r="AO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M994" i="1"/>
  <c r="AN994" i="1"/>
  <c r="AO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M995" i="1"/>
  <c r="AN995" i="1"/>
  <c r="AO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M996" i="1"/>
  <c r="AN996" i="1"/>
  <c r="AO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M997" i="1"/>
  <c r="AN997" i="1"/>
  <c r="AO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M998" i="1"/>
  <c r="AN998" i="1"/>
  <c r="AO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M999" i="1"/>
  <c r="AN999" i="1"/>
  <c r="AO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M1000" i="1"/>
  <c r="AN1000" i="1"/>
  <c r="AO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M1001" i="1"/>
  <c r="AN1001" i="1"/>
  <c r="AO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M1002" i="1"/>
  <c r="AN1002" i="1"/>
  <c r="AO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M1003" i="1"/>
  <c r="AN1003" i="1"/>
  <c r="AO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M1004" i="1"/>
  <c r="AN1004" i="1"/>
  <c r="AO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M1005" i="1"/>
  <c r="AN1005" i="1"/>
  <c r="AO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M1006" i="1"/>
  <c r="AN1006" i="1"/>
  <c r="AO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M1007" i="1"/>
  <c r="AN1007" i="1"/>
  <c r="AO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M1008" i="1"/>
  <c r="AN1008" i="1"/>
  <c r="AO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M1009" i="1"/>
  <c r="AN1009" i="1"/>
  <c r="AO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M1010" i="1"/>
  <c r="AN1010" i="1"/>
  <c r="AO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M1011" i="1"/>
  <c r="AN1011" i="1"/>
  <c r="AO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M1012" i="1"/>
  <c r="AN1012" i="1"/>
  <c r="AO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M1013" i="1"/>
  <c r="AN1013" i="1"/>
  <c r="AO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M1014" i="1"/>
  <c r="AN1014" i="1"/>
  <c r="AO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M1015" i="1"/>
  <c r="AN1015" i="1"/>
  <c r="AO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M1016" i="1"/>
  <c r="AN1016" i="1"/>
  <c r="AO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M1017" i="1"/>
  <c r="AN1017" i="1"/>
  <c r="AO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M1018" i="1"/>
  <c r="AN1018" i="1"/>
  <c r="AO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M1019" i="1"/>
  <c r="AN1019" i="1"/>
  <c r="AO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M1020" i="1"/>
  <c r="AN1020" i="1"/>
  <c r="AO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M1021" i="1"/>
  <c r="AN1021" i="1"/>
  <c r="AO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M1022" i="1"/>
  <c r="AN1022" i="1"/>
  <c r="AO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M1023" i="1"/>
  <c r="AN1023" i="1"/>
  <c r="AO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M1024" i="1"/>
  <c r="AN1024" i="1"/>
  <c r="AO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M1025" i="1"/>
  <c r="AN1025" i="1"/>
  <c r="AO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M1026" i="1"/>
  <c r="AN1026" i="1"/>
  <c r="AO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M1027" i="1"/>
  <c r="AN1027" i="1"/>
  <c r="AO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M1028" i="1"/>
  <c r="AN1028" i="1"/>
  <c r="AO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M1029" i="1"/>
  <c r="AN1029" i="1"/>
  <c r="AO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M1030" i="1"/>
  <c r="AN1030" i="1"/>
  <c r="AO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M1031" i="1"/>
  <c r="AN1031" i="1"/>
  <c r="AO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M1032" i="1"/>
  <c r="AN1032" i="1"/>
  <c r="AO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M1033" i="1"/>
  <c r="AN1033" i="1"/>
  <c r="AO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M1034" i="1"/>
  <c r="AN1034" i="1"/>
  <c r="AO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M1035" i="1"/>
  <c r="AN1035" i="1"/>
  <c r="AO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M1036" i="1"/>
  <c r="AN1036" i="1"/>
  <c r="AO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M1037" i="1"/>
  <c r="AN1037" i="1"/>
  <c r="AO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M1038" i="1"/>
  <c r="AN1038" i="1"/>
  <c r="AO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M1039" i="1"/>
  <c r="AN1039" i="1"/>
  <c r="AO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M1040" i="1"/>
  <c r="AN1040" i="1"/>
  <c r="AO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M1041" i="1"/>
  <c r="AN1041" i="1"/>
  <c r="AO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M1042" i="1"/>
  <c r="AN1042" i="1"/>
  <c r="AO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M1043" i="1"/>
  <c r="AN1043" i="1"/>
  <c r="AO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M1044" i="1"/>
  <c r="AN1044" i="1"/>
  <c r="AO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M1045" i="1"/>
  <c r="AN1045" i="1"/>
  <c r="AO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M1046" i="1"/>
  <c r="AN1046" i="1"/>
  <c r="AO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M1047" i="1"/>
  <c r="AN1047" i="1"/>
  <c r="AO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M1048" i="1"/>
  <c r="AN1048" i="1"/>
  <c r="AO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M1049" i="1"/>
  <c r="AN1049" i="1"/>
  <c r="AO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M1050" i="1"/>
  <c r="AN1050" i="1"/>
  <c r="AO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M1051" i="1"/>
  <c r="AN1051" i="1"/>
  <c r="AO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M1052" i="1"/>
  <c r="AN1052" i="1"/>
  <c r="AO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M1053" i="1"/>
  <c r="AN1053" i="1"/>
  <c r="AO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M1054" i="1"/>
  <c r="AN1054" i="1"/>
  <c r="AO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M1055" i="1"/>
  <c r="AN1055" i="1"/>
  <c r="AO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M1056" i="1"/>
  <c r="AN1056" i="1"/>
  <c r="AO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M1057" i="1"/>
  <c r="AN1057" i="1"/>
  <c r="AO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M1058" i="1"/>
  <c r="AN1058" i="1"/>
  <c r="AO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M1059" i="1"/>
  <c r="AN1059" i="1"/>
  <c r="AO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M1060" i="1"/>
  <c r="AN1060" i="1"/>
  <c r="AO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M1061" i="1"/>
  <c r="AN1061" i="1"/>
  <c r="AO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M1062" i="1"/>
  <c r="AN1062" i="1"/>
  <c r="AO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M1063" i="1"/>
  <c r="AN1063" i="1"/>
  <c r="AO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M1064" i="1"/>
  <c r="AN1064" i="1"/>
  <c r="AO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M1065" i="1"/>
  <c r="AN1065" i="1"/>
  <c r="AO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M1066" i="1"/>
  <c r="AN1066" i="1"/>
  <c r="AO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M1067" i="1"/>
  <c r="AN1067" i="1"/>
  <c r="AO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M1068" i="1"/>
  <c r="AN1068" i="1"/>
  <c r="AO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M1069" i="1"/>
  <c r="AN1069" i="1"/>
  <c r="AO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M1070" i="1"/>
  <c r="AN1070" i="1"/>
  <c r="AO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M1071" i="1"/>
  <c r="AN1071" i="1"/>
  <c r="AO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M1072" i="1"/>
  <c r="AN1072" i="1"/>
  <c r="AO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M1073" i="1"/>
  <c r="AN1073" i="1"/>
  <c r="AO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M1074" i="1"/>
  <c r="AN1074" i="1"/>
  <c r="AO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M1075" i="1"/>
  <c r="AN1075" i="1"/>
  <c r="AO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M1076" i="1"/>
  <c r="AN1076" i="1"/>
  <c r="AO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M1077" i="1"/>
  <c r="AN1077" i="1"/>
  <c r="AO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M1078" i="1"/>
  <c r="AN1078" i="1"/>
  <c r="AO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M1079" i="1"/>
  <c r="AN1079" i="1"/>
  <c r="AO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M1080" i="1"/>
  <c r="AN1080" i="1"/>
  <c r="AO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M1081" i="1"/>
  <c r="AN1081" i="1"/>
  <c r="AO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M1082" i="1"/>
  <c r="AN1082" i="1"/>
  <c r="AO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M1083" i="1"/>
  <c r="AN1083" i="1"/>
  <c r="AO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M1084" i="1"/>
  <c r="AN1084" i="1"/>
  <c r="AO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M1085" i="1"/>
  <c r="AN1085" i="1"/>
  <c r="AO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M1086" i="1"/>
  <c r="AN1086" i="1"/>
  <c r="AO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M1087" i="1"/>
  <c r="AN1087" i="1"/>
  <c r="AO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M1088" i="1"/>
  <c r="AN1088" i="1"/>
  <c r="AO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M1089" i="1"/>
  <c r="AN1089" i="1"/>
  <c r="AO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M1090" i="1"/>
  <c r="AN1090" i="1"/>
  <c r="AO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M1091" i="1"/>
  <c r="AN1091" i="1"/>
  <c r="AO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M1092" i="1"/>
  <c r="AN1092" i="1"/>
  <c r="AO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M1093" i="1"/>
  <c r="AN1093" i="1"/>
  <c r="AO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M1094" i="1"/>
  <c r="AN1094" i="1"/>
  <c r="AO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M1095" i="1"/>
  <c r="AN1095" i="1"/>
  <c r="AO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M1096" i="1"/>
  <c r="AN1096" i="1"/>
  <c r="AO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M1097" i="1"/>
  <c r="AN1097" i="1"/>
  <c r="AO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M1098" i="1"/>
  <c r="AN1098" i="1"/>
  <c r="AO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M1099" i="1"/>
  <c r="AN1099" i="1"/>
  <c r="AO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M1100" i="1"/>
  <c r="AN1100" i="1"/>
  <c r="AO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M1101" i="1"/>
  <c r="AN1101" i="1"/>
  <c r="AO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M1102" i="1"/>
  <c r="AN1102" i="1"/>
  <c r="AO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M1103" i="1"/>
  <c r="AN1103" i="1"/>
  <c r="AO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M1104" i="1"/>
  <c r="AN1104" i="1"/>
  <c r="AO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M1105" i="1"/>
  <c r="AN1105" i="1"/>
  <c r="AO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M1106" i="1"/>
  <c r="AN1106" i="1"/>
  <c r="AO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M1107" i="1"/>
  <c r="AN1107" i="1"/>
  <c r="AO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M1108" i="1"/>
  <c r="AN1108" i="1"/>
  <c r="AO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M1109" i="1"/>
  <c r="AN1109" i="1"/>
  <c r="AO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M1110" i="1"/>
  <c r="AN1110" i="1"/>
  <c r="AO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M1111" i="1"/>
  <c r="AN1111" i="1"/>
  <c r="AO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M1112" i="1"/>
  <c r="AN1112" i="1"/>
  <c r="AO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M1113" i="1"/>
  <c r="AN1113" i="1"/>
  <c r="AO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M1114" i="1"/>
  <c r="AN1114" i="1"/>
  <c r="AO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M1115" i="1"/>
  <c r="AN1115" i="1"/>
  <c r="AO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M1116" i="1"/>
  <c r="AN1116" i="1"/>
  <c r="AO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M1117" i="1"/>
  <c r="AN1117" i="1"/>
  <c r="AO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M1118" i="1"/>
  <c r="AN1118" i="1"/>
  <c r="AO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M1119" i="1"/>
  <c r="AN1119" i="1"/>
  <c r="AO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M1120" i="1"/>
  <c r="AN1120" i="1"/>
  <c r="AO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M1121" i="1"/>
  <c r="AN1121" i="1"/>
  <c r="AO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M1122" i="1"/>
  <c r="AN1122" i="1"/>
  <c r="AO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M1123" i="1"/>
  <c r="AN1123" i="1"/>
  <c r="AO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M1124" i="1"/>
  <c r="AN1124" i="1"/>
  <c r="AO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M1125" i="1"/>
  <c r="AN1125" i="1"/>
  <c r="AO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M1126" i="1"/>
  <c r="AN1126" i="1"/>
  <c r="AO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M1127" i="1"/>
  <c r="AN1127" i="1"/>
  <c r="AO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M1128" i="1"/>
  <c r="AN1128" i="1"/>
  <c r="AO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M1129" i="1"/>
  <c r="AN1129" i="1"/>
  <c r="AO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M1130" i="1"/>
  <c r="AN1130" i="1"/>
  <c r="AO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M1131" i="1"/>
  <c r="AN1131" i="1"/>
  <c r="AO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M1132" i="1"/>
  <c r="AN1132" i="1"/>
  <c r="AO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M1133" i="1"/>
  <c r="AN1133" i="1"/>
  <c r="AO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M1134" i="1"/>
  <c r="AN1134" i="1"/>
  <c r="AO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M1135" i="1"/>
  <c r="AN1135" i="1"/>
  <c r="AO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M1136" i="1"/>
  <c r="AN1136" i="1"/>
  <c r="AO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M1137" i="1"/>
  <c r="AN1137" i="1"/>
  <c r="AO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M1138" i="1"/>
  <c r="AN1138" i="1"/>
  <c r="AO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M1139" i="1"/>
  <c r="AN1139" i="1"/>
  <c r="AO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M1140" i="1"/>
  <c r="AN1140" i="1"/>
  <c r="AO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M1141" i="1"/>
  <c r="AN1141" i="1"/>
  <c r="AO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M1142" i="1"/>
  <c r="AN1142" i="1"/>
  <c r="AO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M1143" i="1"/>
  <c r="AN1143" i="1"/>
  <c r="AO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M1144" i="1"/>
  <c r="AN1144" i="1"/>
  <c r="AO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M1145" i="1"/>
  <c r="AN1145" i="1"/>
  <c r="AO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M1146" i="1"/>
  <c r="AN1146" i="1"/>
  <c r="AO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M1147" i="1"/>
  <c r="AN1147" i="1"/>
  <c r="AO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M1148" i="1"/>
  <c r="AN1148" i="1"/>
  <c r="AO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M1149" i="1"/>
  <c r="AN1149" i="1"/>
  <c r="AO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M1150" i="1"/>
  <c r="AN1150" i="1"/>
  <c r="AO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M1151" i="1"/>
  <c r="AN1151" i="1"/>
  <c r="AO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M1152" i="1"/>
  <c r="AN1152" i="1"/>
  <c r="AO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M1153" i="1"/>
  <c r="AN1153" i="1"/>
  <c r="AO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M1154" i="1"/>
  <c r="AN1154" i="1"/>
  <c r="AO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M1155" i="1"/>
  <c r="AN1155" i="1"/>
  <c r="AO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M1156" i="1"/>
  <c r="AN1156" i="1"/>
  <c r="AO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M1157" i="1"/>
  <c r="AN1157" i="1"/>
  <c r="AO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M1158" i="1"/>
  <c r="AN1158" i="1"/>
  <c r="AO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M1159" i="1"/>
  <c r="AN1159" i="1"/>
  <c r="AO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M1160" i="1"/>
  <c r="AN1160" i="1"/>
  <c r="AO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M1161" i="1"/>
  <c r="AN1161" i="1"/>
  <c r="AO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M1162" i="1"/>
  <c r="AN1162" i="1"/>
  <c r="AO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M1163" i="1"/>
  <c r="AN1163" i="1"/>
  <c r="AO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M1164" i="1"/>
  <c r="AN1164" i="1"/>
  <c r="AO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M1165" i="1"/>
  <c r="AN1165" i="1"/>
  <c r="AO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M1166" i="1"/>
  <c r="AN1166" i="1"/>
  <c r="AO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M1167" i="1"/>
  <c r="AN1167" i="1"/>
  <c r="AO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M1168" i="1"/>
  <c r="AN1168" i="1"/>
  <c r="AO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M1169" i="1"/>
  <c r="AN1169" i="1"/>
  <c r="AO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M1170" i="1"/>
  <c r="AN1170" i="1"/>
  <c r="AO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M1171" i="1"/>
  <c r="AN1171" i="1"/>
  <c r="AO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M1172" i="1"/>
  <c r="AN1172" i="1"/>
  <c r="AO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M1173" i="1"/>
  <c r="AN1173" i="1"/>
  <c r="AO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M1174" i="1"/>
  <c r="AN1174" i="1"/>
  <c r="AO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M1175" i="1"/>
  <c r="AN1175" i="1"/>
  <c r="AO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M1176" i="1"/>
  <c r="AN1176" i="1"/>
  <c r="AO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M1177" i="1"/>
  <c r="AN1177" i="1"/>
  <c r="AO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M1178" i="1"/>
  <c r="AN1178" i="1"/>
  <c r="AO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M1179" i="1"/>
  <c r="AN1179" i="1"/>
  <c r="AO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M1180" i="1"/>
  <c r="AN1180" i="1"/>
  <c r="AO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M1181" i="1"/>
  <c r="AN1181" i="1"/>
  <c r="AO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M1182" i="1"/>
  <c r="AN1182" i="1"/>
  <c r="AO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M1183" i="1"/>
  <c r="AN1183" i="1"/>
  <c r="AO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M1184" i="1"/>
  <c r="AN1184" i="1"/>
  <c r="AO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M1185" i="1"/>
  <c r="AN1185" i="1"/>
  <c r="AO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M1186" i="1"/>
  <c r="AN1186" i="1"/>
  <c r="AO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M1187" i="1"/>
  <c r="AN1187" i="1"/>
  <c r="AO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M1188" i="1"/>
  <c r="AN1188" i="1"/>
  <c r="AO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M1189" i="1"/>
  <c r="AN1189" i="1"/>
  <c r="AO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M1190" i="1"/>
  <c r="AN1190" i="1"/>
  <c r="AO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M1191" i="1"/>
  <c r="AN1191" i="1"/>
  <c r="AO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M1192" i="1"/>
  <c r="AN1192" i="1"/>
  <c r="AO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M1193" i="1"/>
  <c r="AN1193" i="1"/>
  <c r="AO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M1194" i="1"/>
  <c r="AN1194" i="1"/>
  <c r="AO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M1195" i="1"/>
  <c r="AN1195" i="1"/>
  <c r="AO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M1196" i="1"/>
  <c r="AN1196" i="1"/>
  <c r="AO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M1197" i="1"/>
  <c r="AN1197" i="1"/>
  <c r="AO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M1198" i="1"/>
  <c r="AN1198" i="1"/>
  <c r="AO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M1199" i="1"/>
  <c r="AN1199" i="1"/>
  <c r="AO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M1200" i="1"/>
  <c r="AN1200" i="1"/>
  <c r="AO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M1201" i="1"/>
  <c r="AN1201" i="1"/>
  <c r="AO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M1202" i="1"/>
  <c r="AN1202" i="1"/>
  <c r="AO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M1203" i="1"/>
  <c r="AN1203" i="1"/>
  <c r="AO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M1204" i="1"/>
  <c r="AN1204" i="1"/>
  <c r="AO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M1205" i="1"/>
  <c r="AN1205" i="1"/>
  <c r="AO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M1206" i="1"/>
  <c r="AN1206" i="1"/>
  <c r="AO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M1207" i="1"/>
  <c r="AN1207" i="1"/>
  <c r="AO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M1208" i="1"/>
  <c r="AN1208" i="1"/>
  <c r="AO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M1209" i="1"/>
  <c r="AN1209" i="1"/>
  <c r="AO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M1210" i="1"/>
  <c r="AN1210" i="1"/>
  <c r="AO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M1211" i="1"/>
  <c r="AN1211" i="1"/>
  <c r="AO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M1212" i="1"/>
  <c r="AN1212" i="1"/>
  <c r="AO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M1213" i="1"/>
  <c r="AN1213" i="1"/>
  <c r="AO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M1214" i="1"/>
  <c r="AN1214" i="1"/>
  <c r="AO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M1215" i="1"/>
  <c r="AN1215" i="1"/>
  <c r="AO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M1216" i="1"/>
  <c r="AN1216" i="1"/>
  <c r="AO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M1217" i="1"/>
  <c r="AN1217" i="1"/>
  <c r="AO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M1218" i="1"/>
  <c r="AN1218" i="1"/>
  <c r="AO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M1219" i="1"/>
  <c r="AN1219" i="1"/>
  <c r="AO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M1220" i="1"/>
  <c r="AN1220" i="1"/>
  <c r="AO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M1221" i="1"/>
  <c r="AN1221" i="1"/>
  <c r="AO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M1222" i="1"/>
  <c r="AN1222" i="1"/>
  <c r="AO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M1223" i="1"/>
  <c r="AN1223" i="1"/>
  <c r="AO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M1224" i="1"/>
  <c r="AN1224" i="1"/>
  <c r="AO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M1225" i="1"/>
  <c r="AN1225" i="1"/>
  <c r="AO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M1226" i="1"/>
  <c r="AN1226" i="1"/>
  <c r="AO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M1227" i="1"/>
  <c r="AN1227" i="1"/>
  <c r="AO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M1228" i="1"/>
  <c r="AN1228" i="1"/>
  <c r="AO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M1229" i="1"/>
  <c r="AN1229" i="1"/>
  <c r="AO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M1230" i="1"/>
  <c r="AN1230" i="1"/>
  <c r="AO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M1231" i="1"/>
  <c r="AN1231" i="1"/>
  <c r="AO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M1232" i="1"/>
  <c r="AN1232" i="1"/>
  <c r="AO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M1233" i="1"/>
  <c r="AN1233" i="1"/>
  <c r="AO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M1234" i="1"/>
  <c r="AN1234" i="1"/>
  <c r="AO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M1235" i="1"/>
  <c r="AN1235" i="1"/>
  <c r="AO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M1236" i="1"/>
  <c r="AN1236" i="1"/>
  <c r="AO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M1237" i="1"/>
  <c r="AN1237" i="1"/>
  <c r="AO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M1238" i="1"/>
  <c r="AN1238" i="1"/>
  <c r="AO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M1239" i="1"/>
  <c r="AN1239" i="1"/>
  <c r="AO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M1240" i="1"/>
  <c r="AN1240" i="1"/>
  <c r="AO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M1241" i="1"/>
  <c r="AN1241" i="1"/>
  <c r="AO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M1242" i="1"/>
  <c r="AN1242" i="1"/>
  <c r="AO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M1243" i="1"/>
  <c r="AN1243" i="1"/>
  <c r="AO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M1244" i="1"/>
  <c r="AN1244" i="1"/>
  <c r="AO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M1245" i="1"/>
  <c r="AN1245" i="1"/>
  <c r="AO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M1246" i="1"/>
  <c r="AN1246" i="1"/>
  <c r="AO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M1247" i="1"/>
  <c r="AN1247" i="1"/>
  <c r="AO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M1248" i="1"/>
  <c r="AN1248" i="1"/>
  <c r="AO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M1249" i="1"/>
  <c r="AN1249" i="1"/>
  <c r="AO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M1250" i="1"/>
  <c r="AN1250" i="1"/>
  <c r="AO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M1251" i="1"/>
  <c r="AN1251" i="1"/>
  <c r="AO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M1252" i="1"/>
  <c r="AN1252" i="1"/>
  <c r="AO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M1253" i="1"/>
  <c r="AN1253" i="1"/>
  <c r="AO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M1254" i="1"/>
  <c r="AN1254" i="1"/>
  <c r="AO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M1255" i="1"/>
  <c r="AN1255" i="1"/>
  <c r="AO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M1256" i="1"/>
  <c r="AN1256" i="1"/>
  <c r="AO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M1257" i="1"/>
  <c r="AN1257" i="1"/>
  <c r="AO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M1258" i="1"/>
  <c r="AN1258" i="1"/>
  <c r="AO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M1259" i="1"/>
  <c r="AN1259" i="1"/>
  <c r="AO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M1260" i="1"/>
  <c r="AN1260" i="1"/>
  <c r="AO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M1261" i="1"/>
  <c r="AN1261" i="1"/>
  <c r="AO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M1262" i="1"/>
  <c r="AN1262" i="1"/>
  <c r="AO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M1263" i="1"/>
  <c r="AN1263" i="1"/>
  <c r="AO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M1264" i="1"/>
  <c r="AN1264" i="1"/>
  <c r="AO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M1265" i="1"/>
  <c r="AN1265" i="1"/>
  <c r="AO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M1266" i="1"/>
  <c r="AN1266" i="1"/>
  <c r="AO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M1267" i="1"/>
  <c r="AN1267" i="1"/>
  <c r="AO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M1268" i="1"/>
  <c r="AN1268" i="1"/>
  <c r="AO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M1269" i="1"/>
  <c r="AN1269" i="1"/>
  <c r="AO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M1270" i="1"/>
  <c r="AN1270" i="1"/>
  <c r="AO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M1271" i="1"/>
  <c r="AN1271" i="1"/>
  <c r="AO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M1272" i="1"/>
  <c r="AN1272" i="1"/>
  <c r="AO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M1273" i="1"/>
  <c r="AN1273" i="1"/>
  <c r="AO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M1274" i="1"/>
  <c r="AN1274" i="1"/>
  <c r="AO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M1275" i="1"/>
  <c r="AN1275" i="1"/>
  <c r="AO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M1276" i="1"/>
  <c r="AN1276" i="1"/>
  <c r="AO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M1277" i="1"/>
  <c r="AN1277" i="1"/>
  <c r="AO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M1278" i="1"/>
  <c r="AN1278" i="1"/>
  <c r="AO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M1279" i="1"/>
  <c r="AN1279" i="1"/>
  <c r="AO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M1280" i="1"/>
  <c r="AN1280" i="1"/>
  <c r="AO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M1281" i="1"/>
  <c r="AN1281" i="1"/>
  <c r="AO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M1282" i="1"/>
  <c r="AN1282" i="1"/>
  <c r="AO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M1283" i="1"/>
  <c r="AN1283" i="1"/>
  <c r="AO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M1284" i="1"/>
  <c r="AN1284" i="1"/>
  <c r="AO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M1285" i="1"/>
  <c r="AN1285" i="1"/>
  <c r="AO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M1286" i="1"/>
  <c r="AN1286" i="1"/>
  <c r="AO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M1287" i="1"/>
  <c r="AN1287" i="1"/>
  <c r="AO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M1288" i="1"/>
  <c r="AN1288" i="1"/>
  <c r="AO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M1289" i="1"/>
  <c r="AN1289" i="1"/>
  <c r="AO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M1290" i="1"/>
  <c r="AN1290" i="1"/>
  <c r="AO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M1291" i="1"/>
  <c r="AN1291" i="1"/>
  <c r="AO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M1292" i="1"/>
  <c r="AN1292" i="1"/>
  <c r="AO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M1293" i="1"/>
  <c r="AN1293" i="1"/>
  <c r="AO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M1294" i="1"/>
  <c r="AN1294" i="1"/>
  <c r="AO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M1295" i="1"/>
  <c r="AN1295" i="1"/>
  <c r="AO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M1296" i="1"/>
  <c r="AN1296" i="1"/>
  <c r="AO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M1297" i="1"/>
  <c r="AN1297" i="1"/>
  <c r="AO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M1298" i="1"/>
  <c r="AN1298" i="1"/>
  <c r="AO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M1299" i="1"/>
  <c r="AN1299" i="1"/>
  <c r="AO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M1300" i="1"/>
  <c r="AN1300" i="1"/>
  <c r="AO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M1301" i="1"/>
  <c r="AN1301" i="1"/>
  <c r="AO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M1302" i="1"/>
  <c r="AN1302" i="1"/>
  <c r="AO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M1303" i="1"/>
  <c r="AN1303" i="1"/>
  <c r="AO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M1304" i="1"/>
  <c r="AN1304" i="1"/>
  <c r="AO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M1305" i="1"/>
  <c r="AN1305" i="1"/>
  <c r="AO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M1306" i="1"/>
  <c r="AN1306" i="1"/>
  <c r="AO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M1307" i="1"/>
  <c r="AN1307" i="1"/>
  <c r="AO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M1308" i="1"/>
  <c r="AN1308" i="1"/>
  <c r="AO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M1309" i="1"/>
  <c r="AN1309" i="1"/>
  <c r="AO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M1310" i="1"/>
  <c r="AN1310" i="1"/>
  <c r="AO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M1311" i="1"/>
  <c r="AN1311" i="1"/>
  <c r="AO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M1312" i="1"/>
  <c r="AN1312" i="1"/>
  <c r="AO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M1313" i="1"/>
  <c r="AN1313" i="1"/>
  <c r="AO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M1314" i="1"/>
  <c r="AN1314" i="1"/>
  <c r="AO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M1315" i="1"/>
  <c r="AN1315" i="1"/>
  <c r="AO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M1316" i="1"/>
  <c r="AN1316" i="1"/>
  <c r="AO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M1317" i="1"/>
  <c r="AN1317" i="1"/>
  <c r="AO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M1318" i="1"/>
  <c r="AN1318" i="1"/>
  <c r="AO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M1319" i="1"/>
  <c r="AN1319" i="1"/>
  <c r="AO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M1320" i="1"/>
  <c r="AN1320" i="1"/>
  <c r="AO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M1321" i="1"/>
  <c r="AN1321" i="1"/>
  <c r="AO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M1322" i="1"/>
  <c r="AN1322" i="1"/>
  <c r="AO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M1323" i="1"/>
  <c r="AN1323" i="1"/>
  <c r="AO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M1324" i="1"/>
  <c r="AN1324" i="1"/>
  <c r="AO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M1325" i="1"/>
  <c r="AN1325" i="1"/>
  <c r="AO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M1326" i="1"/>
  <c r="AN1326" i="1"/>
  <c r="AO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M1327" i="1"/>
  <c r="AN1327" i="1"/>
  <c r="AO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M1328" i="1"/>
  <c r="AN1328" i="1"/>
  <c r="AO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M1329" i="1"/>
  <c r="AN1329" i="1"/>
  <c r="AO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M1330" i="1"/>
  <c r="AN1330" i="1"/>
  <c r="AO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M1331" i="1"/>
  <c r="AN1331" i="1"/>
  <c r="AO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M1332" i="1"/>
  <c r="AN1332" i="1"/>
  <c r="AO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M1333" i="1"/>
  <c r="AN1333" i="1"/>
  <c r="AO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M1334" i="1"/>
  <c r="AN1334" i="1"/>
  <c r="AO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M1335" i="1"/>
  <c r="AN1335" i="1"/>
  <c r="AO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M1336" i="1"/>
  <c r="AN1336" i="1"/>
  <c r="AO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M1337" i="1"/>
  <c r="AN1337" i="1"/>
  <c r="AO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M1338" i="1"/>
  <c r="AN1338" i="1"/>
  <c r="AO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M1339" i="1"/>
  <c r="AN1339" i="1"/>
  <c r="AO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M1340" i="1"/>
  <c r="AN1340" i="1"/>
  <c r="AO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M1341" i="1"/>
  <c r="AN1341" i="1"/>
  <c r="AO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M1342" i="1"/>
  <c r="AN1342" i="1"/>
  <c r="AO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M1343" i="1"/>
  <c r="AN1343" i="1"/>
  <c r="AO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M1344" i="1"/>
  <c r="AN1344" i="1"/>
  <c r="AO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M1345" i="1"/>
  <c r="AN1345" i="1"/>
  <c r="AO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M1346" i="1"/>
  <c r="AN1346" i="1"/>
  <c r="AO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M1347" i="1"/>
  <c r="AN1347" i="1"/>
  <c r="AO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M1348" i="1"/>
  <c r="AN1348" i="1"/>
  <c r="AO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M1349" i="1"/>
  <c r="AN1349" i="1"/>
  <c r="AO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M1350" i="1"/>
  <c r="AN1350" i="1"/>
  <c r="AO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M1351" i="1"/>
  <c r="AN1351" i="1"/>
  <c r="AO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M1352" i="1"/>
  <c r="AN1352" i="1"/>
  <c r="AO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M1353" i="1"/>
  <c r="AN1353" i="1"/>
  <c r="AO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M1354" i="1"/>
  <c r="AN1354" i="1"/>
  <c r="AO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M1355" i="1"/>
  <c r="AN1355" i="1"/>
  <c r="AO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M1356" i="1"/>
  <c r="AN1356" i="1"/>
  <c r="AO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M1357" i="1"/>
  <c r="AN1357" i="1"/>
  <c r="AO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M1358" i="1"/>
  <c r="AN1358" i="1"/>
  <c r="AO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M1359" i="1"/>
  <c r="AN1359" i="1"/>
  <c r="AO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M1360" i="1"/>
  <c r="AN1360" i="1"/>
  <c r="AO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M1361" i="1"/>
  <c r="AN1361" i="1"/>
  <c r="AO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M1362" i="1"/>
  <c r="AN1362" i="1"/>
  <c r="AO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M1363" i="1"/>
  <c r="AN1363" i="1"/>
  <c r="AO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M1364" i="1"/>
  <c r="AN1364" i="1"/>
  <c r="AO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M1365" i="1"/>
  <c r="AN1365" i="1"/>
  <c r="AO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M1366" i="1"/>
  <c r="AN1366" i="1"/>
  <c r="AO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M1367" i="1"/>
  <c r="AN1367" i="1"/>
  <c r="AO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M1368" i="1"/>
  <c r="AN1368" i="1"/>
  <c r="AO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M1369" i="1"/>
  <c r="AN1369" i="1"/>
  <c r="AO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M1370" i="1"/>
  <c r="AN1370" i="1"/>
  <c r="AO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M1371" i="1"/>
  <c r="AN1371" i="1"/>
  <c r="AO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M1372" i="1"/>
  <c r="AN1372" i="1"/>
  <c r="AO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M1373" i="1"/>
  <c r="AN1373" i="1"/>
  <c r="AO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M1374" i="1"/>
  <c r="AN1374" i="1"/>
  <c r="AO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M1375" i="1"/>
  <c r="AN1375" i="1"/>
  <c r="AO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M1376" i="1"/>
  <c r="AN1376" i="1"/>
  <c r="AO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M1377" i="1"/>
  <c r="AN1377" i="1"/>
  <c r="AO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M1378" i="1"/>
  <c r="AN1378" i="1"/>
  <c r="AO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M1379" i="1"/>
  <c r="AN1379" i="1"/>
  <c r="AO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M1380" i="1"/>
  <c r="AN1380" i="1"/>
  <c r="AO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M1381" i="1"/>
  <c r="AN1381" i="1"/>
  <c r="AO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M1382" i="1"/>
  <c r="AN1382" i="1"/>
  <c r="AO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M1383" i="1"/>
  <c r="AN1383" i="1"/>
  <c r="AO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M1384" i="1"/>
  <c r="AN1384" i="1"/>
  <c r="AO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M1385" i="1"/>
  <c r="AN1385" i="1"/>
  <c r="AO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M1386" i="1"/>
  <c r="AN1386" i="1"/>
  <c r="AO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M1387" i="1"/>
  <c r="AN1387" i="1"/>
  <c r="AO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M1388" i="1"/>
  <c r="AN1388" i="1"/>
  <c r="AO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M1389" i="1"/>
  <c r="AN1389" i="1"/>
  <c r="AO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M1390" i="1"/>
  <c r="AN1390" i="1"/>
  <c r="AO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M1391" i="1"/>
  <c r="AN1391" i="1"/>
  <c r="AO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M1392" i="1"/>
  <c r="AN1392" i="1"/>
  <c r="AO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M1393" i="1"/>
  <c r="AN1393" i="1"/>
  <c r="AO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M1394" i="1"/>
  <c r="AN1394" i="1"/>
  <c r="AO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M1395" i="1"/>
  <c r="AN1395" i="1"/>
  <c r="AO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M1396" i="1"/>
  <c r="AN1396" i="1"/>
  <c r="AO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M1397" i="1"/>
  <c r="AN1397" i="1"/>
  <c r="AO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M1398" i="1"/>
  <c r="AN1398" i="1"/>
  <c r="AO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M1399" i="1"/>
  <c r="AN1399" i="1"/>
  <c r="AO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M1400" i="1"/>
  <c r="AN1400" i="1"/>
  <c r="AO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M1401" i="1"/>
  <c r="AN1401" i="1"/>
  <c r="AO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M1402" i="1"/>
  <c r="AN1402" i="1"/>
  <c r="AO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M1403" i="1"/>
  <c r="AN1403" i="1"/>
  <c r="AO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M1404" i="1"/>
  <c r="AN1404" i="1"/>
  <c r="AO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M1405" i="1"/>
  <c r="AN1405" i="1"/>
  <c r="AO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M1406" i="1"/>
  <c r="AN1406" i="1"/>
  <c r="AO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M1407" i="1"/>
  <c r="AN1407" i="1"/>
  <c r="AO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M1408" i="1"/>
  <c r="AN1408" i="1"/>
  <c r="AO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M1409" i="1"/>
  <c r="AN1409" i="1"/>
  <c r="AO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M1410" i="1"/>
  <c r="AN1410" i="1"/>
  <c r="AO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M1411" i="1"/>
  <c r="AN1411" i="1"/>
  <c r="AO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M1412" i="1"/>
  <c r="AN1412" i="1"/>
  <c r="AO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M1413" i="1"/>
  <c r="AN1413" i="1"/>
  <c r="AO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M1414" i="1"/>
  <c r="AN1414" i="1"/>
  <c r="AO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M1415" i="1"/>
  <c r="AN1415" i="1"/>
  <c r="AO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M1416" i="1"/>
  <c r="AN1416" i="1"/>
  <c r="AO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M1417" i="1"/>
  <c r="AN1417" i="1"/>
  <c r="AO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M1418" i="1"/>
  <c r="AN1418" i="1"/>
  <c r="AO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M1419" i="1"/>
  <c r="AN1419" i="1"/>
  <c r="AO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M1420" i="1"/>
  <c r="AN1420" i="1"/>
  <c r="AO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M1421" i="1"/>
  <c r="AN1421" i="1"/>
  <c r="AO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M1422" i="1"/>
  <c r="AN1422" i="1"/>
  <c r="AO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M1423" i="1"/>
  <c r="AN1423" i="1"/>
  <c r="AO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M1424" i="1"/>
  <c r="AN1424" i="1"/>
  <c r="AO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M1425" i="1"/>
  <c r="AN1425" i="1"/>
  <c r="AO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M1426" i="1"/>
  <c r="AN1426" i="1"/>
  <c r="AO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M1427" i="1"/>
  <c r="AN1427" i="1"/>
  <c r="AO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M1428" i="1"/>
  <c r="AN1428" i="1"/>
  <c r="AO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M1429" i="1"/>
  <c r="AN1429" i="1"/>
  <c r="AO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M1430" i="1"/>
  <c r="AN1430" i="1"/>
  <c r="AO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M1431" i="1"/>
  <c r="AN1431" i="1"/>
  <c r="AO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M1432" i="1"/>
  <c r="AN1432" i="1"/>
  <c r="AO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M1433" i="1"/>
  <c r="AN1433" i="1"/>
  <c r="AO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M1434" i="1"/>
  <c r="AN1434" i="1"/>
  <c r="AO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M1435" i="1"/>
  <c r="AN1435" i="1"/>
  <c r="AO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M1436" i="1"/>
  <c r="AN1436" i="1"/>
  <c r="AO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M1437" i="1"/>
  <c r="AN1437" i="1"/>
  <c r="AO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M1438" i="1"/>
  <c r="AN1438" i="1"/>
  <c r="AO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M1439" i="1"/>
  <c r="AN1439" i="1"/>
  <c r="AO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M1440" i="1"/>
  <c r="AN1440" i="1"/>
  <c r="AO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M1441" i="1"/>
  <c r="AN1441" i="1"/>
  <c r="AO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M1442" i="1"/>
  <c r="AN1442" i="1"/>
  <c r="AO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M1443" i="1"/>
  <c r="AN1443" i="1"/>
  <c r="AO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M1444" i="1"/>
  <c r="AN1444" i="1"/>
  <c r="AO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M1445" i="1"/>
  <c r="AN1445" i="1"/>
  <c r="AO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M1446" i="1"/>
  <c r="AN1446" i="1"/>
  <c r="AO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M1447" i="1"/>
  <c r="AN1447" i="1"/>
  <c r="AO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M1448" i="1"/>
  <c r="AN1448" i="1"/>
  <c r="AO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M1449" i="1"/>
  <c r="AN1449" i="1"/>
  <c r="AO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M1450" i="1"/>
  <c r="AN1450" i="1"/>
  <c r="AO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M1451" i="1"/>
  <c r="AN1451" i="1"/>
  <c r="AO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M1452" i="1"/>
  <c r="AN1452" i="1"/>
  <c r="AO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M1453" i="1"/>
  <c r="AN1453" i="1"/>
  <c r="AO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M1454" i="1"/>
  <c r="AN1454" i="1"/>
  <c r="AO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M1455" i="1"/>
  <c r="AN1455" i="1"/>
  <c r="AO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M1456" i="1"/>
  <c r="AN1456" i="1"/>
  <c r="AO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M1457" i="1"/>
  <c r="AN1457" i="1"/>
  <c r="AO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M1458" i="1"/>
  <c r="AN1458" i="1"/>
  <c r="AO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M1459" i="1"/>
  <c r="AN1459" i="1"/>
  <c r="AO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M1460" i="1"/>
  <c r="AN1460" i="1"/>
  <c r="AO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M1461" i="1"/>
  <c r="AN1461" i="1"/>
  <c r="AO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M1462" i="1"/>
  <c r="AN1462" i="1"/>
  <c r="AO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M1463" i="1"/>
  <c r="AN1463" i="1"/>
  <c r="AO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M1464" i="1"/>
  <c r="AN1464" i="1"/>
  <c r="AO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M1465" i="1"/>
  <c r="AN1465" i="1"/>
  <c r="AO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M1466" i="1"/>
  <c r="AN1466" i="1"/>
  <c r="AO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M1467" i="1"/>
  <c r="AN1467" i="1"/>
  <c r="AO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M1468" i="1"/>
  <c r="AN1468" i="1"/>
  <c r="AO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M1469" i="1"/>
  <c r="AN1469" i="1"/>
  <c r="AO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M1470" i="1"/>
  <c r="AN1470" i="1"/>
  <c r="AO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M1471" i="1"/>
  <c r="AN1471" i="1"/>
  <c r="AO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M1472" i="1"/>
  <c r="AN1472" i="1"/>
  <c r="AO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M1473" i="1"/>
  <c r="AN1473" i="1"/>
  <c r="AO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M1474" i="1"/>
  <c r="AN1474" i="1"/>
  <c r="AO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M1475" i="1"/>
  <c r="AN1475" i="1"/>
  <c r="AO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M1476" i="1"/>
  <c r="AN1476" i="1"/>
  <c r="AO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M1477" i="1"/>
  <c r="AN1477" i="1"/>
  <c r="AO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M1478" i="1"/>
  <c r="AN1478" i="1"/>
  <c r="AO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M1479" i="1"/>
  <c r="AN1479" i="1"/>
  <c r="AO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M1480" i="1"/>
  <c r="AN1480" i="1"/>
  <c r="AO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M1481" i="1"/>
  <c r="AN1481" i="1"/>
  <c r="AO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M1482" i="1"/>
  <c r="AN1482" i="1"/>
  <c r="AO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M1483" i="1"/>
  <c r="AN1483" i="1"/>
  <c r="AO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M1484" i="1"/>
  <c r="AN1484" i="1"/>
  <c r="AO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M1485" i="1"/>
  <c r="AN1485" i="1"/>
  <c r="AO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M1486" i="1"/>
  <c r="AN1486" i="1"/>
  <c r="AO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M1487" i="1"/>
  <c r="AN1487" i="1"/>
  <c r="AO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M1488" i="1"/>
  <c r="AN1488" i="1"/>
  <c r="AO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M1489" i="1"/>
  <c r="AN1489" i="1"/>
  <c r="AO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M1490" i="1"/>
  <c r="AN1490" i="1"/>
  <c r="AO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M1491" i="1"/>
  <c r="AN1491" i="1"/>
  <c r="AO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M1492" i="1"/>
  <c r="AN1492" i="1"/>
  <c r="AO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M1493" i="1"/>
  <c r="AN1493" i="1"/>
  <c r="AO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M1494" i="1"/>
  <c r="AN1494" i="1"/>
  <c r="AO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M1495" i="1"/>
  <c r="AN1495" i="1"/>
  <c r="AO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M1496" i="1"/>
  <c r="AN1496" i="1"/>
  <c r="AO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M1497" i="1"/>
  <c r="AN1497" i="1"/>
  <c r="AO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M1498" i="1"/>
  <c r="AN1498" i="1"/>
  <c r="AO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M1499" i="1"/>
  <c r="AN1499" i="1"/>
  <c r="AO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M1500" i="1"/>
  <c r="AN1500" i="1"/>
  <c r="AO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M1501" i="1"/>
  <c r="AN1501" i="1"/>
  <c r="AO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M1502" i="1"/>
  <c r="AN1502" i="1"/>
  <c r="AO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M1503" i="1"/>
  <c r="AN1503" i="1"/>
  <c r="AO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M1504" i="1"/>
  <c r="AN1504" i="1"/>
  <c r="AO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M1505" i="1"/>
  <c r="AN1505" i="1"/>
  <c r="AO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M1506" i="1"/>
  <c r="AN1506" i="1"/>
  <c r="AO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M1507" i="1"/>
  <c r="AN1507" i="1"/>
  <c r="AO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M1508" i="1"/>
  <c r="AN1508" i="1"/>
  <c r="AO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M1509" i="1"/>
  <c r="AN1509" i="1"/>
  <c r="AO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M1510" i="1"/>
  <c r="AN1510" i="1"/>
  <c r="AO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M1511" i="1"/>
  <c r="AN1511" i="1"/>
  <c r="AO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M1512" i="1"/>
  <c r="AN1512" i="1"/>
  <c r="AO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M1513" i="1"/>
  <c r="AN1513" i="1"/>
  <c r="AO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M1514" i="1"/>
  <c r="AN1514" i="1"/>
  <c r="AO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M1515" i="1"/>
  <c r="AN1515" i="1"/>
  <c r="AO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M1516" i="1"/>
  <c r="AN1516" i="1"/>
  <c r="AO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M1517" i="1"/>
  <c r="AN1517" i="1"/>
  <c r="AO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M1518" i="1"/>
  <c r="AN1518" i="1"/>
  <c r="AO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M1519" i="1"/>
  <c r="AN1519" i="1"/>
  <c r="AO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M1520" i="1"/>
  <c r="AN1520" i="1"/>
  <c r="AO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M1521" i="1"/>
  <c r="AN1521" i="1"/>
  <c r="AO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M1522" i="1"/>
  <c r="AN1522" i="1"/>
  <c r="AO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M1523" i="1"/>
  <c r="AN1523" i="1"/>
  <c r="AO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M1524" i="1"/>
  <c r="AN1524" i="1"/>
  <c r="AO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M1525" i="1"/>
  <c r="AN1525" i="1"/>
  <c r="AO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M1526" i="1"/>
  <c r="AN1526" i="1"/>
  <c r="AO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M1527" i="1"/>
  <c r="AN1527" i="1"/>
  <c r="AO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M1528" i="1"/>
  <c r="AN1528" i="1"/>
  <c r="AO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M1529" i="1"/>
  <c r="AN1529" i="1"/>
  <c r="AO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M1530" i="1"/>
  <c r="AN1530" i="1"/>
  <c r="AO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M1531" i="1"/>
  <c r="AN1531" i="1"/>
  <c r="AO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M1532" i="1"/>
  <c r="AN1532" i="1"/>
  <c r="AO1532" i="1"/>
  <c r="L1533" i="1"/>
  <c r="M1533" i="1"/>
  <c r="N1533" i="1"/>
  <c r="O1533" i="1"/>
  <c r="P1533" i="1"/>
  <c r="Q1533" i="1"/>
  <c r="R1533" i="1"/>
  <c r="S1533" i="1"/>
  <c r="T1533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M1539" i="1"/>
  <c r="AN1539" i="1"/>
  <c r="AO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M1540" i="1"/>
  <c r="AN1540" i="1"/>
  <c r="AO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M1541" i="1"/>
  <c r="AN1541" i="1"/>
  <c r="AO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M1542" i="1"/>
  <c r="AN1542" i="1"/>
  <c r="AO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M1543" i="1"/>
  <c r="AN1543" i="1"/>
  <c r="AO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M1544" i="1"/>
  <c r="AN1544" i="1"/>
  <c r="AO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M1545" i="1"/>
  <c r="AN1545" i="1"/>
  <c r="AO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M1546" i="1"/>
  <c r="AN1546" i="1"/>
  <c r="AO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M1547" i="1"/>
  <c r="AN1547" i="1"/>
  <c r="AO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M1548" i="1"/>
  <c r="AN1548" i="1"/>
  <c r="AO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M1549" i="1"/>
  <c r="AN1549" i="1"/>
  <c r="AO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M1550" i="1"/>
  <c r="AN1550" i="1"/>
  <c r="AO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M1551" i="1"/>
  <c r="AN1551" i="1"/>
  <c r="AO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M1552" i="1"/>
  <c r="AN1552" i="1"/>
  <c r="AO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M1553" i="1"/>
  <c r="AN1553" i="1"/>
  <c r="AO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M1554" i="1"/>
  <c r="AN1554" i="1"/>
  <c r="AO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M1555" i="1"/>
  <c r="AN1555" i="1"/>
  <c r="AO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M1556" i="1"/>
  <c r="AN1556" i="1"/>
  <c r="AO1556" i="1"/>
  <c r="L1557" i="1"/>
  <c r="M1557" i="1"/>
  <c r="N1557" i="1"/>
  <c r="O1557" i="1"/>
  <c r="P1557" i="1"/>
  <c r="Q1557" i="1"/>
  <c r="R1557" i="1"/>
  <c r="S1557" i="1"/>
  <c r="T1557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M1563" i="1"/>
  <c r="AN1563" i="1"/>
  <c r="AO1563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M1564" i="1"/>
  <c r="AN1564" i="1"/>
  <c r="AO1564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M1565" i="1"/>
  <c r="AN1565" i="1"/>
  <c r="AO1565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M1566" i="1"/>
  <c r="AN1566" i="1"/>
  <c r="AO1566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M1567" i="1"/>
  <c r="AN1567" i="1"/>
  <c r="AO1567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M1568" i="1"/>
  <c r="AN1568" i="1"/>
  <c r="AO1568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M1569" i="1"/>
  <c r="AN1569" i="1"/>
  <c r="AO1569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I1570" i="1"/>
  <c r="AK1570" i="1"/>
  <c r="AL1570" i="1"/>
  <c r="AM1570" i="1"/>
  <c r="AN1570" i="1"/>
  <c r="AO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I1571" i="1"/>
  <c r="AK1571" i="1"/>
  <c r="AL1571" i="1"/>
  <c r="AM1571" i="1"/>
  <c r="AN1571" i="1"/>
  <c r="AO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I1572" i="1"/>
  <c r="AK1572" i="1"/>
  <c r="AL1572" i="1"/>
  <c r="AM1572" i="1"/>
  <c r="AN1572" i="1"/>
  <c r="AO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I1573" i="1"/>
  <c r="AK1573" i="1"/>
  <c r="AL1573" i="1"/>
  <c r="AM1573" i="1"/>
  <c r="AN1573" i="1"/>
  <c r="AO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I1574" i="1"/>
  <c r="AK1574" i="1"/>
  <c r="AL1574" i="1"/>
  <c r="AM1574" i="1"/>
  <c r="AN1574" i="1"/>
  <c r="AO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I1575" i="1"/>
  <c r="AK1575" i="1"/>
  <c r="AL1575" i="1"/>
  <c r="AM1575" i="1"/>
  <c r="AN1575" i="1"/>
  <c r="AO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I1576" i="1"/>
  <c r="AK1576" i="1"/>
  <c r="AL1576" i="1"/>
  <c r="AM1576" i="1"/>
  <c r="AN1576" i="1"/>
  <c r="AO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I1577" i="1"/>
  <c r="AK1577" i="1"/>
  <c r="AL1577" i="1"/>
  <c r="AM1577" i="1"/>
  <c r="AN1577" i="1"/>
  <c r="AO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I1578" i="1"/>
  <c r="AK1578" i="1"/>
  <c r="AL1578" i="1"/>
  <c r="AM1578" i="1"/>
  <c r="AN1578" i="1"/>
  <c r="AO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I1579" i="1"/>
  <c r="AK1579" i="1"/>
  <c r="AL1579" i="1"/>
  <c r="AM1579" i="1"/>
  <c r="AN1579" i="1"/>
  <c r="AO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I1580" i="1"/>
  <c r="AK1580" i="1"/>
  <c r="AL1580" i="1"/>
  <c r="AM1580" i="1"/>
  <c r="AN1580" i="1"/>
  <c r="AO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I1581" i="1"/>
  <c r="AK1581" i="1"/>
  <c r="AL1581" i="1"/>
  <c r="AM1581" i="1"/>
  <c r="AN1581" i="1"/>
  <c r="AO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I1582" i="1"/>
  <c r="AK1582" i="1"/>
  <c r="AL1582" i="1"/>
  <c r="AM1582" i="1"/>
  <c r="AN1582" i="1"/>
  <c r="AO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I1583" i="1"/>
  <c r="AK1583" i="1"/>
  <c r="AL1583" i="1"/>
  <c r="AM1583" i="1"/>
  <c r="AN1583" i="1"/>
  <c r="AO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I1584" i="1"/>
  <c r="AK1584" i="1"/>
  <c r="AL1584" i="1"/>
  <c r="AM1584" i="1"/>
  <c r="AN1584" i="1"/>
  <c r="AO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I1585" i="1"/>
  <c r="AK1585" i="1"/>
  <c r="AL1585" i="1"/>
  <c r="AM1585" i="1"/>
  <c r="AN1585" i="1"/>
  <c r="AO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I1586" i="1"/>
  <c r="AK1586" i="1"/>
  <c r="AL1586" i="1"/>
  <c r="AM1586" i="1"/>
  <c r="AN1586" i="1"/>
  <c r="AO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I1587" i="1"/>
  <c r="AK1587" i="1"/>
  <c r="AL1587" i="1"/>
  <c r="AM1587" i="1"/>
  <c r="AN1587" i="1"/>
  <c r="AO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I1588" i="1"/>
  <c r="AK1588" i="1"/>
  <c r="AL1588" i="1"/>
  <c r="AM1588" i="1"/>
  <c r="AN1588" i="1"/>
  <c r="AO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I1589" i="1"/>
  <c r="AK1589" i="1"/>
  <c r="AL1589" i="1"/>
  <c r="AM1589" i="1"/>
  <c r="AN1589" i="1"/>
  <c r="AO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I1590" i="1"/>
  <c r="AK1590" i="1"/>
  <c r="AL1590" i="1"/>
  <c r="AM1590" i="1"/>
  <c r="AN1590" i="1"/>
  <c r="AO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I1591" i="1"/>
  <c r="AK1591" i="1"/>
  <c r="AL1591" i="1"/>
  <c r="AM1591" i="1"/>
  <c r="AN1591" i="1"/>
  <c r="AO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I1592" i="1"/>
  <c r="AK1592" i="1"/>
  <c r="AL1592" i="1"/>
  <c r="AM1592" i="1"/>
  <c r="AN1592" i="1"/>
  <c r="AO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I1593" i="1"/>
  <c r="AK1593" i="1"/>
  <c r="AL1593" i="1"/>
  <c r="AM1593" i="1"/>
  <c r="AN1593" i="1"/>
  <c r="AO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I1594" i="1"/>
  <c r="AK1594" i="1"/>
  <c r="AL1594" i="1"/>
  <c r="AM1594" i="1"/>
  <c r="AN1594" i="1"/>
  <c r="AO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I1595" i="1"/>
  <c r="AK1595" i="1"/>
  <c r="AL1595" i="1"/>
  <c r="AM1595" i="1"/>
  <c r="AN1595" i="1"/>
  <c r="AO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L1596" i="1"/>
  <c r="AM1596" i="1"/>
  <c r="AN1596" i="1"/>
  <c r="AO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L1597" i="1"/>
  <c r="AM1597" i="1"/>
  <c r="AN1597" i="1"/>
  <c r="AO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L1598" i="1"/>
  <c r="AM1598" i="1"/>
  <c r="AN1598" i="1"/>
  <c r="AO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L1599" i="1"/>
  <c r="AM1599" i="1"/>
  <c r="AN1599" i="1"/>
  <c r="AO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L1600" i="1"/>
  <c r="AM1600" i="1"/>
  <c r="AN1600" i="1"/>
  <c r="AO1600" i="1"/>
  <c r="K1601" i="1"/>
  <c r="L1601" i="1"/>
  <c r="M1601" i="1"/>
  <c r="N1601" i="1"/>
  <c r="O1601" i="1"/>
  <c r="P1601" i="1"/>
  <c r="Q1601" i="1"/>
  <c r="R1601" i="1"/>
  <c r="S1601" i="1"/>
  <c r="T1601" i="1"/>
  <c r="X1601" i="1"/>
  <c r="Z1601" i="1"/>
  <c r="AA1601" i="1"/>
  <c r="AF1601" i="1"/>
  <c r="AL1601" i="1"/>
  <c r="AM1601" i="1"/>
  <c r="AN1601" i="1"/>
  <c r="AO1601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M1607" i="1"/>
  <c r="AN1607" i="1"/>
  <c r="AO1607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M1608" i="1"/>
  <c r="AN1608" i="1"/>
  <c r="AO1608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M1609" i="1"/>
  <c r="AN1609" i="1"/>
  <c r="AO1609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M1610" i="1"/>
  <c r="AN1610" i="1"/>
  <c r="AO1610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M1611" i="1"/>
  <c r="AN1611" i="1"/>
  <c r="AO1611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M1612" i="1"/>
  <c r="AN1612" i="1"/>
  <c r="AO1612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M1613" i="1"/>
  <c r="AN1613" i="1"/>
  <c r="AO1613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M1614" i="1"/>
  <c r="AN1614" i="1"/>
  <c r="AO1614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M1615" i="1"/>
  <c r="AN1615" i="1"/>
  <c r="AO1615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J1616" i="1"/>
  <c r="AK1616" i="1"/>
  <c r="AL1616" i="1"/>
  <c r="AM1616" i="1"/>
  <c r="AN1616" i="1"/>
  <c r="AO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J1617" i="1"/>
  <c r="AK1617" i="1"/>
  <c r="AL1617" i="1"/>
  <c r="AM1617" i="1"/>
  <c r="AN1617" i="1"/>
  <c r="AO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J1618" i="1"/>
  <c r="AK1618" i="1"/>
  <c r="AL1618" i="1"/>
  <c r="AM1618" i="1"/>
  <c r="AN1618" i="1"/>
  <c r="AO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J1619" i="1"/>
  <c r="AK1619" i="1"/>
  <c r="AL1619" i="1"/>
  <c r="AM1619" i="1"/>
  <c r="AN1619" i="1"/>
  <c r="AO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J1620" i="1"/>
  <c r="AK1620" i="1"/>
  <c r="AL1620" i="1"/>
  <c r="AM1620" i="1"/>
  <c r="AN1620" i="1"/>
  <c r="AO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J1621" i="1"/>
  <c r="AK1621" i="1"/>
  <c r="AL1621" i="1"/>
  <c r="AM1621" i="1"/>
  <c r="AN1621" i="1"/>
  <c r="AO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J1622" i="1"/>
  <c r="AK1622" i="1"/>
  <c r="AL1622" i="1"/>
  <c r="AM1622" i="1"/>
  <c r="AN1622" i="1"/>
  <c r="AO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J1623" i="1"/>
  <c r="AK1623" i="1"/>
  <c r="AL1623" i="1"/>
  <c r="AM1623" i="1"/>
  <c r="AN1623" i="1"/>
  <c r="AO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J1624" i="1"/>
  <c r="AK1624" i="1"/>
  <c r="AL1624" i="1"/>
  <c r="AM1624" i="1"/>
  <c r="AN1624" i="1"/>
  <c r="AO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J1625" i="1"/>
  <c r="AK1625" i="1"/>
  <c r="AL1625" i="1"/>
  <c r="AM1625" i="1"/>
  <c r="AN1625" i="1"/>
  <c r="AO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J1626" i="1"/>
  <c r="AK1626" i="1"/>
  <c r="AL1626" i="1"/>
  <c r="AM1626" i="1"/>
  <c r="AN1626" i="1"/>
  <c r="AO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J1627" i="1"/>
  <c r="AK1627" i="1"/>
  <c r="AL1627" i="1"/>
  <c r="AM1627" i="1"/>
  <c r="AN1627" i="1"/>
  <c r="AO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J1628" i="1"/>
  <c r="AK1628" i="1"/>
  <c r="AL1628" i="1"/>
  <c r="AM1628" i="1"/>
  <c r="AN1628" i="1"/>
  <c r="AO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J1629" i="1"/>
  <c r="AK1629" i="1"/>
  <c r="AL1629" i="1"/>
  <c r="AM1629" i="1"/>
  <c r="AN1629" i="1"/>
  <c r="AO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J1630" i="1"/>
  <c r="AK1630" i="1"/>
  <c r="AL1630" i="1"/>
  <c r="AM1630" i="1"/>
  <c r="AN1630" i="1"/>
  <c r="AO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J1631" i="1"/>
  <c r="AK1631" i="1"/>
  <c r="AL1631" i="1"/>
  <c r="AM1631" i="1"/>
  <c r="AN1631" i="1"/>
  <c r="AO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J1632" i="1"/>
  <c r="AK1632" i="1"/>
  <c r="AL1632" i="1"/>
  <c r="AM1632" i="1"/>
  <c r="AN1632" i="1"/>
  <c r="AO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J1633" i="1"/>
  <c r="AK1633" i="1"/>
  <c r="AL1633" i="1"/>
  <c r="AM1633" i="1"/>
  <c r="AN1633" i="1"/>
  <c r="AO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J1634" i="1"/>
  <c r="AK1634" i="1"/>
  <c r="AL1634" i="1"/>
  <c r="AM1634" i="1"/>
  <c r="AN1634" i="1"/>
  <c r="AO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J1635" i="1"/>
  <c r="AK1635" i="1"/>
  <c r="AL1635" i="1"/>
  <c r="AM1635" i="1"/>
  <c r="AN1635" i="1"/>
  <c r="AO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J1636" i="1"/>
  <c r="AK1636" i="1"/>
  <c r="AL1636" i="1"/>
  <c r="AM1636" i="1"/>
  <c r="AN1636" i="1"/>
  <c r="AO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J1637" i="1"/>
  <c r="AK1637" i="1"/>
  <c r="AL1637" i="1"/>
  <c r="AM1637" i="1"/>
  <c r="AN1637" i="1"/>
  <c r="AO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J1638" i="1"/>
  <c r="AK1638" i="1"/>
  <c r="AL1638" i="1"/>
  <c r="AM1638" i="1"/>
  <c r="AN1638" i="1"/>
  <c r="AO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J1639" i="1"/>
  <c r="AK1639" i="1"/>
  <c r="AL1639" i="1"/>
  <c r="AM1639" i="1"/>
  <c r="AN1639" i="1"/>
  <c r="AO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J1640" i="1"/>
  <c r="AK1640" i="1"/>
  <c r="AL1640" i="1"/>
  <c r="AM1640" i="1"/>
  <c r="AN1640" i="1"/>
  <c r="AO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J1641" i="1"/>
  <c r="AK1641" i="1"/>
  <c r="AL1641" i="1"/>
  <c r="AM1641" i="1"/>
  <c r="AN1641" i="1"/>
  <c r="AO1641" i="1"/>
  <c r="K1642" i="1"/>
  <c r="L1642" i="1"/>
  <c r="M1642" i="1"/>
  <c r="N1642" i="1"/>
  <c r="O1642" i="1"/>
  <c r="P1642" i="1"/>
  <c r="Q1642" i="1"/>
  <c r="R1642" i="1"/>
  <c r="S1642" i="1"/>
  <c r="T1642" i="1"/>
  <c r="X1642" i="1"/>
  <c r="Z1642" i="1"/>
  <c r="AA1642" i="1"/>
  <c r="AF1642" i="1"/>
  <c r="AK1642" i="1"/>
  <c r="AL1642" i="1"/>
  <c r="AM1642" i="1"/>
  <c r="AN1642" i="1"/>
  <c r="AO1642" i="1"/>
  <c r="H1645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M1648" i="1"/>
  <c r="AN1648" i="1"/>
  <c r="AO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M1649" i="1"/>
  <c r="AN1649" i="1"/>
  <c r="AO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M1650" i="1"/>
  <c r="AN1650" i="1"/>
  <c r="AO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M1651" i="1"/>
  <c r="AN1651" i="1"/>
  <c r="AO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M1652" i="1"/>
  <c r="AN1652" i="1"/>
  <c r="AO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M1653" i="1"/>
  <c r="AN1653" i="1"/>
  <c r="AO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M1654" i="1"/>
  <c r="AN1654" i="1"/>
  <c r="AO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M1655" i="1"/>
  <c r="AN1655" i="1"/>
  <c r="AO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M1656" i="1"/>
  <c r="AN1656" i="1"/>
  <c r="AO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M1657" i="1"/>
  <c r="AN1657" i="1"/>
  <c r="AO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M1658" i="1"/>
  <c r="AN1658" i="1"/>
  <c r="AO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M1659" i="1"/>
  <c r="AN1659" i="1"/>
  <c r="AO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M1660" i="1"/>
  <c r="AN1660" i="1"/>
  <c r="AO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M1661" i="1"/>
  <c r="AN1661" i="1"/>
  <c r="AO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M1662" i="1"/>
  <c r="AN1662" i="1"/>
  <c r="AO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M1663" i="1"/>
  <c r="AN1663" i="1"/>
  <c r="AO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M1664" i="1"/>
  <c r="AN1664" i="1"/>
  <c r="AO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M1665" i="1"/>
  <c r="AN1665" i="1"/>
  <c r="AO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M1666" i="1"/>
  <c r="AN1666" i="1"/>
  <c r="AO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M1667" i="1"/>
  <c r="AN1667" i="1"/>
  <c r="AO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M1668" i="1"/>
  <c r="AN1668" i="1"/>
  <c r="AO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M1669" i="1"/>
  <c r="AN1669" i="1"/>
  <c r="AO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M1670" i="1"/>
  <c r="AN1670" i="1"/>
  <c r="AO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M1671" i="1"/>
  <c r="AN1671" i="1"/>
  <c r="AO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M1672" i="1"/>
  <c r="AN1672" i="1"/>
  <c r="AO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M1673" i="1"/>
  <c r="AN1673" i="1"/>
  <c r="AO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M1674" i="1"/>
  <c r="AN1674" i="1"/>
  <c r="AO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M1675" i="1"/>
  <c r="AN1675" i="1"/>
  <c r="AO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M1676" i="1"/>
  <c r="AN1676" i="1"/>
  <c r="AO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M1677" i="1"/>
  <c r="AN1677" i="1"/>
  <c r="AO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M1678" i="1"/>
  <c r="AN1678" i="1"/>
  <c r="AO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M1679" i="1"/>
  <c r="AN1679" i="1"/>
  <c r="AO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M1680" i="1"/>
  <c r="AN1680" i="1"/>
  <c r="AO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M1681" i="1"/>
  <c r="AN1681" i="1"/>
  <c r="AO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M1682" i="1"/>
  <c r="AN1682" i="1"/>
  <c r="AO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M1683" i="1"/>
  <c r="AN1683" i="1"/>
  <c r="AO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M1684" i="1"/>
  <c r="AN1684" i="1"/>
  <c r="AO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M1685" i="1"/>
  <c r="AN1685" i="1"/>
  <c r="AO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M1686" i="1"/>
  <c r="AN1686" i="1"/>
  <c r="AO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M1687" i="1"/>
  <c r="AN1687" i="1"/>
  <c r="AO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M1688" i="1"/>
  <c r="AN1688" i="1"/>
  <c r="AO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M1689" i="1"/>
  <c r="AN1689" i="1"/>
  <c r="AO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M1690" i="1"/>
  <c r="AN1690" i="1"/>
  <c r="AO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M1691" i="1"/>
  <c r="AN1691" i="1"/>
  <c r="AO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M1692" i="1"/>
  <c r="AN1692" i="1"/>
  <c r="AO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M1693" i="1"/>
  <c r="AN1693" i="1"/>
  <c r="AO1693" i="1"/>
  <c r="K1694" i="1"/>
  <c r="L1694" i="1"/>
  <c r="M1694" i="1"/>
  <c r="N1694" i="1"/>
  <c r="O1694" i="1"/>
  <c r="P1694" i="1"/>
  <c r="Q1694" i="1"/>
  <c r="R1694" i="1"/>
  <c r="S1694" i="1"/>
  <c r="T1694" i="1"/>
  <c r="X1694" i="1"/>
  <c r="Z1694" i="1"/>
  <c r="AA1694" i="1"/>
  <c r="AF1694" i="1"/>
  <c r="AM1694" i="1"/>
  <c r="AN1694" i="1"/>
  <c r="AO1694" i="1"/>
</calcChain>
</file>

<file path=xl/sharedStrings.xml><?xml version="1.0" encoding="utf-8"?>
<sst xmlns="http://schemas.openxmlformats.org/spreadsheetml/2006/main" count="2236" uniqueCount="181">
  <si>
    <t>1D Steady Open Channel Network Solver</t>
  </si>
  <si>
    <t>Imported bed elevations, bank slopes, junction internal BC formulas,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</si>
  <si>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</si>
  <si>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</si>
  <si>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</si>
  <si>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</si>
  <si>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</si>
  <si>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</si>
  <si>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</si>
  <si>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</si>
  <si>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</si>
  <si>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</si>
  <si>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</si>
  <si>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</si>
  <si>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</si>
  <si>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</si>
  <si>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</si>
  <si>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</si>
  <si>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</si>
  <si>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</si>
  <si>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</si>
  <si>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</si>
  <si>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</si>
  <si>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</si>
  <si>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</si>
  <si>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</si>
  <si>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</si>
  <si>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</si>
  <si>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</si>
  <si>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</si>
  <si>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</si>
  <si>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</si>
  <si>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</si>
  <si>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</si>
  <si>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</si>
  <si>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</si>
  <si>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</si>
  <si>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</si>
  <si>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</si>
  <si>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</si>
  <si>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</si>
  <si>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</si>
  <si>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</si>
  <si>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</si>
  <si>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</si>
  <si>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</si>
  <si>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</si>
  <si>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</si>
  <si>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</si>
  <si>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</si>
  <si>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</si>
  <si>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</si>
  <si>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</si>
  <si>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</si>
  <si>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</si>
  <si>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</si>
  <si>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</si>
  <si>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</si>
  <si>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residual</t>
  </si>
  <si>
    <t>Boundary slope</t>
  </si>
  <si>
    <t>J2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</si>
  <si>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</si>
  <si>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</si>
  <si>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</si>
  <si>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</si>
  <si>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</si>
  <si>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</si>
  <si>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</si>
  <si>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Junction Internal Boundary Conditions</t>
  </si>
  <si>
    <t>Common junction water surface is enforced through branch energy equality; split ratios are nudged by specific-force imbalance.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</si>
  <si>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</si>
  <si>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</si>
  <si>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</si>
  <si>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</si>
  <si>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</si>
  <si>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</si>
  <si>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</si>
  <si>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</si>
  <si>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</si>
  <si>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</si>
  <si>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</si>
  <si>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</si>
  <si>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</si>
  <si>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</si>
  <si>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</si>
  <si>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</si>
  <si>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</si>
  <si>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</si>
  <si>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</si>
  <si>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</si>
  <si>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</si>
  <si>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</si>
  <si>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</si>
  <si>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</si>
  <si>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</si>
  <si>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Subcritical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</si>
  <si>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</si>
  <si>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</si>
  <si>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</si>
  <si>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</si>
  <si>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</si>
  <si>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</si>
  <si>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</si>
  <si>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</si>
  <si>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</si>
  <si>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</si>
  <si>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</si>
  <si>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</si>
  <si>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</si>
  <si>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</si>
  <si>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</si>
  <si>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</si>
  <si>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</si>
  <si>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</si>
  <si>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</si>
  <si>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</si>
  <si>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</si>
  <si>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</si>
  <si>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</si>
  <si>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</si>
  <si>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</si>
  <si>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</si>
  <si>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</si>
  <si>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</si>
  <si>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</si>
  <si>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</si>
  <si>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</t>
  </si>
  <si>
    <t>J2 next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</si>
  <si>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</si>
  <si>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</si>
  <si>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</si>
  <si>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</si>
  <si>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</si>
  <si>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</si>
  <si>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</si>
  <si>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</si>
  <si>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</si>
  <si>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</si>
  <si>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</si>
  <si>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</si>
  <si>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</si>
  <si>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y_fwd</t>
  </si>
  <si>
    <t>A_fwd</t>
  </si>
  <si>
    <t>R_fwd</t>
  </si>
  <si>
    <t>v_fwd</t>
  </si>
  <si>
    <t>WS_fwd</t>
  </si>
  <si>
    <t>EG_fwd</t>
  </si>
  <si>
    <t>Sf_fwd</t>
  </si>
  <si>
    <t>Err_fwd</t>
  </si>
  <si>
    <t>Done_fwd</t>
  </si>
  <si>
    <t>y_bwd</t>
  </si>
  <si>
    <t>A_bwd</t>
  </si>
  <si>
    <t>R_bwd</t>
  </si>
  <si>
    <t>v_bwd</t>
  </si>
  <si>
    <t>WS_bwd</t>
  </si>
  <si>
    <t>EG_bwd</t>
  </si>
  <si>
    <t>Sf_bwd</t>
  </si>
  <si>
    <t>Err_bwd</t>
  </si>
  <si>
    <t>Done_bwd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</si>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</sst>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94"/>
  <sheetViews>
    <sheetView tabSelected="1" topLeftCell="A1588" workbookViewId="0">
      <pane ySplit="19" topLeftCell="A1625" activePane="bottomLeft" state="frozen"/>
      <selection activeCell="M1588" sqref="M1588"/>
      <selection pane="bottomLeft" activeCell="H1597" sqref="H1597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v>637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29</v>
      </c>
    </row>
    <row r="8" spans="1:17" x14ac:dyDescent="0.35">
      <c r="B8" s="2" t="s">
        <v>36</v>
      </c>
      <c r="C8" s="2" t="s">
        <v>22</v>
      </c>
      <c r="D8" s="2">
        <v>0.3</v>
      </c>
      <c r="K8" s="3" t="s">
        <v>37</v>
      </c>
      <c r="L8" s="3" t="s">
        <v>38</v>
      </c>
      <c r="M8" s="3" t="s">
        <v>27</v>
      </c>
      <c r="N8" s="3" t="s">
        <v>39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29</v>
      </c>
    </row>
    <row r="9" spans="1:17" x14ac:dyDescent="0.35">
      <c r="B9" s="2" t="s">
        <v>40</v>
      </c>
      <c r="C9" s="2" t="s">
        <v>22</v>
      </c>
      <c r="D9" s="2">
        <v>0.1</v>
      </c>
      <c r="K9" s="3" t="s">
        <v>41</v>
      </c>
      <c r="L9" s="3" t="s">
        <v>42</v>
      </c>
      <c r="M9" s="3" t="s">
        <v>18</v>
      </c>
      <c r="N9" s="3" t="s">
        <v>43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44</v>
      </c>
      <c r="C10" s="2" t="s">
        <v>22</v>
      </c>
      <c r="D10" s="2">
        <v>0.15</v>
      </c>
      <c r="K10" s="3" t="s">
        <v>45</v>
      </c>
      <c r="L10" s="3" t="s">
        <v>42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29</v>
      </c>
    </row>
    <row r="11" spans="1:17" x14ac:dyDescent="0.35">
      <c r="B11" s="2" t="s">
        <v>46</v>
      </c>
      <c r="C11" s="2" t="s">
        <v>22</v>
      </c>
      <c r="D11" s="2">
        <v>0.75</v>
      </c>
      <c r="G11" t="s">
        <v>47</v>
      </c>
      <c r="H11" t="s">
        <v>22</v>
      </c>
      <c r="I11">
        <f>Y122</f>
        <v>0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48</v>
      </c>
      <c r="C12" s="2" t="s">
        <v>22</v>
      </c>
      <c r="D12" s="2">
        <v>1.7</v>
      </c>
      <c r="G12" t="s">
        <v>49</v>
      </c>
      <c r="H12" t="s">
        <v>22</v>
      </c>
      <c r="I12">
        <f>Z122</f>
        <v>0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50</v>
      </c>
      <c r="C13" s="2" t="s">
        <v>22</v>
      </c>
      <c r="D13" s="2">
        <v>0.35</v>
      </c>
      <c r="G13" t="s">
        <v>51</v>
      </c>
      <c r="H13" t="s">
        <v>52</v>
      </c>
      <c r="I13">
        <f>AA122</f>
        <v>39452.349231278131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53</v>
      </c>
      <c r="C14" s="2" t="s">
        <v>22</v>
      </c>
      <c r="D14" s="2">
        <v>0.08</v>
      </c>
      <c r="G14" t="s">
        <v>54</v>
      </c>
      <c r="H14" t="s">
        <v>52</v>
      </c>
      <c r="I14">
        <f>AB122</f>
        <v>-7786.8092010214132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55</v>
      </c>
      <c r="C15" s="2" t="s">
        <v>22</v>
      </c>
      <c r="D15" s="2">
        <v>0.05</v>
      </c>
      <c r="G15" t="s">
        <v>56</v>
      </c>
      <c r="H15" t="s">
        <v>13</v>
      </c>
      <c r="I15">
        <f ca="1">N36</f>
        <v>51.074481979025386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57</v>
      </c>
      <c r="C16" s="2" t="s">
        <v>52</v>
      </c>
      <c r="D16" s="2">
        <v>0.05</v>
      </c>
      <c r="G16" t="s">
        <v>58</v>
      </c>
      <c r="H16" t="s">
        <v>52</v>
      </c>
      <c r="I16">
        <f>W122</f>
        <v>38814.691149691003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59</v>
      </c>
      <c r="C17" s="2" t="s">
        <v>22</v>
      </c>
      <c r="D17" s="2">
        <v>1E-3</v>
      </c>
      <c r="G17" t="s">
        <v>60</v>
      </c>
      <c r="H17" t="s">
        <v>52</v>
      </c>
      <c r="I17">
        <f>X122</f>
        <v>38591.924083792059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61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62</v>
      </c>
      <c r="C19" s="2" t="s">
        <v>52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63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64</v>
      </c>
      <c r="C21" s="2" t="s">
        <v>52</v>
      </c>
      <c r="D21" s="2">
        <v>637.04999999999995</v>
      </c>
    </row>
    <row r="22" spans="1:24" x14ac:dyDescent="0.35">
      <c r="B22" s="2" t="s">
        <v>65</v>
      </c>
      <c r="C22" s="2" t="s">
        <v>52</v>
      </c>
      <c r="D22" s="2">
        <v>631.9</v>
      </c>
    </row>
    <row r="23" spans="1:24" x14ac:dyDescent="0.35">
      <c r="B23" s="2" t="s">
        <v>66</v>
      </c>
      <c r="C23" s="2" t="s">
        <v>22</v>
      </c>
      <c r="D23" s="2">
        <v>0.65</v>
      </c>
    </row>
    <row r="24" spans="1:24" x14ac:dyDescent="0.35">
      <c r="B24" s="2" t="s">
        <v>67</v>
      </c>
      <c r="C24" s="2" t="s">
        <v>22</v>
      </c>
      <c r="D24" s="2">
        <v>0.65</v>
      </c>
    </row>
    <row r="26" spans="1:24" x14ac:dyDescent="0.35">
      <c r="A26" t="s">
        <v>68</v>
      </c>
    </row>
    <row r="27" spans="1:24" x14ac:dyDescent="0.35">
      <c r="A27" t="s">
        <v>69</v>
      </c>
    </row>
    <row r="30" spans="1:24" x14ac:dyDescent="0.35">
      <c r="A30" s="4" t="s">
        <v>7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79</v>
      </c>
      <c r="L30" s="4" t="s">
        <v>80</v>
      </c>
      <c r="M30" s="4" t="s">
        <v>81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86</v>
      </c>
      <c r="S30" s="4" t="s">
        <v>87</v>
      </c>
      <c r="T30" s="4" t="s">
        <v>88</v>
      </c>
      <c r="U30" s="4" t="s">
        <v>89</v>
      </c>
      <c r="V30" s="4" t="s">
        <v>90</v>
      </c>
      <c r="W30" s="4" t="s">
        <v>91</v>
      </c>
      <c r="X30" s="4" t="s">
        <v>92</v>
      </c>
    </row>
    <row r="31" spans="1:24" x14ac:dyDescent="0.35">
      <c r="A31" t="s">
        <v>17</v>
      </c>
      <c r="B31" t="s">
        <v>93</v>
      </c>
      <c r="C31" t="s">
        <v>94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AE133</f>
        <v>39452.359884075566</v>
      </c>
      <c r="M31">
        <f>AE144</f>
        <v>39452.349231278131</v>
      </c>
      <c r="N31">
        <f>$D$5</f>
        <v>51</v>
      </c>
      <c r="O31">
        <f>SUM(AK133:AK144)</f>
        <v>0</v>
      </c>
      <c r="P31">
        <f>MAX(0,K144-AK144)</f>
        <v>51</v>
      </c>
      <c r="Q31">
        <f ca="1">AVERAGE(AD133:AD144)</f>
        <v>38818.045517191305</v>
      </c>
      <c r="R31">
        <f ca="1">AVERAGE(AO133:AO144)</f>
        <v>2.3926312442503136E-12</v>
      </c>
      <c r="S31">
        <f t="shared" ref="S31:S36" ca="1" si="0">E31*R31</f>
        <v>2.570164482573687E-11</v>
      </c>
      <c r="T31">
        <v>0</v>
      </c>
      <c r="U31">
        <f t="shared" ref="U31:U36" ca="1" si="1">S31+T31</f>
        <v>2.570164482573687E-11</v>
      </c>
      <c r="V31" t="s">
        <v>95</v>
      </c>
      <c r="W31">
        <v>-118.02500000000001</v>
      </c>
      <c r="X31">
        <v>-117.982</v>
      </c>
    </row>
    <row r="32" spans="1:24" x14ac:dyDescent="0.35">
      <c r="A32" t="s">
        <v>96</v>
      </c>
      <c r="B32" t="s">
        <v>94</v>
      </c>
      <c r="C32" t="s">
        <v>97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AE150</f>
        <v>634.34799999999996</v>
      </c>
      <c r="M32">
        <f>AE1533</f>
        <v>631.92499999999995</v>
      </c>
      <c r="N32">
        <f>IF(N6="None",$D$5,$D$5*$I$11)</f>
        <v>51</v>
      </c>
      <c r="O32">
        <f>SUM(AK150:AK1533)</f>
        <v>0</v>
      </c>
      <c r="P32">
        <f>MAX(0,K1533-AK1533)</f>
        <v>51</v>
      </c>
      <c r="Q32">
        <f ca="1">AVERAGE(AD150:AD1533)</f>
        <v>4.9999999999998705E-2</v>
      </c>
      <c r="R32">
        <f ca="1">AVERAGE(AO150:AO1533)</f>
        <v>478.57672183976126</v>
      </c>
      <c r="S32">
        <f t="shared" ca="1" si="0"/>
        <v>661583.50311784225</v>
      </c>
      <c r="T32">
        <f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0</v>
      </c>
      <c r="U32">
        <f t="shared" ca="1" si="1"/>
        <v>661583.50311784225</v>
      </c>
      <c r="V32" t="s">
        <v>95</v>
      </c>
      <c r="W32">
        <v>-161.27500000000001</v>
      </c>
      <c r="X32">
        <v>-90</v>
      </c>
    </row>
    <row r="33" spans="1:28" x14ac:dyDescent="0.35">
      <c r="A33" t="s">
        <v>26</v>
      </c>
      <c r="B33" t="s">
        <v>94</v>
      </c>
      <c r="C33" t="s">
        <v>98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AE1539</f>
        <v>637.01564382029142</v>
      </c>
      <c r="M33">
        <f>AE1557</f>
        <v>637</v>
      </c>
      <c r="N33">
        <f>IF(N6="None",0,$D$5-N32)</f>
        <v>0</v>
      </c>
      <c r="O33">
        <f>SUM(AK1539:AK1557)</f>
        <v>0</v>
      </c>
      <c r="P33">
        <v>0</v>
      </c>
      <c r="Q33">
        <f ca="1">AVERAGE(AD1539:AD1557)</f>
        <v>2.7269516155677413</v>
      </c>
      <c r="R33">
        <f ca="1">AVERAGE(AO1539:AO1557)</f>
        <v>0</v>
      </c>
      <c r="S33">
        <f t="shared" ca="1" si="0"/>
        <v>0</v>
      </c>
      <c r="T33">
        <f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0</v>
      </c>
      <c r="U33">
        <f t="shared" ca="1" si="1"/>
        <v>0</v>
      </c>
      <c r="V33" t="s">
        <v>95</v>
      </c>
      <c r="W33">
        <v>-118.02500000000001</v>
      </c>
      <c r="X33">
        <v>-117.874</v>
      </c>
    </row>
    <row r="34" spans="1:28" x14ac:dyDescent="0.35">
      <c r="A34" t="s">
        <v>35</v>
      </c>
      <c r="B34" t="s">
        <v>97</v>
      </c>
      <c r="C34" t="s">
        <v>98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>
        <f ca="1">AE1563</f>
        <v>635.52855305710227</v>
      </c>
      <c r="M34">
        <f>AE1601</f>
        <v>635.5</v>
      </c>
      <c r="N34">
        <f>IF(AND(N7="None",N8="None"),0,IF(N8="None",N32,IF(N7="None",0,N32*$I$12)))</f>
        <v>0</v>
      </c>
      <c r="O34">
        <f ca="1">SUM(AK1563:AK1601)</f>
        <v>7.4481979025387321E-2</v>
      </c>
      <c r="P34">
        <f ca="1">MAX(0,K1601-AK1601)</f>
        <v>0</v>
      </c>
      <c r="Q34">
        <f ca="1">AVERAGE(AD1563:AD1601)</f>
        <v>7.1828484648356472</v>
      </c>
      <c r="R34">
        <f ca="1">AVERAGE(AO1563:AO1601)</f>
        <v>0</v>
      </c>
      <c r="S34">
        <f t="shared" ca="1" si="0"/>
        <v>0</v>
      </c>
      <c r="T34">
        <f>0</f>
        <v>0</v>
      </c>
      <c r="U34">
        <f t="shared" ca="1" si="1"/>
        <v>0</v>
      </c>
      <c r="V34" t="s">
        <v>95</v>
      </c>
      <c r="W34">
        <v>-90</v>
      </c>
      <c r="X34">
        <v>-90</v>
      </c>
    </row>
    <row r="35" spans="1:28" x14ac:dyDescent="0.35">
      <c r="A35" t="s">
        <v>38</v>
      </c>
      <c r="B35" t="s">
        <v>97</v>
      </c>
      <c r="C35" t="s">
        <v>98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>
        <f ca="1">AE1607</f>
        <v>631.54999999999995</v>
      </c>
      <c r="M35">
        <f>AE1642</f>
        <v>631.54999999999995</v>
      </c>
      <c r="N35">
        <f>IF(AND(N7="None",N8="None"),0,IF(N8="None",0,IF(N7="None",N32,N32-N34)))</f>
        <v>51</v>
      </c>
      <c r="O35">
        <f ca="1">SUM(AK1607:AK1642)</f>
        <v>51</v>
      </c>
      <c r="P35">
        <v>0</v>
      </c>
      <c r="Q35">
        <f ca="1">AVERAGE(AD1607:AD1642)</f>
        <v>5.0000000000000024E-2</v>
      </c>
      <c r="R35">
        <f ca="1">AVERAGE(AO1607:AO1642)</f>
        <v>450.21812947537421</v>
      </c>
      <c r="S35">
        <f t="shared" ca="1" si="0"/>
        <v>15726.569480704295</v>
      </c>
      <c r="T35">
        <f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</v>
      </c>
      <c r="U35">
        <f t="shared" ca="1" si="1"/>
        <v>15726.569480704295</v>
      </c>
      <c r="V35" t="s">
        <v>95</v>
      </c>
      <c r="W35">
        <v>-17.818999999999999</v>
      </c>
      <c r="X35">
        <v>-85.754999999999995</v>
      </c>
    </row>
    <row r="36" spans="1:28" x14ac:dyDescent="0.35">
      <c r="A36" t="s">
        <v>42</v>
      </c>
      <c r="B36" t="s">
        <v>93</v>
      </c>
      <c r="C36" t="s">
        <v>98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>
        <f ca="1">AE1648</f>
        <v>634.46094127086144</v>
      </c>
      <c r="M36">
        <f>AE1694</f>
        <v>625</v>
      </c>
      <c r="N36">
        <f ca="1">O34+O35</f>
        <v>51.074481979025386</v>
      </c>
      <c r="O36" t="s">
        <v>99</v>
      </c>
      <c r="P36">
        <f ca="1">MAX(0,K1694-AK1694)</f>
        <v>51.074481979025386</v>
      </c>
      <c r="Q36">
        <f ca="1">AVERAGE(AD1648:AD1694)</f>
        <v>2.9593527359992775</v>
      </c>
      <c r="R36">
        <f ca="1">AVERAGE(AO1648:AO1694)</f>
        <v>2.0760876487938254E-3</v>
      </c>
      <c r="S36">
        <f t="shared" ca="1" si="0"/>
        <v>9.4177564012234302E-2</v>
      </c>
      <c r="T36">
        <v>0</v>
      </c>
      <c r="U36">
        <f t="shared" ca="1" si="1"/>
        <v>9.4177564012234302E-2</v>
      </c>
      <c r="V36" t="s">
        <v>95</v>
      </c>
      <c r="W36">
        <v>-65.100999999999999</v>
      </c>
      <c r="X36">
        <v>-90.405000000000001</v>
      </c>
    </row>
    <row r="42" spans="1:28" x14ac:dyDescent="0.35">
      <c r="A42" s="5" t="s">
        <v>100</v>
      </c>
      <c r="B42" s="5" t="s">
        <v>101</v>
      </c>
      <c r="C42" s="5" t="s">
        <v>102</v>
      </c>
      <c r="D42" s="5" t="s">
        <v>103</v>
      </c>
      <c r="E42" s="5" t="s">
        <v>104</v>
      </c>
      <c r="F42" s="5" t="s">
        <v>105</v>
      </c>
      <c r="G42" s="5" t="s">
        <v>106</v>
      </c>
      <c r="H42" s="5" t="s">
        <v>107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  <c r="S42" s="5" t="s">
        <v>118</v>
      </c>
      <c r="T42" s="5" t="s">
        <v>119</v>
      </c>
      <c r="U42" s="5" t="s">
        <v>120</v>
      </c>
      <c r="V42" s="5" t="s">
        <v>121</v>
      </c>
      <c r="W42" s="5" t="s">
        <v>122</v>
      </c>
      <c r="X42" s="5" t="s">
        <v>123</v>
      </c>
      <c r="Y42" s="5" t="s">
        <v>124</v>
      </c>
      <c r="Z42" s="5" t="s">
        <v>125</v>
      </c>
      <c r="AA42" s="5" t="s">
        <v>126</v>
      </c>
      <c r="AB42" s="5" t="s">
        <v>127</v>
      </c>
    </row>
    <row r="43" spans="1:28" x14ac:dyDescent="0.35">
      <c r="A43">
        <v>0</v>
      </c>
      <c r="B43">
        <f>$D$23</f>
        <v>0.65</v>
      </c>
      <c r="C43">
        <f>$D$24</f>
        <v>0.65</v>
      </c>
      <c r="D43">
        <f>$D$21</f>
        <v>637.04999999999995</v>
      </c>
      <c r="E43">
        <f>$D$22</f>
        <v>631.9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33.15</v>
      </c>
      <c r="J43">
        <f>IF(AND(N7="None",N8="None"),0,IF(N8="None",0,IF(N7="None",G43,MAX(0,G43-I43))))</f>
        <v>17.850000000000001</v>
      </c>
      <c r="K43">
        <f>P5</f>
        <v>637</v>
      </c>
      <c r="L43">
        <f>P6</f>
        <v>637</v>
      </c>
      <c r="M43">
        <f>P7</f>
        <v>635.5</v>
      </c>
      <c r="N43">
        <f>P8</f>
        <v>631.54999999999995</v>
      </c>
      <c r="O43">
        <f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D43)-(K31))))*(MAX($D$16,(D43)-(K31))),0.000001)*MAX(((((G31)+(I31)*(MAX($D$16,(D43)-(K31))))*(MAX($D$16,(D43)-(K31))))/MAX((G31)+2*(MAX($D$16,(D43)-(K31)))*SQRT(1+(I31)^2),0.000001))^(2/3),0.000001)))^2))/2)+(IF((ABS(F43)/MAX(((G31)+(I31)*(MAX($D$16,(D43)-(K31))))*(MAX($D$16,(D43)-(K31))),0.000001))&gt;(ABS(F43)/MAX(((F31)+(H31)*(MAX($D$16,(K43)-(J31))))*(MAX($D$16,(K43)-(J31))),0.000001)),$D$9*((((ABS(F43)/MAX(((G31)+(I31)*(MAX($D$16,(D43)-(K31))))*(MAX($D$16,(D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D43)-(K31))))*(MAX($D$16,(D43)-(K31))),0.000001))^2)/(2*$I$5)))))+($D$10*(ABS((X31)-(W31))/90)*MAX(((ABS(F43)/MAX(((F31)+(H31)*(MAX($D$16,(K43)-(J31))))*(MAX($D$16,(K43)-(J31))),0.000001))^2)/(2*$I$5),((ABS(F43)/MAX(((G31)+(I31)*(MAX($D$16,(D43)-(K31))))*(MAX($D$16,(D43)-(K31))),0.000001))^2)/(2*$I$5)))+(0)-((ABS(F43)/MAX(((G31)+(I31)*(MAX($D$16,(D43)-(K31))))*(MAX($D$16,(D43)-(K31))),0.000001))^2)/(2*$I$5)</f>
        <v>637.12350314335959</v>
      </c>
      <c r="P43">
        <f>E43+((ABS(G43)/MAX(((G32)+(I32)*(MAX($D$16,(E43)-(K32))))*(MAX($D$16,(E43)-(K32))),0.000001))^2)/(2*$I$5)+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F32)+(H32)*(MAX($D$16,(D43)-(J32))))*(MAX($D$16,(D43)-(J32))),0.000001))^2)/(2*$I$5)</f>
        <v>86686.027559797134</v>
      </c>
      <c r="Q43">
        <f>L43+((ABS(H43)/MAX(((G33)+(I33)*(MAX($D$16,(L43)-(K33))))*(MAX($D$16,(L43)-(K33))),0.000001))^2)/(2*$I$5)+((E33)*((((ABS(H43)*$D$6)/(MAX(((F33)+(H33)*(MAX($D$16,(D43)-(J33))))*(MAX($D$16,(D43)-(J33))),0.000001)*MAX(((((F33)+(H33)*(MAX($D$16,(D43)-(J33))))*(MAX($D$16,(D43)-(J33))))/MAX((F33)+2*(MAX($D$16,(D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D43)-(J33))))*(MAX($D$16,(D43)-(J33))),0.000001)),$D$9*((((ABS(H43)/MAX(((G33)+(I33)*(MAX($D$16,(L43)-(K33))))*(MAX($D$16,(L43)-(K33))),0.000001))^2)/(2*$I$5))-(((ABS(H43)/MAX(((F33)+(H33)*(MAX($D$16,(D43)-(J33))))*(MAX($D$16,(D43)-(J33))),0.000001))^2)/(2*$I$5))),$D$8*((((ABS(H43)/MAX(((F33)+(H33)*(MAX($D$16,(D43)-(J33))))*(MAX($D$16,(D43)-(J33))),0.000001))^2)/(2*$I$5))-(((ABS(H43)/MAX(((G33)+(I33)*(MAX($D$16,(L43)-(K33))))*(MAX($D$16,(L43)-(K33))),0.000001))^2)/(2*$I$5)))))+($D$10*(ABS((X33)-(W33))/90)*MAX(((ABS(H43)/MAX(((F33)+(H33)*(MAX($D$16,(D43)-(J33))))*(MAX($D$16,(D43)-(J33))),0.000001))^2)/(2*$I$5),((ABS(H43)/MAX(((G33)+(I33)*(MAX($D$16,(L43)-(K33))))*(MAX($D$16,(L43)-(K33))),0.000001))^2)/(2*$I$5)))+(($D$11*0.00000015*(ABS(G43)/MAX(ABS(F43),0.000001))^2*MAX(((ABS(H43)/MAX(((F33)+(H33)*(MAX($D$16,(D43)-(J33))))*(MAX($D$16,(D43)-(J33))),0.000001))^2)/(2*$I$5),((ABS(H43)/MAX(((G33)+(I33)*(MAX($D$16,(L43)-(K33))))*(MAX($D$16,(L43)-(K33))),0.000001))^2)/(2*$I$5))))-((ABS(H43)/MAX(((F33)+(H33)*(MAX($D$16,(D43)-(J33))))*(MAX($D$16,(D43)-(J33))),0.000001))^2)/(2*$I$5)</f>
        <v>637</v>
      </c>
      <c r="R43">
        <f>D43+((ABS(G43)/MAX(((F32)+(H32)*(MAX($D$16,(D43)-(J32))))*(MAX($D$16,(D43)-(J32))),0.000001))^2)/(2*$I$5)-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G32)+(I32)*(MAX($D$16,(E43)-(K32))))*(MAX($D$16,(E43)-(K32))),0.000001))^2)/(2*$I$5)</f>
        <v>-85194.391895257824</v>
      </c>
      <c r="S43">
        <f>M43+((ABS(I43)/MAX(((G34)+(I34)*(MAX($D$16,(M43)-(K34))))*(MAX($D$16,(M43)-(K34))),0.000001))^2)/(2*$I$5)+((E34)*((((ABS(I43)*$D$6)/(MAX(((F34)+(H34)*(MAX($D$16,(E43)-(J34))))*(MAX($D$16,(E43)-(J34))),0.000001)*MAX(((((F34)+(H34)*(MAX($D$16,(E43)-(J34))))*(MAX($D$16,(E43)-(J34))))/MAX((F34)+2*(MAX($D$16,(E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E43)-(J34))))*(MAX($D$16,(E43)-(J34))),0.000001)),$D$9*((((ABS(I43)/MAX(((G34)+(I34)*(MAX($D$16,(M43)-(K34))))*(MAX($D$16,(M43)-(K34))),0.000001))^2)/(2*$I$5))-(((ABS(I43)/MAX(((F34)+(H34)*(MAX($D$16,(E43)-(J34))))*(MAX($D$16,(E43)-(J34))),0.000001))^2)/(2*$I$5))),$D$8*((((ABS(I43)/MAX(((F34)+(H34)*(MAX($D$16,(E43)-(J34))))*(MAX($D$16,(E43)-(J34))),0.000001))^2)/(2*$I$5))-(((ABS(I43)/MAX(((G34)+(I34)*(MAX($D$16,(M43)-(K34))))*(MAX($D$16,(M43)-(K34))),0.000001))^2)/(2*$I$5)))))+($D$10*(ABS((X34)-(W34))/90)*MAX(((ABS(I43)/MAX(((F34)+(H34)*(MAX($D$16,(E43)-(J34))))*(MAX($D$16,(E43)-(J34))),0.000001))^2)/(2*$I$5),((ABS(I43)/MAX(((G34)+(I34)*(MAX($D$16,(M43)-(K34))))*(MAX($D$16,(M43)-(K34))),0.000001))^2)/(2*$I$5)))+(0)-((ABS(I43)/MAX(((F34)+(H34)*(MAX($D$16,(E43)-(J34))))*(MAX($D$16,(E43)-(J34))),0.000001))^2)/(2*$I$5)</f>
        <v>1477.1598400346709</v>
      </c>
      <c r="T43">
        <f>N43+((ABS(J43)/MAX(((G35)+(I35)*(MAX($D$16,(N43)-(K35))))*(MAX($D$16,(N43)-(K35))),0.000001))^2)/(2*$I$5)+((E35)*((((ABS(J43)*$D$6)/(MAX(((F35)+(H35)*(MAX($D$16,(E43)-(J35))))*(MAX($D$16,(E43)-(J35))),0.000001)*MAX(((((F35)+(H35)*(MAX($D$16,(E43)-(J35))))*(MAX($D$16,(E43)-(J35))))/MAX((F35)+2*(MAX($D$16,(E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E43)-(J35))))*(MAX($D$16,(E43)-(J35))),0.000001)),$D$9*((((ABS(J43)/MAX(((G35)+(I35)*(MAX($D$16,(N43)-(K35))))*(MAX($D$16,(N43)-(K35))),0.000001))^2)/(2*$I$5))-(((ABS(J43)/MAX(((F35)+(H35)*(MAX($D$16,(E43)-(J35))))*(MAX($D$16,(E43)-(J35))),0.000001))^2)/(2*$I$5))),$D$8*((((ABS(J43)/MAX(((F35)+(H35)*(MAX($D$16,(E43)-(J35))))*(MAX($D$16,(E43)-(J35))),0.000001))^2)/(2*$I$5))-(((ABS(J43)/MAX(((G35)+(I35)*(MAX($D$16,(N43)-(K35))))*(MAX($D$16,(N43)-(K35))),0.000001))^2)/(2*$I$5)))))+($D$10*(ABS((X35)-(W35))/90)*MAX(((ABS(J43)/MAX(((F35)+(H35)*(MAX($D$16,(E43)-(J35))))*(MAX($D$16,(E43)-(J35))),0.000001))^2)/(2*$I$5),((ABS(J43)/MAX(((G35)+(I35)*(MAX($D$16,(N43)-(K35))))*(MAX($D$16,(N43)-(K35))),0.000001))^2)/(2*$I$5)))+(($D$11*0.34699541*(ABS(I43)/MAX(ABS(G43),0.000001))^2*MAX(((ABS(J43)/MAX(((F35)+(H35)*(MAX($D$16,(E43)-(J35))))*(MAX($D$16,(E43)-(J35))),0.000001))^2)/(2*$I$5),((ABS(J43)/MAX(((G35)+(I35)*(MAX($D$16,(N43)-(K35))))*(MAX($D$16,(N43)-(K35))),0.000001))^2)/(2*$I$5))))-((ABS(J43)/MAX(((F35)+(H35)*(MAX($D$16,(E43)-(J35))))*(MAX($D$16,(E43)-(J35))),0.000001))^2)/(2*$I$5)</f>
        <v>3148.3858552655356</v>
      </c>
      <c r="U43">
        <f>(((((F32)*(MAX($D$16,(D43)-(J32)))^2)/2+(H32)*(MAX($D$16,(D43)-(J32)))^3/3+(ABS(G43)^2)/($I$5*MAX(((F32)+(H32)*(MAX($D$16,(D43)-(J32))))*(MAX($D$16,(D43)-(J32))),0.000001)))*0.72785025)-((((F33)*(MAX($D$16,(D43)-(J33)))^2)/2+(H33)*(MAX($D$16,(D43)-(J33)))^3/3+(ABS(H43)^2)/($I$5*MAX(((F33)+(H33)*(MAX($D$16,(D43)-(J33))))*(MAX($D$16,(D43)-(J33))),0.000001)))*0.99999971))/MAX(((G31)*(MAX($D$16,(D43)-(K31)))^2)/2+(I31)*(MAX($D$16,(D43)-(K31)))^3/3+(ABS(F43)^2)/($I$5*MAX(((G31)+(I31)*(MAX($D$16,(D43)-(K31))))*(MAX($D$16,(D43)-(K31))),0.000001)),0.000001)</f>
        <v>9.9543831828816334E-2</v>
      </c>
      <c r="V43">
        <f>(((((F34)*(MAX($D$16,(E43)-(J34)))^2)/2+(H34)*(MAX($D$16,(E43)-(J34)))^3/3+(ABS(I43)^2)/($I$5*MAX(((F34)+(H34)*(MAX($D$16,(E43)-(J34))))*(MAX($D$16,(E43)-(J34))),0.000001)))*1)-((((F35)*(MAX($D$16,(E43)-(J35)))^2)/2+(H35)*(MAX($D$16,(E43)-(J35)))^3/3+(ABS(J43)^2)/($I$5*MAX(((F35)+(H35)*(MAX($D$16,(E43)-(J35))))*(MAX($D$16,(E43)-(J35))),0.000001)))*0.30600918))/MAX(((G32)*(MAX($D$16,(E43)-(K32)))^2)/2+(I32)*(MAX($D$16,(E43)-(K32)))^3/3+(ABS(G43)^2)/($I$5*MAX(((G32)+(I32)*(MAX($D$16,(E43)-(K32))))*(MAX($D$16,(E43)-(K32))),0.000001)),0.000001)</f>
        <v>0.41734766354790165</v>
      </c>
      <c r="W43">
        <f>IF(N6="None",MAX(ABS(O43-D43),ABS(P43-D43)),MAX(ABS(O43-D43),ABS(P43-D43),ABS(Q43-D43)))</f>
        <v>86048.977559797131</v>
      </c>
      <c r="X43">
        <f>IF(AND(N7="None",N8="None"),ABS(R43-E43),IF(N8="None",MAX(ABS(R43-E43),ABS(S43-E43)),IF(N7="None",MAX(ABS(R43-E43),ABS(T43-E43)),MAX(ABS(R43-E43),ABS(S43-E43),ABS(T43-E43)))))</f>
        <v>85826.291895257818</v>
      </c>
      <c r="AA43">
        <f>D43+$D$13*(IF(N6="None",AVERAGE(O43:P43),AVERAGE(O43:Q43))-D43)</f>
        <v>15695.633936014583</v>
      </c>
      <c r="AB43">
        <f>E43+$D$13*(IF(AND(N7="None",N8="None"),R43,IF(N8="None",AVERAGE(R43:S43),IF(N7="None",AVERAGE(R43,T43),AVERAGE(R43:T43))))-E43)</f>
        <v>-8988.9637233283902</v>
      </c>
    </row>
    <row r="44" spans="1:28" x14ac:dyDescent="0.35">
      <c r="A44">
        <v>1</v>
      </c>
      <c r="B44">
        <f t="shared" ref="B44:B75" si="3">Y43</f>
        <v>0</v>
      </c>
      <c r="C44">
        <f t="shared" ref="C44:C75" si="4">Z43</f>
        <v>0</v>
      </c>
      <c r="D44">
        <f t="shared" ref="D44:D75" si="5">AA43</f>
        <v>15695.633936014583</v>
      </c>
      <c r="E44">
        <f t="shared" ref="E44:E75" si="6">AB43</f>
        <v>-8988.9637233283902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>IF(AND(N7="None",N8="None"),0,IF(N8="None",G44,IF(N7="None",0,MAX(0,G44*C44))))</f>
        <v>0</v>
      </c>
      <c r="J44">
        <f>IF(AND(N7="None",N8="None"),0,IF(N8="None",0,IF(N7="None",G44,MAX(0,G44-I44))))</f>
        <v>51</v>
      </c>
      <c r="K44">
        <f>P5</f>
        <v>637</v>
      </c>
      <c r="L44">
        <f>P6</f>
        <v>637</v>
      </c>
      <c r="M44">
        <f>P7</f>
        <v>635.5</v>
      </c>
      <c r="N44">
        <f>P8</f>
        <v>631.54999999999995</v>
      </c>
      <c r="O44">
        <f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D44)-(K31))))*(MAX($D$16,(D44)-(K31))),0.000001)*MAX(((((G31)+(I31)*(MAX($D$16,(D44)-(K31))))*(MAX($D$16,(D44)-(K31))))/MAX((G31)+2*(MAX($D$16,(D44)-(K31)))*SQRT(1+(I31)^2),0.000001))^(2/3),0.000001)))^2))/2)+(IF((ABS(F44)/MAX(((G31)+(I31)*(MAX($D$16,(D44)-(K31))))*(MAX($D$16,(D44)-(K31))),0.000001))&gt;(ABS(F44)/MAX(((F31)+(H31)*(MAX($D$16,(K44)-(J31))))*(MAX($D$16,(K44)-(J31))),0.000001)),$D$9*((((ABS(F44)/MAX(((G31)+(I31)*(MAX($D$16,(D44)-(K31))))*(MAX($D$16,(D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D44)-(K31))))*(MAX($D$16,(D44)-(K31))),0.000001))^2)/(2*$I$5)))))+($D$10*(ABS((X31)-(W31))/90)*MAX(((ABS(F44)/MAX(((F31)+(H31)*(MAX($D$16,(K44)-(J31))))*(MAX($D$16,(K44)-(J31))),0.000001))^2)/(2*$I$5),((ABS(F44)/MAX(((G31)+(I31)*(MAX($D$16,(D44)-(K31))))*(MAX($D$16,(D44)-(K31))),0.000001))^2)/(2*$I$5)))+(0)-((ABS(F44)/MAX(((G31)+(I31)*(MAX($D$16,(D44)-(K31))))*(MAX($D$16,(D44)-(K31))),0.000001))^2)/(2*$I$5)</f>
        <v>637.65825099466622</v>
      </c>
      <c r="P44">
        <f>E44+((ABS(G44)/MAX(((G32)+(I32)*(MAX($D$16,(E44)-(K32))))*(MAX($D$16,(E44)-(K32))),0.000001))^2)/(2*$I$5)+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F32)+(H32)*(MAX($D$16,(D44)-(J32))))*(MAX($D$16,(D44)-(J32))),0.000001))^2)/(2*$I$5)</f>
        <v>77064.885852061911</v>
      </c>
      <c r="Q44">
        <f>L44+((ABS(H44)/MAX(((G33)+(I33)*(MAX($D$16,(L44)-(K33))))*(MAX($D$16,(L44)-(K33))),0.000001))^2)/(2*$I$5)+((E33)*((((ABS(H44)*$D$6)/(MAX(((F33)+(H33)*(MAX($D$16,(D44)-(J33))))*(MAX($D$16,(D44)-(J33))),0.000001)*MAX(((((F33)+(H33)*(MAX($D$16,(D44)-(J33))))*(MAX($D$16,(D44)-(J33))))/MAX((F33)+2*(MAX($D$16,(D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D44)-(J33))))*(MAX($D$16,(D44)-(J33))),0.000001)),$D$9*((((ABS(H44)/MAX(((G33)+(I33)*(MAX($D$16,(L44)-(K33))))*(MAX($D$16,(L44)-(K33))),0.000001))^2)/(2*$I$5))-(((ABS(H44)/MAX(((F33)+(H33)*(MAX($D$16,(D44)-(J33))))*(MAX($D$16,(D44)-(J33))),0.000001))^2)/(2*$I$5))),$D$8*((((ABS(H44)/MAX(((F33)+(H33)*(MAX($D$16,(D44)-(J33))))*(MAX($D$16,(D44)-(J33))),0.000001))^2)/(2*$I$5))-(((ABS(H44)/MAX(((G33)+(I33)*(MAX($D$16,(L44)-(K33))))*(MAX($D$16,(L44)-(K33))),0.000001))^2)/(2*$I$5)))))+($D$10*(ABS((X33)-(W33))/90)*MAX(((ABS(H44)/MAX(((F33)+(H33)*(MAX($D$16,(D44)-(J33))))*(MAX($D$16,(D44)-(J33))),0.000001))^2)/(2*$I$5),((ABS(H44)/MAX(((G33)+(I33)*(MAX($D$16,(L44)-(K33))))*(MAX($D$16,(L44)-(K33))),0.000001))^2)/(2*$I$5)))+(($D$11*0.00000015*(ABS(G44)/MAX(ABS(F44),0.000001))^2*MAX(((ABS(H44)/MAX(((F33)+(H33)*(MAX($D$16,(D44)-(J33))))*(MAX($D$16,(D44)-(J33))),0.000001))^2)/(2*$I$5),((ABS(H44)/MAX(((G33)+(I33)*(MAX($D$16,(L44)-(K33))))*(MAX($D$16,(L44)-(K33))),0.000001))^2)/(2*$I$5))))-((ABS(H44)/MAX(((F33)+(H33)*(MAX($D$16,(D44)-(J33))))*(MAX($D$16,(D44)-(J33))),0.000001))^2)/(2*$I$5)</f>
        <v>637</v>
      </c>
      <c r="R44">
        <f>D44+((ABS(G44)/MAX(((F32)+(H32)*(MAX($D$16,(D44)-(J32))))*(MAX($D$16,(D44)-(J32))),0.000001))^2)/(2*$I$5)-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G32)+(I32)*(MAX($D$16,(E44)-(K32))))*(MAX($D$16,(E44)-(K32))),0.000001))^2)/(2*$I$5)</f>
        <v>-70135.448573479109</v>
      </c>
      <c r="S44">
        <f>M44+((ABS(I44)/MAX(((G34)+(I34)*(MAX($D$16,(M44)-(K34))))*(MAX($D$16,(M44)-(K34))),0.000001))^2)/(2*$I$5)+((E34)*((((ABS(I44)*$D$6)/(MAX(((F34)+(H34)*(MAX($D$16,(E44)-(J34))))*(MAX($D$16,(E44)-(J34))),0.000001)*MAX(((((F34)+(H34)*(MAX($D$16,(E44)-(J34))))*(MAX($D$16,(E44)-(J34))))/MAX((F34)+2*(MAX($D$16,(E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E44)-(J34))))*(MAX($D$16,(E44)-(J34))),0.000001)),$D$9*((((ABS(I44)/MAX(((G34)+(I34)*(MAX($D$16,(M44)-(K34))))*(MAX($D$16,(M44)-(K34))),0.000001))^2)/(2*$I$5))-(((ABS(I44)/MAX(((F34)+(H34)*(MAX($D$16,(E44)-(J34))))*(MAX($D$16,(E44)-(J34))),0.000001))^2)/(2*$I$5))),$D$8*((((ABS(I44)/MAX(((F34)+(H34)*(MAX($D$16,(E44)-(J34))))*(MAX($D$16,(E44)-(J34))),0.000001))^2)/(2*$I$5))-(((ABS(I44)/MAX(((G34)+(I34)*(MAX($D$16,(M44)-(K34))))*(MAX($D$16,(M44)-(K34))),0.000001))^2)/(2*$I$5)))))+($D$10*(ABS((X34)-(W34))/90)*MAX(((ABS(I44)/MAX(((F34)+(H34)*(MAX($D$16,(E44)-(J34))))*(MAX($D$16,(E44)-(J34))),0.000001))^2)/(2*$I$5),((ABS(I44)/MAX(((G34)+(I34)*(MAX($D$16,(M44)-(K34))))*(MAX($D$16,(M44)-(K34))),0.000001))^2)/(2*$I$5)))+(0)-((ABS(I44)/MAX(((F34)+(H34)*(MAX($D$16,(E44)-(J34))))*(MAX($D$16,(E44)-(J34))),0.000001))^2)/(2*$I$5)</f>
        <v>635.5</v>
      </c>
      <c r="T44">
        <f>N44+((ABS(J44)/MAX(((G35)+(I35)*(MAX($D$16,(N44)-(K35))))*(MAX($D$16,(N44)-(K35))),0.000001))^2)/(2*$I$5)+((E35)*((((ABS(J44)*$D$6)/(MAX(((F35)+(H35)*(MAX($D$16,(E44)-(J35))))*(MAX($D$16,(E44)-(J35))),0.000001)*MAX(((((F35)+(H35)*(MAX($D$16,(E44)-(J35))))*(MAX($D$16,(E44)-(J35))))/MAX((F35)+2*(MAX($D$16,(E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E44)-(J35))))*(MAX($D$16,(E44)-(J35))),0.000001)),$D$9*((((ABS(J44)/MAX(((G35)+(I35)*(MAX($D$16,(N44)-(K35))))*(MAX($D$16,(N44)-(K35))),0.000001))^2)/(2*$I$5))-(((ABS(J44)/MAX(((F35)+(H35)*(MAX($D$16,(E44)-(J35))))*(MAX($D$16,(E44)-(J35))),0.000001))^2)/(2*$I$5))),$D$8*((((ABS(J44)/MAX(((F35)+(H35)*(MAX($D$16,(E44)-(J35))))*(MAX($D$16,(E44)-(J35))),0.000001))^2)/(2*$I$5))-(((ABS(J44)/MAX(((G35)+(I35)*(MAX($D$16,(N44)-(K35))))*(MAX($D$16,(N44)-(K35))),0.000001))^2)/(2*$I$5)))))+($D$10*(ABS((X35)-(W35))/90)*MAX(((ABS(J44)/MAX(((F35)+(H35)*(MAX($D$16,(E44)-(J35))))*(MAX($D$16,(E44)-(J35))),0.000001))^2)/(2*$I$5),((ABS(J44)/MAX(((G35)+(I35)*(MAX($D$16,(N44)-(K35))))*(MAX($D$16,(N44)-(K35))),0.000001))^2)/(2*$I$5)))+(($D$11*0.34699541*(ABS(I44)/MAX(ABS(G44),0.000001))^2*MAX(((ABS(J44)/MAX(((F35)+(H35)*(MAX($D$16,(E44)-(J35))))*(MAX($D$16,(E44)-(J35))),0.000001))^2)/(2*$I$5),((ABS(J44)/MAX(((G35)+(I35)*(MAX($D$16,(N44)-(K35))))*(MAX($D$16,(N44)-(K35))),0.000001))^2)/(2*$I$5))))-((ABS(J44)/MAX(((F35)+(H35)*(MAX($D$16,(E44)-(J35))))*(MAX($D$16,(E44)-(J35))),0.000001))^2)/(2*$I$5)</f>
        <v>22382.80587457701</v>
      </c>
      <c r="U44">
        <f>(((((F32)*(MAX($D$16,(D44)-(J32)))^2)/2+(H32)*(MAX($D$16,(D44)-(J32)))^3/3+(ABS(G44)^2)/($I$5*MAX(((F32)+(H32)*(MAX($D$16,(D44)-(J32))))*(MAX($D$16,(D44)-(J32))),0.000001)))*0.72785025)-((((F33)*(MAX($D$16,(D44)-(J33)))^2)/2+(H33)*(MAX($D$16,(D44)-(J33)))^3/3+(ABS(H44)^2)/($I$5*MAX(((F33)+(H33)*(MAX($D$16,(D44)-(J33))))*(MAX($D$16,(D44)-(J33))),0.000001)))*0.99999971))/MAX(((G31)*(MAX($D$16,(D44)-(K31)))^2)/2+(I31)*(MAX($D$16,(D44)-(K31)))^3/3+(ABS(F44)^2)/($I$5*MAX(((G31)+(I31)*(MAX($D$16,(D44)-(K31))))*(MAX($D$16,(D44)-(K31))),0.000001)),0.000001)</f>
        <v>-0.27214945999639101</v>
      </c>
      <c r="V44">
        <f>(((((F34)*(MAX($D$16,(E44)-(J34)))^2)/2+(H34)*(MAX($D$16,(E44)-(J34)))^3/3+(ABS(I44)^2)/($I$5*MAX(((F34)+(H34)*(MAX($D$16,(E44)-(J34))))*(MAX($D$16,(E44)-(J34))),0.000001)))*1)-((((F35)*(MAX($D$16,(E44)-(J35)))^2)/2+(H35)*(MAX($D$16,(E44)-(J35)))^3/3+(ABS(J44)^2)/($I$5*MAX(((F35)+(H35)*(MAX($D$16,(E44)-(J35))))*(MAX($D$16,(E44)-(J35))),0.000001)))*0.30600918))/MAX(((G32)*(MAX($D$16,(E44)-(K32)))^2)/2+(I32)*(MAX($D$16,(E44)-(K32)))^3/3+(ABS(G44)^2)/($I$5*MAX(((G32)+(I32)*(MAX($D$16,(E44)-(K32))))*(MAX($D$16,(E44)-(K32))),0.000001)),0.000001)</f>
        <v>-0.30598462674144999</v>
      </c>
      <c r="W44">
        <f>IF(N6="None",MAX(ABS(O44-D44),ABS(P44-D44)),MAX(ABS(O44-D44),ABS(P44-D44),ABS(Q44-D44)))</f>
        <v>61369.251916047331</v>
      </c>
      <c r="X44">
        <f>IF(AND(N7="None",N8="None"),ABS(R44-E44),IF(N8="None",MAX(ABS(R44-E44),ABS(S44-E44)),IF(N7="None",MAX(ABS(R44-E44),ABS(T44-E44)),MAX(ABS(R44-E44),ABS(S44-E44),ABS(T44-E44)))))</f>
        <v>61146.484850150722</v>
      </c>
      <c r="AA44">
        <f>D44+$D$13*(IF(N6="None",AVERAGE(O44:P44),AVERAGE(O44:Q44))-D44)</f>
        <v>23800.107276444378</v>
      </c>
      <c r="AB44">
        <f>E44+$D$13*(IF(AND(N7="None",N8="None"),R44,IF(N8="None",AVERAGE(R44:S44),IF(N7="None",AVERAGE(R44,T44),AVERAGE(R44:T44))))-E44)</f>
        <v>-11339.826401702032</v>
      </c>
    </row>
    <row r="45" spans="1:28" x14ac:dyDescent="0.35">
      <c r="A45">
        <v>2</v>
      </c>
      <c r="B45">
        <f t="shared" si="3"/>
        <v>0</v>
      </c>
      <c r="C45">
        <f t="shared" si="4"/>
        <v>0</v>
      </c>
      <c r="D45">
        <f t="shared" si="5"/>
        <v>23800.107276444378</v>
      </c>
      <c r="E45">
        <f t="shared" si="6"/>
        <v>-11339.826401702032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>IF(AND(N7="None",N8="None"),0,IF(N8="None",G45,IF(N7="None",0,MAX(0,G45*C45))))</f>
        <v>0</v>
      </c>
      <c r="J45">
        <f>IF(AND(N7="None",N8="None"),0,IF(N8="None",0,IF(N7="None",G45,MAX(0,G45-I45))))</f>
        <v>51</v>
      </c>
      <c r="K45">
        <f>P5</f>
        <v>637</v>
      </c>
      <c r="L45">
        <f>P6</f>
        <v>637</v>
      </c>
      <c r="M45">
        <f>P7</f>
        <v>635.5</v>
      </c>
      <c r="N45">
        <f>P8</f>
        <v>631.54999999999995</v>
      </c>
      <c r="O45">
        <f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D45)-(K31))))*(MAX($D$16,(D45)-(K31))),0.000001)*MAX(((((G31)+(I31)*(MAX($D$16,(D45)-(K31))))*(MAX($D$16,(D45)-(K31))))/MAX((G31)+2*(MAX($D$16,(D45)-(K31)))*SQRT(1+(I31)^2),0.000001))^(2/3),0.000001)))^2))/2)+(IF((ABS(F45)/MAX(((G31)+(I31)*(MAX($D$16,(D45)-(K31))))*(MAX($D$16,(D45)-(K31))),0.000001))&gt;(ABS(F45)/MAX(((F31)+(H31)*(MAX($D$16,(K45)-(J31))))*(MAX($D$16,(K45)-(J31))),0.000001)),$D$9*((((ABS(F45)/MAX(((G31)+(I31)*(MAX($D$16,(D45)-(K31))))*(MAX($D$16,(D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D45)-(K31))))*(MAX($D$16,(D45)-(K31))),0.000001))^2)/(2*$I$5)))))+($D$10*(ABS((X31)-(W31))/90)*MAX(((ABS(F45)/MAX(((F31)+(H31)*(MAX($D$16,(K45)-(J31))))*(MAX($D$16,(K45)-(J31))),0.000001))^2)/(2*$I$5),((ABS(F45)/MAX(((G31)+(I31)*(MAX($D$16,(D45)-(K31))))*(MAX($D$16,(D45)-(K31))),0.000001))^2)/(2*$I$5)))+(0)-((ABS(F45)/MAX(((G31)+(I31)*(MAX($D$16,(D45)-(K31))))*(MAX($D$16,(D45)-(K31))),0.000001))^2)/(2*$I$5)</f>
        <v>637.65825100490247</v>
      </c>
      <c r="P45">
        <f>E45+((ABS(G45)/MAX(((G32)+(I32)*(MAX($D$16,(E45)-(K32))))*(MAX($D$16,(E45)-(K32))),0.000001))^2)/(2*$I$5)+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F32)+(H32)*(MAX($D$16,(D45)-(J32))))*(MAX($D$16,(D45)-(J32))),0.000001))^2)/(2*$I$5)</f>
        <v>74714.023173691981</v>
      </c>
      <c r="Q45">
        <f>L45+((ABS(H45)/MAX(((G33)+(I33)*(MAX($D$16,(L45)-(K33))))*(MAX($D$16,(L45)-(K33))),0.000001))^2)/(2*$I$5)+((E33)*((((ABS(H45)*$D$6)/(MAX(((F33)+(H33)*(MAX($D$16,(D45)-(J33))))*(MAX($D$16,(D45)-(J33))),0.000001)*MAX(((((F33)+(H33)*(MAX($D$16,(D45)-(J33))))*(MAX($D$16,(D45)-(J33))))/MAX((F33)+2*(MAX($D$16,(D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D45)-(J33))))*(MAX($D$16,(D45)-(J33))),0.000001)),$D$9*((((ABS(H45)/MAX(((G33)+(I33)*(MAX($D$16,(L45)-(K33))))*(MAX($D$16,(L45)-(K33))),0.000001))^2)/(2*$I$5))-(((ABS(H45)/MAX(((F33)+(H33)*(MAX($D$16,(D45)-(J33))))*(MAX($D$16,(D45)-(J33))),0.000001))^2)/(2*$I$5))),$D$8*((((ABS(H45)/MAX(((F33)+(H33)*(MAX($D$16,(D45)-(J33))))*(MAX($D$16,(D45)-(J33))),0.000001))^2)/(2*$I$5))-(((ABS(H45)/MAX(((G33)+(I33)*(MAX($D$16,(L45)-(K33))))*(MAX($D$16,(L45)-(K33))),0.000001))^2)/(2*$I$5)))))+($D$10*(ABS((X33)-(W33))/90)*MAX(((ABS(H45)/MAX(((F33)+(H33)*(MAX($D$16,(D45)-(J33))))*(MAX($D$16,(D45)-(J33))),0.000001))^2)/(2*$I$5),((ABS(H45)/MAX(((G33)+(I33)*(MAX($D$16,(L45)-(K33))))*(MAX($D$16,(L45)-(K33))),0.000001))^2)/(2*$I$5)))+(($D$11*0.00000015*(ABS(G45)/MAX(ABS(F45),0.000001))^2*MAX(((ABS(H45)/MAX(((F33)+(H33)*(MAX($D$16,(D45)-(J33))))*(MAX($D$16,(D45)-(J33))),0.000001))^2)/(2*$I$5),((ABS(H45)/MAX(((G33)+(I33)*(MAX($D$16,(L45)-(K33))))*(MAX($D$16,(L45)-(K33))),0.000001))^2)/(2*$I$5))))-((ABS(H45)/MAX(((F33)+(H33)*(MAX($D$16,(D45)-(J33))))*(MAX($D$16,(D45)-(J33))),0.000001))^2)/(2*$I$5)</f>
        <v>637</v>
      </c>
      <c r="R45">
        <f>D45+((ABS(G45)/MAX(((F32)+(H32)*(MAX($D$16,(D45)-(J32))))*(MAX($D$16,(D45)-(J32))),0.000001))^2)/(2*$I$5)-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G32)+(I32)*(MAX($D$16,(E45)-(K32))))*(MAX($D$16,(E45)-(K32))),0.000001))^2)/(2*$I$5)</f>
        <v>-62030.975233051446</v>
      </c>
      <c r="S45">
        <f>M45+((ABS(I45)/MAX(((G34)+(I34)*(MAX($D$16,(M45)-(K34))))*(MAX($D$16,(M45)-(K34))),0.000001))^2)/(2*$I$5)+((E34)*((((ABS(I45)*$D$6)/(MAX(((F34)+(H34)*(MAX($D$16,(E45)-(J34))))*(MAX($D$16,(E45)-(J34))),0.000001)*MAX(((((F34)+(H34)*(MAX($D$16,(E45)-(J34))))*(MAX($D$16,(E45)-(J34))))/MAX((F34)+2*(MAX($D$16,(E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E45)-(J34))))*(MAX($D$16,(E45)-(J34))),0.000001)),$D$9*((((ABS(I45)/MAX(((G34)+(I34)*(MAX($D$16,(M45)-(K34))))*(MAX($D$16,(M45)-(K34))),0.000001))^2)/(2*$I$5))-(((ABS(I45)/MAX(((F34)+(H34)*(MAX($D$16,(E45)-(J34))))*(MAX($D$16,(E45)-(J34))),0.000001))^2)/(2*$I$5))),$D$8*((((ABS(I45)/MAX(((F34)+(H34)*(MAX($D$16,(E45)-(J34))))*(MAX($D$16,(E45)-(J34))),0.000001))^2)/(2*$I$5))-(((ABS(I45)/MAX(((G34)+(I34)*(MAX($D$16,(M45)-(K34))))*(MAX($D$16,(M45)-(K34))),0.000001))^2)/(2*$I$5)))))+($D$10*(ABS((X34)-(W34))/90)*MAX(((ABS(I45)/MAX(((F34)+(H34)*(MAX($D$16,(E45)-(J34))))*(MAX($D$16,(E45)-(J34))),0.000001))^2)/(2*$I$5),((ABS(I45)/MAX(((G34)+(I34)*(MAX($D$16,(M45)-(K34))))*(MAX($D$16,(M45)-(K34))),0.000001))^2)/(2*$I$5)))+(0)-((ABS(I45)/MAX(((F34)+(H34)*(MAX($D$16,(E45)-(J34))))*(MAX($D$16,(E45)-(J34))),0.000001))^2)/(2*$I$5)</f>
        <v>635.5</v>
      </c>
      <c r="T45">
        <f>N45+((ABS(J45)/MAX(((G35)+(I35)*(MAX($D$16,(N45)-(K35))))*(MAX($D$16,(N45)-(K35))),0.000001))^2)/(2*$I$5)+((E35)*((((ABS(J45)*$D$6)/(MAX(((F35)+(H35)*(MAX($D$16,(E45)-(J35))))*(MAX($D$16,(E45)-(J35))),0.000001)*MAX(((((F35)+(H35)*(MAX($D$16,(E45)-(J35))))*(MAX($D$16,(E45)-(J35))))/MAX((F35)+2*(MAX($D$16,(E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E45)-(J35))))*(MAX($D$16,(E45)-(J35))),0.000001)),$D$9*((((ABS(J45)/MAX(((G35)+(I35)*(MAX($D$16,(N45)-(K35))))*(MAX($D$16,(N45)-(K35))),0.000001))^2)/(2*$I$5))-(((ABS(J45)/MAX(((F35)+(H35)*(MAX($D$16,(E45)-(J35))))*(MAX($D$16,(E45)-(J35))),0.000001))^2)/(2*$I$5))),$D$8*((((ABS(J45)/MAX(((F35)+(H35)*(MAX($D$16,(E45)-(J35))))*(MAX($D$16,(E45)-(J35))),0.000001))^2)/(2*$I$5))-(((ABS(J45)/MAX(((G35)+(I35)*(MAX($D$16,(N45)-(K35))))*(MAX($D$16,(N45)-(K35))),0.000001))^2)/(2*$I$5)))))+($D$10*(ABS((X35)-(W35))/90)*MAX(((ABS(J45)/MAX(((F35)+(H35)*(MAX($D$16,(E45)-(J35))))*(MAX($D$16,(E45)-(J35))),0.000001))^2)/(2*$I$5),((ABS(J45)/MAX(((G35)+(I35)*(MAX($D$16,(N45)-(K35))))*(MAX($D$16,(N45)-(K35))),0.000001))^2)/(2*$I$5)))+(($D$11*0.34699541*(ABS(I45)/MAX(ABS(G45),0.000001))^2*MAX(((ABS(J45)/MAX(((F35)+(H35)*(MAX($D$16,(E45)-(J35))))*(MAX($D$16,(E45)-(J35))),0.000001))^2)/(2*$I$5),((ABS(J45)/MAX(((G35)+(I35)*(MAX($D$16,(N45)-(K35))))*(MAX($D$16,(N45)-(K35))),0.000001))^2)/(2*$I$5))))-((ABS(J45)/MAX(((F35)+(H35)*(MAX($D$16,(E45)-(J35))))*(MAX($D$16,(E45)-(J35))),0.000001))^2)/(2*$I$5)</f>
        <v>22382.80587457701</v>
      </c>
      <c r="U45">
        <f>(((((F32)*(MAX($D$16,(D45)-(J32)))^2)/2+(H32)*(MAX($D$16,(D45)-(J32)))^3/3+(ABS(G45)^2)/($I$5*MAX(((F32)+(H32)*(MAX($D$16,(D45)-(J32))))*(MAX($D$16,(D45)-(J32))),0.000001)))*0.72785025)-((((F33)*(MAX($D$16,(D45)-(J33)))^2)/2+(H33)*(MAX($D$16,(D45)-(J33)))^3/3+(ABS(H45)^2)/($I$5*MAX(((F33)+(H33)*(MAX($D$16,(D45)-(J33))))*(MAX($D$16,(D45)-(J33))),0.000001)))*0.99999971))/MAX(((G31)*(MAX($D$16,(D45)-(K31)))^2)/2+(I31)*(MAX($D$16,(D45)-(K31)))^3/3+(ABS(F45)^2)/($I$5*MAX(((G31)+(I31)*(MAX($D$16,(D45)-(K31))))*(MAX($D$16,(D45)-(K31))),0.000001)),0.000001)</f>
        <v>-0.27214945999900814</v>
      </c>
      <c r="V45">
        <f>(((((F34)*(MAX($D$16,(E45)-(J34)))^2)/2+(H34)*(MAX($D$16,(E45)-(J34)))^3/3+(ABS(I45)^2)/($I$5*MAX(((F34)+(H34)*(MAX($D$16,(E45)-(J34))))*(MAX($D$16,(E45)-(J34))),0.000001)))*1)-((((F35)*(MAX($D$16,(E45)-(J35)))^2)/2+(H35)*(MAX($D$16,(E45)-(J35)))^3/3+(ABS(J45)^2)/($I$5*MAX(((F35)+(H35)*(MAX($D$16,(E45)-(J35))))*(MAX($D$16,(E45)-(J35))),0.000001)))*0.30600918))/MAX(((G32)*(MAX($D$16,(E45)-(K32)))^2)/2+(I32)*(MAX($D$16,(E45)-(K32)))^3/3+(ABS(G45)^2)/($I$5*MAX(((G32)+(I32)*(MAX($D$16,(E45)-(K32))))*(MAX($D$16,(E45)-(K32))),0.000001)),0.000001)</f>
        <v>-0.30598462674144999</v>
      </c>
      <c r="W45">
        <f>IF(N6="None",MAX(ABS(O45-D45),ABS(P45-D45)),MAX(ABS(O45-D45),ABS(P45-D45),ABS(Q45-D45)))</f>
        <v>50913.9158972476</v>
      </c>
      <c r="X45">
        <f>IF(AND(N7="None",N8="None"),ABS(R45-E45),IF(N8="None",MAX(ABS(R45-E45),ABS(S45-E45)),IF(N7="None",MAX(ABS(R45-E45),ABS(T45-E45)),MAX(ABS(R45-E45),ABS(S45-E45),ABS(T45-E45)))))</f>
        <v>50691.148831349412</v>
      </c>
      <c r="AA45">
        <f>D45+$D$13*(IF(N6="None",AVERAGE(O45:P45),AVERAGE(O45:Q45))-D45)</f>
        <v>28656.613979010799</v>
      </c>
      <c r="AB45">
        <f>E45+$D$13*(IF(AND(N7="None",N8="None"),R45,IF(N8="None",AVERAGE(R45:S45),IF(N7="None",AVERAGE(R45,T45),AVERAGE(R45:T45))))-E45)</f>
        <v>-11922.365252928339</v>
      </c>
    </row>
    <row r="46" spans="1:28" x14ac:dyDescent="0.35">
      <c r="A46">
        <v>3</v>
      </c>
      <c r="B46">
        <f t="shared" si="3"/>
        <v>0</v>
      </c>
      <c r="C46">
        <f t="shared" si="4"/>
        <v>0</v>
      </c>
      <c r="D46">
        <f t="shared" si="5"/>
        <v>28656.613979010799</v>
      </c>
      <c r="E46">
        <f t="shared" si="6"/>
        <v>-11922.365252928339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>IF(AND(N7="None",N8="None"),0,IF(N8="None",G46,IF(N7="None",0,MAX(0,G46*C46))))</f>
        <v>0</v>
      </c>
      <c r="J46">
        <f>IF(AND(N7="None",N8="None"),0,IF(N8="None",0,IF(N7="None",G46,MAX(0,G46-I46))))</f>
        <v>51</v>
      </c>
      <c r="K46">
        <f>P5</f>
        <v>637</v>
      </c>
      <c r="L46">
        <f>P6</f>
        <v>637</v>
      </c>
      <c r="M46">
        <f>P7</f>
        <v>635.5</v>
      </c>
      <c r="N46">
        <f>P8</f>
        <v>631.54999999999995</v>
      </c>
      <c r="O46">
        <f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D46)-(K31))))*(MAX($D$16,(D46)-(K31))),0.000001)*MAX(((((G31)+(I31)*(MAX($D$16,(D46)-(K31))))*(MAX($D$16,(D46)-(K31))))/MAX((G31)+2*(MAX($D$16,(D46)-(K31)))*SQRT(1+(I31)^2),0.000001))^(2/3),0.000001)))^2))/2)+(IF((ABS(F46)/MAX(((G31)+(I31)*(MAX($D$16,(D46)-(K31))))*(MAX($D$16,(D46)-(K31))),0.000001))&gt;(ABS(F46)/MAX(((F31)+(H31)*(MAX($D$16,(K46)-(J31))))*(MAX($D$16,(K46)-(J31))),0.000001)),$D$9*((((ABS(F46)/MAX(((G31)+(I31)*(MAX($D$16,(D46)-(K31))))*(MAX($D$16,(D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D46)-(K31))))*(MAX($D$16,(D46)-(K31))),0.000001))^2)/(2*$I$5)))))+($D$10*(ABS((X31)-(W31))/90)*MAX(((ABS(F46)/MAX(((F31)+(H31)*(MAX($D$16,(K46)-(J31))))*(MAX($D$16,(K46)-(J31))),0.000001))^2)/(2*$I$5),((ABS(F46)/MAX(((G31)+(I31)*(MAX($D$16,(D46)-(K31))))*(MAX($D$16,(D46)-(K31))),0.000001))^2)/(2*$I$5)))+(0)-((ABS(F46)/MAX(((G31)+(I31)*(MAX($D$16,(D46)-(K31))))*(MAX($D$16,(D46)-(K31))),0.000001))^2)/(2*$I$5)</f>
        <v>637.65825100727523</v>
      </c>
      <c r="P46">
        <f>E46+((ABS(G46)/MAX(((G32)+(I32)*(MAX($D$16,(E46)-(K32))))*(MAX($D$16,(E46)-(K32))),0.000001))^2)/(2*$I$5)+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F32)+(H32)*(MAX($D$16,(D46)-(J32))))*(MAX($D$16,(D46)-(J32))),0.000001))^2)/(2*$I$5)</f>
        <v>74131.484322466553</v>
      </c>
      <c r="Q46">
        <f>L46+((ABS(H46)/MAX(((G33)+(I33)*(MAX($D$16,(L46)-(K33))))*(MAX($D$16,(L46)-(K33))),0.000001))^2)/(2*$I$5)+((E33)*((((ABS(H46)*$D$6)/(MAX(((F33)+(H33)*(MAX($D$16,(D46)-(J33))))*(MAX($D$16,(D46)-(J33))),0.000001)*MAX(((((F33)+(H33)*(MAX($D$16,(D46)-(J33))))*(MAX($D$16,(D46)-(J33))))/MAX((F33)+2*(MAX($D$16,(D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D46)-(J33))))*(MAX($D$16,(D46)-(J33))),0.000001)),$D$9*((((ABS(H46)/MAX(((G33)+(I33)*(MAX($D$16,(L46)-(K33))))*(MAX($D$16,(L46)-(K33))),0.000001))^2)/(2*$I$5))-(((ABS(H46)/MAX(((F33)+(H33)*(MAX($D$16,(D46)-(J33))))*(MAX($D$16,(D46)-(J33))),0.000001))^2)/(2*$I$5))),$D$8*((((ABS(H46)/MAX(((F33)+(H33)*(MAX($D$16,(D46)-(J33))))*(MAX($D$16,(D46)-(J33))),0.000001))^2)/(2*$I$5))-(((ABS(H46)/MAX(((G33)+(I33)*(MAX($D$16,(L46)-(K33))))*(MAX($D$16,(L46)-(K33))),0.000001))^2)/(2*$I$5)))))+($D$10*(ABS((X33)-(W33))/90)*MAX(((ABS(H46)/MAX(((F33)+(H33)*(MAX($D$16,(D46)-(J33))))*(MAX($D$16,(D46)-(J33))),0.000001))^2)/(2*$I$5),((ABS(H46)/MAX(((G33)+(I33)*(MAX($D$16,(L46)-(K33))))*(MAX($D$16,(L46)-(K33))),0.000001))^2)/(2*$I$5)))+(($D$11*0.00000015*(ABS(G46)/MAX(ABS(F46),0.000001))^2*MAX(((ABS(H46)/MAX(((F33)+(H33)*(MAX($D$16,(D46)-(J33))))*(MAX($D$16,(D46)-(J33))),0.000001))^2)/(2*$I$5),((ABS(H46)/MAX(((G33)+(I33)*(MAX($D$16,(L46)-(K33))))*(MAX($D$16,(L46)-(K33))),0.000001))^2)/(2*$I$5))))-((ABS(H46)/MAX(((F33)+(H33)*(MAX($D$16,(D46)-(J33))))*(MAX($D$16,(D46)-(J33))),0.000001))^2)/(2*$I$5)</f>
        <v>637</v>
      </c>
      <c r="R46">
        <f>D46+((ABS(G46)/MAX(((F32)+(H32)*(MAX($D$16,(D46)-(J32))))*(MAX($D$16,(D46)-(J32))),0.000001))^2)/(2*$I$5)-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G32)+(I32)*(MAX($D$16,(E46)-(K32))))*(MAX($D$16,(E46)-(K32))),0.000001))^2)/(2*$I$5)</f>
        <v>-57174.468530485523</v>
      </c>
      <c r="S46">
        <f>M46+((ABS(I46)/MAX(((G34)+(I34)*(MAX($D$16,(M46)-(K34))))*(MAX($D$16,(M46)-(K34))),0.000001))^2)/(2*$I$5)+((E34)*((((ABS(I46)*$D$6)/(MAX(((F34)+(H34)*(MAX($D$16,(E46)-(J34))))*(MAX($D$16,(E46)-(J34))),0.000001)*MAX(((((F34)+(H34)*(MAX($D$16,(E46)-(J34))))*(MAX($D$16,(E46)-(J34))))/MAX((F34)+2*(MAX($D$16,(E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E46)-(J34))))*(MAX($D$16,(E46)-(J34))),0.000001)),$D$9*((((ABS(I46)/MAX(((G34)+(I34)*(MAX($D$16,(M46)-(K34))))*(MAX($D$16,(M46)-(K34))),0.000001))^2)/(2*$I$5))-(((ABS(I46)/MAX(((F34)+(H34)*(MAX($D$16,(E46)-(J34))))*(MAX($D$16,(E46)-(J34))),0.000001))^2)/(2*$I$5))),$D$8*((((ABS(I46)/MAX(((F34)+(H34)*(MAX($D$16,(E46)-(J34))))*(MAX($D$16,(E46)-(J34))),0.000001))^2)/(2*$I$5))-(((ABS(I46)/MAX(((G34)+(I34)*(MAX($D$16,(M46)-(K34))))*(MAX($D$16,(M46)-(K34))),0.000001))^2)/(2*$I$5)))))+($D$10*(ABS((X34)-(W34))/90)*MAX(((ABS(I46)/MAX(((F34)+(H34)*(MAX($D$16,(E46)-(J34))))*(MAX($D$16,(E46)-(J34))),0.000001))^2)/(2*$I$5),((ABS(I46)/MAX(((G34)+(I34)*(MAX($D$16,(M46)-(K34))))*(MAX($D$16,(M46)-(K34))),0.000001))^2)/(2*$I$5)))+(0)-((ABS(I46)/MAX(((F34)+(H34)*(MAX($D$16,(E46)-(J34))))*(MAX($D$16,(E46)-(J34))),0.000001))^2)/(2*$I$5)</f>
        <v>635.5</v>
      </c>
      <c r="T46">
        <f>N46+((ABS(J46)/MAX(((G35)+(I35)*(MAX($D$16,(N46)-(K35))))*(MAX($D$16,(N46)-(K35))),0.000001))^2)/(2*$I$5)+((E35)*((((ABS(J46)*$D$6)/(MAX(((F35)+(H35)*(MAX($D$16,(E46)-(J35))))*(MAX($D$16,(E46)-(J35))),0.000001)*MAX(((((F35)+(H35)*(MAX($D$16,(E46)-(J35))))*(MAX($D$16,(E46)-(J35))))/MAX((F35)+2*(MAX($D$16,(E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E46)-(J35))))*(MAX($D$16,(E46)-(J35))),0.000001)),$D$9*((((ABS(J46)/MAX(((G35)+(I35)*(MAX($D$16,(N46)-(K35))))*(MAX($D$16,(N46)-(K35))),0.000001))^2)/(2*$I$5))-(((ABS(J46)/MAX(((F35)+(H35)*(MAX($D$16,(E46)-(J35))))*(MAX($D$16,(E46)-(J35))),0.000001))^2)/(2*$I$5))),$D$8*((((ABS(J46)/MAX(((F35)+(H35)*(MAX($D$16,(E46)-(J35))))*(MAX($D$16,(E46)-(J35))),0.000001))^2)/(2*$I$5))-(((ABS(J46)/MAX(((G35)+(I35)*(MAX($D$16,(N46)-(K35))))*(MAX($D$16,(N46)-(K35))),0.000001))^2)/(2*$I$5)))))+($D$10*(ABS((X35)-(W35))/90)*MAX(((ABS(J46)/MAX(((F35)+(H35)*(MAX($D$16,(E46)-(J35))))*(MAX($D$16,(E46)-(J35))),0.000001))^2)/(2*$I$5),((ABS(J46)/MAX(((G35)+(I35)*(MAX($D$16,(N46)-(K35))))*(MAX($D$16,(N46)-(K35))),0.000001))^2)/(2*$I$5)))+(($D$11*0.34699541*(ABS(I46)/MAX(ABS(G46),0.000001))^2*MAX(((ABS(J46)/MAX(((F35)+(H35)*(MAX($D$16,(E46)-(J35))))*(MAX($D$16,(E46)-(J35))),0.000001))^2)/(2*$I$5),((ABS(J46)/MAX(((G35)+(I35)*(MAX($D$16,(N46)-(K35))))*(MAX($D$16,(N46)-(K35))),0.000001))^2)/(2*$I$5))))-((ABS(J46)/MAX(((F35)+(H35)*(MAX($D$16,(E46)-(J35))))*(MAX($D$16,(E46)-(J35))),0.000001))^2)/(2*$I$5)</f>
        <v>22382.80587457701</v>
      </c>
      <c r="U46">
        <f>(((((F32)*(MAX($D$16,(D46)-(J32)))^2)/2+(H32)*(MAX($D$16,(D46)-(J32)))^3/3+(ABS(G46)^2)/($I$5*MAX(((F32)+(H32)*(MAX($D$16,(D46)-(J32))))*(MAX($D$16,(D46)-(J32))),0.000001)))*0.72785025)-((((F33)*(MAX($D$16,(D46)-(J33)))^2)/2+(H33)*(MAX($D$16,(D46)-(J33)))^3/3+(ABS(H46)^2)/($I$5*MAX(((F33)+(H33)*(MAX($D$16,(D46)-(J33))))*(MAX($D$16,(D46)-(J33))),0.000001)))*0.99999971))/MAX(((G31)*(MAX($D$16,(D46)-(K31)))^2)/2+(I31)*(MAX($D$16,(D46)-(K31)))^3/3+(ABS(F46)^2)/($I$5*MAX(((G31)+(I31)*(MAX($D$16,(D46)-(K31))))*(MAX($D$16,(D46)-(K31))),0.000001)),0.000001)</f>
        <v>-0.27214945999943951</v>
      </c>
      <c r="V46">
        <f>(((((F34)*(MAX($D$16,(E46)-(J34)))^2)/2+(H34)*(MAX($D$16,(E46)-(J34)))^3/3+(ABS(I46)^2)/($I$5*MAX(((F34)+(H34)*(MAX($D$16,(E46)-(J34))))*(MAX($D$16,(E46)-(J34))),0.000001)))*1)-((((F35)*(MAX($D$16,(E46)-(J35)))^2)/2+(H35)*(MAX($D$16,(E46)-(J35)))^3/3+(ABS(J46)^2)/($I$5*MAX(((F35)+(H35)*(MAX($D$16,(E46)-(J35))))*(MAX($D$16,(E46)-(J35))),0.000001)))*0.30600918))/MAX(((G32)*(MAX($D$16,(E46)-(K32)))^2)/2+(I32)*(MAX($D$16,(E46)-(K32)))^3/3+(ABS(G46)^2)/($I$5*MAX(((G32)+(I32)*(MAX($D$16,(E46)-(K32))))*(MAX($D$16,(E46)-(K32))),0.000001)),0.000001)</f>
        <v>-0.30598462674144999</v>
      </c>
      <c r="W46">
        <f>IF(N6="None",MAX(ABS(O46-D46),ABS(P46-D46)),MAX(ABS(O46-D46),ABS(P46-D46),ABS(Q46-D46)))</f>
        <v>45474.870343455754</v>
      </c>
      <c r="X46">
        <f>IF(AND(N7="None",N8="None"),ABS(R46-E46),IF(N8="None",MAX(ABS(R46-E46),ABS(S46-E46)),IF(N7="None",MAX(ABS(R46-E46),ABS(T46-E46)),MAX(ABS(R46-E46),ABS(S46-E46),ABS(T46-E46)))))</f>
        <v>45252.10327755718</v>
      </c>
      <c r="AA46">
        <f>D46+$D$13*(IF(N6="None",AVERAGE(O46:P46),AVERAGE(O46:Q46))-D46)</f>
        <v>31711.399036714938</v>
      </c>
      <c r="AB46">
        <f>E46+$D$13*(IF(AND(N7="None",N8="None"),R46,IF(N8="None",AVERAGE(R46:S46),IF(N7="None",AVERAGE(R46,T46),AVERAGE(R46:T46))))-E46)</f>
        <v>-11734.423057592747</v>
      </c>
    </row>
    <row r="47" spans="1:28" x14ac:dyDescent="0.35">
      <c r="A47">
        <v>4</v>
      </c>
      <c r="B47">
        <f t="shared" si="3"/>
        <v>0</v>
      </c>
      <c r="C47">
        <f t="shared" si="4"/>
        <v>0</v>
      </c>
      <c r="D47">
        <f t="shared" si="5"/>
        <v>31711.399036714938</v>
      </c>
      <c r="E47">
        <f t="shared" si="6"/>
        <v>-11734.423057592747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>IF(AND(N7="None",N8="None"),0,IF(N8="None",G47,IF(N7="None",0,MAX(0,G47*C47))))</f>
        <v>0</v>
      </c>
      <c r="J47">
        <f>IF(AND(N7="None",N8="None"),0,IF(N8="None",0,IF(N7="None",G47,MAX(0,G47-I47))))</f>
        <v>51</v>
      </c>
      <c r="K47">
        <f>P5</f>
        <v>637</v>
      </c>
      <c r="L47">
        <f>P6</f>
        <v>637</v>
      </c>
      <c r="M47">
        <f>P7</f>
        <v>635.5</v>
      </c>
      <c r="N47">
        <f>P8</f>
        <v>631.54999999999995</v>
      </c>
      <c r="O47">
        <f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D47)-(K31))))*(MAX($D$16,(D47)-(K31))),0.000001)*MAX(((((G31)+(I31)*(MAX($D$16,(D47)-(K31))))*(MAX($D$16,(D47)-(K31))))/MAX((G31)+2*(MAX($D$16,(D47)-(K31)))*SQRT(1+(I31)^2),0.000001))^(2/3),0.000001)))^2))/2)+(IF((ABS(F47)/MAX(((G31)+(I31)*(MAX($D$16,(D47)-(K31))))*(MAX($D$16,(D47)-(K31))),0.000001))&gt;(ABS(F47)/MAX(((F31)+(H31)*(MAX($D$16,(K47)-(J31))))*(MAX($D$16,(K47)-(J31))),0.000001)),$D$9*((((ABS(F47)/MAX(((G31)+(I31)*(MAX($D$16,(D47)-(K31))))*(MAX($D$16,(D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D47)-(K31))))*(MAX($D$16,(D47)-(K31))),0.000001))^2)/(2*$I$5)))))+($D$10*(ABS((X31)-(W31))/90)*MAX(((ABS(F47)/MAX(((F31)+(H31)*(MAX($D$16,(K47)-(J31))))*(MAX($D$16,(K47)-(J31))),0.000001))^2)/(2*$I$5),((ABS(F47)/MAX(((G31)+(I31)*(MAX($D$16,(D47)-(K31))))*(MAX($D$16,(D47)-(K31))),0.000001))^2)/(2*$I$5)))+(0)-((ABS(F47)/MAX(((G31)+(I31)*(MAX($D$16,(D47)-(K31))))*(MAX($D$16,(D47)-(K31))),0.000001))^2)/(2*$I$5)</f>
        <v>637.6582510082327</v>
      </c>
      <c r="P47">
        <f>E47+((ABS(G47)/MAX(((G32)+(I32)*(MAX($D$16,(E47)-(K32))))*(MAX($D$16,(E47)-(K32))),0.000001))^2)/(2*$I$5)+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F32)+(H32)*(MAX($D$16,(D47)-(J32))))*(MAX($D$16,(D47)-(J32))),0.000001))^2)/(2*$I$5)</f>
        <v>74319.426517802509</v>
      </c>
      <c r="Q47">
        <f>L47+((ABS(H47)/MAX(((G33)+(I33)*(MAX($D$16,(L47)-(K33))))*(MAX($D$16,(L47)-(K33))),0.000001))^2)/(2*$I$5)+((E33)*((((ABS(H47)*$D$6)/(MAX(((F33)+(H33)*(MAX($D$16,(D47)-(J33))))*(MAX($D$16,(D47)-(J33))),0.000001)*MAX(((((F33)+(H33)*(MAX($D$16,(D47)-(J33))))*(MAX($D$16,(D47)-(J33))))/MAX((F33)+2*(MAX($D$16,(D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D47)-(J33))))*(MAX($D$16,(D47)-(J33))),0.000001)),$D$9*((((ABS(H47)/MAX(((G33)+(I33)*(MAX($D$16,(L47)-(K33))))*(MAX($D$16,(L47)-(K33))),0.000001))^2)/(2*$I$5))-(((ABS(H47)/MAX(((F33)+(H33)*(MAX($D$16,(D47)-(J33))))*(MAX($D$16,(D47)-(J33))),0.000001))^2)/(2*$I$5))),$D$8*((((ABS(H47)/MAX(((F33)+(H33)*(MAX($D$16,(D47)-(J33))))*(MAX($D$16,(D47)-(J33))),0.000001))^2)/(2*$I$5))-(((ABS(H47)/MAX(((G33)+(I33)*(MAX($D$16,(L47)-(K33))))*(MAX($D$16,(L47)-(K33))),0.000001))^2)/(2*$I$5)))))+($D$10*(ABS((X33)-(W33))/90)*MAX(((ABS(H47)/MAX(((F33)+(H33)*(MAX($D$16,(D47)-(J33))))*(MAX($D$16,(D47)-(J33))),0.000001))^2)/(2*$I$5),((ABS(H47)/MAX(((G33)+(I33)*(MAX($D$16,(L47)-(K33))))*(MAX($D$16,(L47)-(K33))),0.000001))^2)/(2*$I$5)))+(($D$11*0.00000015*(ABS(G47)/MAX(ABS(F47),0.000001))^2*MAX(((ABS(H47)/MAX(((F33)+(H33)*(MAX($D$16,(D47)-(J33))))*(MAX($D$16,(D47)-(J33))),0.000001))^2)/(2*$I$5),((ABS(H47)/MAX(((G33)+(I33)*(MAX($D$16,(L47)-(K33))))*(MAX($D$16,(L47)-(K33))),0.000001))^2)/(2*$I$5))))-((ABS(H47)/MAX(((F33)+(H33)*(MAX($D$16,(D47)-(J33))))*(MAX($D$16,(D47)-(J33))),0.000001))^2)/(2*$I$5)</f>
        <v>637</v>
      </c>
      <c r="R47">
        <f>D47+((ABS(G47)/MAX(((F32)+(H32)*(MAX($D$16,(D47)-(J32))))*(MAX($D$16,(D47)-(J32))),0.000001))^2)/(2*$I$5)-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G32)+(I32)*(MAX($D$16,(E47)-(K32))))*(MAX($D$16,(E47)-(K32))),0.000001))^2)/(2*$I$5)</f>
        <v>-54119.683472781602</v>
      </c>
      <c r="S47">
        <f>M47+((ABS(I47)/MAX(((G34)+(I34)*(MAX($D$16,(M47)-(K34))))*(MAX($D$16,(M47)-(K34))),0.000001))^2)/(2*$I$5)+((E34)*((((ABS(I47)*$D$6)/(MAX(((F34)+(H34)*(MAX($D$16,(E47)-(J34))))*(MAX($D$16,(E47)-(J34))),0.000001)*MAX(((((F34)+(H34)*(MAX($D$16,(E47)-(J34))))*(MAX($D$16,(E47)-(J34))))/MAX((F34)+2*(MAX($D$16,(E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E47)-(J34))))*(MAX($D$16,(E47)-(J34))),0.000001)),$D$9*((((ABS(I47)/MAX(((G34)+(I34)*(MAX($D$16,(M47)-(K34))))*(MAX($D$16,(M47)-(K34))),0.000001))^2)/(2*$I$5))-(((ABS(I47)/MAX(((F34)+(H34)*(MAX($D$16,(E47)-(J34))))*(MAX($D$16,(E47)-(J34))),0.000001))^2)/(2*$I$5))),$D$8*((((ABS(I47)/MAX(((F34)+(H34)*(MAX($D$16,(E47)-(J34))))*(MAX($D$16,(E47)-(J34))),0.000001))^2)/(2*$I$5))-(((ABS(I47)/MAX(((G34)+(I34)*(MAX($D$16,(M47)-(K34))))*(MAX($D$16,(M47)-(K34))),0.000001))^2)/(2*$I$5)))))+($D$10*(ABS((X34)-(W34))/90)*MAX(((ABS(I47)/MAX(((F34)+(H34)*(MAX($D$16,(E47)-(J34))))*(MAX($D$16,(E47)-(J34))),0.000001))^2)/(2*$I$5),((ABS(I47)/MAX(((G34)+(I34)*(MAX($D$16,(M47)-(K34))))*(MAX($D$16,(M47)-(K34))),0.000001))^2)/(2*$I$5)))+(0)-((ABS(I47)/MAX(((F34)+(H34)*(MAX($D$16,(E47)-(J34))))*(MAX($D$16,(E47)-(J34))),0.000001))^2)/(2*$I$5)</f>
        <v>635.5</v>
      </c>
      <c r="T47">
        <f>N47+((ABS(J47)/MAX(((G35)+(I35)*(MAX($D$16,(N47)-(K35))))*(MAX($D$16,(N47)-(K35))),0.000001))^2)/(2*$I$5)+((E35)*((((ABS(J47)*$D$6)/(MAX(((F35)+(H35)*(MAX($D$16,(E47)-(J35))))*(MAX($D$16,(E47)-(J35))),0.000001)*MAX(((((F35)+(H35)*(MAX($D$16,(E47)-(J35))))*(MAX($D$16,(E47)-(J35))))/MAX((F35)+2*(MAX($D$16,(E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E47)-(J35))))*(MAX($D$16,(E47)-(J35))),0.000001)),$D$9*((((ABS(J47)/MAX(((G35)+(I35)*(MAX($D$16,(N47)-(K35))))*(MAX($D$16,(N47)-(K35))),0.000001))^2)/(2*$I$5))-(((ABS(J47)/MAX(((F35)+(H35)*(MAX($D$16,(E47)-(J35))))*(MAX($D$16,(E47)-(J35))),0.000001))^2)/(2*$I$5))),$D$8*((((ABS(J47)/MAX(((F35)+(H35)*(MAX($D$16,(E47)-(J35))))*(MAX($D$16,(E47)-(J35))),0.000001))^2)/(2*$I$5))-(((ABS(J47)/MAX(((G35)+(I35)*(MAX($D$16,(N47)-(K35))))*(MAX($D$16,(N47)-(K35))),0.000001))^2)/(2*$I$5)))))+($D$10*(ABS((X35)-(W35))/90)*MAX(((ABS(J47)/MAX(((F35)+(H35)*(MAX($D$16,(E47)-(J35))))*(MAX($D$16,(E47)-(J35))),0.000001))^2)/(2*$I$5),((ABS(J47)/MAX(((G35)+(I35)*(MAX($D$16,(N47)-(K35))))*(MAX($D$16,(N47)-(K35))),0.000001))^2)/(2*$I$5)))+(($D$11*0.34699541*(ABS(I47)/MAX(ABS(G47),0.000001))^2*MAX(((ABS(J47)/MAX(((F35)+(H35)*(MAX($D$16,(E47)-(J35))))*(MAX($D$16,(E47)-(J35))),0.000001))^2)/(2*$I$5),((ABS(J47)/MAX(((G35)+(I35)*(MAX($D$16,(N47)-(K35))))*(MAX($D$16,(N47)-(K35))),0.000001))^2)/(2*$I$5))))-((ABS(J47)/MAX(((F35)+(H35)*(MAX($D$16,(E47)-(J35))))*(MAX($D$16,(E47)-(J35))),0.000001))^2)/(2*$I$5)</f>
        <v>22382.80587457701</v>
      </c>
      <c r="U47">
        <f>(((((F32)*(MAX($D$16,(D47)-(J32)))^2)/2+(H32)*(MAX($D$16,(D47)-(J32)))^3/3+(ABS(G47)^2)/($I$5*MAX(((F32)+(H32)*(MAX($D$16,(D47)-(J32))))*(MAX($D$16,(D47)-(J32))),0.000001)))*0.72785025)-((((F33)*(MAX($D$16,(D47)-(J33)))^2)/2+(H33)*(MAX($D$16,(D47)-(J33)))^3/3+(ABS(H47)^2)/($I$5*MAX(((F33)+(H33)*(MAX($D$16,(D47)-(J33))))*(MAX($D$16,(D47)-(J33))),0.000001)))*0.99999971))/MAX(((G31)*(MAX($D$16,(D47)-(K31)))^2)/2+(I31)*(MAX($D$16,(D47)-(K31)))^3/3+(ABS(F47)^2)/($I$5*MAX(((G31)+(I31)*(MAX($D$16,(D47)-(K31))))*(MAX($D$16,(D47)-(K31))),0.000001)),0.000001)</f>
        <v>-0.27214945999958912</v>
      </c>
      <c r="V47">
        <f>(((((F34)*(MAX($D$16,(E47)-(J34)))^2)/2+(H34)*(MAX($D$16,(E47)-(J34)))^3/3+(ABS(I47)^2)/($I$5*MAX(((F34)+(H34)*(MAX($D$16,(E47)-(J34))))*(MAX($D$16,(E47)-(J34))),0.000001)))*1)-((((F35)*(MAX($D$16,(E47)-(J35)))^2)/2+(H35)*(MAX($D$16,(E47)-(J35)))^3/3+(ABS(J47)^2)/($I$5*MAX(((F35)+(H35)*(MAX($D$16,(E47)-(J35))))*(MAX($D$16,(E47)-(J35))),0.000001)))*0.30600918))/MAX(((G32)*(MAX($D$16,(E47)-(K32)))^2)/2+(I32)*(MAX($D$16,(E47)-(K32)))^3/3+(ABS(G47)^2)/($I$5*MAX(((G32)+(I32)*(MAX($D$16,(E47)-(K32))))*(MAX($D$16,(E47)-(K32))),0.000001)),0.000001)</f>
        <v>-0.30598462674144999</v>
      </c>
      <c r="W47">
        <f>IF(N6="None",MAX(ABS(O47-D47),ABS(P47-D47)),MAX(ABS(O47-D47),ABS(P47-D47),ABS(Q47-D47)))</f>
        <v>42608.027481087571</v>
      </c>
      <c r="X47">
        <f>IF(AND(N7="None",N8="None"),ABS(R47-E47),IF(N8="None",MAX(ABS(R47-E47),ABS(S47-E47)),IF(N7="None",MAX(ABS(R47-E47),ABS(T47-E47)),MAX(ABS(R47-E47),ABS(S47-E47),ABS(T47-E47)))))</f>
        <v>42385.260415188852</v>
      </c>
      <c r="AA47">
        <f>D47+$D$13*(IF(N6="None",AVERAGE(O47:P47),AVERAGE(O47:Q47))-D47)</f>
        <v>33729.89920840659</v>
      </c>
      <c r="AB47">
        <f>E47+$D$13*(IF(AND(N7="None",N8="None"),R47,IF(N8="None",AVERAGE(R47:S47),IF(N7="None",AVERAGE(R47,T47),AVERAGE(R47:T47))))-E47)</f>
        <v>-11255.869040559155</v>
      </c>
    </row>
    <row r="48" spans="1:28" x14ac:dyDescent="0.35">
      <c r="A48">
        <v>5</v>
      </c>
      <c r="B48">
        <f t="shared" si="3"/>
        <v>0</v>
      </c>
      <c r="C48">
        <f t="shared" si="4"/>
        <v>0</v>
      </c>
      <c r="D48">
        <f t="shared" si="5"/>
        <v>33729.89920840659</v>
      </c>
      <c r="E48">
        <f t="shared" si="6"/>
        <v>-11255.869040559155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>IF(AND(N7="None",N8="None"),0,IF(N8="None",G48,IF(N7="None",0,MAX(0,G48*C48))))</f>
        <v>0</v>
      </c>
      <c r="J48">
        <f>IF(AND(N7="None",N8="None"),0,IF(N8="None",0,IF(N7="None",G48,MAX(0,G48-I48))))</f>
        <v>51</v>
      </c>
      <c r="K48">
        <f>P5</f>
        <v>637</v>
      </c>
      <c r="L48">
        <f>P6</f>
        <v>637</v>
      </c>
      <c r="M48">
        <f>P7</f>
        <v>635.5</v>
      </c>
      <c r="N48">
        <f>P8</f>
        <v>631.54999999999995</v>
      </c>
      <c r="O48">
        <f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D48)-(K31))))*(MAX($D$16,(D48)-(K31))),0.000001)*MAX(((((G31)+(I31)*(MAX($D$16,(D48)-(K31))))*(MAX($D$16,(D48)-(K31))))/MAX((G31)+2*(MAX($D$16,(D48)-(K31)))*SQRT(1+(I31)^2),0.000001))^(2/3),0.000001)))^2))/2)+(IF((ABS(F48)/MAX(((G31)+(I31)*(MAX($D$16,(D48)-(K31))))*(MAX($D$16,(D48)-(K31))),0.000001))&gt;(ABS(F48)/MAX(((F31)+(H31)*(MAX($D$16,(K48)-(J31))))*(MAX($D$16,(K48)-(J31))),0.000001)),$D$9*((((ABS(F48)/MAX(((G31)+(I31)*(MAX($D$16,(D48)-(K31))))*(MAX($D$16,(D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D48)-(K31))))*(MAX($D$16,(D48)-(K31))),0.000001))^2)/(2*$I$5)))))+($D$10*(ABS((X31)-(W31))/90)*MAX(((ABS(F48)/MAX(((F31)+(H31)*(MAX($D$16,(K48)-(J31))))*(MAX($D$16,(K48)-(J31))),0.000001))^2)/(2*$I$5),((ABS(F48)/MAX(((G31)+(I31)*(MAX($D$16,(D48)-(K31))))*(MAX($D$16,(D48)-(K31))),0.000001))^2)/(2*$I$5)))+(0)-((ABS(F48)/MAX(((G31)+(I31)*(MAX($D$16,(D48)-(K31))))*(MAX($D$16,(D48)-(K31))),0.000001))^2)/(2*$I$5)</f>
        <v>637.65825100872519</v>
      </c>
      <c r="P48">
        <f>E48+((ABS(G48)/MAX(((G32)+(I32)*(MAX($D$16,(E48)-(K32))))*(MAX($D$16,(E48)-(K32))),0.000001))^2)/(2*$I$5)+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F32)+(H32)*(MAX($D$16,(D48)-(J32))))*(MAX($D$16,(D48)-(J32))),0.000001))^2)/(2*$I$5)</f>
        <v>74797.980534836257</v>
      </c>
      <c r="Q48">
        <f>L48+((ABS(H48)/MAX(((G33)+(I33)*(MAX($D$16,(L48)-(K33))))*(MAX($D$16,(L48)-(K33))),0.000001))^2)/(2*$I$5)+((E33)*((((ABS(H48)*$D$6)/(MAX(((F33)+(H33)*(MAX($D$16,(D48)-(J33))))*(MAX($D$16,(D48)-(J33))),0.000001)*MAX(((((F33)+(H33)*(MAX($D$16,(D48)-(J33))))*(MAX($D$16,(D48)-(J33))))/MAX((F33)+2*(MAX($D$16,(D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D48)-(J33))))*(MAX($D$16,(D48)-(J33))),0.000001)),$D$9*((((ABS(H48)/MAX(((G33)+(I33)*(MAX($D$16,(L48)-(K33))))*(MAX($D$16,(L48)-(K33))),0.000001))^2)/(2*$I$5))-(((ABS(H48)/MAX(((F33)+(H33)*(MAX($D$16,(D48)-(J33))))*(MAX($D$16,(D48)-(J33))),0.000001))^2)/(2*$I$5))),$D$8*((((ABS(H48)/MAX(((F33)+(H33)*(MAX($D$16,(D48)-(J33))))*(MAX($D$16,(D48)-(J33))),0.000001))^2)/(2*$I$5))-(((ABS(H48)/MAX(((G33)+(I33)*(MAX($D$16,(L48)-(K33))))*(MAX($D$16,(L48)-(K33))),0.000001))^2)/(2*$I$5)))))+($D$10*(ABS((X33)-(W33))/90)*MAX(((ABS(H48)/MAX(((F33)+(H33)*(MAX($D$16,(D48)-(J33))))*(MAX($D$16,(D48)-(J33))),0.000001))^2)/(2*$I$5),((ABS(H48)/MAX(((G33)+(I33)*(MAX($D$16,(L48)-(K33))))*(MAX($D$16,(L48)-(K33))),0.000001))^2)/(2*$I$5)))+(($D$11*0.00000015*(ABS(G48)/MAX(ABS(F48),0.000001))^2*MAX(((ABS(H48)/MAX(((F33)+(H33)*(MAX($D$16,(D48)-(J33))))*(MAX($D$16,(D48)-(J33))),0.000001))^2)/(2*$I$5),((ABS(H48)/MAX(((G33)+(I33)*(MAX($D$16,(L48)-(K33))))*(MAX($D$16,(L48)-(K33))),0.000001))^2)/(2*$I$5))))-((ABS(H48)/MAX(((F33)+(H33)*(MAX($D$16,(D48)-(J33))))*(MAX($D$16,(D48)-(J33))),0.000001))^2)/(2*$I$5)</f>
        <v>637</v>
      </c>
      <c r="R48">
        <f>D48+((ABS(G48)/MAX(((F32)+(H32)*(MAX($D$16,(D48)-(J32))))*(MAX($D$16,(D48)-(J32))),0.000001))^2)/(2*$I$5)-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G32)+(I32)*(MAX($D$16,(E48)-(K32))))*(MAX($D$16,(E48)-(K32))),0.000001))^2)/(2*$I$5)</f>
        <v>-52101.183301090037</v>
      </c>
      <c r="S48">
        <f>M48+((ABS(I48)/MAX(((G34)+(I34)*(MAX($D$16,(M48)-(K34))))*(MAX($D$16,(M48)-(K34))),0.000001))^2)/(2*$I$5)+((E34)*((((ABS(I48)*$D$6)/(MAX(((F34)+(H34)*(MAX($D$16,(E48)-(J34))))*(MAX($D$16,(E48)-(J34))),0.000001)*MAX(((((F34)+(H34)*(MAX($D$16,(E48)-(J34))))*(MAX($D$16,(E48)-(J34))))/MAX((F34)+2*(MAX($D$16,(E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E48)-(J34))))*(MAX($D$16,(E48)-(J34))),0.000001)),$D$9*((((ABS(I48)/MAX(((G34)+(I34)*(MAX($D$16,(M48)-(K34))))*(MAX($D$16,(M48)-(K34))),0.000001))^2)/(2*$I$5))-(((ABS(I48)/MAX(((F34)+(H34)*(MAX($D$16,(E48)-(J34))))*(MAX($D$16,(E48)-(J34))),0.000001))^2)/(2*$I$5))),$D$8*((((ABS(I48)/MAX(((F34)+(H34)*(MAX($D$16,(E48)-(J34))))*(MAX($D$16,(E48)-(J34))),0.000001))^2)/(2*$I$5))-(((ABS(I48)/MAX(((G34)+(I34)*(MAX($D$16,(M48)-(K34))))*(MAX($D$16,(M48)-(K34))),0.000001))^2)/(2*$I$5)))))+($D$10*(ABS((X34)-(W34))/90)*MAX(((ABS(I48)/MAX(((F34)+(H34)*(MAX($D$16,(E48)-(J34))))*(MAX($D$16,(E48)-(J34))),0.000001))^2)/(2*$I$5),((ABS(I48)/MAX(((G34)+(I34)*(MAX($D$16,(M48)-(K34))))*(MAX($D$16,(M48)-(K34))),0.000001))^2)/(2*$I$5)))+(0)-((ABS(I48)/MAX(((F34)+(H34)*(MAX($D$16,(E48)-(J34))))*(MAX($D$16,(E48)-(J34))),0.000001))^2)/(2*$I$5)</f>
        <v>635.5</v>
      </c>
      <c r="T48">
        <f>N48+((ABS(J48)/MAX(((G35)+(I35)*(MAX($D$16,(N48)-(K35))))*(MAX($D$16,(N48)-(K35))),0.000001))^2)/(2*$I$5)+((E35)*((((ABS(J48)*$D$6)/(MAX(((F35)+(H35)*(MAX($D$16,(E48)-(J35))))*(MAX($D$16,(E48)-(J35))),0.000001)*MAX(((((F35)+(H35)*(MAX($D$16,(E48)-(J35))))*(MAX($D$16,(E48)-(J35))))/MAX((F35)+2*(MAX($D$16,(E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E48)-(J35))))*(MAX($D$16,(E48)-(J35))),0.000001)),$D$9*((((ABS(J48)/MAX(((G35)+(I35)*(MAX($D$16,(N48)-(K35))))*(MAX($D$16,(N48)-(K35))),0.000001))^2)/(2*$I$5))-(((ABS(J48)/MAX(((F35)+(H35)*(MAX($D$16,(E48)-(J35))))*(MAX($D$16,(E48)-(J35))),0.000001))^2)/(2*$I$5))),$D$8*((((ABS(J48)/MAX(((F35)+(H35)*(MAX($D$16,(E48)-(J35))))*(MAX($D$16,(E48)-(J35))),0.000001))^2)/(2*$I$5))-(((ABS(J48)/MAX(((G35)+(I35)*(MAX($D$16,(N48)-(K35))))*(MAX($D$16,(N48)-(K35))),0.000001))^2)/(2*$I$5)))))+($D$10*(ABS((X35)-(W35))/90)*MAX(((ABS(J48)/MAX(((F35)+(H35)*(MAX($D$16,(E48)-(J35))))*(MAX($D$16,(E48)-(J35))),0.000001))^2)/(2*$I$5),((ABS(J48)/MAX(((G35)+(I35)*(MAX($D$16,(N48)-(K35))))*(MAX($D$16,(N48)-(K35))),0.000001))^2)/(2*$I$5)))+(($D$11*0.34699541*(ABS(I48)/MAX(ABS(G48),0.000001))^2*MAX(((ABS(J48)/MAX(((F35)+(H35)*(MAX($D$16,(E48)-(J35))))*(MAX($D$16,(E48)-(J35))),0.000001))^2)/(2*$I$5),((ABS(J48)/MAX(((G35)+(I35)*(MAX($D$16,(N48)-(K35))))*(MAX($D$16,(N48)-(K35))),0.000001))^2)/(2*$I$5))))-((ABS(J48)/MAX(((F35)+(H35)*(MAX($D$16,(E48)-(J35))))*(MAX($D$16,(E48)-(J35))),0.000001))^2)/(2*$I$5)</f>
        <v>22382.80587457701</v>
      </c>
      <c r="U48">
        <f>(((((F32)*(MAX($D$16,(D48)-(J32)))^2)/2+(H32)*(MAX($D$16,(D48)-(J32)))^3/3+(ABS(G48)^2)/($I$5*MAX(((F32)+(H32)*(MAX($D$16,(D48)-(J32))))*(MAX($D$16,(D48)-(J32))),0.000001)))*0.72785025)-((((F33)*(MAX($D$16,(D48)-(J33)))^2)/2+(H33)*(MAX($D$16,(D48)-(J33)))^3/3+(ABS(H48)^2)/($I$5*MAX(((F33)+(H33)*(MAX($D$16,(D48)-(J33))))*(MAX($D$16,(D48)-(J33))),0.000001)))*0.99999971))/MAX(((G31)*(MAX($D$16,(D48)-(K31)))^2)/2+(I31)*(MAX($D$16,(D48)-(K31)))^3/3+(ABS(F48)^2)/($I$5*MAX(((G31)+(I31)*(MAX($D$16,(D48)-(K31))))*(MAX($D$16,(D48)-(K31))),0.000001)),0.000001)</f>
        <v>-0.27214945999965973</v>
      </c>
      <c r="V48">
        <f>(((((F34)*(MAX($D$16,(E48)-(J34)))^2)/2+(H34)*(MAX($D$16,(E48)-(J34)))^3/3+(ABS(I48)^2)/($I$5*MAX(((F34)+(H34)*(MAX($D$16,(E48)-(J34))))*(MAX($D$16,(E48)-(J34))),0.000001)))*1)-((((F35)*(MAX($D$16,(E48)-(J35)))^2)/2+(H35)*(MAX($D$16,(E48)-(J35)))^3/3+(ABS(J48)^2)/($I$5*MAX(((F35)+(H35)*(MAX($D$16,(E48)-(J35))))*(MAX($D$16,(E48)-(J35))),0.000001)))*0.30600918))/MAX(((G32)*(MAX($D$16,(E48)-(K32)))^2)/2+(I32)*(MAX($D$16,(E48)-(K32)))^3/3+(ABS(G48)^2)/($I$5*MAX(((G32)+(I32)*(MAX($D$16,(E48)-(K32))))*(MAX($D$16,(E48)-(K32))),0.000001)),0.000001)</f>
        <v>-0.30598462674144999</v>
      </c>
      <c r="W48">
        <f>IF(N6="None",MAX(ABS(O48-D48),ABS(P48-D48)),MAX(ABS(O48-D48),ABS(P48-D48),ABS(Q48-D48)))</f>
        <v>41068.081326429667</v>
      </c>
      <c r="X48">
        <f>IF(AND(N7="None",N8="None"),ABS(R48-E48),IF(N8="None",MAX(ABS(R48-E48),ABS(S48-E48)),IF(N7="None",MAX(ABS(R48-E48),ABS(T48-E48)),MAX(ABS(R48-E48),ABS(S48-E48),ABS(T48-E48)))))</f>
        <v>40845.314260530882</v>
      </c>
      <c r="AA48">
        <f>D48+$D$13*(IF(N6="None",AVERAGE(O48:P48),AVERAGE(O48:Q48))-D48)</f>
        <v>35125.671272987158</v>
      </c>
      <c r="AB48">
        <f>E48+$D$13*(IF(AND(N7="None",N8="None"),R48,IF(N8="None",AVERAGE(R48:S48),IF(N7="None",AVERAGE(R48,T48),AVERAGE(R48:T48))))-E48)</f>
        <v>-10709.31724278997</v>
      </c>
    </row>
    <row r="49" spans="1:28" x14ac:dyDescent="0.35">
      <c r="A49">
        <v>6</v>
      </c>
      <c r="B49">
        <f t="shared" si="3"/>
        <v>0</v>
      </c>
      <c r="C49">
        <f t="shared" si="4"/>
        <v>0</v>
      </c>
      <c r="D49">
        <f t="shared" si="5"/>
        <v>35125.671272987158</v>
      </c>
      <c r="E49">
        <f t="shared" si="6"/>
        <v>-10709.31724278997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>IF(AND(N7="None",N8="None"),0,IF(N8="None",G49,IF(N7="None",0,MAX(0,G49*C49))))</f>
        <v>0</v>
      </c>
      <c r="J49">
        <f>IF(AND(N7="None",N8="None"),0,IF(N8="None",0,IF(N7="None",G49,MAX(0,G49-I49))))</f>
        <v>51</v>
      </c>
      <c r="K49">
        <f>P5</f>
        <v>637</v>
      </c>
      <c r="L49">
        <f>P6</f>
        <v>637</v>
      </c>
      <c r="M49">
        <f>P7</f>
        <v>635.5</v>
      </c>
      <c r="N49">
        <f>P8</f>
        <v>631.54999999999995</v>
      </c>
      <c r="O49">
        <f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D49)-(K31))))*(MAX($D$16,(D49)-(K31))),0.000001)*MAX(((((G31)+(I31)*(MAX($D$16,(D49)-(K31))))*(MAX($D$16,(D49)-(K31))))/MAX((G31)+2*(MAX($D$16,(D49)-(K31)))*SQRT(1+(I31)^2),0.000001))^(2/3),0.000001)))^2))/2)+(IF((ABS(F49)/MAX(((G31)+(I31)*(MAX($D$16,(D49)-(K31))))*(MAX($D$16,(D49)-(K31))),0.000001))&gt;(ABS(F49)/MAX(((F31)+(H31)*(MAX($D$16,(K49)-(J31))))*(MAX($D$16,(K49)-(J31))),0.000001)),$D$9*((((ABS(F49)/MAX(((G31)+(I31)*(MAX($D$16,(D49)-(K31))))*(MAX($D$16,(D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D49)-(K31))))*(MAX($D$16,(D49)-(K31))),0.000001))^2)/(2*$I$5)))))+($D$10*(ABS((X31)-(W31))/90)*MAX(((ABS(F49)/MAX(((F31)+(H31)*(MAX($D$16,(K49)-(J31))))*(MAX($D$16,(K49)-(J31))),0.000001))^2)/(2*$I$5),((ABS(F49)/MAX(((G31)+(I31)*(MAX($D$16,(D49)-(K31))))*(MAX($D$16,(D49)-(K31))),0.000001))^2)/(2*$I$5)))+(0)-((ABS(F49)/MAX(((G31)+(I31)*(MAX($D$16,(D49)-(K31))))*(MAX($D$16,(D49)-(K31))),0.000001))^2)/(2*$I$5)</f>
        <v>637.65825100901645</v>
      </c>
      <c r="P49">
        <f>E49+((ABS(G49)/MAX(((G32)+(I32)*(MAX($D$16,(E49)-(K32))))*(MAX($D$16,(E49)-(K32))),0.000001))^2)/(2*$I$5)+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F32)+(H32)*(MAX($D$16,(D49)-(J32))))*(MAX($D$16,(D49)-(J32))),0.000001))^2)/(2*$I$5)</f>
        <v>75344.532332605551</v>
      </c>
      <c r="Q49">
        <f>L49+((ABS(H49)/MAX(((G33)+(I33)*(MAX($D$16,(L49)-(K33))))*(MAX($D$16,(L49)-(K33))),0.000001))^2)/(2*$I$5)+((E33)*((((ABS(H49)*$D$6)/(MAX(((F33)+(H33)*(MAX($D$16,(D49)-(J33))))*(MAX($D$16,(D49)-(J33))),0.000001)*MAX(((((F33)+(H33)*(MAX($D$16,(D49)-(J33))))*(MAX($D$16,(D49)-(J33))))/MAX((F33)+2*(MAX($D$16,(D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D49)-(J33))))*(MAX($D$16,(D49)-(J33))),0.000001)),$D$9*((((ABS(H49)/MAX(((G33)+(I33)*(MAX($D$16,(L49)-(K33))))*(MAX($D$16,(L49)-(K33))),0.000001))^2)/(2*$I$5))-(((ABS(H49)/MAX(((F33)+(H33)*(MAX($D$16,(D49)-(J33))))*(MAX($D$16,(D49)-(J33))),0.000001))^2)/(2*$I$5))),$D$8*((((ABS(H49)/MAX(((F33)+(H33)*(MAX($D$16,(D49)-(J33))))*(MAX($D$16,(D49)-(J33))),0.000001))^2)/(2*$I$5))-(((ABS(H49)/MAX(((G33)+(I33)*(MAX($D$16,(L49)-(K33))))*(MAX($D$16,(L49)-(K33))),0.000001))^2)/(2*$I$5)))))+($D$10*(ABS((X33)-(W33))/90)*MAX(((ABS(H49)/MAX(((F33)+(H33)*(MAX($D$16,(D49)-(J33))))*(MAX($D$16,(D49)-(J33))),0.000001))^2)/(2*$I$5),((ABS(H49)/MAX(((G33)+(I33)*(MAX($D$16,(L49)-(K33))))*(MAX($D$16,(L49)-(K33))),0.000001))^2)/(2*$I$5)))+(($D$11*0.00000015*(ABS(G49)/MAX(ABS(F49),0.000001))^2*MAX(((ABS(H49)/MAX(((F33)+(H33)*(MAX($D$16,(D49)-(J33))))*(MAX($D$16,(D49)-(J33))),0.000001))^2)/(2*$I$5),((ABS(H49)/MAX(((G33)+(I33)*(MAX($D$16,(L49)-(K33))))*(MAX($D$16,(L49)-(K33))),0.000001))^2)/(2*$I$5))))-((ABS(H49)/MAX(((F33)+(H33)*(MAX($D$16,(D49)-(J33))))*(MAX($D$16,(D49)-(J33))),0.000001))^2)/(2*$I$5)</f>
        <v>637</v>
      </c>
      <c r="R49">
        <f>D49+((ABS(G49)/MAX(((F32)+(H32)*(MAX($D$16,(D49)-(J32))))*(MAX($D$16,(D49)-(J32))),0.000001))^2)/(2*$I$5)-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G32)+(I32)*(MAX($D$16,(E49)-(K32))))*(MAX($D$16,(E49)-(K32))),0.000001))^2)/(2*$I$5)</f>
        <v>-50705.411236509521</v>
      </c>
      <c r="S49">
        <f>M49+((ABS(I49)/MAX(((G34)+(I34)*(MAX($D$16,(M49)-(K34))))*(MAX($D$16,(M49)-(K34))),0.000001))^2)/(2*$I$5)+((E34)*((((ABS(I49)*$D$6)/(MAX(((F34)+(H34)*(MAX($D$16,(E49)-(J34))))*(MAX($D$16,(E49)-(J34))),0.000001)*MAX(((((F34)+(H34)*(MAX($D$16,(E49)-(J34))))*(MAX($D$16,(E49)-(J34))))/MAX((F34)+2*(MAX($D$16,(E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E49)-(J34))))*(MAX($D$16,(E49)-(J34))),0.000001)),$D$9*((((ABS(I49)/MAX(((G34)+(I34)*(MAX($D$16,(M49)-(K34))))*(MAX($D$16,(M49)-(K34))),0.000001))^2)/(2*$I$5))-(((ABS(I49)/MAX(((F34)+(H34)*(MAX($D$16,(E49)-(J34))))*(MAX($D$16,(E49)-(J34))),0.000001))^2)/(2*$I$5))),$D$8*((((ABS(I49)/MAX(((F34)+(H34)*(MAX($D$16,(E49)-(J34))))*(MAX($D$16,(E49)-(J34))),0.000001))^2)/(2*$I$5))-(((ABS(I49)/MAX(((G34)+(I34)*(MAX($D$16,(M49)-(K34))))*(MAX($D$16,(M49)-(K34))),0.000001))^2)/(2*$I$5)))))+($D$10*(ABS((X34)-(W34))/90)*MAX(((ABS(I49)/MAX(((F34)+(H34)*(MAX($D$16,(E49)-(J34))))*(MAX($D$16,(E49)-(J34))),0.000001))^2)/(2*$I$5),((ABS(I49)/MAX(((G34)+(I34)*(MAX($D$16,(M49)-(K34))))*(MAX($D$16,(M49)-(K34))),0.000001))^2)/(2*$I$5)))+(0)-((ABS(I49)/MAX(((F34)+(H34)*(MAX($D$16,(E49)-(J34))))*(MAX($D$16,(E49)-(J34))),0.000001))^2)/(2*$I$5)</f>
        <v>635.5</v>
      </c>
      <c r="T49">
        <f>N49+((ABS(J49)/MAX(((G35)+(I35)*(MAX($D$16,(N49)-(K35))))*(MAX($D$16,(N49)-(K35))),0.000001))^2)/(2*$I$5)+((E35)*((((ABS(J49)*$D$6)/(MAX(((F35)+(H35)*(MAX($D$16,(E49)-(J35))))*(MAX($D$16,(E49)-(J35))),0.000001)*MAX(((((F35)+(H35)*(MAX($D$16,(E49)-(J35))))*(MAX($D$16,(E49)-(J35))))/MAX((F35)+2*(MAX($D$16,(E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E49)-(J35))))*(MAX($D$16,(E49)-(J35))),0.000001)),$D$9*((((ABS(J49)/MAX(((G35)+(I35)*(MAX($D$16,(N49)-(K35))))*(MAX($D$16,(N49)-(K35))),0.000001))^2)/(2*$I$5))-(((ABS(J49)/MAX(((F35)+(H35)*(MAX($D$16,(E49)-(J35))))*(MAX($D$16,(E49)-(J35))),0.000001))^2)/(2*$I$5))),$D$8*((((ABS(J49)/MAX(((F35)+(H35)*(MAX($D$16,(E49)-(J35))))*(MAX($D$16,(E49)-(J35))),0.000001))^2)/(2*$I$5))-(((ABS(J49)/MAX(((G35)+(I35)*(MAX($D$16,(N49)-(K35))))*(MAX($D$16,(N49)-(K35))),0.000001))^2)/(2*$I$5)))))+($D$10*(ABS((X35)-(W35))/90)*MAX(((ABS(J49)/MAX(((F35)+(H35)*(MAX($D$16,(E49)-(J35))))*(MAX($D$16,(E49)-(J35))),0.000001))^2)/(2*$I$5),((ABS(J49)/MAX(((G35)+(I35)*(MAX($D$16,(N49)-(K35))))*(MAX($D$16,(N49)-(K35))),0.000001))^2)/(2*$I$5)))+(($D$11*0.34699541*(ABS(I49)/MAX(ABS(G49),0.000001))^2*MAX(((ABS(J49)/MAX(((F35)+(H35)*(MAX($D$16,(E49)-(J35))))*(MAX($D$16,(E49)-(J35))),0.000001))^2)/(2*$I$5),((ABS(J49)/MAX(((G35)+(I35)*(MAX($D$16,(N49)-(K35))))*(MAX($D$16,(N49)-(K35))),0.000001))^2)/(2*$I$5))))-((ABS(J49)/MAX(((F35)+(H35)*(MAX($D$16,(E49)-(J35))))*(MAX($D$16,(E49)-(J35))),0.000001))^2)/(2*$I$5)</f>
        <v>22382.80587457701</v>
      </c>
      <c r="U49">
        <f>(((((F32)*(MAX($D$16,(D49)-(J32)))^2)/2+(H32)*(MAX($D$16,(D49)-(J32)))^3/3+(ABS(G49)^2)/($I$5*MAX(((F32)+(H32)*(MAX($D$16,(D49)-(J32))))*(MAX($D$16,(D49)-(J32))),0.000001)))*0.72785025)-((((F33)*(MAX($D$16,(D49)-(J33)))^2)/2+(H33)*(MAX($D$16,(D49)-(J33)))^3/3+(ABS(H49)^2)/($I$5*MAX(((F33)+(H33)*(MAX($D$16,(D49)-(J33))))*(MAX($D$16,(D49)-(J33))),0.000001)))*0.99999971))/MAX(((G31)*(MAX($D$16,(D49)-(K31)))^2)/2+(I31)*(MAX($D$16,(D49)-(K31)))^3/3+(ABS(F49)^2)/($I$5*MAX(((G31)+(I31)*(MAX($D$16,(D49)-(K31))))*(MAX($D$16,(D49)-(K31))),0.000001)),0.000001)</f>
        <v>-0.27214945999969942</v>
      </c>
      <c r="V49">
        <f>(((((F34)*(MAX($D$16,(E49)-(J34)))^2)/2+(H34)*(MAX($D$16,(E49)-(J34)))^3/3+(ABS(I49)^2)/($I$5*MAX(((F34)+(H34)*(MAX($D$16,(E49)-(J34))))*(MAX($D$16,(E49)-(J34))),0.000001)))*1)-((((F35)*(MAX($D$16,(E49)-(J35)))^2)/2+(H35)*(MAX($D$16,(E49)-(J35)))^3/3+(ABS(J49)^2)/($I$5*MAX(((F35)+(H35)*(MAX($D$16,(E49)-(J35))))*(MAX($D$16,(E49)-(J35))),0.000001)))*0.30600918))/MAX(((G32)*(MAX($D$16,(E49)-(K32)))^2)/2+(I32)*(MAX($D$16,(E49)-(K32)))^3/3+(ABS(G49)^2)/($I$5*MAX(((G32)+(I32)*(MAX($D$16,(E49)-(K32))))*(MAX($D$16,(E49)-(K32))),0.000001)),0.000001)</f>
        <v>-0.30598462674144999</v>
      </c>
      <c r="W49">
        <f>IF(N6="None",MAX(ABS(O49-D49),ABS(P49-D49)),MAX(ABS(O49-D49),ABS(P49-D49),ABS(Q49-D49)))</f>
        <v>40218.861059618393</v>
      </c>
      <c r="X49">
        <f>IF(AND(N7="None",N8="None"),ABS(R49-E49),IF(N8="None",MAX(ABS(R49-E49),ABS(S49-E49)),IF(N7="None",MAX(ABS(R49-E49),ABS(T49-E49)),MAX(ABS(R49-E49),ABS(S49-E49),ABS(T49-E49)))))</f>
        <v>39996.093993719551</v>
      </c>
      <c r="AA49">
        <f>D49+$D$13*(IF(N6="None",AVERAGE(O49:P49),AVERAGE(O49:Q49))-D49)</f>
        <v>36128.569679574204</v>
      </c>
      <c r="AB49">
        <f>E49+$D$13*(IF(AND(N7="None",N8="None"),R49,IF(N8="None",AVERAGE(R49:S49),IF(N7="None",AVERAGE(R49,T49),AVERAGE(R49:T49))))-E49)</f>
        <v>-10191.21850003894</v>
      </c>
    </row>
    <row r="50" spans="1:28" x14ac:dyDescent="0.35">
      <c r="A50">
        <v>7</v>
      </c>
      <c r="B50">
        <f t="shared" si="3"/>
        <v>0</v>
      </c>
      <c r="C50">
        <f t="shared" si="4"/>
        <v>0</v>
      </c>
      <c r="D50">
        <f t="shared" si="5"/>
        <v>36128.569679574204</v>
      </c>
      <c r="E50">
        <f t="shared" si="6"/>
        <v>-10191.21850003894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>IF(AND(N7="None",N8="None"),0,IF(N8="None",G50,IF(N7="None",0,MAX(0,G50*C50))))</f>
        <v>0</v>
      </c>
      <c r="J50">
        <f>IF(AND(N7="None",N8="None"),0,IF(N8="None",0,IF(N7="None",G50,MAX(0,G50-I50))))</f>
        <v>51</v>
      </c>
      <c r="K50">
        <f>P5</f>
        <v>637</v>
      </c>
      <c r="L50">
        <f>P6</f>
        <v>637</v>
      </c>
      <c r="M50">
        <f>P7</f>
        <v>635.5</v>
      </c>
      <c r="N50">
        <f>P8</f>
        <v>631.54999999999995</v>
      </c>
      <c r="O50">
        <f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D50)-(K31))))*(MAX($D$16,(D50)-(K31))),0.000001)*MAX(((((G31)+(I31)*(MAX($D$16,(D50)-(K31))))*(MAX($D$16,(D50)-(K31))))/MAX((G31)+2*(MAX($D$16,(D50)-(K31)))*SQRT(1+(I31)^2),0.000001))^(2/3),0.000001)))^2))/2)+(IF((ABS(F50)/MAX(((G31)+(I31)*(MAX($D$16,(D50)-(K31))))*(MAX($D$16,(D50)-(K31))),0.000001))&gt;(ABS(F50)/MAX(((F31)+(H31)*(MAX($D$16,(K50)-(J31))))*(MAX($D$16,(K50)-(J31))),0.000001)),$D$9*((((ABS(F50)/MAX(((G31)+(I31)*(MAX($D$16,(D50)-(K31))))*(MAX($D$16,(D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D50)-(K31))))*(MAX($D$16,(D50)-(K31))),0.000001))^2)/(2*$I$5)))))+($D$10*(ABS((X31)-(W31))/90)*MAX(((ABS(F50)/MAX(((F31)+(H31)*(MAX($D$16,(K50)-(J31))))*(MAX($D$16,(K50)-(J31))),0.000001))^2)/(2*$I$5),((ABS(F50)/MAX(((G31)+(I31)*(MAX($D$16,(D50)-(K31))))*(MAX($D$16,(D50)-(K31))),0.000001))^2)/(2*$I$5)))+(0)-((ABS(F50)/MAX(((G31)+(I31)*(MAX($D$16,(D50)-(K31))))*(MAX($D$16,(D50)-(K31))),0.000001))^2)/(2*$I$5)</f>
        <v>637.65825100920483</v>
      </c>
      <c r="P50">
        <f>E50+((ABS(G50)/MAX(((G32)+(I32)*(MAX($D$16,(E50)-(K32))))*(MAX($D$16,(E50)-(K32))),0.000001))^2)/(2*$I$5)+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F32)+(H32)*(MAX($D$16,(D50)-(J32))))*(MAX($D$16,(D50)-(J32))),0.000001))^2)/(2*$I$5)</f>
        <v>75862.63107535665</v>
      </c>
      <c r="Q50">
        <f>L50+((ABS(H50)/MAX(((G33)+(I33)*(MAX($D$16,(L50)-(K33))))*(MAX($D$16,(L50)-(K33))),0.000001))^2)/(2*$I$5)+((E33)*((((ABS(H50)*$D$6)/(MAX(((F33)+(H33)*(MAX($D$16,(D50)-(J33))))*(MAX($D$16,(D50)-(J33))),0.000001)*MAX(((((F33)+(H33)*(MAX($D$16,(D50)-(J33))))*(MAX($D$16,(D50)-(J33))))/MAX((F33)+2*(MAX($D$16,(D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D50)-(J33))))*(MAX($D$16,(D50)-(J33))),0.000001)),$D$9*((((ABS(H50)/MAX(((G33)+(I33)*(MAX($D$16,(L50)-(K33))))*(MAX($D$16,(L50)-(K33))),0.000001))^2)/(2*$I$5))-(((ABS(H50)/MAX(((F33)+(H33)*(MAX($D$16,(D50)-(J33))))*(MAX($D$16,(D50)-(J33))),0.000001))^2)/(2*$I$5))),$D$8*((((ABS(H50)/MAX(((F33)+(H33)*(MAX($D$16,(D50)-(J33))))*(MAX($D$16,(D50)-(J33))),0.000001))^2)/(2*$I$5))-(((ABS(H50)/MAX(((G33)+(I33)*(MAX($D$16,(L50)-(K33))))*(MAX($D$16,(L50)-(K33))),0.000001))^2)/(2*$I$5)))))+($D$10*(ABS((X33)-(W33))/90)*MAX(((ABS(H50)/MAX(((F33)+(H33)*(MAX($D$16,(D50)-(J33))))*(MAX($D$16,(D50)-(J33))),0.000001))^2)/(2*$I$5),((ABS(H50)/MAX(((G33)+(I33)*(MAX($D$16,(L50)-(K33))))*(MAX($D$16,(L50)-(K33))),0.000001))^2)/(2*$I$5)))+(($D$11*0.00000015*(ABS(G50)/MAX(ABS(F50),0.000001))^2*MAX(((ABS(H50)/MAX(((F33)+(H33)*(MAX($D$16,(D50)-(J33))))*(MAX($D$16,(D50)-(J33))),0.000001))^2)/(2*$I$5),((ABS(H50)/MAX(((G33)+(I33)*(MAX($D$16,(L50)-(K33))))*(MAX($D$16,(L50)-(K33))),0.000001))^2)/(2*$I$5))))-((ABS(H50)/MAX(((F33)+(H33)*(MAX($D$16,(D50)-(J33))))*(MAX($D$16,(D50)-(J33))),0.000001))^2)/(2*$I$5)</f>
        <v>637</v>
      </c>
      <c r="R50">
        <f>D50+((ABS(G50)/MAX(((F32)+(H32)*(MAX($D$16,(D50)-(J32))))*(MAX($D$16,(D50)-(J32))),0.000001))^2)/(2*$I$5)-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G32)+(I32)*(MAX($D$16,(E50)-(K32))))*(MAX($D$16,(E50)-(K32))),0.000001))^2)/(2*$I$5)</f>
        <v>-49702.512829922518</v>
      </c>
      <c r="S50">
        <f>M50+((ABS(I50)/MAX(((G34)+(I34)*(MAX($D$16,(M50)-(K34))))*(MAX($D$16,(M50)-(K34))),0.000001))^2)/(2*$I$5)+((E34)*((((ABS(I50)*$D$6)/(MAX(((F34)+(H34)*(MAX($D$16,(E50)-(J34))))*(MAX($D$16,(E50)-(J34))),0.000001)*MAX(((((F34)+(H34)*(MAX($D$16,(E50)-(J34))))*(MAX($D$16,(E50)-(J34))))/MAX((F34)+2*(MAX($D$16,(E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E50)-(J34))))*(MAX($D$16,(E50)-(J34))),0.000001)),$D$9*((((ABS(I50)/MAX(((G34)+(I34)*(MAX($D$16,(M50)-(K34))))*(MAX($D$16,(M50)-(K34))),0.000001))^2)/(2*$I$5))-(((ABS(I50)/MAX(((F34)+(H34)*(MAX($D$16,(E50)-(J34))))*(MAX($D$16,(E50)-(J34))),0.000001))^2)/(2*$I$5))),$D$8*((((ABS(I50)/MAX(((F34)+(H34)*(MAX($D$16,(E50)-(J34))))*(MAX($D$16,(E50)-(J34))),0.000001))^2)/(2*$I$5))-(((ABS(I50)/MAX(((G34)+(I34)*(MAX($D$16,(M50)-(K34))))*(MAX($D$16,(M50)-(K34))),0.000001))^2)/(2*$I$5)))))+($D$10*(ABS((X34)-(W34))/90)*MAX(((ABS(I50)/MAX(((F34)+(H34)*(MAX($D$16,(E50)-(J34))))*(MAX($D$16,(E50)-(J34))),0.000001))^2)/(2*$I$5),((ABS(I50)/MAX(((G34)+(I34)*(MAX($D$16,(M50)-(K34))))*(MAX($D$16,(M50)-(K34))),0.000001))^2)/(2*$I$5)))+(0)-((ABS(I50)/MAX(((F34)+(H34)*(MAX($D$16,(E50)-(J34))))*(MAX($D$16,(E50)-(J34))),0.000001))^2)/(2*$I$5)</f>
        <v>635.5</v>
      </c>
      <c r="T50">
        <f>N50+((ABS(J50)/MAX(((G35)+(I35)*(MAX($D$16,(N50)-(K35))))*(MAX($D$16,(N50)-(K35))),0.000001))^2)/(2*$I$5)+((E35)*((((ABS(J50)*$D$6)/(MAX(((F35)+(H35)*(MAX($D$16,(E50)-(J35))))*(MAX($D$16,(E50)-(J35))),0.000001)*MAX(((((F35)+(H35)*(MAX($D$16,(E50)-(J35))))*(MAX($D$16,(E50)-(J35))))/MAX((F35)+2*(MAX($D$16,(E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E50)-(J35))))*(MAX($D$16,(E50)-(J35))),0.000001)),$D$9*((((ABS(J50)/MAX(((G35)+(I35)*(MAX($D$16,(N50)-(K35))))*(MAX($D$16,(N50)-(K35))),0.000001))^2)/(2*$I$5))-(((ABS(J50)/MAX(((F35)+(H35)*(MAX($D$16,(E50)-(J35))))*(MAX($D$16,(E50)-(J35))),0.000001))^2)/(2*$I$5))),$D$8*((((ABS(J50)/MAX(((F35)+(H35)*(MAX($D$16,(E50)-(J35))))*(MAX($D$16,(E50)-(J35))),0.000001))^2)/(2*$I$5))-(((ABS(J50)/MAX(((G35)+(I35)*(MAX($D$16,(N50)-(K35))))*(MAX($D$16,(N50)-(K35))),0.000001))^2)/(2*$I$5)))))+($D$10*(ABS((X35)-(W35))/90)*MAX(((ABS(J50)/MAX(((F35)+(H35)*(MAX($D$16,(E50)-(J35))))*(MAX($D$16,(E50)-(J35))),0.000001))^2)/(2*$I$5),((ABS(J50)/MAX(((G35)+(I35)*(MAX($D$16,(N50)-(K35))))*(MAX($D$16,(N50)-(K35))),0.000001))^2)/(2*$I$5)))+(($D$11*0.34699541*(ABS(I50)/MAX(ABS(G50),0.000001))^2*MAX(((ABS(J50)/MAX(((F35)+(H35)*(MAX($D$16,(E50)-(J35))))*(MAX($D$16,(E50)-(J35))),0.000001))^2)/(2*$I$5),((ABS(J50)/MAX(((G35)+(I35)*(MAX($D$16,(N50)-(K35))))*(MAX($D$16,(N50)-(K35))),0.000001))^2)/(2*$I$5))))-((ABS(J50)/MAX(((F35)+(H35)*(MAX($D$16,(E50)-(J35))))*(MAX($D$16,(E50)-(J35))),0.000001))^2)/(2*$I$5)</f>
        <v>22382.80587457701</v>
      </c>
      <c r="U50">
        <f>(((((F32)*(MAX($D$16,(D50)-(J32)))^2)/2+(H32)*(MAX($D$16,(D50)-(J32)))^3/3+(ABS(G50)^2)/($I$5*MAX(((F32)+(H32)*(MAX($D$16,(D50)-(J32))))*(MAX($D$16,(D50)-(J32))),0.000001)))*0.72785025)-((((F33)*(MAX($D$16,(D50)-(J33)))^2)/2+(H33)*(MAX($D$16,(D50)-(J33)))^3/3+(ABS(H50)^2)/($I$5*MAX(((F33)+(H33)*(MAX($D$16,(D50)-(J33))))*(MAX($D$16,(D50)-(J33))),0.000001)))*0.99999971))/MAX(((G31)*(MAX($D$16,(D50)-(K31)))^2)/2+(I31)*(MAX($D$16,(D50)-(K31)))^3/3+(ABS(F50)^2)/($I$5*MAX(((G31)+(I31)*(MAX($D$16,(D50)-(K31))))*(MAX($D$16,(D50)-(K31))),0.000001)),0.000001)</f>
        <v>-0.27214945999972417</v>
      </c>
      <c r="V50">
        <f>(((((F34)*(MAX($D$16,(E50)-(J34)))^2)/2+(H34)*(MAX($D$16,(E50)-(J34)))^3/3+(ABS(I50)^2)/($I$5*MAX(((F34)+(H34)*(MAX($D$16,(E50)-(J34))))*(MAX($D$16,(E50)-(J34))),0.000001)))*1)-((((F35)*(MAX($D$16,(E50)-(J35)))^2)/2+(H35)*(MAX($D$16,(E50)-(J35)))^3/3+(ABS(J50)^2)/($I$5*MAX(((F35)+(H35)*(MAX($D$16,(E50)-(J35))))*(MAX($D$16,(E50)-(J35))),0.000001)))*0.30600918))/MAX(((G32)*(MAX($D$16,(E50)-(K32)))^2)/2+(I32)*(MAX($D$16,(E50)-(K32)))^3/3+(ABS(G50)^2)/($I$5*MAX(((G32)+(I32)*(MAX($D$16,(E50)-(K32))))*(MAX($D$16,(E50)-(K32))),0.000001)),0.000001)</f>
        <v>-0.30598462674144999</v>
      </c>
      <c r="W50">
        <f>IF(N6="None",MAX(ABS(O50-D50),ABS(P50-D50)),MAX(ABS(O50-D50),ABS(P50-D50),ABS(Q50-D50)))</f>
        <v>39734.061395782446</v>
      </c>
      <c r="X50">
        <f>IF(AND(N7="None",N8="None"),ABS(R50-E50),IF(N8="None",MAX(ABS(R50-E50),ABS(S50-E50)),IF(N7="None",MAX(ABS(R50-E50),ABS(T50-E50)),MAX(ABS(R50-E50),ABS(S50-E50),ABS(T50-E50)))))</f>
        <v>39511.294329883574</v>
      </c>
      <c r="AA50">
        <f>D50+$D$13*(IF(N6="None",AVERAGE(O50:P50),AVERAGE(O50:Q50))-D50)</f>
        <v>36871.120923837261</v>
      </c>
      <c r="AB50">
        <f>E50+$D$13*(IF(AND(N7="None",N8="None"),R50,IF(N8="None",AVERAGE(R50:S50),IF(N7="None",AVERAGE(R50,T50),AVERAGE(R50:T50))))-E50)</f>
        <v>-9737.4495031489532</v>
      </c>
    </row>
    <row r="51" spans="1:28" x14ac:dyDescent="0.35">
      <c r="A51">
        <v>8</v>
      </c>
      <c r="B51">
        <f t="shared" si="3"/>
        <v>0</v>
      </c>
      <c r="C51">
        <f t="shared" si="4"/>
        <v>0</v>
      </c>
      <c r="D51">
        <f t="shared" si="5"/>
        <v>36871.120923837261</v>
      </c>
      <c r="E51">
        <f t="shared" si="6"/>
        <v>-9737.4495031489532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>IF(AND(N7="None",N8="None"),0,IF(N8="None",G51,IF(N7="None",0,MAX(0,G51*C51))))</f>
        <v>0</v>
      </c>
      <c r="J51">
        <f>IF(AND(N7="None",N8="None"),0,IF(N8="None",0,IF(N7="None",G51,MAX(0,G51-I51))))</f>
        <v>51</v>
      </c>
      <c r="K51">
        <f>P5</f>
        <v>637</v>
      </c>
      <c r="L51">
        <f>P6</f>
        <v>637</v>
      </c>
      <c r="M51">
        <f>P7</f>
        <v>635.5</v>
      </c>
      <c r="N51">
        <f>P8</f>
        <v>631.54999999999995</v>
      </c>
      <c r="O51">
        <f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D51)-(K31))))*(MAX($D$16,(D51)-(K31))),0.000001)*MAX(((((G31)+(I31)*(MAX($D$16,(D51)-(K31))))*(MAX($D$16,(D51)-(K31))))/MAX((G31)+2*(MAX($D$16,(D51)-(K31)))*SQRT(1+(I31)^2),0.000001))^(2/3),0.000001)))^2))/2)+(IF((ABS(F51)/MAX(((G31)+(I31)*(MAX($D$16,(D51)-(K31))))*(MAX($D$16,(D51)-(K31))),0.000001))&gt;(ABS(F51)/MAX(((F31)+(H31)*(MAX($D$16,(K51)-(J31))))*(MAX($D$16,(K51)-(J31))),0.000001)),$D$9*((((ABS(F51)/MAX(((G31)+(I31)*(MAX($D$16,(D51)-(K31))))*(MAX($D$16,(D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D51)-(K31))))*(MAX($D$16,(D51)-(K31))),0.000001))^2)/(2*$I$5)))))+($D$10*(ABS((X31)-(W31))/90)*MAX(((ABS(F51)/MAX(((F31)+(H31)*(MAX($D$16,(K51)-(J31))))*(MAX($D$16,(K51)-(J31))),0.000001))^2)/(2*$I$5),((ABS(F51)/MAX(((G31)+(I31)*(MAX($D$16,(D51)-(K31))))*(MAX($D$16,(D51)-(K31))),0.000001))^2)/(2*$I$5)))+(0)-((ABS(F51)/MAX(((G31)+(I31)*(MAX($D$16,(D51)-(K31))))*(MAX($D$16,(D51)-(K31))),0.000001))^2)/(2*$I$5)</f>
        <v>637.65825100933432</v>
      </c>
      <c r="P51">
        <f>E51+((ABS(G51)/MAX(((G32)+(I32)*(MAX($D$16,(E51)-(K32))))*(MAX($D$16,(E51)-(K32))),0.000001))^2)/(2*$I$5)+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F32)+(H32)*(MAX($D$16,(D51)-(J32))))*(MAX($D$16,(D51)-(J32))),0.000001))^2)/(2*$I$5)</f>
        <v>76316.400072246674</v>
      </c>
      <c r="Q51">
        <f>L51+((ABS(H51)/MAX(((G33)+(I33)*(MAX($D$16,(L51)-(K33))))*(MAX($D$16,(L51)-(K33))),0.000001))^2)/(2*$I$5)+((E33)*((((ABS(H51)*$D$6)/(MAX(((F33)+(H33)*(MAX($D$16,(D51)-(J33))))*(MAX($D$16,(D51)-(J33))),0.000001)*MAX(((((F33)+(H33)*(MAX($D$16,(D51)-(J33))))*(MAX($D$16,(D51)-(J33))))/MAX((F33)+2*(MAX($D$16,(D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D51)-(J33))))*(MAX($D$16,(D51)-(J33))),0.000001)),$D$9*((((ABS(H51)/MAX(((G33)+(I33)*(MAX($D$16,(L51)-(K33))))*(MAX($D$16,(L51)-(K33))),0.000001))^2)/(2*$I$5))-(((ABS(H51)/MAX(((F33)+(H33)*(MAX($D$16,(D51)-(J33))))*(MAX($D$16,(D51)-(J33))),0.000001))^2)/(2*$I$5))),$D$8*((((ABS(H51)/MAX(((F33)+(H33)*(MAX($D$16,(D51)-(J33))))*(MAX($D$16,(D51)-(J33))),0.000001))^2)/(2*$I$5))-(((ABS(H51)/MAX(((G33)+(I33)*(MAX($D$16,(L51)-(K33))))*(MAX($D$16,(L51)-(K33))),0.000001))^2)/(2*$I$5)))))+($D$10*(ABS((X33)-(W33))/90)*MAX(((ABS(H51)/MAX(((F33)+(H33)*(MAX($D$16,(D51)-(J33))))*(MAX($D$16,(D51)-(J33))),0.000001))^2)/(2*$I$5),((ABS(H51)/MAX(((G33)+(I33)*(MAX($D$16,(L51)-(K33))))*(MAX($D$16,(L51)-(K33))),0.000001))^2)/(2*$I$5)))+(($D$11*0.00000015*(ABS(G51)/MAX(ABS(F51),0.000001))^2*MAX(((ABS(H51)/MAX(((F33)+(H33)*(MAX($D$16,(D51)-(J33))))*(MAX($D$16,(D51)-(J33))),0.000001))^2)/(2*$I$5),((ABS(H51)/MAX(((G33)+(I33)*(MAX($D$16,(L51)-(K33))))*(MAX($D$16,(L51)-(K33))),0.000001))^2)/(2*$I$5))))-((ABS(H51)/MAX(((F33)+(H33)*(MAX($D$16,(D51)-(J33))))*(MAX($D$16,(D51)-(J33))),0.000001))^2)/(2*$I$5)</f>
        <v>637</v>
      </c>
      <c r="R51">
        <f>D51+((ABS(G51)/MAX(((F32)+(H32)*(MAX($D$16,(D51)-(J32))))*(MAX($D$16,(D51)-(J32))),0.000001))^2)/(2*$I$5)-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G32)+(I32)*(MAX($D$16,(E51)-(K32))))*(MAX($D$16,(E51)-(K32))),0.000001))^2)/(2*$I$5)</f>
        <v>-48959.96158565949</v>
      </c>
      <c r="S51">
        <f>M51+((ABS(I51)/MAX(((G34)+(I34)*(MAX($D$16,(M51)-(K34))))*(MAX($D$16,(M51)-(K34))),0.000001))^2)/(2*$I$5)+((E34)*((((ABS(I51)*$D$6)/(MAX(((F34)+(H34)*(MAX($D$16,(E51)-(J34))))*(MAX($D$16,(E51)-(J34))),0.000001)*MAX(((((F34)+(H34)*(MAX($D$16,(E51)-(J34))))*(MAX($D$16,(E51)-(J34))))/MAX((F34)+2*(MAX($D$16,(E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E51)-(J34))))*(MAX($D$16,(E51)-(J34))),0.000001)),$D$9*((((ABS(I51)/MAX(((G34)+(I34)*(MAX($D$16,(M51)-(K34))))*(MAX($D$16,(M51)-(K34))),0.000001))^2)/(2*$I$5))-(((ABS(I51)/MAX(((F34)+(H34)*(MAX($D$16,(E51)-(J34))))*(MAX($D$16,(E51)-(J34))),0.000001))^2)/(2*$I$5))),$D$8*((((ABS(I51)/MAX(((F34)+(H34)*(MAX($D$16,(E51)-(J34))))*(MAX($D$16,(E51)-(J34))),0.000001))^2)/(2*$I$5))-(((ABS(I51)/MAX(((G34)+(I34)*(MAX($D$16,(M51)-(K34))))*(MAX($D$16,(M51)-(K34))),0.000001))^2)/(2*$I$5)))))+($D$10*(ABS((X34)-(W34))/90)*MAX(((ABS(I51)/MAX(((F34)+(H34)*(MAX($D$16,(E51)-(J34))))*(MAX($D$16,(E51)-(J34))),0.000001))^2)/(2*$I$5),((ABS(I51)/MAX(((G34)+(I34)*(MAX($D$16,(M51)-(K34))))*(MAX($D$16,(M51)-(K34))),0.000001))^2)/(2*$I$5)))+(0)-((ABS(I51)/MAX(((F34)+(H34)*(MAX($D$16,(E51)-(J34))))*(MAX($D$16,(E51)-(J34))),0.000001))^2)/(2*$I$5)</f>
        <v>635.5</v>
      </c>
      <c r="T51">
        <f>N51+((ABS(J51)/MAX(((G35)+(I35)*(MAX($D$16,(N51)-(K35))))*(MAX($D$16,(N51)-(K35))),0.000001))^2)/(2*$I$5)+((E35)*((((ABS(J51)*$D$6)/(MAX(((F35)+(H35)*(MAX($D$16,(E51)-(J35))))*(MAX($D$16,(E51)-(J35))),0.000001)*MAX(((((F35)+(H35)*(MAX($D$16,(E51)-(J35))))*(MAX($D$16,(E51)-(J35))))/MAX((F35)+2*(MAX($D$16,(E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E51)-(J35))))*(MAX($D$16,(E51)-(J35))),0.000001)),$D$9*((((ABS(J51)/MAX(((G35)+(I35)*(MAX($D$16,(N51)-(K35))))*(MAX($D$16,(N51)-(K35))),0.000001))^2)/(2*$I$5))-(((ABS(J51)/MAX(((F35)+(H35)*(MAX($D$16,(E51)-(J35))))*(MAX($D$16,(E51)-(J35))),0.000001))^2)/(2*$I$5))),$D$8*((((ABS(J51)/MAX(((F35)+(H35)*(MAX($D$16,(E51)-(J35))))*(MAX($D$16,(E51)-(J35))),0.000001))^2)/(2*$I$5))-(((ABS(J51)/MAX(((G35)+(I35)*(MAX($D$16,(N51)-(K35))))*(MAX($D$16,(N51)-(K35))),0.000001))^2)/(2*$I$5)))))+($D$10*(ABS((X35)-(W35))/90)*MAX(((ABS(J51)/MAX(((F35)+(H35)*(MAX($D$16,(E51)-(J35))))*(MAX($D$16,(E51)-(J35))),0.000001))^2)/(2*$I$5),((ABS(J51)/MAX(((G35)+(I35)*(MAX($D$16,(N51)-(K35))))*(MAX($D$16,(N51)-(K35))),0.000001))^2)/(2*$I$5)))+(($D$11*0.34699541*(ABS(I51)/MAX(ABS(G51),0.000001))^2*MAX(((ABS(J51)/MAX(((F35)+(H35)*(MAX($D$16,(E51)-(J35))))*(MAX($D$16,(E51)-(J35))),0.000001))^2)/(2*$I$5),((ABS(J51)/MAX(((G35)+(I35)*(MAX($D$16,(N51)-(K35))))*(MAX($D$16,(N51)-(K35))),0.000001))^2)/(2*$I$5))))-((ABS(J51)/MAX(((F35)+(H35)*(MAX($D$16,(E51)-(J35))))*(MAX($D$16,(E51)-(J35))),0.000001))^2)/(2*$I$5)</f>
        <v>22382.80587457701</v>
      </c>
      <c r="U51">
        <f>(((((F32)*(MAX($D$16,(D51)-(J32)))^2)/2+(H32)*(MAX($D$16,(D51)-(J32)))^3/3+(ABS(G51)^2)/($I$5*MAX(((F32)+(H32)*(MAX($D$16,(D51)-(J32))))*(MAX($D$16,(D51)-(J32))),0.000001)))*0.72785025)-((((F33)*(MAX($D$16,(D51)-(J33)))^2)/2+(H33)*(MAX($D$16,(D51)-(J33)))^3/3+(ABS(H51)^2)/($I$5*MAX(((F33)+(H33)*(MAX($D$16,(D51)-(J33))))*(MAX($D$16,(D51)-(J33))),0.000001)))*0.99999971))/MAX(((G31)*(MAX($D$16,(D51)-(K31)))^2)/2+(I31)*(MAX($D$16,(D51)-(K31)))^3/3+(ABS(F51)^2)/($I$5*MAX(((G31)+(I31)*(MAX($D$16,(D51)-(K31))))*(MAX($D$16,(D51)-(K31))),0.000001)),0.000001)</f>
        <v>-0.27214945999974083</v>
      </c>
      <c r="V51">
        <f>(((((F34)*(MAX($D$16,(E51)-(J34)))^2)/2+(H34)*(MAX($D$16,(E51)-(J34)))^3/3+(ABS(I51)^2)/($I$5*MAX(((F34)+(H34)*(MAX($D$16,(E51)-(J34))))*(MAX($D$16,(E51)-(J34))),0.000001)))*1)-((((F35)*(MAX($D$16,(E51)-(J35)))^2)/2+(H35)*(MAX($D$16,(E51)-(J35)))^3/3+(ABS(J51)^2)/($I$5*MAX(((F35)+(H35)*(MAX($D$16,(E51)-(J35))))*(MAX($D$16,(E51)-(J35))),0.000001)))*0.30600918))/MAX(((G32)*(MAX($D$16,(E51)-(K32)))^2)/2+(I32)*(MAX($D$16,(E51)-(K32)))^3/3+(ABS(G51)^2)/($I$5*MAX(((G32)+(I32)*(MAX($D$16,(E51)-(K32))))*(MAX($D$16,(E51)-(K32))),0.000001)),0.000001)</f>
        <v>-0.30598462674144999</v>
      </c>
      <c r="W51">
        <f>IF(N6="None",MAX(ABS(O51-D51),ABS(P51-D51)),MAX(ABS(O51-D51),ABS(P51-D51),ABS(Q51-D51)))</f>
        <v>39445.279148409412</v>
      </c>
      <c r="X51">
        <f>IF(AND(N7="None",N8="None"),ABS(R51-E51),IF(N8="None",MAX(ABS(R51-E51),ABS(S51-E51)),IF(N7="None",MAX(ABS(R51-E51),ABS(T51-E51)),MAX(ABS(R51-E51),ABS(S51-E51),ABS(T51-E51)))))</f>
        <v>39222.51208251054</v>
      </c>
      <c r="AA51">
        <f>D51+$D$13*(IF(N6="None",AVERAGE(O51:P51),AVERAGE(O51:Q51))-D51)</f>
        <v>37433.18880706402</v>
      </c>
      <c r="AB51">
        <f>E51+$D$13*(IF(AND(N7="None",N8="None"),R51,IF(N8="None",AVERAGE(R51:S51),IF(N7="None",AVERAGE(R51,T51),AVERAGE(R51:T51))))-E51)</f>
        <v>-9355.868676673108</v>
      </c>
    </row>
    <row r="52" spans="1:28" x14ac:dyDescent="0.35">
      <c r="A52">
        <v>9</v>
      </c>
      <c r="B52">
        <f t="shared" si="3"/>
        <v>0</v>
      </c>
      <c r="C52">
        <f t="shared" si="4"/>
        <v>0</v>
      </c>
      <c r="D52">
        <f t="shared" si="5"/>
        <v>37433.18880706402</v>
      </c>
      <c r="E52">
        <f t="shared" si="6"/>
        <v>-9355.868676673108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>IF(AND(N7="None",N8="None"),0,IF(N8="None",G52,IF(N7="None",0,MAX(0,G52*C52))))</f>
        <v>0</v>
      </c>
      <c r="J52">
        <f>IF(AND(N7="None",N8="None"),0,IF(N8="None",0,IF(N7="None",G52,MAX(0,G52-I52))))</f>
        <v>51</v>
      </c>
      <c r="K52">
        <f>P5</f>
        <v>637</v>
      </c>
      <c r="L52">
        <f>P6</f>
        <v>637</v>
      </c>
      <c r="M52">
        <f>P7</f>
        <v>635.5</v>
      </c>
      <c r="N52">
        <f>P8</f>
        <v>631.54999999999995</v>
      </c>
      <c r="O52">
        <f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D52)-(K31))))*(MAX($D$16,(D52)-(K31))),0.000001)*MAX(((((G31)+(I31)*(MAX($D$16,(D52)-(K31))))*(MAX($D$16,(D52)-(K31))))/MAX((G31)+2*(MAX($D$16,(D52)-(K31)))*SQRT(1+(I31)^2),0.000001))^(2/3),0.000001)))^2))/2)+(IF((ABS(F52)/MAX(((G31)+(I31)*(MAX($D$16,(D52)-(K31))))*(MAX($D$16,(D52)-(K31))),0.000001))&gt;(ABS(F52)/MAX(((F31)+(H31)*(MAX($D$16,(K52)-(J31))))*(MAX($D$16,(K52)-(J31))),0.000001)),$D$9*((((ABS(F52)/MAX(((G31)+(I31)*(MAX($D$16,(D52)-(K31))))*(MAX($D$16,(D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D52)-(K31))))*(MAX($D$16,(D52)-(K31))),0.000001))^2)/(2*$I$5)))))+($D$10*(ABS((X31)-(W31))/90)*MAX(((ABS(F52)/MAX(((F31)+(H31)*(MAX($D$16,(K52)-(J31))))*(MAX($D$16,(K52)-(J31))),0.000001))^2)/(2*$I$5),((ABS(F52)/MAX(((G31)+(I31)*(MAX($D$16,(D52)-(K31))))*(MAX($D$16,(D52)-(K31))),0.000001))^2)/(2*$I$5)))+(0)-((ABS(F52)/MAX(((G31)+(I31)*(MAX($D$16,(D52)-(K31))))*(MAX($D$16,(D52)-(K31))),0.000001))^2)/(2*$I$5)</f>
        <v>637.65825100942709</v>
      </c>
      <c r="P52">
        <f>E52+((ABS(G52)/MAX(((G32)+(I32)*(MAX($D$16,(E52)-(K32))))*(MAX($D$16,(E52)-(K32))),0.000001))^2)/(2*$I$5)+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F32)+(H32)*(MAX($D$16,(D52)-(J32))))*(MAX($D$16,(D52)-(J32))),0.000001))^2)/(2*$I$5)</f>
        <v>76697.98089872257</v>
      </c>
      <c r="Q52">
        <f>L52+((ABS(H52)/MAX(((G33)+(I33)*(MAX($D$16,(L52)-(K33))))*(MAX($D$16,(L52)-(K33))),0.000001))^2)/(2*$I$5)+((E33)*((((ABS(H52)*$D$6)/(MAX(((F33)+(H33)*(MAX($D$16,(D52)-(J33))))*(MAX($D$16,(D52)-(J33))),0.000001)*MAX(((((F33)+(H33)*(MAX($D$16,(D52)-(J33))))*(MAX($D$16,(D52)-(J33))))/MAX((F33)+2*(MAX($D$16,(D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D52)-(J33))))*(MAX($D$16,(D52)-(J33))),0.000001)),$D$9*((((ABS(H52)/MAX(((G33)+(I33)*(MAX($D$16,(L52)-(K33))))*(MAX($D$16,(L52)-(K33))),0.000001))^2)/(2*$I$5))-(((ABS(H52)/MAX(((F33)+(H33)*(MAX($D$16,(D52)-(J33))))*(MAX($D$16,(D52)-(J33))),0.000001))^2)/(2*$I$5))),$D$8*((((ABS(H52)/MAX(((F33)+(H33)*(MAX($D$16,(D52)-(J33))))*(MAX($D$16,(D52)-(J33))),0.000001))^2)/(2*$I$5))-(((ABS(H52)/MAX(((G33)+(I33)*(MAX($D$16,(L52)-(K33))))*(MAX($D$16,(L52)-(K33))),0.000001))^2)/(2*$I$5)))))+($D$10*(ABS((X33)-(W33))/90)*MAX(((ABS(H52)/MAX(((F33)+(H33)*(MAX($D$16,(D52)-(J33))))*(MAX($D$16,(D52)-(J33))),0.000001))^2)/(2*$I$5),((ABS(H52)/MAX(((G33)+(I33)*(MAX($D$16,(L52)-(K33))))*(MAX($D$16,(L52)-(K33))),0.000001))^2)/(2*$I$5)))+(($D$11*0.00000015*(ABS(G52)/MAX(ABS(F52),0.000001))^2*MAX(((ABS(H52)/MAX(((F33)+(H33)*(MAX($D$16,(D52)-(J33))))*(MAX($D$16,(D52)-(J33))),0.000001))^2)/(2*$I$5),((ABS(H52)/MAX(((G33)+(I33)*(MAX($D$16,(L52)-(K33))))*(MAX($D$16,(L52)-(K33))),0.000001))^2)/(2*$I$5))))-((ABS(H52)/MAX(((F33)+(H33)*(MAX($D$16,(D52)-(J33))))*(MAX($D$16,(D52)-(J33))),0.000001))^2)/(2*$I$5)</f>
        <v>637</v>
      </c>
      <c r="R52">
        <f>D52+((ABS(G52)/MAX(((F32)+(H32)*(MAX($D$16,(D52)-(J32))))*(MAX($D$16,(D52)-(J32))),0.000001))^2)/(2*$I$5)-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G32)+(I32)*(MAX($D$16,(E52)-(K32))))*(MAX($D$16,(E52)-(K32))),0.000001))^2)/(2*$I$5)</f>
        <v>-48397.893702432753</v>
      </c>
      <c r="S52">
        <f>M52+((ABS(I52)/MAX(((G34)+(I34)*(MAX($D$16,(M52)-(K34))))*(MAX($D$16,(M52)-(K34))),0.000001))^2)/(2*$I$5)+((E34)*((((ABS(I52)*$D$6)/(MAX(((F34)+(H34)*(MAX($D$16,(E52)-(J34))))*(MAX($D$16,(E52)-(J34))),0.000001)*MAX(((((F34)+(H34)*(MAX($D$16,(E52)-(J34))))*(MAX($D$16,(E52)-(J34))))/MAX((F34)+2*(MAX($D$16,(E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E52)-(J34))))*(MAX($D$16,(E52)-(J34))),0.000001)),$D$9*((((ABS(I52)/MAX(((G34)+(I34)*(MAX($D$16,(M52)-(K34))))*(MAX($D$16,(M52)-(K34))),0.000001))^2)/(2*$I$5))-(((ABS(I52)/MAX(((F34)+(H34)*(MAX($D$16,(E52)-(J34))))*(MAX($D$16,(E52)-(J34))),0.000001))^2)/(2*$I$5))),$D$8*((((ABS(I52)/MAX(((F34)+(H34)*(MAX($D$16,(E52)-(J34))))*(MAX($D$16,(E52)-(J34))),0.000001))^2)/(2*$I$5))-(((ABS(I52)/MAX(((G34)+(I34)*(MAX($D$16,(M52)-(K34))))*(MAX($D$16,(M52)-(K34))),0.000001))^2)/(2*$I$5)))))+($D$10*(ABS((X34)-(W34))/90)*MAX(((ABS(I52)/MAX(((F34)+(H34)*(MAX($D$16,(E52)-(J34))))*(MAX($D$16,(E52)-(J34))),0.000001))^2)/(2*$I$5),((ABS(I52)/MAX(((G34)+(I34)*(MAX($D$16,(M52)-(K34))))*(MAX($D$16,(M52)-(K34))),0.000001))^2)/(2*$I$5)))+(0)-((ABS(I52)/MAX(((F34)+(H34)*(MAX($D$16,(E52)-(J34))))*(MAX($D$16,(E52)-(J34))),0.000001))^2)/(2*$I$5)</f>
        <v>635.5</v>
      </c>
      <c r="T52">
        <f>N52+((ABS(J52)/MAX(((G35)+(I35)*(MAX($D$16,(N52)-(K35))))*(MAX($D$16,(N52)-(K35))),0.000001))^2)/(2*$I$5)+((E35)*((((ABS(J52)*$D$6)/(MAX(((F35)+(H35)*(MAX($D$16,(E52)-(J35))))*(MAX($D$16,(E52)-(J35))),0.000001)*MAX(((((F35)+(H35)*(MAX($D$16,(E52)-(J35))))*(MAX($D$16,(E52)-(J35))))/MAX((F35)+2*(MAX($D$16,(E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E52)-(J35))))*(MAX($D$16,(E52)-(J35))),0.000001)),$D$9*((((ABS(J52)/MAX(((G35)+(I35)*(MAX($D$16,(N52)-(K35))))*(MAX($D$16,(N52)-(K35))),0.000001))^2)/(2*$I$5))-(((ABS(J52)/MAX(((F35)+(H35)*(MAX($D$16,(E52)-(J35))))*(MAX($D$16,(E52)-(J35))),0.000001))^2)/(2*$I$5))),$D$8*((((ABS(J52)/MAX(((F35)+(H35)*(MAX($D$16,(E52)-(J35))))*(MAX($D$16,(E52)-(J35))),0.000001))^2)/(2*$I$5))-(((ABS(J52)/MAX(((G35)+(I35)*(MAX($D$16,(N52)-(K35))))*(MAX($D$16,(N52)-(K35))),0.000001))^2)/(2*$I$5)))))+($D$10*(ABS((X35)-(W35))/90)*MAX(((ABS(J52)/MAX(((F35)+(H35)*(MAX($D$16,(E52)-(J35))))*(MAX($D$16,(E52)-(J35))),0.000001))^2)/(2*$I$5),((ABS(J52)/MAX(((G35)+(I35)*(MAX($D$16,(N52)-(K35))))*(MAX($D$16,(N52)-(K35))),0.000001))^2)/(2*$I$5)))+(($D$11*0.34699541*(ABS(I52)/MAX(ABS(G52),0.000001))^2*MAX(((ABS(J52)/MAX(((F35)+(H35)*(MAX($D$16,(E52)-(J35))))*(MAX($D$16,(E52)-(J35))),0.000001))^2)/(2*$I$5),((ABS(J52)/MAX(((G35)+(I35)*(MAX($D$16,(N52)-(K35))))*(MAX($D$16,(N52)-(K35))),0.000001))^2)/(2*$I$5))))-((ABS(J52)/MAX(((F35)+(H35)*(MAX($D$16,(E52)-(J35))))*(MAX($D$16,(E52)-(J35))),0.000001))^2)/(2*$I$5)</f>
        <v>22382.80587457701</v>
      </c>
      <c r="U52">
        <f>(((((F32)*(MAX($D$16,(D52)-(J32)))^2)/2+(H32)*(MAX($D$16,(D52)-(J32)))^3/3+(ABS(G52)^2)/($I$5*MAX(((F32)+(H32)*(MAX($D$16,(D52)-(J32))))*(MAX($D$16,(D52)-(J32))),0.000001)))*0.72785025)-((((F33)*(MAX($D$16,(D52)-(J33)))^2)/2+(H33)*(MAX($D$16,(D52)-(J33)))^3/3+(ABS(H52)^2)/($I$5*MAX(((F33)+(H33)*(MAX($D$16,(D52)-(J33))))*(MAX($D$16,(D52)-(J33))),0.000001)))*0.99999971))/MAX(((G31)*(MAX($D$16,(D52)-(K31)))^2)/2+(I31)*(MAX($D$16,(D52)-(K31)))^3/3+(ABS(F52)^2)/($I$5*MAX(((G31)+(I31)*(MAX($D$16,(D52)-(K31))))*(MAX($D$16,(D52)-(K31))),0.000001)),0.000001)</f>
        <v>-0.27214945999975249</v>
      </c>
      <c r="V52">
        <f>(((((F34)*(MAX($D$16,(E52)-(J34)))^2)/2+(H34)*(MAX($D$16,(E52)-(J34)))^3/3+(ABS(I52)^2)/($I$5*MAX(((F34)+(H34)*(MAX($D$16,(E52)-(J34))))*(MAX($D$16,(E52)-(J34))),0.000001)))*1)-((((F35)*(MAX($D$16,(E52)-(J35)))^2)/2+(H35)*(MAX($D$16,(E52)-(J35)))^3/3+(ABS(J52)^2)/($I$5*MAX(((F35)+(H35)*(MAX($D$16,(E52)-(J35))))*(MAX($D$16,(E52)-(J35))),0.000001)))*0.30600918))/MAX(((G32)*(MAX($D$16,(E52)-(K32)))^2)/2+(I32)*(MAX($D$16,(E52)-(K32)))^3/3+(ABS(G52)^2)/($I$5*MAX(((G32)+(I32)*(MAX($D$16,(E52)-(K32))))*(MAX($D$16,(E52)-(K32))),0.000001)),0.000001)</f>
        <v>-0.30598462674144999</v>
      </c>
      <c r="W52">
        <f>IF(N6="None",MAX(ABS(O52-D52),ABS(P52-D52)),MAX(ABS(O52-D52),ABS(P52-D52),ABS(Q52-D52)))</f>
        <v>39264.79209165855</v>
      </c>
      <c r="X52">
        <f>IF(AND(N7="None",N8="None"),ABS(R52-E52),IF(N8="None",MAX(ABS(R52-E52),ABS(S52-E52)),IF(N7="None",MAX(ABS(R52-E52),ABS(T52-E52)),MAX(ABS(R52-E52),ABS(S52-E52),ABS(T52-E52)))))</f>
        <v>39042.025025759649</v>
      </c>
      <c r="AA52">
        <f>D52+$D$13*(IF(N6="None",AVERAGE(O52:P52),AVERAGE(O52:Q52))-D52)</f>
        <v>37865.309575794716</v>
      </c>
      <c r="AB52">
        <f>E52+$D$13*(IF(AND(N7="None",N8="None"),R52,IF(N8="None",AVERAGE(R52:S52),IF(N7="None",AVERAGE(R52,T52),AVERAGE(R52:T52))))-E52)</f>
        <v>-9042.2665530873564</v>
      </c>
    </row>
    <row r="53" spans="1:28" x14ac:dyDescent="0.35">
      <c r="A53">
        <v>10</v>
      </c>
      <c r="B53">
        <f t="shared" si="3"/>
        <v>0</v>
      </c>
      <c r="C53">
        <f t="shared" si="4"/>
        <v>0</v>
      </c>
      <c r="D53">
        <f t="shared" si="5"/>
        <v>37865.309575794716</v>
      </c>
      <c r="E53">
        <f t="shared" si="6"/>
        <v>-9042.2665530873564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>IF(AND(N7="None",N8="None"),0,IF(N8="None",G53,IF(N7="None",0,MAX(0,G53*C53))))</f>
        <v>0</v>
      </c>
      <c r="J53">
        <f>IF(AND(N7="None",N8="None"),0,IF(N8="None",0,IF(N7="None",G53,MAX(0,G53-I53))))</f>
        <v>51</v>
      </c>
      <c r="K53">
        <f>P5</f>
        <v>637</v>
      </c>
      <c r="L53">
        <f>P6</f>
        <v>637</v>
      </c>
      <c r="M53">
        <f>P7</f>
        <v>635.5</v>
      </c>
      <c r="N53">
        <f>P8</f>
        <v>631.54999999999995</v>
      </c>
      <c r="O53">
        <f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D53)-(K31))))*(MAX($D$16,(D53)-(K31))),0.000001)*MAX(((((G31)+(I31)*(MAX($D$16,(D53)-(K31))))*(MAX($D$16,(D53)-(K31))))/MAX((G31)+2*(MAX($D$16,(D53)-(K31)))*SQRT(1+(I31)^2),0.000001))^(2/3),0.000001)))^2))/2)+(IF((ABS(F53)/MAX(((G31)+(I31)*(MAX($D$16,(D53)-(K31))))*(MAX($D$16,(D53)-(K31))),0.000001))&gt;(ABS(F53)/MAX(((F31)+(H31)*(MAX($D$16,(K53)-(J31))))*(MAX($D$16,(K53)-(J31))),0.000001)),$D$9*((((ABS(F53)/MAX(((G31)+(I31)*(MAX($D$16,(D53)-(K31))))*(MAX($D$16,(D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D53)-(K31))))*(MAX($D$16,(D53)-(K31))),0.000001))^2)/(2*$I$5)))))+($D$10*(ABS((X31)-(W31))/90)*MAX(((ABS(F53)/MAX(((F31)+(H31)*(MAX($D$16,(K53)-(J31))))*(MAX($D$16,(K53)-(J31))),0.000001))^2)/(2*$I$5),((ABS(F53)/MAX(((G31)+(I31)*(MAX($D$16,(D53)-(K31))))*(MAX($D$16,(D53)-(K31))),0.000001))^2)/(2*$I$5)))+(0)-((ABS(F53)/MAX(((G31)+(I31)*(MAX($D$16,(D53)-(K31))))*(MAX($D$16,(D53)-(K31))),0.000001))^2)/(2*$I$5)</f>
        <v>637.65825100949576</v>
      </c>
      <c r="P53">
        <f>E53+((ABS(G53)/MAX(((G32)+(I32)*(MAX($D$16,(E53)-(K32))))*(MAX($D$16,(E53)-(K32))),0.000001))^2)/(2*$I$5)+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F32)+(H32)*(MAX($D$16,(D53)-(J32))))*(MAX($D$16,(D53)-(J32))),0.000001))^2)/(2*$I$5)</f>
        <v>77011.583022308332</v>
      </c>
      <c r="Q53">
        <f>L53+((ABS(H53)/MAX(((G33)+(I33)*(MAX($D$16,(L53)-(K33))))*(MAX($D$16,(L53)-(K33))),0.000001))^2)/(2*$I$5)+((E33)*((((ABS(H53)*$D$6)/(MAX(((F33)+(H33)*(MAX($D$16,(D53)-(J33))))*(MAX($D$16,(D53)-(J33))),0.000001)*MAX(((((F33)+(H33)*(MAX($D$16,(D53)-(J33))))*(MAX($D$16,(D53)-(J33))))/MAX((F33)+2*(MAX($D$16,(D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D53)-(J33))))*(MAX($D$16,(D53)-(J33))),0.000001)),$D$9*((((ABS(H53)/MAX(((G33)+(I33)*(MAX($D$16,(L53)-(K33))))*(MAX($D$16,(L53)-(K33))),0.000001))^2)/(2*$I$5))-(((ABS(H53)/MAX(((F33)+(H33)*(MAX($D$16,(D53)-(J33))))*(MAX($D$16,(D53)-(J33))),0.000001))^2)/(2*$I$5))),$D$8*((((ABS(H53)/MAX(((F33)+(H33)*(MAX($D$16,(D53)-(J33))))*(MAX($D$16,(D53)-(J33))),0.000001))^2)/(2*$I$5))-(((ABS(H53)/MAX(((G33)+(I33)*(MAX($D$16,(L53)-(K33))))*(MAX($D$16,(L53)-(K33))),0.000001))^2)/(2*$I$5)))))+($D$10*(ABS((X33)-(W33))/90)*MAX(((ABS(H53)/MAX(((F33)+(H33)*(MAX($D$16,(D53)-(J33))))*(MAX($D$16,(D53)-(J33))),0.000001))^2)/(2*$I$5),((ABS(H53)/MAX(((G33)+(I33)*(MAX($D$16,(L53)-(K33))))*(MAX($D$16,(L53)-(K33))),0.000001))^2)/(2*$I$5)))+(($D$11*0.00000015*(ABS(G53)/MAX(ABS(F53),0.000001))^2*MAX(((ABS(H53)/MAX(((F33)+(H33)*(MAX($D$16,(D53)-(J33))))*(MAX($D$16,(D53)-(J33))),0.000001))^2)/(2*$I$5),((ABS(H53)/MAX(((G33)+(I33)*(MAX($D$16,(L53)-(K33))))*(MAX($D$16,(L53)-(K33))),0.000001))^2)/(2*$I$5))))-((ABS(H53)/MAX(((F33)+(H33)*(MAX($D$16,(D53)-(J33))))*(MAX($D$16,(D53)-(J33))),0.000001))^2)/(2*$I$5)</f>
        <v>637</v>
      </c>
      <c r="R53">
        <f>D53+((ABS(G53)/MAX(((F32)+(H32)*(MAX($D$16,(D53)-(J32))))*(MAX($D$16,(D53)-(J32))),0.000001))^2)/(2*$I$5)-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G32)+(I32)*(MAX($D$16,(E53)-(K32))))*(MAX($D$16,(E53)-(K32))),0.000001))^2)/(2*$I$5)</f>
        <v>-47965.772933702072</v>
      </c>
      <c r="S53">
        <f>M53+((ABS(I53)/MAX(((G34)+(I34)*(MAX($D$16,(M53)-(K34))))*(MAX($D$16,(M53)-(K34))),0.000001))^2)/(2*$I$5)+((E34)*((((ABS(I53)*$D$6)/(MAX(((F34)+(H34)*(MAX($D$16,(E53)-(J34))))*(MAX($D$16,(E53)-(J34))),0.000001)*MAX(((((F34)+(H34)*(MAX($D$16,(E53)-(J34))))*(MAX($D$16,(E53)-(J34))))/MAX((F34)+2*(MAX($D$16,(E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E53)-(J34))))*(MAX($D$16,(E53)-(J34))),0.000001)),$D$9*((((ABS(I53)/MAX(((G34)+(I34)*(MAX($D$16,(M53)-(K34))))*(MAX($D$16,(M53)-(K34))),0.000001))^2)/(2*$I$5))-(((ABS(I53)/MAX(((F34)+(H34)*(MAX($D$16,(E53)-(J34))))*(MAX($D$16,(E53)-(J34))),0.000001))^2)/(2*$I$5))),$D$8*((((ABS(I53)/MAX(((F34)+(H34)*(MAX($D$16,(E53)-(J34))))*(MAX($D$16,(E53)-(J34))),0.000001))^2)/(2*$I$5))-(((ABS(I53)/MAX(((G34)+(I34)*(MAX($D$16,(M53)-(K34))))*(MAX($D$16,(M53)-(K34))),0.000001))^2)/(2*$I$5)))))+($D$10*(ABS((X34)-(W34))/90)*MAX(((ABS(I53)/MAX(((F34)+(H34)*(MAX($D$16,(E53)-(J34))))*(MAX($D$16,(E53)-(J34))),0.000001))^2)/(2*$I$5),((ABS(I53)/MAX(((G34)+(I34)*(MAX($D$16,(M53)-(K34))))*(MAX($D$16,(M53)-(K34))),0.000001))^2)/(2*$I$5)))+(0)-((ABS(I53)/MAX(((F34)+(H34)*(MAX($D$16,(E53)-(J34))))*(MAX($D$16,(E53)-(J34))),0.000001))^2)/(2*$I$5)</f>
        <v>635.5</v>
      </c>
      <c r="T53">
        <f>N53+((ABS(J53)/MAX(((G35)+(I35)*(MAX($D$16,(N53)-(K35))))*(MAX($D$16,(N53)-(K35))),0.000001))^2)/(2*$I$5)+((E35)*((((ABS(J53)*$D$6)/(MAX(((F35)+(H35)*(MAX($D$16,(E53)-(J35))))*(MAX($D$16,(E53)-(J35))),0.000001)*MAX(((((F35)+(H35)*(MAX($D$16,(E53)-(J35))))*(MAX($D$16,(E53)-(J35))))/MAX((F35)+2*(MAX($D$16,(E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E53)-(J35))))*(MAX($D$16,(E53)-(J35))),0.000001)),$D$9*((((ABS(J53)/MAX(((G35)+(I35)*(MAX($D$16,(N53)-(K35))))*(MAX($D$16,(N53)-(K35))),0.000001))^2)/(2*$I$5))-(((ABS(J53)/MAX(((F35)+(H35)*(MAX($D$16,(E53)-(J35))))*(MAX($D$16,(E53)-(J35))),0.000001))^2)/(2*$I$5))),$D$8*((((ABS(J53)/MAX(((F35)+(H35)*(MAX($D$16,(E53)-(J35))))*(MAX($D$16,(E53)-(J35))),0.000001))^2)/(2*$I$5))-(((ABS(J53)/MAX(((G35)+(I35)*(MAX($D$16,(N53)-(K35))))*(MAX($D$16,(N53)-(K35))),0.000001))^2)/(2*$I$5)))))+($D$10*(ABS((X35)-(W35))/90)*MAX(((ABS(J53)/MAX(((F35)+(H35)*(MAX($D$16,(E53)-(J35))))*(MAX($D$16,(E53)-(J35))),0.000001))^2)/(2*$I$5),((ABS(J53)/MAX(((G35)+(I35)*(MAX($D$16,(N53)-(K35))))*(MAX($D$16,(N53)-(K35))),0.000001))^2)/(2*$I$5)))+(($D$11*0.34699541*(ABS(I53)/MAX(ABS(G53),0.000001))^2*MAX(((ABS(J53)/MAX(((F35)+(H35)*(MAX($D$16,(E53)-(J35))))*(MAX($D$16,(E53)-(J35))),0.000001))^2)/(2*$I$5),((ABS(J53)/MAX(((G35)+(I35)*(MAX($D$16,(N53)-(K35))))*(MAX($D$16,(N53)-(K35))),0.000001))^2)/(2*$I$5))))-((ABS(J53)/MAX(((F35)+(H35)*(MAX($D$16,(E53)-(J35))))*(MAX($D$16,(E53)-(J35))),0.000001))^2)/(2*$I$5)</f>
        <v>22382.80587457701</v>
      </c>
      <c r="U53">
        <f>(((((F32)*(MAX($D$16,(D53)-(J32)))^2)/2+(H32)*(MAX($D$16,(D53)-(J32)))^3/3+(ABS(G53)^2)/($I$5*MAX(((F32)+(H32)*(MAX($D$16,(D53)-(J32))))*(MAX($D$16,(D53)-(J32))),0.000001)))*0.72785025)-((((F33)*(MAX($D$16,(D53)-(J33)))^2)/2+(H33)*(MAX($D$16,(D53)-(J33)))^3/3+(ABS(H53)^2)/($I$5*MAX(((F33)+(H33)*(MAX($D$16,(D53)-(J33))))*(MAX($D$16,(D53)-(J33))),0.000001)))*0.99999971))/MAX(((G31)*(MAX($D$16,(D53)-(K31)))^2)/2+(I31)*(MAX($D$16,(D53)-(K31)))^3/3+(ABS(F53)^2)/($I$5*MAX(((G31)+(I31)*(MAX($D$16,(D53)-(K31))))*(MAX($D$16,(D53)-(K31))),0.000001)),0.000001)</f>
        <v>-0.27214945999976092</v>
      </c>
      <c r="V53">
        <f>(((((F34)*(MAX($D$16,(E53)-(J34)))^2)/2+(H34)*(MAX($D$16,(E53)-(J34)))^3/3+(ABS(I53)^2)/($I$5*MAX(((F34)+(H34)*(MAX($D$16,(E53)-(J34))))*(MAX($D$16,(E53)-(J34))),0.000001)))*1)-((((F35)*(MAX($D$16,(E53)-(J35)))^2)/2+(H35)*(MAX($D$16,(E53)-(J35)))^3/3+(ABS(J53)^2)/($I$5*MAX(((F35)+(H35)*(MAX($D$16,(E53)-(J35))))*(MAX($D$16,(E53)-(J35))),0.000001)))*0.30600918))/MAX(((G32)*(MAX($D$16,(E53)-(K32)))^2)/2+(I32)*(MAX($D$16,(E53)-(K32)))^3/3+(ABS(G53)^2)/($I$5*MAX(((G32)+(I32)*(MAX($D$16,(E53)-(K32))))*(MAX($D$16,(E53)-(K32))),0.000001)),0.000001)</f>
        <v>-0.30598462674144999</v>
      </c>
      <c r="W53">
        <f>IF(N6="None",MAX(ABS(O53-D53),ABS(P53-D53)),MAX(ABS(O53-D53),ABS(P53-D53),ABS(Q53-D53)))</f>
        <v>39146.273446513616</v>
      </c>
      <c r="X53">
        <f>IF(AND(N7="None",N8="None"),ABS(R53-E53),IF(N8="None",MAX(ABS(R53-E53),ABS(S53-E53)),IF(N7="None",MAX(ABS(R53-E53),ABS(T53-E53)),MAX(ABS(R53-E53),ABS(S53-E53),ABS(T53-E53)))))</f>
        <v>38923.506380614715</v>
      </c>
      <c r="AA53">
        <f>D53+$D$13*(IF(N6="None",AVERAGE(O53:P53),AVERAGE(O53:Q53))-D53)</f>
        <v>38201.068447097183</v>
      </c>
      <c r="AB53">
        <f>E53+$D$13*(IF(AND(N7="None",N8="None"),R53,IF(N8="None",AVERAGE(R53:S53),IF(N7="None",AVERAGE(R53,T53),AVERAGE(R53:T53))))-E53)</f>
        <v>-8788.0110830713729</v>
      </c>
    </row>
    <row r="54" spans="1:28" x14ac:dyDescent="0.35">
      <c r="A54">
        <v>11</v>
      </c>
      <c r="B54">
        <f t="shared" si="3"/>
        <v>0</v>
      </c>
      <c r="C54">
        <f t="shared" si="4"/>
        <v>0</v>
      </c>
      <c r="D54">
        <f t="shared" si="5"/>
        <v>38201.068447097183</v>
      </c>
      <c r="E54">
        <f t="shared" si="6"/>
        <v>-8788.0110830713729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>IF(AND(N7="None",N8="None"),0,IF(N8="None",G54,IF(N7="None",0,MAX(0,G54*C54))))</f>
        <v>0</v>
      </c>
      <c r="J54">
        <f>IF(AND(N7="None",N8="None"),0,IF(N8="None",0,IF(N7="None",G54,MAX(0,G54-I54))))</f>
        <v>51</v>
      </c>
      <c r="K54">
        <f>P5</f>
        <v>637</v>
      </c>
      <c r="L54">
        <f>P6</f>
        <v>637</v>
      </c>
      <c r="M54">
        <f>P7</f>
        <v>635.5</v>
      </c>
      <c r="N54">
        <f>P8</f>
        <v>631.54999999999995</v>
      </c>
      <c r="O54">
        <f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D54)-(K31))))*(MAX($D$16,(D54)-(K31))),0.000001)*MAX(((((G31)+(I31)*(MAX($D$16,(D54)-(K31))))*(MAX($D$16,(D54)-(K31))))/MAX((G31)+2*(MAX($D$16,(D54)-(K31)))*SQRT(1+(I31)^2),0.000001))^(2/3),0.000001)))^2))/2)+(IF((ABS(F54)/MAX(((G31)+(I31)*(MAX($D$16,(D54)-(K31))))*(MAX($D$16,(D54)-(K31))),0.000001))&gt;(ABS(F54)/MAX(((F31)+(H31)*(MAX($D$16,(K54)-(J31))))*(MAX($D$16,(K54)-(J31))),0.000001)),$D$9*((((ABS(F54)/MAX(((G31)+(I31)*(MAX($D$16,(D54)-(K31))))*(MAX($D$16,(D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D54)-(K31))))*(MAX($D$16,(D54)-(K31))),0.000001))^2)/(2*$I$5)))))+($D$10*(ABS((X31)-(W31))/90)*MAX(((ABS(F54)/MAX(((F31)+(H31)*(MAX($D$16,(K54)-(J31))))*(MAX($D$16,(K54)-(J31))),0.000001))^2)/(2*$I$5),((ABS(F54)/MAX(((G31)+(I31)*(MAX($D$16,(D54)-(K31))))*(MAX($D$16,(D54)-(K31))),0.000001))^2)/(2*$I$5)))+(0)-((ABS(F54)/MAX(((G31)+(I31)*(MAX($D$16,(D54)-(K31))))*(MAX($D$16,(D54)-(K31))),0.000001))^2)/(2*$I$5)</f>
        <v>637.65825100954737</v>
      </c>
      <c r="P54">
        <f>E54+((ABS(G54)/MAX(((G32)+(I32)*(MAX($D$16,(E54)-(K32))))*(MAX($D$16,(E54)-(K32))),0.000001))^2)/(2*$I$5)+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F32)+(H32)*(MAX($D$16,(D54)-(J32))))*(MAX($D$16,(D54)-(J32))),0.000001))^2)/(2*$I$5)</f>
        <v>77265.838492324343</v>
      </c>
      <c r="Q54">
        <f>L54+((ABS(H54)/MAX(((G33)+(I33)*(MAX($D$16,(L54)-(K33))))*(MAX($D$16,(L54)-(K33))),0.000001))^2)/(2*$I$5)+((E33)*((((ABS(H54)*$D$6)/(MAX(((F33)+(H33)*(MAX($D$16,(D54)-(J33))))*(MAX($D$16,(D54)-(J33))),0.000001)*MAX(((((F33)+(H33)*(MAX($D$16,(D54)-(J33))))*(MAX($D$16,(D54)-(J33))))/MAX((F33)+2*(MAX($D$16,(D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D54)-(J33))))*(MAX($D$16,(D54)-(J33))),0.000001)),$D$9*((((ABS(H54)/MAX(((G33)+(I33)*(MAX($D$16,(L54)-(K33))))*(MAX($D$16,(L54)-(K33))),0.000001))^2)/(2*$I$5))-(((ABS(H54)/MAX(((F33)+(H33)*(MAX($D$16,(D54)-(J33))))*(MAX($D$16,(D54)-(J33))),0.000001))^2)/(2*$I$5))),$D$8*((((ABS(H54)/MAX(((F33)+(H33)*(MAX($D$16,(D54)-(J33))))*(MAX($D$16,(D54)-(J33))),0.000001))^2)/(2*$I$5))-(((ABS(H54)/MAX(((G33)+(I33)*(MAX($D$16,(L54)-(K33))))*(MAX($D$16,(L54)-(K33))),0.000001))^2)/(2*$I$5)))))+($D$10*(ABS((X33)-(W33))/90)*MAX(((ABS(H54)/MAX(((F33)+(H33)*(MAX($D$16,(D54)-(J33))))*(MAX($D$16,(D54)-(J33))),0.000001))^2)/(2*$I$5),((ABS(H54)/MAX(((G33)+(I33)*(MAX($D$16,(L54)-(K33))))*(MAX($D$16,(L54)-(K33))),0.000001))^2)/(2*$I$5)))+(($D$11*0.00000015*(ABS(G54)/MAX(ABS(F54),0.000001))^2*MAX(((ABS(H54)/MAX(((F33)+(H33)*(MAX($D$16,(D54)-(J33))))*(MAX($D$16,(D54)-(J33))),0.000001))^2)/(2*$I$5),((ABS(H54)/MAX(((G33)+(I33)*(MAX($D$16,(L54)-(K33))))*(MAX($D$16,(L54)-(K33))),0.000001))^2)/(2*$I$5))))-((ABS(H54)/MAX(((F33)+(H33)*(MAX($D$16,(D54)-(J33))))*(MAX($D$16,(D54)-(J33))),0.000001))^2)/(2*$I$5)</f>
        <v>637</v>
      </c>
      <c r="R54">
        <f>D54+((ABS(G54)/MAX(((F32)+(H32)*(MAX($D$16,(D54)-(J32))))*(MAX($D$16,(D54)-(J32))),0.000001))^2)/(2*$I$5)-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G32)+(I32)*(MAX($D$16,(E54)-(K32))))*(MAX($D$16,(E54)-(K32))),0.000001))^2)/(2*$I$5)</f>
        <v>-47630.014062399619</v>
      </c>
      <c r="S54">
        <f>M54+((ABS(I54)/MAX(((G34)+(I34)*(MAX($D$16,(M54)-(K34))))*(MAX($D$16,(M54)-(K34))),0.000001))^2)/(2*$I$5)+((E34)*((((ABS(I54)*$D$6)/(MAX(((F34)+(H34)*(MAX($D$16,(E54)-(J34))))*(MAX($D$16,(E54)-(J34))),0.000001)*MAX(((((F34)+(H34)*(MAX($D$16,(E54)-(J34))))*(MAX($D$16,(E54)-(J34))))/MAX((F34)+2*(MAX($D$16,(E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E54)-(J34))))*(MAX($D$16,(E54)-(J34))),0.000001)),$D$9*((((ABS(I54)/MAX(((G34)+(I34)*(MAX($D$16,(M54)-(K34))))*(MAX($D$16,(M54)-(K34))),0.000001))^2)/(2*$I$5))-(((ABS(I54)/MAX(((F34)+(H34)*(MAX($D$16,(E54)-(J34))))*(MAX($D$16,(E54)-(J34))),0.000001))^2)/(2*$I$5))),$D$8*((((ABS(I54)/MAX(((F34)+(H34)*(MAX($D$16,(E54)-(J34))))*(MAX($D$16,(E54)-(J34))),0.000001))^2)/(2*$I$5))-(((ABS(I54)/MAX(((G34)+(I34)*(MAX($D$16,(M54)-(K34))))*(MAX($D$16,(M54)-(K34))),0.000001))^2)/(2*$I$5)))))+($D$10*(ABS((X34)-(W34))/90)*MAX(((ABS(I54)/MAX(((F34)+(H34)*(MAX($D$16,(E54)-(J34))))*(MAX($D$16,(E54)-(J34))),0.000001))^2)/(2*$I$5),((ABS(I54)/MAX(((G34)+(I34)*(MAX($D$16,(M54)-(K34))))*(MAX($D$16,(M54)-(K34))),0.000001))^2)/(2*$I$5)))+(0)-((ABS(I54)/MAX(((F34)+(H34)*(MAX($D$16,(E54)-(J34))))*(MAX($D$16,(E54)-(J34))),0.000001))^2)/(2*$I$5)</f>
        <v>635.5</v>
      </c>
      <c r="T54">
        <f>N54+((ABS(J54)/MAX(((G35)+(I35)*(MAX($D$16,(N54)-(K35))))*(MAX($D$16,(N54)-(K35))),0.000001))^2)/(2*$I$5)+((E35)*((((ABS(J54)*$D$6)/(MAX(((F35)+(H35)*(MAX($D$16,(E54)-(J35))))*(MAX($D$16,(E54)-(J35))),0.000001)*MAX(((((F35)+(H35)*(MAX($D$16,(E54)-(J35))))*(MAX($D$16,(E54)-(J35))))/MAX((F35)+2*(MAX($D$16,(E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E54)-(J35))))*(MAX($D$16,(E54)-(J35))),0.000001)),$D$9*((((ABS(J54)/MAX(((G35)+(I35)*(MAX($D$16,(N54)-(K35))))*(MAX($D$16,(N54)-(K35))),0.000001))^2)/(2*$I$5))-(((ABS(J54)/MAX(((F35)+(H35)*(MAX($D$16,(E54)-(J35))))*(MAX($D$16,(E54)-(J35))),0.000001))^2)/(2*$I$5))),$D$8*((((ABS(J54)/MAX(((F35)+(H35)*(MAX($D$16,(E54)-(J35))))*(MAX($D$16,(E54)-(J35))),0.000001))^2)/(2*$I$5))-(((ABS(J54)/MAX(((G35)+(I35)*(MAX($D$16,(N54)-(K35))))*(MAX($D$16,(N54)-(K35))),0.000001))^2)/(2*$I$5)))))+($D$10*(ABS((X35)-(W35))/90)*MAX(((ABS(J54)/MAX(((F35)+(H35)*(MAX($D$16,(E54)-(J35))))*(MAX($D$16,(E54)-(J35))),0.000001))^2)/(2*$I$5),((ABS(J54)/MAX(((G35)+(I35)*(MAX($D$16,(N54)-(K35))))*(MAX($D$16,(N54)-(K35))),0.000001))^2)/(2*$I$5)))+(($D$11*0.34699541*(ABS(I54)/MAX(ABS(G54),0.000001))^2*MAX(((ABS(J54)/MAX(((F35)+(H35)*(MAX($D$16,(E54)-(J35))))*(MAX($D$16,(E54)-(J35))),0.000001))^2)/(2*$I$5),((ABS(J54)/MAX(((G35)+(I35)*(MAX($D$16,(N54)-(K35))))*(MAX($D$16,(N54)-(K35))),0.000001))^2)/(2*$I$5))))-((ABS(J54)/MAX(((F35)+(H35)*(MAX($D$16,(E54)-(J35))))*(MAX($D$16,(E54)-(J35))),0.000001))^2)/(2*$I$5)</f>
        <v>22382.80587457701</v>
      </c>
      <c r="U54">
        <f>(((((F32)*(MAX($D$16,(D54)-(J32)))^2)/2+(H32)*(MAX($D$16,(D54)-(J32)))^3/3+(ABS(G54)^2)/($I$5*MAX(((F32)+(H32)*(MAX($D$16,(D54)-(J32))))*(MAX($D$16,(D54)-(J32))),0.000001)))*0.72785025)-((((F33)*(MAX($D$16,(D54)-(J33)))^2)/2+(H33)*(MAX($D$16,(D54)-(J33)))^3/3+(ABS(H54)^2)/($I$5*MAX(((F33)+(H33)*(MAX($D$16,(D54)-(J33))))*(MAX($D$16,(D54)-(J33))),0.000001)))*0.99999971))/MAX(((G31)*(MAX($D$16,(D54)-(K31)))^2)/2+(I31)*(MAX($D$16,(D54)-(K31)))^3/3+(ABS(F54)^2)/($I$5*MAX(((G31)+(I31)*(MAX($D$16,(D54)-(K31))))*(MAX($D$16,(D54)-(K31))),0.000001)),0.000001)</f>
        <v>-0.27214945999976747</v>
      </c>
      <c r="V54">
        <f>(((((F34)*(MAX($D$16,(E54)-(J34)))^2)/2+(H34)*(MAX($D$16,(E54)-(J34)))^3/3+(ABS(I54)^2)/($I$5*MAX(((F34)+(H34)*(MAX($D$16,(E54)-(J34))))*(MAX($D$16,(E54)-(J34))),0.000001)))*1)-((((F35)*(MAX($D$16,(E54)-(J35)))^2)/2+(H35)*(MAX($D$16,(E54)-(J35)))^3/3+(ABS(J54)^2)/($I$5*MAX(((F35)+(H35)*(MAX($D$16,(E54)-(J35))))*(MAX($D$16,(E54)-(J35))),0.000001)))*0.30600918))/MAX(((G32)*(MAX($D$16,(E54)-(K32)))^2)/2+(I32)*(MAX($D$16,(E54)-(K32)))^3/3+(ABS(G54)^2)/($I$5*MAX(((G32)+(I32)*(MAX($D$16,(E54)-(K32))))*(MAX($D$16,(E54)-(K32))),0.000001)),0.000001)</f>
        <v>-0.30598462674144999</v>
      </c>
      <c r="W54">
        <f>IF(N6="None",MAX(ABS(O54-D54),ABS(P54-D54)),MAX(ABS(O54-D54),ABS(P54-D54),ABS(Q54-D54)))</f>
        <v>39064.77004522716</v>
      </c>
      <c r="X54">
        <f>IF(AND(N7="None",N8="None"),ABS(R54-E54),IF(N8="None",MAX(ABS(R54-E54),ABS(S54-E54)),IF(N7="None",MAX(ABS(R54-E54),ABS(T54-E54)),MAX(ABS(R54-E54),ABS(S54-E54),ABS(T54-E54)))))</f>
        <v>38842.002979328245</v>
      </c>
      <c r="AA54">
        <f>D54+$D$13*(IF(N6="None",AVERAGE(O54:P54),AVERAGE(O54:Q54))-D54)</f>
        <v>38463.806420696601</v>
      </c>
      <c r="AB54">
        <f>E54+$D$13*(IF(AND(N7="None",N8="None"),R54,IF(N8="None",AVERAGE(R54:S54),IF(N7="None",AVERAGE(R54,T54),AVERAGE(R54:T54))))-E54)</f>
        <v>-8583.5731592423635</v>
      </c>
    </row>
    <row r="55" spans="1:28" x14ac:dyDescent="0.35">
      <c r="A55">
        <v>12</v>
      </c>
      <c r="B55">
        <f t="shared" si="3"/>
        <v>0</v>
      </c>
      <c r="C55">
        <f t="shared" si="4"/>
        <v>0</v>
      </c>
      <c r="D55">
        <f t="shared" si="5"/>
        <v>38463.806420696601</v>
      </c>
      <c r="E55">
        <f t="shared" si="6"/>
        <v>-8583.5731592423635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>IF(AND(N7="None",N8="None"),0,IF(N8="None",G55,IF(N7="None",0,MAX(0,G55*C55))))</f>
        <v>0</v>
      </c>
      <c r="J55">
        <f>IF(AND(N7="None",N8="None"),0,IF(N8="None",0,IF(N7="None",G55,MAX(0,G55-I55))))</f>
        <v>51</v>
      </c>
      <c r="K55">
        <f>P5</f>
        <v>637</v>
      </c>
      <c r="L55">
        <f>P6</f>
        <v>637</v>
      </c>
      <c r="M55">
        <f>P7</f>
        <v>635.5</v>
      </c>
      <c r="N55">
        <f>P8</f>
        <v>631.54999999999995</v>
      </c>
      <c r="O55">
        <f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D55)-(K31))))*(MAX($D$16,(D55)-(K31))),0.000001)*MAX(((((G31)+(I31)*(MAX($D$16,(D55)-(K31))))*(MAX($D$16,(D55)-(K31))))/MAX((G31)+2*(MAX($D$16,(D55)-(K31)))*SQRT(1+(I31)^2),0.000001))^(2/3),0.000001)))^2))/2)+(IF((ABS(F55)/MAX(((G31)+(I31)*(MAX($D$16,(D55)-(K31))))*(MAX($D$16,(D55)-(K31))),0.000001))&gt;(ABS(F55)/MAX(((F31)+(H31)*(MAX($D$16,(K55)-(J31))))*(MAX($D$16,(K55)-(J31))),0.000001)),$D$9*((((ABS(F55)/MAX(((G31)+(I31)*(MAX($D$16,(D55)-(K31))))*(MAX($D$16,(D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D55)-(K31))))*(MAX($D$16,(D55)-(K31))),0.000001))^2)/(2*$I$5)))))+($D$10*(ABS((X31)-(W31))/90)*MAX(((ABS(F55)/MAX(((F31)+(H31)*(MAX($D$16,(K55)-(J31))))*(MAX($D$16,(K55)-(J31))),0.000001))^2)/(2*$I$5),((ABS(F55)/MAX(((G31)+(I31)*(MAX($D$16,(D55)-(K31))))*(MAX($D$16,(D55)-(K31))),0.000001))^2)/(2*$I$5)))+(0)-((ABS(F55)/MAX(((G31)+(I31)*(MAX($D$16,(D55)-(K31))))*(MAX($D$16,(D55)-(K31))),0.000001))^2)/(2*$I$5)</f>
        <v>637.65825100958682</v>
      </c>
      <c r="P55">
        <f>E55+((ABS(G55)/MAX(((G32)+(I32)*(MAX($D$16,(E55)-(K32))))*(MAX($D$16,(E55)-(K32))),0.000001))^2)/(2*$I$5)+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F32)+(H32)*(MAX($D$16,(D55)-(J32))))*(MAX($D$16,(D55)-(J32))),0.000001))^2)/(2*$I$5)</f>
        <v>77470.276416153371</v>
      </c>
      <c r="Q55">
        <f>L55+((ABS(H55)/MAX(((G33)+(I33)*(MAX($D$16,(L55)-(K33))))*(MAX($D$16,(L55)-(K33))),0.000001))^2)/(2*$I$5)+((E33)*((((ABS(H55)*$D$6)/(MAX(((F33)+(H33)*(MAX($D$16,(D55)-(J33))))*(MAX($D$16,(D55)-(J33))),0.000001)*MAX(((((F33)+(H33)*(MAX($D$16,(D55)-(J33))))*(MAX($D$16,(D55)-(J33))))/MAX((F33)+2*(MAX($D$16,(D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D55)-(J33))))*(MAX($D$16,(D55)-(J33))),0.000001)),$D$9*((((ABS(H55)/MAX(((G33)+(I33)*(MAX($D$16,(L55)-(K33))))*(MAX($D$16,(L55)-(K33))),0.000001))^2)/(2*$I$5))-(((ABS(H55)/MAX(((F33)+(H33)*(MAX($D$16,(D55)-(J33))))*(MAX($D$16,(D55)-(J33))),0.000001))^2)/(2*$I$5))),$D$8*((((ABS(H55)/MAX(((F33)+(H33)*(MAX($D$16,(D55)-(J33))))*(MAX($D$16,(D55)-(J33))),0.000001))^2)/(2*$I$5))-(((ABS(H55)/MAX(((G33)+(I33)*(MAX($D$16,(L55)-(K33))))*(MAX($D$16,(L55)-(K33))),0.000001))^2)/(2*$I$5)))))+($D$10*(ABS((X33)-(W33))/90)*MAX(((ABS(H55)/MAX(((F33)+(H33)*(MAX($D$16,(D55)-(J33))))*(MAX($D$16,(D55)-(J33))),0.000001))^2)/(2*$I$5),((ABS(H55)/MAX(((G33)+(I33)*(MAX($D$16,(L55)-(K33))))*(MAX($D$16,(L55)-(K33))),0.000001))^2)/(2*$I$5)))+(($D$11*0.00000015*(ABS(G55)/MAX(ABS(F55),0.000001))^2*MAX(((ABS(H55)/MAX(((F33)+(H33)*(MAX($D$16,(D55)-(J33))))*(MAX($D$16,(D55)-(J33))),0.000001))^2)/(2*$I$5),((ABS(H55)/MAX(((G33)+(I33)*(MAX($D$16,(L55)-(K33))))*(MAX($D$16,(L55)-(K33))),0.000001))^2)/(2*$I$5))))-((ABS(H55)/MAX(((F33)+(H33)*(MAX($D$16,(D55)-(J33))))*(MAX($D$16,(D55)-(J33))),0.000001))^2)/(2*$I$5)</f>
        <v>637</v>
      </c>
      <c r="R55">
        <f>D55+((ABS(G55)/MAX(((F32)+(H32)*(MAX($D$16,(D55)-(J32))))*(MAX($D$16,(D55)-(J32))),0.000001))^2)/(2*$I$5)-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G32)+(I32)*(MAX($D$16,(E55)-(K32))))*(MAX($D$16,(E55)-(K32))),0.000001))^2)/(2*$I$5)</f>
        <v>-47367.276088800209</v>
      </c>
      <c r="S55">
        <f>M55+((ABS(I55)/MAX(((G34)+(I34)*(MAX($D$16,(M55)-(K34))))*(MAX($D$16,(M55)-(K34))),0.000001))^2)/(2*$I$5)+((E34)*((((ABS(I55)*$D$6)/(MAX(((F34)+(H34)*(MAX($D$16,(E55)-(J34))))*(MAX($D$16,(E55)-(J34))),0.000001)*MAX(((((F34)+(H34)*(MAX($D$16,(E55)-(J34))))*(MAX($D$16,(E55)-(J34))))/MAX((F34)+2*(MAX($D$16,(E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E55)-(J34))))*(MAX($D$16,(E55)-(J34))),0.000001)),$D$9*((((ABS(I55)/MAX(((G34)+(I34)*(MAX($D$16,(M55)-(K34))))*(MAX($D$16,(M55)-(K34))),0.000001))^2)/(2*$I$5))-(((ABS(I55)/MAX(((F34)+(H34)*(MAX($D$16,(E55)-(J34))))*(MAX($D$16,(E55)-(J34))),0.000001))^2)/(2*$I$5))),$D$8*((((ABS(I55)/MAX(((F34)+(H34)*(MAX($D$16,(E55)-(J34))))*(MAX($D$16,(E55)-(J34))),0.000001))^2)/(2*$I$5))-(((ABS(I55)/MAX(((G34)+(I34)*(MAX($D$16,(M55)-(K34))))*(MAX($D$16,(M55)-(K34))),0.000001))^2)/(2*$I$5)))))+($D$10*(ABS((X34)-(W34))/90)*MAX(((ABS(I55)/MAX(((F34)+(H34)*(MAX($D$16,(E55)-(J34))))*(MAX($D$16,(E55)-(J34))),0.000001))^2)/(2*$I$5),((ABS(I55)/MAX(((G34)+(I34)*(MAX($D$16,(M55)-(K34))))*(MAX($D$16,(M55)-(K34))),0.000001))^2)/(2*$I$5)))+(0)-((ABS(I55)/MAX(((F34)+(H34)*(MAX($D$16,(E55)-(J34))))*(MAX($D$16,(E55)-(J34))),0.000001))^2)/(2*$I$5)</f>
        <v>635.5</v>
      </c>
      <c r="T55">
        <f>N55+((ABS(J55)/MAX(((G35)+(I35)*(MAX($D$16,(N55)-(K35))))*(MAX($D$16,(N55)-(K35))),0.000001))^2)/(2*$I$5)+((E35)*((((ABS(J55)*$D$6)/(MAX(((F35)+(H35)*(MAX($D$16,(E55)-(J35))))*(MAX($D$16,(E55)-(J35))),0.000001)*MAX(((((F35)+(H35)*(MAX($D$16,(E55)-(J35))))*(MAX($D$16,(E55)-(J35))))/MAX((F35)+2*(MAX($D$16,(E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E55)-(J35))))*(MAX($D$16,(E55)-(J35))),0.000001)),$D$9*((((ABS(J55)/MAX(((G35)+(I35)*(MAX($D$16,(N55)-(K35))))*(MAX($D$16,(N55)-(K35))),0.000001))^2)/(2*$I$5))-(((ABS(J55)/MAX(((F35)+(H35)*(MAX($D$16,(E55)-(J35))))*(MAX($D$16,(E55)-(J35))),0.000001))^2)/(2*$I$5))),$D$8*((((ABS(J55)/MAX(((F35)+(H35)*(MAX($D$16,(E55)-(J35))))*(MAX($D$16,(E55)-(J35))),0.000001))^2)/(2*$I$5))-(((ABS(J55)/MAX(((G35)+(I35)*(MAX($D$16,(N55)-(K35))))*(MAX($D$16,(N55)-(K35))),0.000001))^2)/(2*$I$5)))))+($D$10*(ABS((X35)-(W35))/90)*MAX(((ABS(J55)/MAX(((F35)+(H35)*(MAX($D$16,(E55)-(J35))))*(MAX($D$16,(E55)-(J35))),0.000001))^2)/(2*$I$5),((ABS(J55)/MAX(((G35)+(I35)*(MAX($D$16,(N55)-(K35))))*(MAX($D$16,(N55)-(K35))),0.000001))^2)/(2*$I$5)))+(($D$11*0.34699541*(ABS(I55)/MAX(ABS(G55),0.000001))^2*MAX(((ABS(J55)/MAX(((F35)+(H35)*(MAX($D$16,(E55)-(J35))))*(MAX($D$16,(E55)-(J35))),0.000001))^2)/(2*$I$5),((ABS(J55)/MAX(((G35)+(I35)*(MAX($D$16,(N55)-(K35))))*(MAX($D$16,(N55)-(K35))),0.000001))^2)/(2*$I$5))))-((ABS(J55)/MAX(((F35)+(H35)*(MAX($D$16,(E55)-(J35))))*(MAX($D$16,(E55)-(J35))),0.000001))^2)/(2*$I$5)</f>
        <v>22382.80587457701</v>
      </c>
      <c r="U55">
        <f>(((((F32)*(MAX($D$16,(D55)-(J32)))^2)/2+(H32)*(MAX($D$16,(D55)-(J32)))^3/3+(ABS(G55)^2)/($I$5*MAX(((F32)+(H32)*(MAX($D$16,(D55)-(J32))))*(MAX($D$16,(D55)-(J32))),0.000001)))*0.72785025)-((((F33)*(MAX($D$16,(D55)-(J33)))^2)/2+(H33)*(MAX($D$16,(D55)-(J33)))^3/3+(ABS(H55)^2)/($I$5*MAX(((F33)+(H33)*(MAX($D$16,(D55)-(J33))))*(MAX($D$16,(D55)-(J33))),0.000001)))*0.99999971))/MAX(((G31)*(MAX($D$16,(D55)-(K31)))^2)/2+(I31)*(MAX($D$16,(D55)-(K31)))^3/3+(ABS(F55)^2)/($I$5*MAX(((G31)+(I31)*(MAX($D$16,(D55)-(K31))))*(MAX($D$16,(D55)-(K31))),0.000001)),0.000001)</f>
        <v>-0.27214945999977208</v>
      </c>
      <c r="V55">
        <f>(((((F34)*(MAX($D$16,(E55)-(J34)))^2)/2+(H34)*(MAX($D$16,(E55)-(J34)))^3/3+(ABS(I55)^2)/($I$5*MAX(((F34)+(H34)*(MAX($D$16,(E55)-(J34))))*(MAX($D$16,(E55)-(J34))),0.000001)))*1)-((((F35)*(MAX($D$16,(E55)-(J35)))^2)/2+(H35)*(MAX($D$16,(E55)-(J35)))^3/3+(ABS(J55)^2)/($I$5*MAX(((F35)+(H35)*(MAX($D$16,(E55)-(J35))))*(MAX($D$16,(E55)-(J35))),0.000001)))*0.30600918))/MAX(((G32)*(MAX($D$16,(E55)-(K32)))^2)/2+(I32)*(MAX($D$16,(E55)-(K32)))^3/3+(ABS(G55)^2)/($I$5*MAX(((G32)+(I32)*(MAX($D$16,(E55)-(K32))))*(MAX($D$16,(E55)-(K32))),0.000001)),0.000001)</f>
        <v>-0.30598462674144999</v>
      </c>
      <c r="W55">
        <f>IF(N6="None",MAX(ABS(O55-D55),ABS(P55-D55)),MAX(ABS(O55-D55),ABS(P55-D55),ABS(Q55-D55)))</f>
        <v>39006.46999545677</v>
      </c>
      <c r="X55">
        <f>IF(AND(N7="None",N8="None"),ABS(R55-E55),IF(N8="None",MAX(ABS(R55-E55),ABS(S55-E55)),IF(N7="None",MAX(ABS(R55-E55),ABS(T55-E55)),MAX(ABS(R55-E55),ABS(S55-E55),ABS(T55-E55)))))</f>
        <v>38783.702929557847</v>
      </c>
      <c r="AA55">
        <f>D55+$D$13*(IF(N6="None",AVERAGE(O55:P55),AVERAGE(O55:Q55))-D55)</f>
        <v>38670.362740206307</v>
      </c>
      <c r="AB55">
        <f>E55+$D$13*(IF(AND(N7="None",N8="None"),R55,IF(N8="None",AVERAGE(R55:S55),IF(N7="None",AVERAGE(R55,T55),AVERAGE(R55:T55))))-E55)</f>
        <v>-8420.0357451669097</v>
      </c>
    </row>
    <row r="56" spans="1:28" x14ac:dyDescent="0.35">
      <c r="A56">
        <v>13</v>
      </c>
      <c r="B56">
        <f t="shared" si="3"/>
        <v>0</v>
      </c>
      <c r="C56">
        <f t="shared" si="4"/>
        <v>0</v>
      </c>
      <c r="D56">
        <f t="shared" si="5"/>
        <v>38670.362740206307</v>
      </c>
      <c r="E56">
        <f t="shared" si="6"/>
        <v>-8420.0357451669097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>IF(AND(N7="None",N8="None"),0,IF(N8="None",G56,IF(N7="None",0,MAX(0,G56*C56))))</f>
        <v>0</v>
      </c>
      <c r="J56">
        <f>IF(AND(N7="None",N8="None"),0,IF(N8="None",0,IF(N7="None",G56,MAX(0,G56-I56))))</f>
        <v>51</v>
      </c>
      <c r="K56">
        <f>P5</f>
        <v>637</v>
      </c>
      <c r="L56">
        <f>P6</f>
        <v>637</v>
      </c>
      <c r="M56">
        <f>P7</f>
        <v>635.5</v>
      </c>
      <c r="N56">
        <f>P8</f>
        <v>631.54999999999995</v>
      </c>
      <c r="O56">
        <f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D56)-(K31))))*(MAX($D$16,(D56)-(K31))),0.000001)*MAX(((((G31)+(I31)*(MAX($D$16,(D56)-(K31))))*(MAX($D$16,(D56)-(K31))))/MAX((G31)+2*(MAX($D$16,(D56)-(K31)))*SQRT(1+(I31)^2),0.000001))^(2/3),0.000001)))^2))/2)+(IF((ABS(F56)/MAX(((G31)+(I31)*(MAX($D$16,(D56)-(K31))))*(MAX($D$16,(D56)-(K31))),0.000001))&gt;(ABS(F56)/MAX(((F31)+(H31)*(MAX($D$16,(K56)-(J31))))*(MAX($D$16,(K56)-(J31))),0.000001)),$D$9*((((ABS(F56)/MAX(((G31)+(I31)*(MAX($D$16,(D56)-(K31))))*(MAX($D$16,(D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D56)-(K31))))*(MAX($D$16,(D56)-(K31))),0.000001))^2)/(2*$I$5)))))+($D$10*(ABS((X31)-(W31))/90)*MAX(((ABS(F56)/MAX(((F31)+(H31)*(MAX($D$16,(K56)-(J31))))*(MAX($D$16,(K56)-(J31))),0.000001))^2)/(2*$I$5),((ABS(F56)/MAX(((G31)+(I31)*(MAX($D$16,(D56)-(K31))))*(MAX($D$16,(D56)-(K31))),0.000001))^2)/(2*$I$5)))+(0)-((ABS(F56)/MAX(((G31)+(I31)*(MAX($D$16,(D56)-(K31))))*(MAX($D$16,(D56)-(K31))),0.000001))^2)/(2*$I$5)</f>
        <v>637.65825100961729</v>
      </c>
      <c r="P56">
        <f>E56+((ABS(G56)/MAX(((G32)+(I32)*(MAX($D$16,(E56)-(K32))))*(MAX($D$16,(E56)-(K32))),0.000001))^2)/(2*$I$5)+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F32)+(H32)*(MAX($D$16,(D56)-(J32))))*(MAX($D$16,(D56)-(J32))),0.000001))^2)/(2*$I$5)</f>
        <v>77633.813830228843</v>
      </c>
      <c r="Q56">
        <f>L56+((ABS(H56)/MAX(((G33)+(I33)*(MAX($D$16,(L56)-(K33))))*(MAX($D$16,(L56)-(K33))),0.000001))^2)/(2*$I$5)+((E33)*((((ABS(H56)*$D$6)/(MAX(((F33)+(H33)*(MAX($D$16,(D56)-(J33))))*(MAX($D$16,(D56)-(J33))),0.000001)*MAX(((((F33)+(H33)*(MAX($D$16,(D56)-(J33))))*(MAX($D$16,(D56)-(J33))))/MAX((F33)+2*(MAX($D$16,(D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D56)-(J33))))*(MAX($D$16,(D56)-(J33))),0.000001)),$D$9*((((ABS(H56)/MAX(((G33)+(I33)*(MAX($D$16,(L56)-(K33))))*(MAX($D$16,(L56)-(K33))),0.000001))^2)/(2*$I$5))-(((ABS(H56)/MAX(((F33)+(H33)*(MAX($D$16,(D56)-(J33))))*(MAX($D$16,(D56)-(J33))),0.000001))^2)/(2*$I$5))),$D$8*((((ABS(H56)/MAX(((F33)+(H33)*(MAX($D$16,(D56)-(J33))))*(MAX($D$16,(D56)-(J33))),0.000001))^2)/(2*$I$5))-(((ABS(H56)/MAX(((G33)+(I33)*(MAX($D$16,(L56)-(K33))))*(MAX($D$16,(L56)-(K33))),0.000001))^2)/(2*$I$5)))))+($D$10*(ABS((X33)-(W33))/90)*MAX(((ABS(H56)/MAX(((F33)+(H33)*(MAX($D$16,(D56)-(J33))))*(MAX($D$16,(D56)-(J33))),0.000001))^2)/(2*$I$5),((ABS(H56)/MAX(((G33)+(I33)*(MAX($D$16,(L56)-(K33))))*(MAX($D$16,(L56)-(K33))),0.000001))^2)/(2*$I$5)))+(($D$11*0.00000015*(ABS(G56)/MAX(ABS(F56),0.000001))^2*MAX(((ABS(H56)/MAX(((F33)+(H33)*(MAX($D$16,(D56)-(J33))))*(MAX($D$16,(D56)-(J33))),0.000001))^2)/(2*$I$5),((ABS(H56)/MAX(((G33)+(I33)*(MAX($D$16,(L56)-(K33))))*(MAX($D$16,(L56)-(K33))),0.000001))^2)/(2*$I$5))))-((ABS(H56)/MAX(((F33)+(H33)*(MAX($D$16,(D56)-(J33))))*(MAX($D$16,(D56)-(J33))),0.000001))^2)/(2*$I$5)</f>
        <v>637</v>
      </c>
      <c r="R56">
        <f>D56+((ABS(G56)/MAX(((F32)+(H32)*(MAX($D$16,(D56)-(J32))))*(MAX($D$16,(D56)-(J32))),0.000001))^2)/(2*$I$5)-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G32)+(I32)*(MAX($D$16,(E56)-(K32))))*(MAX($D$16,(E56)-(K32))),0.000001))^2)/(2*$I$5)</f>
        <v>-47160.71976929051</v>
      </c>
      <c r="S56">
        <f>M56+((ABS(I56)/MAX(((G34)+(I34)*(MAX($D$16,(M56)-(K34))))*(MAX($D$16,(M56)-(K34))),0.000001))^2)/(2*$I$5)+((E34)*((((ABS(I56)*$D$6)/(MAX(((F34)+(H34)*(MAX($D$16,(E56)-(J34))))*(MAX($D$16,(E56)-(J34))),0.000001)*MAX(((((F34)+(H34)*(MAX($D$16,(E56)-(J34))))*(MAX($D$16,(E56)-(J34))))/MAX((F34)+2*(MAX($D$16,(E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E56)-(J34))))*(MAX($D$16,(E56)-(J34))),0.000001)),$D$9*((((ABS(I56)/MAX(((G34)+(I34)*(MAX($D$16,(M56)-(K34))))*(MAX($D$16,(M56)-(K34))),0.000001))^2)/(2*$I$5))-(((ABS(I56)/MAX(((F34)+(H34)*(MAX($D$16,(E56)-(J34))))*(MAX($D$16,(E56)-(J34))),0.000001))^2)/(2*$I$5))),$D$8*((((ABS(I56)/MAX(((F34)+(H34)*(MAX($D$16,(E56)-(J34))))*(MAX($D$16,(E56)-(J34))),0.000001))^2)/(2*$I$5))-(((ABS(I56)/MAX(((G34)+(I34)*(MAX($D$16,(M56)-(K34))))*(MAX($D$16,(M56)-(K34))),0.000001))^2)/(2*$I$5)))))+($D$10*(ABS((X34)-(W34))/90)*MAX(((ABS(I56)/MAX(((F34)+(H34)*(MAX($D$16,(E56)-(J34))))*(MAX($D$16,(E56)-(J34))),0.000001))^2)/(2*$I$5),((ABS(I56)/MAX(((G34)+(I34)*(MAX($D$16,(M56)-(K34))))*(MAX($D$16,(M56)-(K34))),0.000001))^2)/(2*$I$5)))+(0)-((ABS(I56)/MAX(((F34)+(H34)*(MAX($D$16,(E56)-(J34))))*(MAX($D$16,(E56)-(J34))),0.000001))^2)/(2*$I$5)</f>
        <v>635.5</v>
      </c>
      <c r="T56">
        <f>N56+((ABS(J56)/MAX(((G35)+(I35)*(MAX($D$16,(N56)-(K35))))*(MAX($D$16,(N56)-(K35))),0.000001))^2)/(2*$I$5)+((E35)*((((ABS(J56)*$D$6)/(MAX(((F35)+(H35)*(MAX($D$16,(E56)-(J35))))*(MAX($D$16,(E56)-(J35))),0.000001)*MAX(((((F35)+(H35)*(MAX($D$16,(E56)-(J35))))*(MAX($D$16,(E56)-(J35))))/MAX((F35)+2*(MAX($D$16,(E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E56)-(J35))))*(MAX($D$16,(E56)-(J35))),0.000001)),$D$9*((((ABS(J56)/MAX(((G35)+(I35)*(MAX($D$16,(N56)-(K35))))*(MAX($D$16,(N56)-(K35))),0.000001))^2)/(2*$I$5))-(((ABS(J56)/MAX(((F35)+(H35)*(MAX($D$16,(E56)-(J35))))*(MAX($D$16,(E56)-(J35))),0.000001))^2)/(2*$I$5))),$D$8*((((ABS(J56)/MAX(((F35)+(H35)*(MAX($D$16,(E56)-(J35))))*(MAX($D$16,(E56)-(J35))),0.000001))^2)/(2*$I$5))-(((ABS(J56)/MAX(((G35)+(I35)*(MAX($D$16,(N56)-(K35))))*(MAX($D$16,(N56)-(K35))),0.000001))^2)/(2*$I$5)))))+($D$10*(ABS((X35)-(W35))/90)*MAX(((ABS(J56)/MAX(((F35)+(H35)*(MAX($D$16,(E56)-(J35))))*(MAX($D$16,(E56)-(J35))),0.000001))^2)/(2*$I$5),((ABS(J56)/MAX(((G35)+(I35)*(MAX($D$16,(N56)-(K35))))*(MAX($D$16,(N56)-(K35))),0.000001))^2)/(2*$I$5)))+(($D$11*0.34699541*(ABS(I56)/MAX(ABS(G56),0.000001))^2*MAX(((ABS(J56)/MAX(((F35)+(H35)*(MAX($D$16,(E56)-(J35))))*(MAX($D$16,(E56)-(J35))),0.000001))^2)/(2*$I$5),((ABS(J56)/MAX(((G35)+(I35)*(MAX($D$16,(N56)-(K35))))*(MAX($D$16,(N56)-(K35))),0.000001))^2)/(2*$I$5))))-((ABS(J56)/MAX(((F35)+(H35)*(MAX($D$16,(E56)-(J35))))*(MAX($D$16,(E56)-(J35))),0.000001))^2)/(2*$I$5)</f>
        <v>22382.80587457701</v>
      </c>
      <c r="U56">
        <f>(((((F32)*(MAX($D$16,(D56)-(J32)))^2)/2+(H32)*(MAX($D$16,(D56)-(J32)))^3/3+(ABS(G56)^2)/($I$5*MAX(((F32)+(H32)*(MAX($D$16,(D56)-(J32))))*(MAX($D$16,(D56)-(J32))),0.000001)))*0.72785025)-((((F33)*(MAX($D$16,(D56)-(J33)))^2)/2+(H33)*(MAX($D$16,(D56)-(J33)))^3/3+(ABS(H56)^2)/($I$5*MAX(((F33)+(H33)*(MAX($D$16,(D56)-(J33))))*(MAX($D$16,(D56)-(J33))),0.000001)))*0.99999971))/MAX(((G31)*(MAX($D$16,(D56)-(K31)))^2)/2+(I31)*(MAX($D$16,(D56)-(K31)))^3/3+(ABS(F56)^2)/($I$5*MAX(((G31)+(I31)*(MAX($D$16,(D56)-(K31))))*(MAX($D$16,(D56)-(K31))),0.000001)),0.000001)</f>
        <v>-0.2721494599997758</v>
      </c>
      <c r="V56">
        <f>(((((F34)*(MAX($D$16,(E56)-(J34)))^2)/2+(H34)*(MAX($D$16,(E56)-(J34)))^3/3+(ABS(I56)^2)/($I$5*MAX(((F34)+(H34)*(MAX($D$16,(E56)-(J34))))*(MAX($D$16,(E56)-(J34))),0.000001)))*1)-((((F35)*(MAX($D$16,(E56)-(J35)))^2)/2+(H35)*(MAX($D$16,(E56)-(J35)))^3/3+(ABS(J56)^2)/($I$5*MAX(((F35)+(H35)*(MAX($D$16,(E56)-(J35))))*(MAX($D$16,(E56)-(J35))),0.000001)))*0.30600918))/MAX(((G32)*(MAX($D$16,(E56)-(K32)))^2)/2+(I32)*(MAX($D$16,(E56)-(K32)))^3/3+(ABS(G56)^2)/($I$5*MAX(((G32)+(I32)*(MAX($D$16,(E56)-(K32))))*(MAX($D$16,(E56)-(K32))),0.000001)),0.000001)</f>
        <v>-0.30598462674144999</v>
      </c>
      <c r="W56">
        <f>IF(N6="None",MAX(ABS(O56-D56),ABS(P56-D56)),MAX(ABS(O56-D56),ABS(P56-D56),ABS(Q56-D56)))</f>
        <v>38963.451090022536</v>
      </c>
      <c r="X56">
        <f>IF(AND(N7="None",N8="None"),ABS(R56-E56),IF(N8="None",MAX(ABS(R56-E56),ABS(S56-E56)),IF(N7="None",MAX(ABS(R56-E56),ABS(T56-E56)),MAX(ABS(R56-E56),ABS(S56-E56),ABS(T56-E56)))))</f>
        <v>38740.684024123599</v>
      </c>
      <c r="AA56">
        <f>D56+$D$13*(IF(N6="None",AVERAGE(O56:P56),AVERAGE(O56:Q56))-D56)</f>
        <v>38833.24339535083</v>
      </c>
      <c r="AB56">
        <f>E56+$D$13*(IF(AND(N7="None",N8="None"),R56,IF(N8="None",AVERAGE(R56:S56),IF(N7="None",AVERAGE(R56,T56),AVERAGE(R56:T56))))-E56)</f>
        <v>-8289.6381887417338</v>
      </c>
    </row>
    <row r="57" spans="1:28" x14ac:dyDescent="0.35">
      <c r="A57">
        <v>14</v>
      </c>
      <c r="B57">
        <f t="shared" si="3"/>
        <v>0</v>
      </c>
      <c r="C57">
        <f t="shared" si="4"/>
        <v>0</v>
      </c>
      <c r="D57">
        <f t="shared" si="5"/>
        <v>38833.24339535083</v>
      </c>
      <c r="E57">
        <f t="shared" si="6"/>
        <v>-8289.6381887417338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>IF(AND(N7="None",N8="None"),0,IF(N8="None",G57,IF(N7="None",0,MAX(0,G57*C57))))</f>
        <v>0</v>
      </c>
      <c r="J57">
        <f>IF(AND(N7="None",N8="None"),0,IF(N8="None",0,IF(N7="None",G57,MAX(0,G57-I57))))</f>
        <v>51</v>
      </c>
      <c r="K57">
        <f>P5</f>
        <v>637</v>
      </c>
      <c r="L57">
        <f>P6</f>
        <v>637</v>
      </c>
      <c r="M57">
        <f>P7</f>
        <v>635.5</v>
      </c>
      <c r="N57">
        <f>P8</f>
        <v>631.54999999999995</v>
      </c>
      <c r="O57">
        <f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D57)-(K31))))*(MAX($D$16,(D57)-(K31))),0.000001)*MAX(((((G31)+(I31)*(MAX($D$16,(D57)-(K31))))*(MAX($D$16,(D57)-(K31))))/MAX((G31)+2*(MAX($D$16,(D57)-(K31)))*SQRT(1+(I31)^2),0.000001))^(2/3),0.000001)))^2))/2)+(IF((ABS(F57)/MAX(((G31)+(I31)*(MAX($D$16,(D57)-(K31))))*(MAX($D$16,(D57)-(K31))),0.000001))&gt;(ABS(F57)/MAX(((F31)+(H31)*(MAX($D$16,(K57)-(J31))))*(MAX($D$16,(K57)-(J31))),0.000001)),$D$9*((((ABS(F57)/MAX(((G31)+(I31)*(MAX($D$16,(D57)-(K31))))*(MAX($D$16,(D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D57)-(K31))))*(MAX($D$16,(D57)-(K31))),0.000001))^2)/(2*$I$5)))))+($D$10*(ABS((X31)-(W31))/90)*MAX(((ABS(F57)/MAX(((F31)+(H31)*(MAX($D$16,(K57)-(J31))))*(MAX($D$16,(K57)-(J31))),0.000001))^2)/(2*$I$5),((ABS(F57)/MAX(((G31)+(I31)*(MAX($D$16,(D57)-(K31))))*(MAX($D$16,(D57)-(K31))),0.000001))^2)/(2*$I$5)))+(0)-((ABS(F57)/MAX(((G31)+(I31)*(MAX($D$16,(D57)-(K31))))*(MAX($D$16,(D57)-(K31))),0.000001))^2)/(2*$I$5)</f>
        <v>637.65825100964082</v>
      </c>
      <c r="P57">
        <f>E57+((ABS(G57)/MAX(((G32)+(I32)*(MAX($D$16,(E57)-(K32))))*(MAX($D$16,(E57)-(K32))),0.000001))^2)/(2*$I$5)+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F32)+(H32)*(MAX($D$16,(D57)-(J32))))*(MAX($D$16,(D57)-(J32))),0.000001))^2)/(2*$I$5)</f>
        <v>77764.211386654017</v>
      </c>
      <c r="Q57">
        <f>L57+((ABS(H57)/MAX(((G33)+(I33)*(MAX($D$16,(L57)-(K33))))*(MAX($D$16,(L57)-(K33))),0.000001))^2)/(2*$I$5)+((E33)*((((ABS(H57)*$D$6)/(MAX(((F33)+(H33)*(MAX($D$16,(D57)-(J33))))*(MAX($D$16,(D57)-(J33))),0.000001)*MAX(((((F33)+(H33)*(MAX($D$16,(D57)-(J33))))*(MAX($D$16,(D57)-(J33))))/MAX((F33)+2*(MAX($D$16,(D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D57)-(J33))))*(MAX($D$16,(D57)-(J33))),0.000001)),$D$9*((((ABS(H57)/MAX(((G33)+(I33)*(MAX($D$16,(L57)-(K33))))*(MAX($D$16,(L57)-(K33))),0.000001))^2)/(2*$I$5))-(((ABS(H57)/MAX(((F33)+(H33)*(MAX($D$16,(D57)-(J33))))*(MAX($D$16,(D57)-(J33))),0.000001))^2)/(2*$I$5))),$D$8*((((ABS(H57)/MAX(((F33)+(H33)*(MAX($D$16,(D57)-(J33))))*(MAX($D$16,(D57)-(J33))),0.000001))^2)/(2*$I$5))-(((ABS(H57)/MAX(((G33)+(I33)*(MAX($D$16,(L57)-(K33))))*(MAX($D$16,(L57)-(K33))),0.000001))^2)/(2*$I$5)))))+($D$10*(ABS((X33)-(W33))/90)*MAX(((ABS(H57)/MAX(((F33)+(H33)*(MAX($D$16,(D57)-(J33))))*(MAX($D$16,(D57)-(J33))),0.000001))^2)/(2*$I$5),((ABS(H57)/MAX(((G33)+(I33)*(MAX($D$16,(L57)-(K33))))*(MAX($D$16,(L57)-(K33))),0.000001))^2)/(2*$I$5)))+(($D$11*0.00000015*(ABS(G57)/MAX(ABS(F57),0.000001))^2*MAX(((ABS(H57)/MAX(((F33)+(H33)*(MAX($D$16,(D57)-(J33))))*(MAX($D$16,(D57)-(J33))),0.000001))^2)/(2*$I$5),((ABS(H57)/MAX(((G33)+(I33)*(MAX($D$16,(L57)-(K33))))*(MAX($D$16,(L57)-(K33))),0.000001))^2)/(2*$I$5))))-((ABS(H57)/MAX(((F33)+(H33)*(MAX($D$16,(D57)-(J33))))*(MAX($D$16,(D57)-(J33))),0.000001))^2)/(2*$I$5)</f>
        <v>637</v>
      </c>
      <c r="R57">
        <f>D57+((ABS(G57)/MAX(((F32)+(H32)*(MAX($D$16,(D57)-(J32))))*(MAX($D$16,(D57)-(J32))),0.000001))^2)/(2*$I$5)-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G32)+(I32)*(MAX($D$16,(E57)-(K32))))*(MAX($D$16,(E57)-(K32))),0.000001))^2)/(2*$I$5)</f>
        <v>-46997.839114145994</v>
      </c>
      <c r="S57">
        <f>M57+((ABS(I57)/MAX(((G34)+(I34)*(MAX($D$16,(M57)-(K34))))*(MAX($D$16,(M57)-(K34))),0.000001))^2)/(2*$I$5)+((E34)*((((ABS(I57)*$D$6)/(MAX(((F34)+(H34)*(MAX($D$16,(E57)-(J34))))*(MAX($D$16,(E57)-(J34))),0.000001)*MAX(((((F34)+(H34)*(MAX($D$16,(E57)-(J34))))*(MAX($D$16,(E57)-(J34))))/MAX((F34)+2*(MAX($D$16,(E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E57)-(J34))))*(MAX($D$16,(E57)-(J34))),0.000001)),$D$9*((((ABS(I57)/MAX(((G34)+(I34)*(MAX($D$16,(M57)-(K34))))*(MAX($D$16,(M57)-(K34))),0.000001))^2)/(2*$I$5))-(((ABS(I57)/MAX(((F34)+(H34)*(MAX($D$16,(E57)-(J34))))*(MAX($D$16,(E57)-(J34))),0.000001))^2)/(2*$I$5))),$D$8*((((ABS(I57)/MAX(((F34)+(H34)*(MAX($D$16,(E57)-(J34))))*(MAX($D$16,(E57)-(J34))),0.000001))^2)/(2*$I$5))-(((ABS(I57)/MAX(((G34)+(I34)*(MAX($D$16,(M57)-(K34))))*(MAX($D$16,(M57)-(K34))),0.000001))^2)/(2*$I$5)))))+($D$10*(ABS((X34)-(W34))/90)*MAX(((ABS(I57)/MAX(((F34)+(H34)*(MAX($D$16,(E57)-(J34))))*(MAX($D$16,(E57)-(J34))),0.000001))^2)/(2*$I$5),((ABS(I57)/MAX(((G34)+(I34)*(MAX($D$16,(M57)-(K34))))*(MAX($D$16,(M57)-(K34))),0.000001))^2)/(2*$I$5)))+(0)-((ABS(I57)/MAX(((F34)+(H34)*(MAX($D$16,(E57)-(J34))))*(MAX($D$16,(E57)-(J34))),0.000001))^2)/(2*$I$5)</f>
        <v>635.5</v>
      </c>
      <c r="T57">
        <f>N57+((ABS(J57)/MAX(((G35)+(I35)*(MAX($D$16,(N57)-(K35))))*(MAX($D$16,(N57)-(K35))),0.000001))^2)/(2*$I$5)+((E35)*((((ABS(J57)*$D$6)/(MAX(((F35)+(H35)*(MAX($D$16,(E57)-(J35))))*(MAX($D$16,(E57)-(J35))),0.000001)*MAX(((((F35)+(H35)*(MAX($D$16,(E57)-(J35))))*(MAX($D$16,(E57)-(J35))))/MAX((F35)+2*(MAX($D$16,(E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E57)-(J35))))*(MAX($D$16,(E57)-(J35))),0.000001)),$D$9*((((ABS(J57)/MAX(((G35)+(I35)*(MAX($D$16,(N57)-(K35))))*(MAX($D$16,(N57)-(K35))),0.000001))^2)/(2*$I$5))-(((ABS(J57)/MAX(((F35)+(H35)*(MAX($D$16,(E57)-(J35))))*(MAX($D$16,(E57)-(J35))),0.000001))^2)/(2*$I$5))),$D$8*((((ABS(J57)/MAX(((F35)+(H35)*(MAX($D$16,(E57)-(J35))))*(MAX($D$16,(E57)-(J35))),0.000001))^2)/(2*$I$5))-(((ABS(J57)/MAX(((G35)+(I35)*(MAX($D$16,(N57)-(K35))))*(MAX($D$16,(N57)-(K35))),0.000001))^2)/(2*$I$5)))))+($D$10*(ABS((X35)-(W35))/90)*MAX(((ABS(J57)/MAX(((F35)+(H35)*(MAX($D$16,(E57)-(J35))))*(MAX($D$16,(E57)-(J35))),0.000001))^2)/(2*$I$5),((ABS(J57)/MAX(((G35)+(I35)*(MAX($D$16,(N57)-(K35))))*(MAX($D$16,(N57)-(K35))),0.000001))^2)/(2*$I$5)))+(($D$11*0.34699541*(ABS(I57)/MAX(ABS(G57),0.000001))^2*MAX(((ABS(J57)/MAX(((F35)+(H35)*(MAX($D$16,(E57)-(J35))))*(MAX($D$16,(E57)-(J35))),0.000001))^2)/(2*$I$5),((ABS(J57)/MAX(((G35)+(I35)*(MAX($D$16,(N57)-(K35))))*(MAX($D$16,(N57)-(K35))),0.000001))^2)/(2*$I$5))))-((ABS(J57)/MAX(((F35)+(H35)*(MAX($D$16,(E57)-(J35))))*(MAX($D$16,(E57)-(J35))),0.000001))^2)/(2*$I$5)</f>
        <v>22382.80587457701</v>
      </c>
      <c r="U57">
        <f>(((((F32)*(MAX($D$16,(D57)-(J32)))^2)/2+(H32)*(MAX($D$16,(D57)-(J32)))^3/3+(ABS(G57)^2)/($I$5*MAX(((F32)+(H32)*(MAX($D$16,(D57)-(J32))))*(MAX($D$16,(D57)-(J32))),0.000001)))*0.72785025)-((((F33)*(MAX($D$16,(D57)-(J33)))^2)/2+(H33)*(MAX($D$16,(D57)-(J33)))^3/3+(ABS(H57)^2)/($I$5*MAX(((F33)+(H33)*(MAX($D$16,(D57)-(J33))))*(MAX($D$16,(D57)-(J33))),0.000001)))*0.99999971))/MAX(((G31)*(MAX($D$16,(D57)-(K31)))^2)/2+(I31)*(MAX($D$16,(D57)-(K31)))^3/3+(ABS(F57)^2)/($I$5*MAX(((G31)+(I31)*(MAX($D$16,(D57)-(K31))))*(MAX($D$16,(D57)-(K31))),0.000001)),0.000001)</f>
        <v>-0.27214945999977874</v>
      </c>
      <c r="V57">
        <f>(((((F34)*(MAX($D$16,(E57)-(J34)))^2)/2+(H34)*(MAX($D$16,(E57)-(J34)))^3/3+(ABS(I57)^2)/($I$5*MAX(((F34)+(H34)*(MAX($D$16,(E57)-(J34))))*(MAX($D$16,(E57)-(J34))),0.000001)))*1)-((((F35)*(MAX($D$16,(E57)-(J35)))^2)/2+(H35)*(MAX($D$16,(E57)-(J35)))^3/3+(ABS(J57)^2)/($I$5*MAX(((F35)+(H35)*(MAX($D$16,(E57)-(J35))))*(MAX($D$16,(E57)-(J35))),0.000001)))*0.30600918))/MAX(((G32)*(MAX($D$16,(E57)-(K32)))^2)/2+(I32)*(MAX($D$16,(E57)-(K32)))^3/3+(ABS(G57)^2)/($I$5*MAX(((G32)+(I32)*(MAX($D$16,(E57)-(K32))))*(MAX($D$16,(E57)-(K32))),0.000001)),0.000001)</f>
        <v>-0.30598462674144999</v>
      </c>
      <c r="W57">
        <f>IF(N6="None",MAX(ABS(O57-D57),ABS(P57-D57)),MAX(ABS(O57-D57),ABS(P57-D57),ABS(Q57-D57)))</f>
        <v>38930.967991303187</v>
      </c>
      <c r="X57">
        <f>IF(AND(N7="None",N8="None"),ABS(R57-E57),IF(N8="None",MAX(ABS(R57-E57),ABS(S57-E57)),IF(N7="None",MAX(ABS(R57-E57),ABS(T57-E57)),MAX(ABS(R57-E57),ABS(S57-E57),ABS(T57-E57)))))</f>
        <v>38708.200925404264</v>
      </c>
      <c r="AA57">
        <f>D57+$D$13*(IF(N6="None",AVERAGE(O57:P57),AVERAGE(O57:Q57))-D57)</f>
        <v>38961.935393569176</v>
      </c>
      <c r="AB57">
        <f>E57+$D$13*(IF(AND(N7="None",N8="None"),R57,IF(N8="None",AVERAGE(R57:S57),IF(N7="None",AVERAGE(R57,T57),AVERAGE(R57:T57))))-E57)</f>
        <v>-8185.8770339651746</v>
      </c>
    </row>
    <row r="58" spans="1:28" x14ac:dyDescent="0.35">
      <c r="A58">
        <v>15</v>
      </c>
      <c r="B58">
        <f t="shared" si="3"/>
        <v>0</v>
      </c>
      <c r="C58">
        <f t="shared" si="4"/>
        <v>0</v>
      </c>
      <c r="D58">
        <f t="shared" si="5"/>
        <v>38961.935393569176</v>
      </c>
      <c r="E58">
        <f t="shared" si="6"/>
        <v>-8185.8770339651746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>IF(AND(N7="None",N8="None"),0,IF(N8="None",G58,IF(N7="None",0,MAX(0,G58*C58))))</f>
        <v>0</v>
      </c>
      <c r="J58">
        <f>IF(AND(N7="None",N8="None"),0,IF(N8="None",0,IF(N7="None",G58,MAX(0,G58-I58))))</f>
        <v>51</v>
      </c>
      <c r="K58">
        <f>P5</f>
        <v>637</v>
      </c>
      <c r="L58">
        <f>P6</f>
        <v>637</v>
      </c>
      <c r="M58">
        <f>P7</f>
        <v>635.5</v>
      </c>
      <c r="N58">
        <f>P8</f>
        <v>631.54999999999995</v>
      </c>
      <c r="O58">
        <f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D58)-(K31))))*(MAX($D$16,(D58)-(K31))),0.000001)*MAX(((((G31)+(I31)*(MAX($D$16,(D58)-(K31))))*(MAX($D$16,(D58)-(K31))))/MAX((G31)+2*(MAX($D$16,(D58)-(K31)))*SQRT(1+(I31)^2),0.000001))^(2/3),0.000001)))^2))/2)+(IF((ABS(F58)/MAX(((G31)+(I31)*(MAX($D$16,(D58)-(K31))))*(MAX($D$16,(D58)-(K31))),0.000001))&gt;(ABS(F58)/MAX(((F31)+(H31)*(MAX($D$16,(K58)-(J31))))*(MAX($D$16,(K58)-(J31))),0.000001)),$D$9*((((ABS(F58)/MAX(((G31)+(I31)*(MAX($D$16,(D58)-(K31))))*(MAX($D$16,(D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D58)-(K31))))*(MAX($D$16,(D58)-(K31))),0.000001))^2)/(2*$I$5)))))+($D$10*(ABS((X31)-(W31))/90)*MAX(((ABS(F58)/MAX(((F31)+(H31)*(MAX($D$16,(K58)-(J31))))*(MAX($D$16,(K58)-(J31))),0.000001))^2)/(2*$I$5),((ABS(F58)/MAX(((G31)+(I31)*(MAX($D$16,(D58)-(K31))))*(MAX($D$16,(D58)-(K31))),0.000001))^2)/(2*$I$5)))+(0)-((ABS(F58)/MAX(((G31)+(I31)*(MAX($D$16,(D58)-(K31))))*(MAX($D$16,(D58)-(K31))),0.000001))^2)/(2*$I$5)</f>
        <v>637.65825100965935</v>
      </c>
      <c r="P58">
        <f>E58+((ABS(G58)/MAX(((G32)+(I32)*(MAX($D$16,(E58)-(K32))))*(MAX($D$16,(E58)-(K32))),0.000001))^2)/(2*$I$5)+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F32)+(H32)*(MAX($D$16,(D58)-(J32))))*(MAX($D$16,(D58)-(J32))),0.000001))^2)/(2*$I$5)</f>
        <v>77867.972541430587</v>
      </c>
      <c r="Q58">
        <f>L58+((ABS(H58)/MAX(((G33)+(I33)*(MAX($D$16,(L58)-(K33))))*(MAX($D$16,(L58)-(K33))),0.000001))^2)/(2*$I$5)+((E33)*((((ABS(H58)*$D$6)/(MAX(((F33)+(H33)*(MAX($D$16,(D58)-(J33))))*(MAX($D$16,(D58)-(J33))),0.000001)*MAX(((((F33)+(H33)*(MAX($D$16,(D58)-(J33))))*(MAX($D$16,(D58)-(J33))))/MAX((F33)+2*(MAX($D$16,(D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D58)-(J33))))*(MAX($D$16,(D58)-(J33))),0.000001)),$D$9*((((ABS(H58)/MAX(((G33)+(I33)*(MAX($D$16,(L58)-(K33))))*(MAX($D$16,(L58)-(K33))),0.000001))^2)/(2*$I$5))-(((ABS(H58)/MAX(((F33)+(H33)*(MAX($D$16,(D58)-(J33))))*(MAX($D$16,(D58)-(J33))),0.000001))^2)/(2*$I$5))),$D$8*((((ABS(H58)/MAX(((F33)+(H33)*(MAX($D$16,(D58)-(J33))))*(MAX($D$16,(D58)-(J33))),0.000001))^2)/(2*$I$5))-(((ABS(H58)/MAX(((G33)+(I33)*(MAX($D$16,(L58)-(K33))))*(MAX($D$16,(L58)-(K33))),0.000001))^2)/(2*$I$5)))))+($D$10*(ABS((X33)-(W33))/90)*MAX(((ABS(H58)/MAX(((F33)+(H33)*(MAX($D$16,(D58)-(J33))))*(MAX($D$16,(D58)-(J33))),0.000001))^2)/(2*$I$5),((ABS(H58)/MAX(((G33)+(I33)*(MAX($D$16,(L58)-(K33))))*(MAX($D$16,(L58)-(K33))),0.000001))^2)/(2*$I$5)))+(($D$11*0.00000015*(ABS(G58)/MAX(ABS(F58),0.000001))^2*MAX(((ABS(H58)/MAX(((F33)+(H33)*(MAX($D$16,(D58)-(J33))))*(MAX($D$16,(D58)-(J33))),0.000001))^2)/(2*$I$5),((ABS(H58)/MAX(((G33)+(I33)*(MAX($D$16,(L58)-(K33))))*(MAX($D$16,(L58)-(K33))),0.000001))^2)/(2*$I$5))))-((ABS(H58)/MAX(((F33)+(H33)*(MAX($D$16,(D58)-(J33))))*(MAX($D$16,(D58)-(J33))),0.000001))^2)/(2*$I$5)</f>
        <v>637</v>
      </c>
      <c r="R58">
        <f>D58+((ABS(G58)/MAX(((F32)+(H32)*(MAX($D$16,(D58)-(J32))))*(MAX($D$16,(D58)-(J32))),0.000001))^2)/(2*$I$5)-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G32)+(I32)*(MAX($D$16,(E58)-(K32))))*(MAX($D$16,(E58)-(K32))),0.000001))^2)/(2*$I$5)</f>
        <v>-46869.147115927663</v>
      </c>
      <c r="S58">
        <f>M58+((ABS(I58)/MAX(((G34)+(I34)*(MAX($D$16,(M58)-(K34))))*(MAX($D$16,(M58)-(K34))),0.000001))^2)/(2*$I$5)+((E34)*((((ABS(I58)*$D$6)/(MAX(((F34)+(H34)*(MAX($D$16,(E58)-(J34))))*(MAX($D$16,(E58)-(J34))),0.000001)*MAX(((((F34)+(H34)*(MAX($D$16,(E58)-(J34))))*(MAX($D$16,(E58)-(J34))))/MAX((F34)+2*(MAX($D$16,(E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E58)-(J34))))*(MAX($D$16,(E58)-(J34))),0.000001)),$D$9*((((ABS(I58)/MAX(((G34)+(I34)*(MAX($D$16,(M58)-(K34))))*(MAX($D$16,(M58)-(K34))),0.000001))^2)/(2*$I$5))-(((ABS(I58)/MAX(((F34)+(H34)*(MAX($D$16,(E58)-(J34))))*(MAX($D$16,(E58)-(J34))),0.000001))^2)/(2*$I$5))),$D$8*((((ABS(I58)/MAX(((F34)+(H34)*(MAX($D$16,(E58)-(J34))))*(MAX($D$16,(E58)-(J34))),0.000001))^2)/(2*$I$5))-(((ABS(I58)/MAX(((G34)+(I34)*(MAX($D$16,(M58)-(K34))))*(MAX($D$16,(M58)-(K34))),0.000001))^2)/(2*$I$5)))))+($D$10*(ABS((X34)-(W34))/90)*MAX(((ABS(I58)/MAX(((F34)+(H34)*(MAX($D$16,(E58)-(J34))))*(MAX($D$16,(E58)-(J34))),0.000001))^2)/(2*$I$5),((ABS(I58)/MAX(((G34)+(I34)*(MAX($D$16,(M58)-(K34))))*(MAX($D$16,(M58)-(K34))),0.000001))^2)/(2*$I$5)))+(0)-((ABS(I58)/MAX(((F34)+(H34)*(MAX($D$16,(E58)-(J34))))*(MAX($D$16,(E58)-(J34))),0.000001))^2)/(2*$I$5)</f>
        <v>635.5</v>
      </c>
      <c r="T58">
        <f>N58+((ABS(J58)/MAX(((G35)+(I35)*(MAX($D$16,(N58)-(K35))))*(MAX($D$16,(N58)-(K35))),0.000001))^2)/(2*$I$5)+((E35)*((((ABS(J58)*$D$6)/(MAX(((F35)+(H35)*(MAX($D$16,(E58)-(J35))))*(MAX($D$16,(E58)-(J35))),0.000001)*MAX(((((F35)+(H35)*(MAX($D$16,(E58)-(J35))))*(MAX($D$16,(E58)-(J35))))/MAX((F35)+2*(MAX($D$16,(E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E58)-(J35))))*(MAX($D$16,(E58)-(J35))),0.000001)),$D$9*((((ABS(J58)/MAX(((G35)+(I35)*(MAX($D$16,(N58)-(K35))))*(MAX($D$16,(N58)-(K35))),0.000001))^2)/(2*$I$5))-(((ABS(J58)/MAX(((F35)+(H35)*(MAX($D$16,(E58)-(J35))))*(MAX($D$16,(E58)-(J35))),0.000001))^2)/(2*$I$5))),$D$8*((((ABS(J58)/MAX(((F35)+(H35)*(MAX($D$16,(E58)-(J35))))*(MAX($D$16,(E58)-(J35))),0.000001))^2)/(2*$I$5))-(((ABS(J58)/MAX(((G35)+(I35)*(MAX($D$16,(N58)-(K35))))*(MAX($D$16,(N58)-(K35))),0.000001))^2)/(2*$I$5)))))+($D$10*(ABS((X35)-(W35))/90)*MAX(((ABS(J58)/MAX(((F35)+(H35)*(MAX($D$16,(E58)-(J35))))*(MAX($D$16,(E58)-(J35))),0.000001))^2)/(2*$I$5),((ABS(J58)/MAX(((G35)+(I35)*(MAX($D$16,(N58)-(K35))))*(MAX($D$16,(N58)-(K35))),0.000001))^2)/(2*$I$5)))+(($D$11*0.34699541*(ABS(I58)/MAX(ABS(G58),0.000001))^2*MAX(((ABS(J58)/MAX(((F35)+(H35)*(MAX($D$16,(E58)-(J35))))*(MAX($D$16,(E58)-(J35))),0.000001))^2)/(2*$I$5),((ABS(J58)/MAX(((G35)+(I35)*(MAX($D$16,(N58)-(K35))))*(MAX($D$16,(N58)-(K35))),0.000001))^2)/(2*$I$5))))-((ABS(J58)/MAX(((F35)+(H35)*(MAX($D$16,(E58)-(J35))))*(MAX($D$16,(E58)-(J35))),0.000001))^2)/(2*$I$5)</f>
        <v>22382.80587457701</v>
      </c>
      <c r="U58">
        <f>(((((F32)*(MAX($D$16,(D58)-(J32)))^2)/2+(H32)*(MAX($D$16,(D58)-(J32)))^3/3+(ABS(G58)^2)/($I$5*MAX(((F32)+(H32)*(MAX($D$16,(D58)-(J32))))*(MAX($D$16,(D58)-(J32))),0.000001)))*0.72785025)-((((F33)*(MAX($D$16,(D58)-(J33)))^2)/2+(H33)*(MAX($D$16,(D58)-(J33)))^3/3+(ABS(H58)^2)/($I$5*MAX(((F33)+(H33)*(MAX($D$16,(D58)-(J33))))*(MAX($D$16,(D58)-(J33))),0.000001)))*0.99999971))/MAX(((G31)*(MAX($D$16,(D58)-(K31)))^2)/2+(I31)*(MAX($D$16,(D58)-(K31)))^3/3+(ABS(F58)^2)/($I$5*MAX(((G31)+(I31)*(MAX($D$16,(D58)-(K31))))*(MAX($D$16,(D58)-(K31))),0.000001)),0.000001)</f>
        <v>-0.27214945999978102</v>
      </c>
      <c r="V58">
        <f>(((((F34)*(MAX($D$16,(E58)-(J34)))^2)/2+(H34)*(MAX($D$16,(E58)-(J34)))^3/3+(ABS(I58)^2)/($I$5*MAX(((F34)+(H34)*(MAX($D$16,(E58)-(J34))))*(MAX($D$16,(E58)-(J34))),0.000001)))*1)-((((F35)*(MAX($D$16,(E58)-(J35)))^2)/2+(H35)*(MAX($D$16,(E58)-(J35)))^3/3+(ABS(J58)^2)/($I$5*MAX(((F35)+(H35)*(MAX($D$16,(E58)-(J35))))*(MAX($D$16,(E58)-(J35))),0.000001)))*0.30600918))/MAX(((G32)*(MAX($D$16,(E58)-(K32)))^2)/2+(I32)*(MAX($D$16,(E58)-(K32)))^3/3+(ABS(G58)^2)/($I$5*MAX(((G32)+(I32)*(MAX($D$16,(E58)-(K32))))*(MAX($D$16,(E58)-(K32))),0.000001)),0.000001)</f>
        <v>-0.30598462674144999</v>
      </c>
      <c r="W58">
        <f>IF(N6="None",MAX(ABS(O58-D58),ABS(P58-D58)),MAX(ABS(O58-D58),ABS(P58-D58),ABS(Q58-D58)))</f>
        <v>38906.037147861411</v>
      </c>
      <c r="X58">
        <f>IF(AND(N7="None",N8="None"),ABS(R58-E58),IF(N8="None",MAX(ABS(R58-E58),ABS(S58-E58)),IF(N7="None",MAX(ABS(R58-E58),ABS(T58-E58)),MAX(ABS(R58-E58),ABS(S58-E58),ABS(T58-E58)))))</f>
        <v>38683.270081962488</v>
      </c>
      <c r="AA58">
        <f>D58+$D$13*(IF(N6="None",AVERAGE(O58:P58),AVERAGE(O58:Q58))-D58)</f>
        <v>39063.743394497011</v>
      </c>
      <c r="AB58">
        <f>E58+$D$13*(IF(AND(N7="None",N8="None"),R58,IF(N8="None",AVERAGE(R58:S58),IF(N7="None",AVERAGE(R58,T58),AVERAGE(R58:T58))))-E58)</f>
        <v>-8103.4182169016067</v>
      </c>
    </row>
    <row r="59" spans="1:28" x14ac:dyDescent="0.35">
      <c r="A59">
        <v>16</v>
      </c>
      <c r="B59">
        <f t="shared" si="3"/>
        <v>0</v>
      </c>
      <c r="C59">
        <f t="shared" si="4"/>
        <v>0</v>
      </c>
      <c r="D59">
        <f t="shared" si="5"/>
        <v>39063.743394497011</v>
      </c>
      <c r="E59">
        <f t="shared" si="6"/>
        <v>-8103.4182169016067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>IF(AND(N7="None",N8="None"),0,IF(N8="None",G59,IF(N7="None",0,MAX(0,G59*C59))))</f>
        <v>0</v>
      </c>
      <c r="J59">
        <f>IF(AND(N7="None",N8="None"),0,IF(N8="None",0,IF(N7="None",G59,MAX(0,G59-I59))))</f>
        <v>51</v>
      </c>
      <c r="K59">
        <f>P5</f>
        <v>637</v>
      </c>
      <c r="L59">
        <f>P6</f>
        <v>637</v>
      </c>
      <c r="M59">
        <f>P7</f>
        <v>635.5</v>
      </c>
      <c r="N59">
        <f>P8</f>
        <v>631.54999999999995</v>
      </c>
      <c r="O59">
        <f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D59)-(K31))))*(MAX($D$16,(D59)-(K31))),0.000001)*MAX(((((G31)+(I31)*(MAX($D$16,(D59)-(K31))))*(MAX($D$16,(D59)-(K31))))/MAX((G31)+2*(MAX($D$16,(D59)-(K31)))*SQRT(1+(I31)^2),0.000001))^(2/3),0.000001)))^2))/2)+(IF((ABS(F59)/MAX(((G31)+(I31)*(MAX($D$16,(D59)-(K31))))*(MAX($D$16,(D59)-(K31))),0.000001))&gt;(ABS(F59)/MAX(((F31)+(H31)*(MAX($D$16,(K59)-(J31))))*(MAX($D$16,(K59)-(J31))),0.000001)),$D$9*((((ABS(F59)/MAX(((G31)+(I31)*(MAX($D$16,(D59)-(K31))))*(MAX($D$16,(D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D59)-(K31))))*(MAX($D$16,(D59)-(K31))),0.000001))^2)/(2*$I$5)))))+($D$10*(ABS((X31)-(W31))/90)*MAX(((ABS(F59)/MAX(((F31)+(H31)*(MAX($D$16,(K59)-(J31))))*(MAX($D$16,(K59)-(J31))),0.000001))^2)/(2*$I$5),((ABS(F59)/MAX(((G31)+(I31)*(MAX($D$16,(D59)-(K31))))*(MAX($D$16,(D59)-(K31))),0.000001))^2)/(2*$I$5)))+(0)-((ABS(F59)/MAX(((G31)+(I31)*(MAX($D$16,(D59)-(K31))))*(MAX($D$16,(D59)-(K31))),0.000001))^2)/(2*$I$5)</f>
        <v>637.65825100967402</v>
      </c>
      <c r="P59">
        <f>E59+((ABS(G59)/MAX(((G32)+(I32)*(MAX($D$16,(E59)-(K32))))*(MAX($D$16,(E59)-(K32))),0.000001))^2)/(2*$I$5)+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F32)+(H32)*(MAX($D$16,(D59)-(J32))))*(MAX($D$16,(D59)-(J32))),0.000001))^2)/(2*$I$5)</f>
        <v>77950.431358494156</v>
      </c>
      <c r="Q59">
        <f>L59+((ABS(H59)/MAX(((G33)+(I33)*(MAX($D$16,(L59)-(K33))))*(MAX($D$16,(L59)-(K33))),0.000001))^2)/(2*$I$5)+((E33)*((((ABS(H59)*$D$6)/(MAX(((F33)+(H33)*(MAX($D$16,(D59)-(J33))))*(MAX($D$16,(D59)-(J33))),0.000001)*MAX(((((F33)+(H33)*(MAX($D$16,(D59)-(J33))))*(MAX($D$16,(D59)-(J33))))/MAX((F33)+2*(MAX($D$16,(D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D59)-(J33))))*(MAX($D$16,(D59)-(J33))),0.000001)),$D$9*((((ABS(H59)/MAX(((G33)+(I33)*(MAX($D$16,(L59)-(K33))))*(MAX($D$16,(L59)-(K33))),0.000001))^2)/(2*$I$5))-(((ABS(H59)/MAX(((F33)+(H33)*(MAX($D$16,(D59)-(J33))))*(MAX($D$16,(D59)-(J33))),0.000001))^2)/(2*$I$5))),$D$8*((((ABS(H59)/MAX(((F33)+(H33)*(MAX($D$16,(D59)-(J33))))*(MAX($D$16,(D59)-(J33))),0.000001))^2)/(2*$I$5))-(((ABS(H59)/MAX(((G33)+(I33)*(MAX($D$16,(L59)-(K33))))*(MAX($D$16,(L59)-(K33))),0.000001))^2)/(2*$I$5)))))+($D$10*(ABS((X33)-(W33))/90)*MAX(((ABS(H59)/MAX(((F33)+(H33)*(MAX($D$16,(D59)-(J33))))*(MAX($D$16,(D59)-(J33))),0.000001))^2)/(2*$I$5),((ABS(H59)/MAX(((G33)+(I33)*(MAX($D$16,(L59)-(K33))))*(MAX($D$16,(L59)-(K33))),0.000001))^2)/(2*$I$5)))+(($D$11*0.00000015*(ABS(G59)/MAX(ABS(F59),0.000001))^2*MAX(((ABS(H59)/MAX(((F33)+(H33)*(MAX($D$16,(D59)-(J33))))*(MAX($D$16,(D59)-(J33))),0.000001))^2)/(2*$I$5),((ABS(H59)/MAX(((G33)+(I33)*(MAX($D$16,(L59)-(K33))))*(MAX($D$16,(L59)-(K33))),0.000001))^2)/(2*$I$5))))-((ABS(H59)/MAX(((F33)+(H33)*(MAX($D$16,(D59)-(J33))))*(MAX($D$16,(D59)-(J33))),0.000001))^2)/(2*$I$5)</f>
        <v>637</v>
      </c>
      <c r="R59">
        <f>D59+((ABS(G59)/MAX(((F32)+(H32)*(MAX($D$16,(D59)-(J32))))*(MAX($D$16,(D59)-(J32))),0.000001))^2)/(2*$I$5)-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G32)+(I32)*(MAX($D$16,(E59)-(K32))))*(MAX($D$16,(E59)-(K32))),0.000001))^2)/(2*$I$5)</f>
        <v>-46767.339114999821</v>
      </c>
      <c r="S59">
        <f>M59+((ABS(I59)/MAX(((G34)+(I34)*(MAX($D$16,(M59)-(K34))))*(MAX($D$16,(M59)-(K34))),0.000001))^2)/(2*$I$5)+((E34)*((((ABS(I59)*$D$6)/(MAX(((F34)+(H34)*(MAX($D$16,(E59)-(J34))))*(MAX($D$16,(E59)-(J34))),0.000001)*MAX(((((F34)+(H34)*(MAX($D$16,(E59)-(J34))))*(MAX($D$16,(E59)-(J34))))/MAX((F34)+2*(MAX($D$16,(E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E59)-(J34))))*(MAX($D$16,(E59)-(J34))),0.000001)),$D$9*((((ABS(I59)/MAX(((G34)+(I34)*(MAX($D$16,(M59)-(K34))))*(MAX($D$16,(M59)-(K34))),0.000001))^2)/(2*$I$5))-(((ABS(I59)/MAX(((F34)+(H34)*(MAX($D$16,(E59)-(J34))))*(MAX($D$16,(E59)-(J34))),0.000001))^2)/(2*$I$5))),$D$8*((((ABS(I59)/MAX(((F34)+(H34)*(MAX($D$16,(E59)-(J34))))*(MAX($D$16,(E59)-(J34))),0.000001))^2)/(2*$I$5))-(((ABS(I59)/MAX(((G34)+(I34)*(MAX($D$16,(M59)-(K34))))*(MAX($D$16,(M59)-(K34))),0.000001))^2)/(2*$I$5)))))+($D$10*(ABS((X34)-(W34))/90)*MAX(((ABS(I59)/MAX(((F34)+(H34)*(MAX($D$16,(E59)-(J34))))*(MAX($D$16,(E59)-(J34))),0.000001))^2)/(2*$I$5),((ABS(I59)/MAX(((G34)+(I34)*(MAX($D$16,(M59)-(K34))))*(MAX($D$16,(M59)-(K34))),0.000001))^2)/(2*$I$5)))+(0)-((ABS(I59)/MAX(((F34)+(H34)*(MAX($D$16,(E59)-(J34))))*(MAX($D$16,(E59)-(J34))),0.000001))^2)/(2*$I$5)</f>
        <v>635.5</v>
      </c>
      <c r="T59">
        <f>N59+((ABS(J59)/MAX(((G35)+(I35)*(MAX($D$16,(N59)-(K35))))*(MAX($D$16,(N59)-(K35))),0.000001))^2)/(2*$I$5)+((E35)*((((ABS(J59)*$D$6)/(MAX(((F35)+(H35)*(MAX($D$16,(E59)-(J35))))*(MAX($D$16,(E59)-(J35))),0.000001)*MAX(((((F35)+(H35)*(MAX($D$16,(E59)-(J35))))*(MAX($D$16,(E59)-(J35))))/MAX((F35)+2*(MAX($D$16,(E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E59)-(J35))))*(MAX($D$16,(E59)-(J35))),0.000001)),$D$9*((((ABS(J59)/MAX(((G35)+(I35)*(MAX($D$16,(N59)-(K35))))*(MAX($D$16,(N59)-(K35))),0.000001))^2)/(2*$I$5))-(((ABS(J59)/MAX(((F35)+(H35)*(MAX($D$16,(E59)-(J35))))*(MAX($D$16,(E59)-(J35))),0.000001))^2)/(2*$I$5))),$D$8*((((ABS(J59)/MAX(((F35)+(H35)*(MAX($D$16,(E59)-(J35))))*(MAX($D$16,(E59)-(J35))),0.000001))^2)/(2*$I$5))-(((ABS(J59)/MAX(((G35)+(I35)*(MAX($D$16,(N59)-(K35))))*(MAX($D$16,(N59)-(K35))),0.000001))^2)/(2*$I$5)))))+($D$10*(ABS((X35)-(W35))/90)*MAX(((ABS(J59)/MAX(((F35)+(H35)*(MAX($D$16,(E59)-(J35))))*(MAX($D$16,(E59)-(J35))),0.000001))^2)/(2*$I$5),((ABS(J59)/MAX(((G35)+(I35)*(MAX($D$16,(N59)-(K35))))*(MAX($D$16,(N59)-(K35))),0.000001))^2)/(2*$I$5)))+(($D$11*0.34699541*(ABS(I59)/MAX(ABS(G59),0.000001))^2*MAX(((ABS(J59)/MAX(((F35)+(H35)*(MAX($D$16,(E59)-(J35))))*(MAX($D$16,(E59)-(J35))),0.000001))^2)/(2*$I$5),((ABS(J59)/MAX(((G35)+(I35)*(MAX($D$16,(N59)-(K35))))*(MAX($D$16,(N59)-(K35))),0.000001))^2)/(2*$I$5))))-((ABS(J59)/MAX(((F35)+(H35)*(MAX($D$16,(E59)-(J35))))*(MAX($D$16,(E59)-(J35))),0.000001))^2)/(2*$I$5)</f>
        <v>22382.80587457701</v>
      </c>
      <c r="U59">
        <f>(((((F32)*(MAX($D$16,(D59)-(J32)))^2)/2+(H32)*(MAX($D$16,(D59)-(J32)))^3/3+(ABS(G59)^2)/($I$5*MAX(((F32)+(H32)*(MAX($D$16,(D59)-(J32))))*(MAX($D$16,(D59)-(J32))),0.000001)))*0.72785025)-((((F33)*(MAX($D$16,(D59)-(J33)))^2)/2+(H33)*(MAX($D$16,(D59)-(J33)))^3/3+(ABS(H59)^2)/($I$5*MAX(((F33)+(H33)*(MAX($D$16,(D59)-(J33))))*(MAX($D$16,(D59)-(J33))),0.000001)))*0.99999971))/MAX(((G31)*(MAX($D$16,(D59)-(K31)))^2)/2+(I31)*(MAX($D$16,(D59)-(K31)))^3/3+(ABS(F59)^2)/($I$5*MAX(((G31)+(I31)*(MAX($D$16,(D59)-(K31))))*(MAX($D$16,(D59)-(K31))),0.000001)),0.000001)</f>
        <v>-0.27214945999978263</v>
      </c>
      <c r="V59">
        <f>(((((F34)*(MAX($D$16,(E59)-(J34)))^2)/2+(H34)*(MAX($D$16,(E59)-(J34)))^3/3+(ABS(I59)^2)/($I$5*MAX(((F34)+(H34)*(MAX($D$16,(E59)-(J34))))*(MAX($D$16,(E59)-(J34))),0.000001)))*1)-((((F35)*(MAX($D$16,(E59)-(J35)))^2)/2+(H35)*(MAX($D$16,(E59)-(J35)))^3/3+(ABS(J59)^2)/($I$5*MAX(((F35)+(H35)*(MAX($D$16,(E59)-(J35))))*(MAX($D$16,(E59)-(J35))),0.000001)))*0.30600918))/MAX(((G32)*(MAX($D$16,(E59)-(K32)))^2)/2+(I32)*(MAX($D$16,(E59)-(K32)))^3/3+(ABS(G59)^2)/($I$5*MAX(((G32)+(I32)*(MAX($D$16,(E59)-(K32))))*(MAX($D$16,(E59)-(K32))),0.000001)),0.000001)</f>
        <v>-0.30598462674144999</v>
      </c>
      <c r="W59">
        <f>IF(N6="None",MAX(ABS(O59-D59),ABS(P59-D59)),MAX(ABS(O59-D59),ABS(P59-D59),ABS(Q59-D59)))</f>
        <v>38886.687963997145</v>
      </c>
      <c r="X59">
        <f>IF(AND(N7="None",N8="None"),ABS(R59-E59),IF(N8="None",MAX(ABS(R59-E59),ABS(S59-E59)),IF(N7="None",MAX(ABS(R59-E59),ABS(T59-E59)),MAX(ABS(R59-E59),ABS(S59-E59),ABS(T59-E59)))))</f>
        <v>38663.920898098215</v>
      </c>
      <c r="AA59">
        <f>D59+$D$13*(IF(N6="None",AVERAGE(O59:P59),AVERAGE(O59:Q59))-D59)</f>
        <v>39144.348888086228</v>
      </c>
      <c r="AB59">
        <f>E59+$D$13*(IF(AND(N7="None",N8="None"),R59,IF(N8="None",AVERAGE(R59:S59),IF(N7="None",AVERAGE(R59,T59),AVERAGE(R59:T59))))-E59)</f>
        <v>-8037.9423857020392</v>
      </c>
    </row>
    <row r="60" spans="1:28" x14ac:dyDescent="0.35">
      <c r="A60">
        <v>17</v>
      </c>
      <c r="B60">
        <f t="shared" si="3"/>
        <v>0</v>
      </c>
      <c r="C60">
        <f t="shared" si="4"/>
        <v>0</v>
      </c>
      <c r="D60">
        <f t="shared" si="5"/>
        <v>39144.348888086228</v>
      </c>
      <c r="E60">
        <f t="shared" si="6"/>
        <v>-8037.9423857020392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>IF(AND(N7="None",N8="None"),0,IF(N8="None",G60,IF(N7="None",0,MAX(0,G60*C60))))</f>
        <v>0</v>
      </c>
      <c r="J60">
        <f>IF(AND(N7="None",N8="None"),0,IF(N8="None",0,IF(N7="None",G60,MAX(0,G60-I60))))</f>
        <v>51</v>
      </c>
      <c r="K60">
        <f>P5</f>
        <v>637</v>
      </c>
      <c r="L60">
        <f>P6</f>
        <v>637</v>
      </c>
      <c r="M60">
        <f>P7</f>
        <v>635.5</v>
      </c>
      <c r="N60">
        <f>P8</f>
        <v>631.54999999999995</v>
      </c>
      <c r="O60">
        <f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D60)-(K31))))*(MAX($D$16,(D60)-(K31))),0.000001)*MAX(((((G31)+(I31)*(MAX($D$16,(D60)-(K31))))*(MAX($D$16,(D60)-(K31))))/MAX((G31)+2*(MAX($D$16,(D60)-(K31)))*SQRT(1+(I31)^2),0.000001))^(2/3),0.000001)))^2))/2)+(IF((ABS(F60)/MAX(((G31)+(I31)*(MAX($D$16,(D60)-(K31))))*(MAX($D$16,(D60)-(K31))),0.000001))&gt;(ABS(F60)/MAX(((F31)+(H31)*(MAX($D$16,(K60)-(J31))))*(MAX($D$16,(K60)-(J31))),0.000001)),$D$9*((((ABS(F60)/MAX(((G31)+(I31)*(MAX($D$16,(D60)-(K31))))*(MAX($D$16,(D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D60)-(K31))))*(MAX($D$16,(D60)-(K31))),0.000001))^2)/(2*$I$5)))))+($D$10*(ABS((X31)-(W31))/90)*MAX(((ABS(F60)/MAX(((F31)+(H31)*(MAX($D$16,(K60)-(J31))))*(MAX($D$16,(K60)-(J31))),0.000001))^2)/(2*$I$5),((ABS(F60)/MAX(((G31)+(I31)*(MAX($D$16,(D60)-(K31))))*(MAX($D$16,(D60)-(K31))),0.000001))^2)/(2*$I$5)))+(0)-((ABS(F60)/MAX(((G31)+(I31)*(MAX($D$16,(D60)-(K31))))*(MAX($D$16,(D60)-(K31))),0.000001))^2)/(2*$I$5)</f>
        <v>637.65825100968527</v>
      </c>
      <c r="P60">
        <f>E60+((ABS(G60)/MAX(((G32)+(I32)*(MAX($D$16,(E60)-(K32))))*(MAX($D$16,(E60)-(K32))),0.000001))^2)/(2*$I$5)+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F32)+(H32)*(MAX($D$16,(D60)-(J32))))*(MAX($D$16,(D60)-(J32))),0.000001))^2)/(2*$I$5)</f>
        <v>78015.907189693724</v>
      </c>
      <c r="Q60">
        <f>L60+((ABS(H60)/MAX(((G33)+(I33)*(MAX($D$16,(L60)-(K33))))*(MAX($D$16,(L60)-(K33))),0.000001))^2)/(2*$I$5)+((E33)*((((ABS(H60)*$D$6)/(MAX(((F33)+(H33)*(MAX($D$16,(D60)-(J33))))*(MAX($D$16,(D60)-(J33))),0.000001)*MAX(((((F33)+(H33)*(MAX($D$16,(D60)-(J33))))*(MAX($D$16,(D60)-(J33))))/MAX((F33)+2*(MAX($D$16,(D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D60)-(J33))))*(MAX($D$16,(D60)-(J33))),0.000001)),$D$9*((((ABS(H60)/MAX(((G33)+(I33)*(MAX($D$16,(L60)-(K33))))*(MAX($D$16,(L60)-(K33))),0.000001))^2)/(2*$I$5))-(((ABS(H60)/MAX(((F33)+(H33)*(MAX($D$16,(D60)-(J33))))*(MAX($D$16,(D60)-(J33))),0.000001))^2)/(2*$I$5))),$D$8*((((ABS(H60)/MAX(((F33)+(H33)*(MAX($D$16,(D60)-(J33))))*(MAX($D$16,(D60)-(J33))),0.000001))^2)/(2*$I$5))-(((ABS(H60)/MAX(((G33)+(I33)*(MAX($D$16,(L60)-(K33))))*(MAX($D$16,(L60)-(K33))),0.000001))^2)/(2*$I$5)))))+($D$10*(ABS((X33)-(W33))/90)*MAX(((ABS(H60)/MAX(((F33)+(H33)*(MAX($D$16,(D60)-(J33))))*(MAX($D$16,(D60)-(J33))),0.000001))^2)/(2*$I$5),((ABS(H60)/MAX(((G33)+(I33)*(MAX($D$16,(L60)-(K33))))*(MAX($D$16,(L60)-(K33))),0.000001))^2)/(2*$I$5)))+(($D$11*0.00000015*(ABS(G60)/MAX(ABS(F60),0.000001))^2*MAX(((ABS(H60)/MAX(((F33)+(H33)*(MAX($D$16,(D60)-(J33))))*(MAX($D$16,(D60)-(J33))),0.000001))^2)/(2*$I$5),((ABS(H60)/MAX(((G33)+(I33)*(MAX($D$16,(L60)-(K33))))*(MAX($D$16,(L60)-(K33))),0.000001))^2)/(2*$I$5))))-((ABS(H60)/MAX(((F33)+(H33)*(MAX($D$16,(D60)-(J33))))*(MAX($D$16,(D60)-(J33))),0.000001))^2)/(2*$I$5)</f>
        <v>637</v>
      </c>
      <c r="R60">
        <f>D60+((ABS(G60)/MAX(((F32)+(H32)*(MAX($D$16,(D60)-(J32))))*(MAX($D$16,(D60)-(J32))),0.000001))^2)/(2*$I$5)-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G32)+(I32)*(MAX($D$16,(E60)-(K32))))*(MAX($D$16,(E60)-(K32))),0.000001))^2)/(2*$I$5)</f>
        <v>-46686.733621410604</v>
      </c>
      <c r="S60">
        <f>M60+((ABS(I60)/MAX(((G34)+(I34)*(MAX($D$16,(M60)-(K34))))*(MAX($D$16,(M60)-(K34))),0.000001))^2)/(2*$I$5)+((E34)*((((ABS(I60)*$D$6)/(MAX(((F34)+(H34)*(MAX($D$16,(E60)-(J34))))*(MAX($D$16,(E60)-(J34))),0.000001)*MAX(((((F34)+(H34)*(MAX($D$16,(E60)-(J34))))*(MAX($D$16,(E60)-(J34))))/MAX((F34)+2*(MAX($D$16,(E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E60)-(J34))))*(MAX($D$16,(E60)-(J34))),0.000001)),$D$9*((((ABS(I60)/MAX(((G34)+(I34)*(MAX($D$16,(M60)-(K34))))*(MAX($D$16,(M60)-(K34))),0.000001))^2)/(2*$I$5))-(((ABS(I60)/MAX(((F34)+(H34)*(MAX($D$16,(E60)-(J34))))*(MAX($D$16,(E60)-(J34))),0.000001))^2)/(2*$I$5))),$D$8*((((ABS(I60)/MAX(((F34)+(H34)*(MAX($D$16,(E60)-(J34))))*(MAX($D$16,(E60)-(J34))),0.000001))^2)/(2*$I$5))-(((ABS(I60)/MAX(((G34)+(I34)*(MAX($D$16,(M60)-(K34))))*(MAX($D$16,(M60)-(K34))),0.000001))^2)/(2*$I$5)))))+($D$10*(ABS((X34)-(W34))/90)*MAX(((ABS(I60)/MAX(((F34)+(H34)*(MAX($D$16,(E60)-(J34))))*(MAX($D$16,(E60)-(J34))),0.000001))^2)/(2*$I$5),((ABS(I60)/MAX(((G34)+(I34)*(MAX($D$16,(M60)-(K34))))*(MAX($D$16,(M60)-(K34))),0.000001))^2)/(2*$I$5)))+(0)-((ABS(I60)/MAX(((F34)+(H34)*(MAX($D$16,(E60)-(J34))))*(MAX($D$16,(E60)-(J34))),0.000001))^2)/(2*$I$5)</f>
        <v>635.5</v>
      </c>
      <c r="T60">
        <f>N60+((ABS(J60)/MAX(((G35)+(I35)*(MAX($D$16,(N60)-(K35))))*(MAX($D$16,(N60)-(K35))),0.000001))^2)/(2*$I$5)+((E35)*((((ABS(J60)*$D$6)/(MAX(((F35)+(H35)*(MAX($D$16,(E60)-(J35))))*(MAX($D$16,(E60)-(J35))),0.000001)*MAX(((((F35)+(H35)*(MAX($D$16,(E60)-(J35))))*(MAX($D$16,(E60)-(J35))))/MAX((F35)+2*(MAX($D$16,(E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E60)-(J35))))*(MAX($D$16,(E60)-(J35))),0.000001)),$D$9*((((ABS(J60)/MAX(((G35)+(I35)*(MAX($D$16,(N60)-(K35))))*(MAX($D$16,(N60)-(K35))),0.000001))^2)/(2*$I$5))-(((ABS(J60)/MAX(((F35)+(H35)*(MAX($D$16,(E60)-(J35))))*(MAX($D$16,(E60)-(J35))),0.000001))^2)/(2*$I$5))),$D$8*((((ABS(J60)/MAX(((F35)+(H35)*(MAX($D$16,(E60)-(J35))))*(MAX($D$16,(E60)-(J35))),0.000001))^2)/(2*$I$5))-(((ABS(J60)/MAX(((G35)+(I35)*(MAX($D$16,(N60)-(K35))))*(MAX($D$16,(N60)-(K35))),0.000001))^2)/(2*$I$5)))))+($D$10*(ABS((X35)-(W35))/90)*MAX(((ABS(J60)/MAX(((F35)+(H35)*(MAX($D$16,(E60)-(J35))))*(MAX($D$16,(E60)-(J35))),0.000001))^2)/(2*$I$5),((ABS(J60)/MAX(((G35)+(I35)*(MAX($D$16,(N60)-(K35))))*(MAX($D$16,(N60)-(K35))),0.000001))^2)/(2*$I$5)))+(($D$11*0.34699541*(ABS(I60)/MAX(ABS(G60),0.000001))^2*MAX(((ABS(J60)/MAX(((F35)+(H35)*(MAX($D$16,(E60)-(J35))))*(MAX($D$16,(E60)-(J35))),0.000001))^2)/(2*$I$5),((ABS(J60)/MAX(((G35)+(I35)*(MAX($D$16,(N60)-(K35))))*(MAX($D$16,(N60)-(K35))),0.000001))^2)/(2*$I$5))))-((ABS(J60)/MAX(((F35)+(H35)*(MAX($D$16,(E60)-(J35))))*(MAX($D$16,(E60)-(J35))),0.000001))^2)/(2*$I$5)</f>
        <v>22382.80587457701</v>
      </c>
      <c r="U60">
        <f>(((((F32)*(MAX($D$16,(D60)-(J32)))^2)/2+(H32)*(MAX($D$16,(D60)-(J32)))^3/3+(ABS(G60)^2)/($I$5*MAX(((F32)+(H32)*(MAX($D$16,(D60)-(J32))))*(MAX($D$16,(D60)-(J32))),0.000001)))*0.72785025)-((((F33)*(MAX($D$16,(D60)-(J33)))^2)/2+(H33)*(MAX($D$16,(D60)-(J33)))^3/3+(ABS(H60)^2)/($I$5*MAX(((F33)+(H33)*(MAX($D$16,(D60)-(J33))))*(MAX($D$16,(D60)-(J33))),0.000001)))*0.99999971))/MAX(((G31)*(MAX($D$16,(D60)-(K31)))^2)/2+(I31)*(MAX($D$16,(D60)-(K31)))^3/3+(ABS(F60)^2)/($I$5*MAX(((G31)+(I31)*(MAX($D$16,(D60)-(K31))))*(MAX($D$16,(D60)-(K31))),0.000001)),0.000001)</f>
        <v>-0.27214945999978407</v>
      </c>
      <c r="V60">
        <f>(((((F34)*(MAX($D$16,(E60)-(J34)))^2)/2+(H34)*(MAX($D$16,(E60)-(J34)))^3/3+(ABS(I60)^2)/($I$5*MAX(((F34)+(H34)*(MAX($D$16,(E60)-(J34))))*(MAX($D$16,(E60)-(J34))),0.000001)))*1)-((((F35)*(MAX($D$16,(E60)-(J35)))^2)/2+(H35)*(MAX($D$16,(E60)-(J35)))^3/3+(ABS(J60)^2)/($I$5*MAX(((F35)+(H35)*(MAX($D$16,(E60)-(J35))))*(MAX($D$16,(E60)-(J35))),0.000001)))*0.30600918))/MAX(((G32)*(MAX($D$16,(E60)-(K32)))^2)/2+(I32)*(MAX($D$16,(E60)-(K32)))^3/3+(ABS(G60)^2)/($I$5*MAX(((G32)+(I32)*(MAX($D$16,(E60)-(K32))))*(MAX($D$16,(E60)-(K32))),0.000001)),0.000001)</f>
        <v>-0.30598462674144999</v>
      </c>
      <c r="W60">
        <f>IF(N6="None",MAX(ABS(O60-D60),ABS(P60-D60)),MAX(ABS(O60-D60),ABS(P60-D60),ABS(Q60-D60)))</f>
        <v>38871.558301607496</v>
      </c>
      <c r="X60">
        <f>IF(AND(N7="None",N8="None"),ABS(R60-E60),IF(N8="None",MAX(ABS(R60-E60),ABS(S60-E60)),IF(N7="None",MAX(ABS(R60-E60),ABS(T60-E60)),MAX(ABS(R60-E60),ABS(S60-E60),ABS(T60-E60)))))</f>
        <v>38648.791235708566</v>
      </c>
      <c r="AA60">
        <f>D60+$D$13*(IF(N6="None",AVERAGE(O60:P60),AVERAGE(O60:Q60))-D60)</f>
        <v>39208.200729379147</v>
      </c>
      <c r="AB60">
        <f>E60+$D$13*(IF(AND(N7="None",N8="None"),R60,IF(N8="None",AVERAGE(R60:S60),IF(N7="None",AVERAGE(R60,T60),AVERAGE(R60:T60))))-E60)</f>
        <v>-7985.979121170245</v>
      </c>
    </row>
    <row r="61" spans="1:28" x14ac:dyDescent="0.35">
      <c r="A61">
        <v>18</v>
      </c>
      <c r="B61">
        <f t="shared" si="3"/>
        <v>0</v>
      </c>
      <c r="C61">
        <f t="shared" si="4"/>
        <v>0</v>
      </c>
      <c r="D61">
        <f t="shared" si="5"/>
        <v>39208.200729379147</v>
      </c>
      <c r="E61">
        <f t="shared" si="6"/>
        <v>-7985.979121170245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>IF(AND(N7="None",N8="None"),0,IF(N8="None",G61,IF(N7="None",0,MAX(0,G61*C61))))</f>
        <v>0</v>
      </c>
      <c r="J61">
        <f>IF(AND(N7="None",N8="None"),0,IF(N8="None",0,IF(N7="None",G61,MAX(0,G61-I61))))</f>
        <v>51</v>
      </c>
      <c r="K61">
        <f>P5</f>
        <v>637</v>
      </c>
      <c r="L61">
        <f>P6</f>
        <v>637</v>
      </c>
      <c r="M61">
        <f>P7</f>
        <v>635.5</v>
      </c>
      <c r="N61">
        <f>P8</f>
        <v>631.54999999999995</v>
      </c>
      <c r="O61">
        <f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D61)-(K31))))*(MAX($D$16,(D61)-(K31))),0.000001)*MAX(((((G31)+(I31)*(MAX($D$16,(D61)-(K31))))*(MAX($D$16,(D61)-(K31))))/MAX((G31)+2*(MAX($D$16,(D61)-(K31)))*SQRT(1+(I31)^2),0.000001))^(2/3),0.000001)))^2))/2)+(IF((ABS(F61)/MAX(((G31)+(I31)*(MAX($D$16,(D61)-(K31))))*(MAX($D$16,(D61)-(K31))),0.000001))&gt;(ABS(F61)/MAX(((F31)+(H31)*(MAX($D$16,(K61)-(J31))))*(MAX($D$16,(K61)-(J31))),0.000001)),$D$9*((((ABS(F61)/MAX(((G31)+(I31)*(MAX($D$16,(D61)-(K31))))*(MAX($D$16,(D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D61)-(K31))))*(MAX($D$16,(D61)-(K31))),0.000001))^2)/(2*$I$5)))))+($D$10*(ABS((X31)-(W31))/90)*MAX(((ABS(F61)/MAX(((F31)+(H31)*(MAX($D$16,(K61)-(J31))))*(MAX($D$16,(K61)-(J31))),0.000001))^2)/(2*$I$5),((ABS(F61)/MAX(((G31)+(I31)*(MAX($D$16,(D61)-(K31))))*(MAX($D$16,(D61)-(K31))),0.000001))^2)/(2*$I$5)))+(0)-((ABS(F61)/MAX(((G31)+(I31)*(MAX($D$16,(D61)-(K31))))*(MAX($D$16,(D61)-(K31))),0.000001))^2)/(2*$I$5)</f>
        <v>637.65825100969425</v>
      </c>
      <c r="P61">
        <f>E61+((ABS(G61)/MAX(((G32)+(I32)*(MAX($D$16,(E61)-(K32))))*(MAX($D$16,(E61)-(K32))),0.000001))^2)/(2*$I$5)+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F32)+(H32)*(MAX($D$16,(D61)-(J32))))*(MAX($D$16,(D61)-(J32))),0.000001))^2)/(2*$I$5)</f>
        <v>78067.870454225515</v>
      </c>
      <c r="Q61">
        <f>L61+((ABS(H61)/MAX(((G33)+(I33)*(MAX($D$16,(L61)-(K33))))*(MAX($D$16,(L61)-(K33))),0.000001))^2)/(2*$I$5)+((E33)*((((ABS(H61)*$D$6)/(MAX(((F33)+(H33)*(MAX($D$16,(D61)-(J33))))*(MAX($D$16,(D61)-(J33))),0.000001)*MAX(((((F33)+(H33)*(MAX($D$16,(D61)-(J33))))*(MAX($D$16,(D61)-(J33))))/MAX((F33)+2*(MAX($D$16,(D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D61)-(J33))))*(MAX($D$16,(D61)-(J33))),0.000001)),$D$9*((((ABS(H61)/MAX(((G33)+(I33)*(MAX($D$16,(L61)-(K33))))*(MAX($D$16,(L61)-(K33))),0.000001))^2)/(2*$I$5))-(((ABS(H61)/MAX(((F33)+(H33)*(MAX($D$16,(D61)-(J33))))*(MAX($D$16,(D61)-(J33))),0.000001))^2)/(2*$I$5))),$D$8*((((ABS(H61)/MAX(((F33)+(H33)*(MAX($D$16,(D61)-(J33))))*(MAX($D$16,(D61)-(J33))),0.000001))^2)/(2*$I$5))-(((ABS(H61)/MAX(((G33)+(I33)*(MAX($D$16,(L61)-(K33))))*(MAX($D$16,(L61)-(K33))),0.000001))^2)/(2*$I$5)))))+($D$10*(ABS((X33)-(W33))/90)*MAX(((ABS(H61)/MAX(((F33)+(H33)*(MAX($D$16,(D61)-(J33))))*(MAX($D$16,(D61)-(J33))),0.000001))^2)/(2*$I$5),((ABS(H61)/MAX(((G33)+(I33)*(MAX($D$16,(L61)-(K33))))*(MAX($D$16,(L61)-(K33))),0.000001))^2)/(2*$I$5)))+(($D$11*0.00000015*(ABS(G61)/MAX(ABS(F61),0.000001))^2*MAX(((ABS(H61)/MAX(((F33)+(H33)*(MAX($D$16,(D61)-(J33))))*(MAX($D$16,(D61)-(J33))),0.000001))^2)/(2*$I$5),((ABS(H61)/MAX(((G33)+(I33)*(MAX($D$16,(L61)-(K33))))*(MAX($D$16,(L61)-(K33))),0.000001))^2)/(2*$I$5))))-((ABS(H61)/MAX(((F33)+(H33)*(MAX($D$16,(D61)-(J33))))*(MAX($D$16,(D61)-(J33))),0.000001))^2)/(2*$I$5)</f>
        <v>637</v>
      </c>
      <c r="R61">
        <f>D61+((ABS(G61)/MAX(((F32)+(H32)*(MAX($D$16,(D61)-(J32))))*(MAX($D$16,(D61)-(J32))),0.000001))^2)/(2*$I$5)-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G32)+(I32)*(MAX($D$16,(E61)-(K32))))*(MAX($D$16,(E61)-(K32))),0.000001))^2)/(2*$I$5)</f>
        <v>-46622.881780117677</v>
      </c>
      <c r="S61">
        <f>M61+((ABS(I61)/MAX(((G34)+(I34)*(MAX($D$16,(M61)-(K34))))*(MAX($D$16,(M61)-(K34))),0.000001))^2)/(2*$I$5)+((E34)*((((ABS(I61)*$D$6)/(MAX(((F34)+(H34)*(MAX($D$16,(E61)-(J34))))*(MAX($D$16,(E61)-(J34))),0.000001)*MAX(((((F34)+(H34)*(MAX($D$16,(E61)-(J34))))*(MAX($D$16,(E61)-(J34))))/MAX((F34)+2*(MAX($D$16,(E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E61)-(J34))))*(MAX($D$16,(E61)-(J34))),0.000001)),$D$9*((((ABS(I61)/MAX(((G34)+(I34)*(MAX($D$16,(M61)-(K34))))*(MAX($D$16,(M61)-(K34))),0.000001))^2)/(2*$I$5))-(((ABS(I61)/MAX(((F34)+(H34)*(MAX($D$16,(E61)-(J34))))*(MAX($D$16,(E61)-(J34))),0.000001))^2)/(2*$I$5))),$D$8*((((ABS(I61)/MAX(((F34)+(H34)*(MAX($D$16,(E61)-(J34))))*(MAX($D$16,(E61)-(J34))),0.000001))^2)/(2*$I$5))-(((ABS(I61)/MAX(((G34)+(I34)*(MAX($D$16,(M61)-(K34))))*(MAX($D$16,(M61)-(K34))),0.000001))^2)/(2*$I$5)))))+($D$10*(ABS((X34)-(W34))/90)*MAX(((ABS(I61)/MAX(((F34)+(H34)*(MAX($D$16,(E61)-(J34))))*(MAX($D$16,(E61)-(J34))),0.000001))^2)/(2*$I$5),((ABS(I61)/MAX(((G34)+(I34)*(MAX($D$16,(M61)-(K34))))*(MAX($D$16,(M61)-(K34))),0.000001))^2)/(2*$I$5)))+(0)-((ABS(I61)/MAX(((F34)+(H34)*(MAX($D$16,(E61)-(J34))))*(MAX($D$16,(E61)-(J34))),0.000001))^2)/(2*$I$5)</f>
        <v>635.5</v>
      </c>
      <c r="T61">
        <f>N61+((ABS(J61)/MAX(((G35)+(I35)*(MAX($D$16,(N61)-(K35))))*(MAX($D$16,(N61)-(K35))),0.000001))^2)/(2*$I$5)+((E35)*((((ABS(J61)*$D$6)/(MAX(((F35)+(H35)*(MAX($D$16,(E61)-(J35))))*(MAX($D$16,(E61)-(J35))),0.000001)*MAX(((((F35)+(H35)*(MAX($D$16,(E61)-(J35))))*(MAX($D$16,(E61)-(J35))))/MAX((F35)+2*(MAX($D$16,(E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E61)-(J35))))*(MAX($D$16,(E61)-(J35))),0.000001)),$D$9*((((ABS(J61)/MAX(((G35)+(I35)*(MAX($D$16,(N61)-(K35))))*(MAX($D$16,(N61)-(K35))),0.000001))^2)/(2*$I$5))-(((ABS(J61)/MAX(((F35)+(H35)*(MAX($D$16,(E61)-(J35))))*(MAX($D$16,(E61)-(J35))),0.000001))^2)/(2*$I$5))),$D$8*((((ABS(J61)/MAX(((F35)+(H35)*(MAX($D$16,(E61)-(J35))))*(MAX($D$16,(E61)-(J35))),0.000001))^2)/(2*$I$5))-(((ABS(J61)/MAX(((G35)+(I35)*(MAX($D$16,(N61)-(K35))))*(MAX($D$16,(N61)-(K35))),0.000001))^2)/(2*$I$5)))))+($D$10*(ABS((X35)-(W35))/90)*MAX(((ABS(J61)/MAX(((F35)+(H35)*(MAX($D$16,(E61)-(J35))))*(MAX($D$16,(E61)-(J35))),0.000001))^2)/(2*$I$5),((ABS(J61)/MAX(((G35)+(I35)*(MAX($D$16,(N61)-(K35))))*(MAX($D$16,(N61)-(K35))),0.000001))^2)/(2*$I$5)))+(($D$11*0.34699541*(ABS(I61)/MAX(ABS(G61),0.000001))^2*MAX(((ABS(J61)/MAX(((F35)+(H35)*(MAX($D$16,(E61)-(J35))))*(MAX($D$16,(E61)-(J35))),0.000001))^2)/(2*$I$5),((ABS(J61)/MAX(((G35)+(I35)*(MAX($D$16,(N61)-(K35))))*(MAX($D$16,(N61)-(K35))),0.000001))^2)/(2*$I$5))))-((ABS(J61)/MAX(((F35)+(H35)*(MAX($D$16,(E61)-(J35))))*(MAX($D$16,(E61)-(J35))),0.000001))^2)/(2*$I$5)</f>
        <v>22382.80587457701</v>
      </c>
      <c r="U61">
        <f>(((((F32)*(MAX($D$16,(D61)-(J32)))^2)/2+(H32)*(MAX($D$16,(D61)-(J32)))^3/3+(ABS(G61)^2)/($I$5*MAX(((F32)+(H32)*(MAX($D$16,(D61)-(J32))))*(MAX($D$16,(D61)-(J32))),0.000001)))*0.72785025)-((((F33)*(MAX($D$16,(D61)-(J33)))^2)/2+(H33)*(MAX($D$16,(D61)-(J33)))^3/3+(ABS(H61)^2)/($I$5*MAX(((F33)+(H33)*(MAX($D$16,(D61)-(J33))))*(MAX($D$16,(D61)-(J33))),0.000001)))*0.99999971))/MAX(((G31)*(MAX($D$16,(D61)-(K31)))^2)/2+(I31)*(MAX($D$16,(D61)-(K31)))^3/3+(ABS(F61)^2)/($I$5*MAX(((G31)+(I31)*(MAX($D$16,(D61)-(K31))))*(MAX($D$16,(D61)-(K31))),0.000001)),0.000001)</f>
        <v>-0.27214945999978513</v>
      </c>
      <c r="V61">
        <f>(((((F34)*(MAX($D$16,(E61)-(J34)))^2)/2+(H34)*(MAX($D$16,(E61)-(J34)))^3/3+(ABS(I61)^2)/($I$5*MAX(((F34)+(H34)*(MAX($D$16,(E61)-(J34))))*(MAX($D$16,(E61)-(J34))),0.000001)))*1)-((((F35)*(MAX($D$16,(E61)-(J35)))^2)/2+(H35)*(MAX($D$16,(E61)-(J35)))^3/3+(ABS(J61)^2)/($I$5*MAX(((F35)+(H35)*(MAX($D$16,(E61)-(J35))))*(MAX($D$16,(E61)-(J35))),0.000001)))*0.30600918))/MAX(((G32)*(MAX($D$16,(E61)-(K32)))^2)/2+(I32)*(MAX($D$16,(E61)-(K32)))^3/3+(ABS(G61)^2)/($I$5*MAX(((G32)+(I32)*(MAX($D$16,(E61)-(K32))))*(MAX($D$16,(E61)-(K32))),0.000001)),0.000001)</f>
        <v>-0.30598462674144999</v>
      </c>
      <c r="W61">
        <f>IF(N6="None",MAX(ABS(O61-D61),ABS(P61-D61)),MAX(ABS(O61-D61),ABS(P61-D61),ABS(Q61-D61)))</f>
        <v>38859.669724846368</v>
      </c>
      <c r="X61">
        <f>IF(AND(N7="None",N8="None"),ABS(R61-E61),IF(N8="None",MAX(ABS(R61-E61),ABS(S61-E61)),IF(N7="None",MAX(ABS(R61-E61),ABS(T61-E61)),MAX(ABS(R61-E61),ABS(S61-E61),ABS(T61-E61)))))</f>
        <v>38636.902658947431</v>
      </c>
      <c r="AA61">
        <f>D61+$D$13*(IF(N6="None",AVERAGE(O61:P61),AVERAGE(O61:Q61))-D61)</f>
        <v>39258.797997512607</v>
      </c>
      <c r="AB61">
        <f>E61+$D$13*(IF(AND(N7="None",N8="None"),R61,IF(N8="None",AVERAGE(R61:S61),IF(N7="None",AVERAGE(R61,T61),AVERAGE(R61:T61))))-E61)</f>
        <v>-7944.7536177404036</v>
      </c>
    </row>
    <row r="62" spans="1:28" x14ac:dyDescent="0.35">
      <c r="A62">
        <v>19</v>
      </c>
      <c r="B62">
        <f t="shared" si="3"/>
        <v>0</v>
      </c>
      <c r="C62">
        <f t="shared" si="4"/>
        <v>0</v>
      </c>
      <c r="D62">
        <f t="shared" si="5"/>
        <v>39258.797997512607</v>
      </c>
      <c r="E62">
        <f t="shared" si="6"/>
        <v>-7944.7536177404036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>IF(AND(N7="None",N8="None"),0,IF(N8="None",G62,IF(N7="None",0,MAX(0,G62*C62))))</f>
        <v>0</v>
      </c>
      <c r="J62">
        <f>IF(AND(N7="None",N8="None"),0,IF(N8="None",0,IF(N7="None",G62,MAX(0,G62-I62))))</f>
        <v>51</v>
      </c>
      <c r="K62">
        <f>P5</f>
        <v>637</v>
      </c>
      <c r="L62">
        <f>P6</f>
        <v>637</v>
      </c>
      <c r="M62">
        <f>P7</f>
        <v>635.5</v>
      </c>
      <c r="N62">
        <f>P8</f>
        <v>631.54999999999995</v>
      </c>
      <c r="O62">
        <f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D62)-(K31))))*(MAX($D$16,(D62)-(K31))),0.000001)*MAX(((((G31)+(I31)*(MAX($D$16,(D62)-(K31))))*(MAX($D$16,(D62)-(K31))))/MAX((G31)+2*(MAX($D$16,(D62)-(K31)))*SQRT(1+(I31)^2),0.000001))^(2/3),0.000001)))^2))/2)+(IF((ABS(F62)/MAX(((G31)+(I31)*(MAX($D$16,(D62)-(K31))))*(MAX($D$16,(D62)-(K31))),0.000001))&gt;(ABS(F62)/MAX(((F31)+(H31)*(MAX($D$16,(K62)-(J31))))*(MAX($D$16,(K62)-(J31))),0.000001)),$D$9*((((ABS(F62)/MAX(((G31)+(I31)*(MAX($D$16,(D62)-(K31))))*(MAX($D$16,(D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D62)-(K31))))*(MAX($D$16,(D62)-(K31))),0.000001))^2)/(2*$I$5)))))+($D$10*(ABS((X31)-(W31))/90)*MAX(((ABS(F62)/MAX(((F31)+(H31)*(MAX($D$16,(K62)-(J31))))*(MAX($D$16,(K62)-(J31))),0.000001))^2)/(2*$I$5),((ABS(F62)/MAX(((G31)+(I31)*(MAX($D$16,(D62)-(K31))))*(MAX($D$16,(D62)-(K31))),0.000001))^2)/(2*$I$5)))+(0)-((ABS(F62)/MAX(((G31)+(I31)*(MAX($D$16,(D62)-(K31))))*(MAX($D$16,(D62)-(K31))),0.000001))^2)/(2*$I$5)</f>
        <v>637.65825100970119</v>
      </c>
      <c r="P62">
        <f>E62+((ABS(G62)/MAX(((G32)+(I32)*(MAX($D$16,(E62)-(K32))))*(MAX($D$16,(E62)-(K32))),0.000001))^2)/(2*$I$5)+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F32)+(H32)*(MAX($D$16,(D62)-(J32))))*(MAX($D$16,(D62)-(J32))),0.000001))^2)/(2*$I$5)</f>
        <v>78109.095957655358</v>
      </c>
      <c r="Q62">
        <f>L62+((ABS(H62)/MAX(((G33)+(I33)*(MAX($D$16,(L62)-(K33))))*(MAX($D$16,(L62)-(K33))),0.000001))^2)/(2*$I$5)+((E33)*((((ABS(H62)*$D$6)/(MAX(((F33)+(H33)*(MAX($D$16,(D62)-(J33))))*(MAX($D$16,(D62)-(J33))),0.000001)*MAX(((((F33)+(H33)*(MAX($D$16,(D62)-(J33))))*(MAX($D$16,(D62)-(J33))))/MAX((F33)+2*(MAX($D$16,(D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D62)-(J33))))*(MAX($D$16,(D62)-(J33))),0.000001)),$D$9*((((ABS(H62)/MAX(((G33)+(I33)*(MAX($D$16,(L62)-(K33))))*(MAX($D$16,(L62)-(K33))),0.000001))^2)/(2*$I$5))-(((ABS(H62)/MAX(((F33)+(H33)*(MAX($D$16,(D62)-(J33))))*(MAX($D$16,(D62)-(J33))),0.000001))^2)/(2*$I$5))),$D$8*((((ABS(H62)/MAX(((F33)+(H33)*(MAX($D$16,(D62)-(J33))))*(MAX($D$16,(D62)-(J33))),0.000001))^2)/(2*$I$5))-(((ABS(H62)/MAX(((G33)+(I33)*(MAX($D$16,(L62)-(K33))))*(MAX($D$16,(L62)-(K33))),0.000001))^2)/(2*$I$5)))))+($D$10*(ABS((X33)-(W33))/90)*MAX(((ABS(H62)/MAX(((F33)+(H33)*(MAX($D$16,(D62)-(J33))))*(MAX($D$16,(D62)-(J33))),0.000001))^2)/(2*$I$5),((ABS(H62)/MAX(((G33)+(I33)*(MAX($D$16,(L62)-(K33))))*(MAX($D$16,(L62)-(K33))),0.000001))^2)/(2*$I$5)))+(($D$11*0.00000015*(ABS(G62)/MAX(ABS(F62),0.000001))^2*MAX(((ABS(H62)/MAX(((F33)+(H33)*(MAX($D$16,(D62)-(J33))))*(MAX($D$16,(D62)-(J33))),0.000001))^2)/(2*$I$5),((ABS(H62)/MAX(((G33)+(I33)*(MAX($D$16,(L62)-(K33))))*(MAX($D$16,(L62)-(K33))),0.000001))^2)/(2*$I$5))))-((ABS(H62)/MAX(((F33)+(H33)*(MAX($D$16,(D62)-(J33))))*(MAX($D$16,(D62)-(J33))),0.000001))^2)/(2*$I$5)</f>
        <v>637</v>
      </c>
      <c r="R62">
        <f>D62+((ABS(G62)/MAX(((F32)+(H32)*(MAX($D$16,(D62)-(J32))))*(MAX($D$16,(D62)-(J32))),0.000001))^2)/(2*$I$5)-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G32)+(I32)*(MAX($D$16,(E62)-(K32))))*(MAX($D$16,(E62)-(K32))),0.000001))^2)/(2*$I$5)</f>
        <v>-46572.284511984224</v>
      </c>
      <c r="S62">
        <f>M62+((ABS(I62)/MAX(((G34)+(I34)*(MAX($D$16,(M62)-(K34))))*(MAX($D$16,(M62)-(K34))),0.000001))^2)/(2*$I$5)+((E34)*((((ABS(I62)*$D$6)/(MAX(((F34)+(H34)*(MAX($D$16,(E62)-(J34))))*(MAX($D$16,(E62)-(J34))),0.000001)*MAX(((((F34)+(H34)*(MAX($D$16,(E62)-(J34))))*(MAX($D$16,(E62)-(J34))))/MAX((F34)+2*(MAX($D$16,(E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E62)-(J34))))*(MAX($D$16,(E62)-(J34))),0.000001)),$D$9*((((ABS(I62)/MAX(((G34)+(I34)*(MAX($D$16,(M62)-(K34))))*(MAX($D$16,(M62)-(K34))),0.000001))^2)/(2*$I$5))-(((ABS(I62)/MAX(((F34)+(H34)*(MAX($D$16,(E62)-(J34))))*(MAX($D$16,(E62)-(J34))),0.000001))^2)/(2*$I$5))),$D$8*((((ABS(I62)/MAX(((F34)+(H34)*(MAX($D$16,(E62)-(J34))))*(MAX($D$16,(E62)-(J34))),0.000001))^2)/(2*$I$5))-(((ABS(I62)/MAX(((G34)+(I34)*(MAX($D$16,(M62)-(K34))))*(MAX($D$16,(M62)-(K34))),0.000001))^2)/(2*$I$5)))))+($D$10*(ABS((X34)-(W34))/90)*MAX(((ABS(I62)/MAX(((F34)+(H34)*(MAX($D$16,(E62)-(J34))))*(MAX($D$16,(E62)-(J34))),0.000001))^2)/(2*$I$5),((ABS(I62)/MAX(((G34)+(I34)*(MAX($D$16,(M62)-(K34))))*(MAX($D$16,(M62)-(K34))),0.000001))^2)/(2*$I$5)))+(0)-((ABS(I62)/MAX(((F34)+(H34)*(MAX($D$16,(E62)-(J34))))*(MAX($D$16,(E62)-(J34))),0.000001))^2)/(2*$I$5)</f>
        <v>635.5</v>
      </c>
      <c r="T62">
        <f>N62+((ABS(J62)/MAX(((G35)+(I35)*(MAX($D$16,(N62)-(K35))))*(MAX($D$16,(N62)-(K35))),0.000001))^2)/(2*$I$5)+((E35)*((((ABS(J62)*$D$6)/(MAX(((F35)+(H35)*(MAX($D$16,(E62)-(J35))))*(MAX($D$16,(E62)-(J35))),0.000001)*MAX(((((F35)+(H35)*(MAX($D$16,(E62)-(J35))))*(MAX($D$16,(E62)-(J35))))/MAX((F35)+2*(MAX($D$16,(E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E62)-(J35))))*(MAX($D$16,(E62)-(J35))),0.000001)),$D$9*((((ABS(J62)/MAX(((G35)+(I35)*(MAX($D$16,(N62)-(K35))))*(MAX($D$16,(N62)-(K35))),0.000001))^2)/(2*$I$5))-(((ABS(J62)/MAX(((F35)+(H35)*(MAX($D$16,(E62)-(J35))))*(MAX($D$16,(E62)-(J35))),0.000001))^2)/(2*$I$5))),$D$8*((((ABS(J62)/MAX(((F35)+(H35)*(MAX($D$16,(E62)-(J35))))*(MAX($D$16,(E62)-(J35))),0.000001))^2)/(2*$I$5))-(((ABS(J62)/MAX(((G35)+(I35)*(MAX($D$16,(N62)-(K35))))*(MAX($D$16,(N62)-(K35))),0.000001))^2)/(2*$I$5)))))+($D$10*(ABS((X35)-(W35))/90)*MAX(((ABS(J62)/MAX(((F35)+(H35)*(MAX($D$16,(E62)-(J35))))*(MAX($D$16,(E62)-(J35))),0.000001))^2)/(2*$I$5),((ABS(J62)/MAX(((G35)+(I35)*(MAX($D$16,(N62)-(K35))))*(MAX($D$16,(N62)-(K35))),0.000001))^2)/(2*$I$5)))+(($D$11*0.34699541*(ABS(I62)/MAX(ABS(G62),0.000001))^2*MAX(((ABS(J62)/MAX(((F35)+(H35)*(MAX($D$16,(E62)-(J35))))*(MAX($D$16,(E62)-(J35))),0.000001))^2)/(2*$I$5),((ABS(J62)/MAX(((G35)+(I35)*(MAX($D$16,(N62)-(K35))))*(MAX($D$16,(N62)-(K35))),0.000001))^2)/(2*$I$5))))-((ABS(J62)/MAX(((F35)+(H35)*(MAX($D$16,(E62)-(J35))))*(MAX($D$16,(E62)-(J35))),0.000001))^2)/(2*$I$5)</f>
        <v>22382.80587457701</v>
      </c>
      <c r="U62">
        <f>(((((F32)*(MAX($D$16,(D62)-(J32)))^2)/2+(H32)*(MAX($D$16,(D62)-(J32)))^3/3+(ABS(G62)^2)/($I$5*MAX(((F32)+(H32)*(MAX($D$16,(D62)-(J32))))*(MAX($D$16,(D62)-(J32))),0.000001)))*0.72785025)-((((F33)*(MAX($D$16,(D62)-(J33)))^2)/2+(H33)*(MAX($D$16,(D62)-(J33)))^3/3+(ABS(H62)^2)/($I$5*MAX(((F33)+(H33)*(MAX($D$16,(D62)-(J33))))*(MAX($D$16,(D62)-(J33))),0.000001)))*0.99999971))/MAX(((G31)*(MAX($D$16,(D62)-(K31)))^2)/2+(I31)*(MAX($D$16,(D62)-(K31)))^3/3+(ABS(F62)^2)/($I$5*MAX(((G31)+(I31)*(MAX($D$16,(D62)-(K31))))*(MAX($D$16,(D62)-(K31))),0.000001)),0.000001)</f>
        <v>-0.27214945999978596</v>
      </c>
      <c r="V62">
        <f>(((((F34)*(MAX($D$16,(E62)-(J34)))^2)/2+(H34)*(MAX($D$16,(E62)-(J34)))^3/3+(ABS(I62)^2)/($I$5*MAX(((F34)+(H34)*(MAX($D$16,(E62)-(J34))))*(MAX($D$16,(E62)-(J34))),0.000001)))*1)-((((F35)*(MAX($D$16,(E62)-(J35)))^2)/2+(H35)*(MAX($D$16,(E62)-(J35)))^3/3+(ABS(J62)^2)/($I$5*MAX(((F35)+(H35)*(MAX($D$16,(E62)-(J35))))*(MAX($D$16,(E62)-(J35))),0.000001)))*0.30600918))/MAX(((G32)*(MAX($D$16,(E62)-(K32)))^2)/2+(I32)*(MAX($D$16,(E62)-(K32)))^3/3+(ABS(G62)^2)/($I$5*MAX(((G32)+(I32)*(MAX($D$16,(E62)-(K32))))*(MAX($D$16,(E62)-(K32))),0.000001)),0.000001)</f>
        <v>-0.30598462674144999</v>
      </c>
      <c r="W62">
        <f>IF(N6="None",MAX(ABS(O62-D62),ABS(P62-D62)),MAX(ABS(O62-D62),ABS(P62-D62),ABS(Q62-D62)))</f>
        <v>38850.297960142751</v>
      </c>
      <c r="X62">
        <f>IF(AND(N7="None",N8="None"),ABS(R62-E62),IF(N8="None",MAX(ABS(R62-E62),ABS(S62-E62)),IF(N7="None",MAX(ABS(R62-E62),ABS(T62-E62)),MAX(ABS(R62-E62),ABS(S62-E62),ABS(T62-E62)))))</f>
        <v>38627.530894243821</v>
      </c>
      <c r="AA62">
        <f>D62+$D$13*(IF(N6="None",AVERAGE(O62:P62),AVERAGE(O62:Q62))-D62)</f>
        <v>39298.900684899578</v>
      </c>
      <c r="AB62">
        <f>E62+$D$13*(IF(AND(N7="None",N8="None"),R62,IF(N8="None",AVERAGE(R62:S62),IF(N7="None",AVERAGE(R62,T62),AVERAGE(R62:T62))))-E62)</f>
        <v>-7912.054025895437</v>
      </c>
    </row>
    <row r="63" spans="1:28" x14ac:dyDescent="0.35">
      <c r="A63">
        <v>20</v>
      </c>
      <c r="B63">
        <f t="shared" si="3"/>
        <v>0</v>
      </c>
      <c r="C63">
        <f t="shared" si="4"/>
        <v>0</v>
      </c>
      <c r="D63">
        <f t="shared" si="5"/>
        <v>39298.900684899578</v>
      </c>
      <c r="E63">
        <f t="shared" si="6"/>
        <v>-7912.054025895437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>IF(AND(N7="None",N8="None"),0,IF(N8="None",G63,IF(N7="None",0,MAX(0,G63*C63))))</f>
        <v>0</v>
      </c>
      <c r="J63">
        <f>IF(AND(N7="None",N8="None"),0,IF(N8="None",0,IF(N7="None",G63,MAX(0,G63-I63))))</f>
        <v>51</v>
      </c>
      <c r="K63">
        <f>P5</f>
        <v>637</v>
      </c>
      <c r="L63">
        <f>P6</f>
        <v>637</v>
      </c>
      <c r="M63">
        <f>P7</f>
        <v>635.5</v>
      </c>
      <c r="N63">
        <f>P8</f>
        <v>631.54999999999995</v>
      </c>
      <c r="O63">
        <f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D63)-(K31))))*(MAX($D$16,(D63)-(K31))),0.000001)*MAX(((((G31)+(I31)*(MAX($D$16,(D63)-(K31))))*(MAX($D$16,(D63)-(K31))))/MAX((G31)+2*(MAX($D$16,(D63)-(K31)))*SQRT(1+(I31)^2),0.000001))^(2/3),0.000001)))^2))/2)+(IF((ABS(F63)/MAX(((G31)+(I31)*(MAX($D$16,(D63)-(K31))))*(MAX($D$16,(D63)-(K31))),0.000001))&gt;(ABS(F63)/MAX(((F31)+(H31)*(MAX($D$16,(K63)-(J31))))*(MAX($D$16,(K63)-(J31))),0.000001)),$D$9*((((ABS(F63)/MAX(((G31)+(I31)*(MAX($D$16,(D63)-(K31))))*(MAX($D$16,(D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D63)-(K31))))*(MAX($D$16,(D63)-(K31))),0.000001))^2)/(2*$I$5)))))+($D$10*(ABS((X31)-(W31))/90)*MAX(((ABS(F63)/MAX(((F31)+(H31)*(MAX($D$16,(K63)-(J31))))*(MAX($D$16,(K63)-(J31))),0.000001))^2)/(2*$I$5),((ABS(F63)/MAX(((G31)+(I31)*(MAX($D$16,(D63)-(K31))))*(MAX($D$16,(D63)-(K31))),0.000001))^2)/(2*$I$5)))+(0)-((ABS(F63)/MAX(((G31)+(I31)*(MAX($D$16,(D63)-(K31))))*(MAX($D$16,(D63)-(K31))),0.000001))^2)/(2*$I$5)</f>
        <v>637.65825100970687</v>
      </c>
      <c r="P63">
        <f>E63+((ABS(G63)/MAX(((G32)+(I32)*(MAX($D$16,(E63)-(K32))))*(MAX($D$16,(E63)-(K32))),0.000001))^2)/(2*$I$5)+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F32)+(H32)*(MAX($D$16,(D63)-(J32))))*(MAX($D$16,(D63)-(J32))),0.000001))^2)/(2*$I$5)</f>
        <v>78141.795549500326</v>
      </c>
      <c r="Q63">
        <f>L63+((ABS(H63)/MAX(((G33)+(I33)*(MAX($D$16,(L63)-(K33))))*(MAX($D$16,(L63)-(K33))),0.000001))^2)/(2*$I$5)+((E33)*((((ABS(H63)*$D$6)/(MAX(((F33)+(H33)*(MAX($D$16,(D63)-(J33))))*(MAX($D$16,(D63)-(J33))),0.000001)*MAX(((((F33)+(H33)*(MAX($D$16,(D63)-(J33))))*(MAX($D$16,(D63)-(J33))))/MAX((F33)+2*(MAX($D$16,(D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D63)-(J33))))*(MAX($D$16,(D63)-(J33))),0.000001)),$D$9*((((ABS(H63)/MAX(((G33)+(I33)*(MAX($D$16,(L63)-(K33))))*(MAX($D$16,(L63)-(K33))),0.000001))^2)/(2*$I$5))-(((ABS(H63)/MAX(((F33)+(H33)*(MAX($D$16,(D63)-(J33))))*(MAX($D$16,(D63)-(J33))),0.000001))^2)/(2*$I$5))),$D$8*((((ABS(H63)/MAX(((F33)+(H33)*(MAX($D$16,(D63)-(J33))))*(MAX($D$16,(D63)-(J33))),0.000001))^2)/(2*$I$5))-(((ABS(H63)/MAX(((G33)+(I33)*(MAX($D$16,(L63)-(K33))))*(MAX($D$16,(L63)-(K33))),0.000001))^2)/(2*$I$5)))))+($D$10*(ABS((X33)-(W33))/90)*MAX(((ABS(H63)/MAX(((F33)+(H33)*(MAX($D$16,(D63)-(J33))))*(MAX($D$16,(D63)-(J33))),0.000001))^2)/(2*$I$5),((ABS(H63)/MAX(((G33)+(I33)*(MAX($D$16,(L63)-(K33))))*(MAX($D$16,(L63)-(K33))),0.000001))^2)/(2*$I$5)))+(($D$11*0.00000015*(ABS(G63)/MAX(ABS(F63),0.000001))^2*MAX(((ABS(H63)/MAX(((F33)+(H33)*(MAX($D$16,(D63)-(J33))))*(MAX($D$16,(D63)-(J33))),0.000001))^2)/(2*$I$5),((ABS(H63)/MAX(((G33)+(I33)*(MAX($D$16,(L63)-(K33))))*(MAX($D$16,(L63)-(K33))),0.000001))^2)/(2*$I$5))))-((ABS(H63)/MAX(((F33)+(H33)*(MAX($D$16,(D63)-(J33))))*(MAX($D$16,(D63)-(J33))),0.000001))^2)/(2*$I$5)</f>
        <v>637</v>
      </c>
      <c r="R63">
        <f>D63+((ABS(G63)/MAX(((F32)+(H32)*(MAX($D$16,(D63)-(J32))))*(MAX($D$16,(D63)-(J32))),0.000001))^2)/(2*$I$5)-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G32)+(I32)*(MAX($D$16,(E63)-(K32))))*(MAX($D$16,(E63)-(K32))),0.000001))^2)/(2*$I$5)</f>
        <v>-46532.181824597261</v>
      </c>
      <c r="S63">
        <f>M63+((ABS(I63)/MAX(((G34)+(I34)*(MAX($D$16,(M63)-(K34))))*(MAX($D$16,(M63)-(K34))),0.000001))^2)/(2*$I$5)+((E34)*((((ABS(I63)*$D$6)/(MAX(((F34)+(H34)*(MAX($D$16,(E63)-(J34))))*(MAX($D$16,(E63)-(J34))),0.000001)*MAX(((((F34)+(H34)*(MAX($D$16,(E63)-(J34))))*(MAX($D$16,(E63)-(J34))))/MAX((F34)+2*(MAX($D$16,(E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E63)-(J34))))*(MAX($D$16,(E63)-(J34))),0.000001)),$D$9*((((ABS(I63)/MAX(((G34)+(I34)*(MAX($D$16,(M63)-(K34))))*(MAX($D$16,(M63)-(K34))),0.000001))^2)/(2*$I$5))-(((ABS(I63)/MAX(((F34)+(H34)*(MAX($D$16,(E63)-(J34))))*(MAX($D$16,(E63)-(J34))),0.000001))^2)/(2*$I$5))),$D$8*((((ABS(I63)/MAX(((F34)+(H34)*(MAX($D$16,(E63)-(J34))))*(MAX($D$16,(E63)-(J34))),0.000001))^2)/(2*$I$5))-(((ABS(I63)/MAX(((G34)+(I34)*(MAX($D$16,(M63)-(K34))))*(MAX($D$16,(M63)-(K34))),0.000001))^2)/(2*$I$5)))))+($D$10*(ABS((X34)-(W34))/90)*MAX(((ABS(I63)/MAX(((F34)+(H34)*(MAX($D$16,(E63)-(J34))))*(MAX($D$16,(E63)-(J34))),0.000001))^2)/(2*$I$5),((ABS(I63)/MAX(((G34)+(I34)*(MAX($D$16,(M63)-(K34))))*(MAX($D$16,(M63)-(K34))),0.000001))^2)/(2*$I$5)))+(0)-((ABS(I63)/MAX(((F34)+(H34)*(MAX($D$16,(E63)-(J34))))*(MAX($D$16,(E63)-(J34))),0.000001))^2)/(2*$I$5)</f>
        <v>635.5</v>
      </c>
      <c r="T63">
        <f>N63+((ABS(J63)/MAX(((G35)+(I35)*(MAX($D$16,(N63)-(K35))))*(MAX($D$16,(N63)-(K35))),0.000001))^2)/(2*$I$5)+((E35)*((((ABS(J63)*$D$6)/(MAX(((F35)+(H35)*(MAX($D$16,(E63)-(J35))))*(MAX($D$16,(E63)-(J35))),0.000001)*MAX(((((F35)+(H35)*(MAX($D$16,(E63)-(J35))))*(MAX($D$16,(E63)-(J35))))/MAX((F35)+2*(MAX($D$16,(E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E63)-(J35))))*(MAX($D$16,(E63)-(J35))),0.000001)),$D$9*((((ABS(J63)/MAX(((G35)+(I35)*(MAX($D$16,(N63)-(K35))))*(MAX($D$16,(N63)-(K35))),0.000001))^2)/(2*$I$5))-(((ABS(J63)/MAX(((F35)+(H35)*(MAX($D$16,(E63)-(J35))))*(MAX($D$16,(E63)-(J35))),0.000001))^2)/(2*$I$5))),$D$8*((((ABS(J63)/MAX(((F35)+(H35)*(MAX($D$16,(E63)-(J35))))*(MAX($D$16,(E63)-(J35))),0.000001))^2)/(2*$I$5))-(((ABS(J63)/MAX(((G35)+(I35)*(MAX($D$16,(N63)-(K35))))*(MAX($D$16,(N63)-(K35))),0.000001))^2)/(2*$I$5)))))+($D$10*(ABS((X35)-(W35))/90)*MAX(((ABS(J63)/MAX(((F35)+(H35)*(MAX($D$16,(E63)-(J35))))*(MAX($D$16,(E63)-(J35))),0.000001))^2)/(2*$I$5),((ABS(J63)/MAX(((G35)+(I35)*(MAX($D$16,(N63)-(K35))))*(MAX($D$16,(N63)-(K35))),0.000001))^2)/(2*$I$5)))+(($D$11*0.34699541*(ABS(I63)/MAX(ABS(G63),0.000001))^2*MAX(((ABS(J63)/MAX(((F35)+(H35)*(MAX($D$16,(E63)-(J35))))*(MAX($D$16,(E63)-(J35))),0.000001))^2)/(2*$I$5),((ABS(J63)/MAX(((G35)+(I35)*(MAX($D$16,(N63)-(K35))))*(MAX($D$16,(N63)-(K35))),0.000001))^2)/(2*$I$5))))-((ABS(J63)/MAX(((F35)+(H35)*(MAX($D$16,(E63)-(J35))))*(MAX($D$16,(E63)-(J35))),0.000001))^2)/(2*$I$5)</f>
        <v>22382.80587457701</v>
      </c>
      <c r="U63">
        <f>(((((F32)*(MAX($D$16,(D63)-(J32)))^2)/2+(H32)*(MAX($D$16,(D63)-(J32)))^3/3+(ABS(G63)^2)/($I$5*MAX(((F32)+(H32)*(MAX($D$16,(D63)-(J32))))*(MAX($D$16,(D63)-(J32))),0.000001)))*0.72785025)-((((F33)*(MAX($D$16,(D63)-(J33)))^2)/2+(H33)*(MAX($D$16,(D63)-(J33)))^3/3+(ABS(H63)^2)/($I$5*MAX(((F33)+(H33)*(MAX($D$16,(D63)-(J33))))*(MAX($D$16,(D63)-(J33))),0.000001)))*0.99999971))/MAX(((G31)*(MAX($D$16,(D63)-(K31)))^2)/2+(I31)*(MAX($D$16,(D63)-(K31)))^3/3+(ABS(F63)^2)/($I$5*MAX(((G31)+(I31)*(MAX($D$16,(D63)-(K31))))*(MAX($D$16,(D63)-(K31))),0.000001)),0.000001)</f>
        <v>-0.27214945999978668</v>
      </c>
      <c r="V63">
        <f>(((((F34)*(MAX($D$16,(E63)-(J34)))^2)/2+(H34)*(MAX($D$16,(E63)-(J34)))^3/3+(ABS(I63)^2)/($I$5*MAX(((F34)+(H34)*(MAX($D$16,(E63)-(J34))))*(MAX($D$16,(E63)-(J34))),0.000001)))*1)-((((F35)*(MAX($D$16,(E63)-(J35)))^2)/2+(H35)*(MAX($D$16,(E63)-(J35)))^3/3+(ABS(J63)^2)/($I$5*MAX(((F35)+(H35)*(MAX($D$16,(E63)-(J35))))*(MAX($D$16,(E63)-(J35))),0.000001)))*0.30600918))/MAX(((G32)*(MAX($D$16,(E63)-(K32)))^2)/2+(I32)*(MAX($D$16,(E63)-(K32)))^3/3+(ABS(G63)^2)/($I$5*MAX(((G32)+(I32)*(MAX($D$16,(E63)-(K32))))*(MAX($D$16,(E63)-(K32))),0.000001)),0.000001)</f>
        <v>-0.30598462674144999</v>
      </c>
      <c r="W63">
        <f>IF(N6="None",MAX(ABS(O63-D63),ABS(P63-D63)),MAX(ABS(O63-D63),ABS(P63-D63),ABS(Q63-D63)))</f>
        <v>38842.894864600748</v>
      </c>
      <c r="X63">
        <f>IF(AND(N7="None",N8="None"),ABS(R63-E63),IF(N8="None",MAX(ABS(R63-E63),ABS(S63-E63)),IF(N7="None",MAX(ABS(R63-E63),ABS(T63-E63)),MAX(ABS(R63-E63),ABS(S63-E63),ABS(T63-E63)))))</f>
        <v>38620.127798701826</v>
      </c>
      <c r="AA63">
        <f>D63+$D$13*(IF(N6="None",AVERAGE(O63:P63),AVERAGE(O63:Q63))-D63)</f>
        <v>39330.689860273982</v>
      </c>
      <c r="AB63">
        <f>E63+$D$13*(IF(AND(N7="None",N8="None"),R63,IF(N8="None",AVERAGE(R63:S63),IF(N7="None",AVERAGE(R63,T63),AVERAGE(R63:T63))))-E63)</f>
        <v>-7886.1206443343963</v>
      </c>
    </row>
    <row r="64" spans="1:28" x14ac:dyDescent="0.35">
      <c r="A64">
        <v>21</v>
      </c>
      <c r="B64">
        <f t="shared" si="3"/>
        <v>0</v>
      </c>
      <c r="C64">
        <f t="shared" si="4"/>
        <v>0</v>
      </c>
      <c r="D64">
        <f t="shared" si="5"/>
        <v>39330.689860273982</v>
      </c>
      <c r="E64">
        <f t="shared" si="6"/>
        <v>-7886.1206443343963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>IF(AND(N7="None",N8="None"),0,IF(N8="None",G64,IF(N7="None",0,MAX(0,G64*C64))))</f>
        <v>0</v>
      </c>
      <c r="J64">
        <f>IF(AND(N7="None",N8="None"),0,IF(N8="None",0,IF(N7="None",G64,MAX(0,G64-I64))))</f>
        <v>51</v>
      </c>
      <c r="K64">
        <f>P5</f>
        <v>637</v>
      </c>
      <c r="L64">
        <f>P6</f>
        <v>637</v>
      </c>
      <c r="M64">
        <f>P7</f>
        <v>635.5</v>
      </c>
      <c r="N64">
        <f>P8</f>
        <v>631.54999999999995</v>
      </c>
      <c r="O64">
        <f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D64)-(K31))))*(MAX($D$16,(D64)-(K31))),0.000001)*MAX(((((G31)+(I31)*(MAX($D$16,(D64)-(K31))))*(MAX($D$16,(D64)-(K31))))/MAX((G31)+2*(MAX($D$16,(D64)-(K31)))*SQRT(1+(I31)^2),0.000001))^(2/3),0.000001)))^2))/2)+(IF((ABS(F64)/MAX(((G31)+(I31)*(MAX($D$16,(D64)-(K31))))*(MAX($D$16,(D64)-(K31))),0.000001))&gt;(ABS(F64)/MAX(((F31)+(H31)*(MAX($D$16,(K64)-(J31))))*(MAX($D$16,(K64)-(J31))),0.000001)),$D$9*((((ABS(F64)/MAX(((G31)+(I31)*(MAX($D$16,(D64)-(K31))))*(MAX($D$16,(D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D64)-(K31))))*(MAX($D$16,(D64)-(K31))),0.000001))^2)/(2*$I$5)))))+($D$10*(ABS((X31)-(W31))/90)*MAX(((ABS(F64)/MAX(((F31)+(H31)*(MAX($D$16,(K64)-(J31))))*(MAX($D$16,(K64)-(J31))),0.000001))^2)/(2*$I$5),((ABS(F64)/MAX(((G31)+(I31)*(MAX($D$16,(D64)-(K31))))*(MAX($D$16,(D64)-(K31))),0.000001))^2)/(2*$I$5)))+(0)-((ABS(F64)/MAX(((G31)+(I31)*(MAX($D$16,(D64)-(K31))))*(MAX($D$16,(D64)-(K31))),0.000001))^2)/(2*$I$5)</f>
        <v>637.65825100971131</v>
      </c>
      <c r="P64">
        <f>E64+((ABS(G64)/MAX(((G32)+(I32)*(MAX($D$16,(E64)-(K32))))*(MAX($D$16,(E64)-(K32))),0.000001))^2)/(2*$I$5)+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F32)+(H32)*(MAX($D$16,(D64)-(J32))))*(MAX($D$16,(D64)-(J32))),0.000001))^2)/(2*$I$5)</f>
        <v>78167.728931061385</v>
      </c>
      <c r="Q64">
        <f>L64+((ABS(H64)/MAX(((G33)+(I33)*(MAX($D$16,(L64)-(K33))))*(MAX($D$16,(L64)-(K33))),0.000001))^2)/(2*$I$5)+((E33)*((((ABS(H64)*$D$6)/(MAX(((F33)+(H33)*(MAX($D$16,(D64)-(J33))))*(MAX($D$16,(D64)-(J33))),0.000001)*MAX(((((F33)+(H33)*(MAX($D$16,(D64)-(J33))))*(MAX($D$16,(D64)-(J33))))/MAX((F33)+2*(MAX($D$16,(D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D64)-(J33))))*(MAX($D$16,(D64)-(J33))),0.000001)),$D$9*((((ABS(H64)/MAX(((G33)+(I33)*(MAX($D$16,(L64)-(K33))))*(MAX($D$16,(L64)-(K33))),0.000001))^2)/(2*$I$5))-(((ABS(H64)/MAX(((F33)+(H33)*(MAX($D$16,(D64)-(J33))))*(MAX($D$16,(D64)-(J33))),0.000001))^2)/(2*$I$5))),$D$8*((((ABS(H64)/MAX(((F33)+(H33)*(MAX($D$16,(D64)-(J33))))*(MAX($D$16,(D64)-(J33))),0.000001))^2)/(2*$I$5))-(((ABS(H64)/MAX(((G33)+(I33)*(MAX($D$16,(L64)-(K33))))*(MAX($D$16,(L64)-(K33))),0.000001))^2)/(2*$I$5)))))+($D$10*(ABS((X33)-(W33))/90)*MAX(((ABS(H64)/MAX(((F33)+(H33)*(MAX($D$16,(D64)-(J33))))*(MAX($D$16,(D64)-(J33))),0.000001))^2)/(2*$I$5),((ABS(H64)/MAX(((G33)+(I33)*(MAX($D$16,(L64)-(K33))))*(MAX($D$16,(L64)-(K33))),0.000001))^2)/(2*$I$5)))+(($D$11*0.00000015*(ABS(G64)/MAX(ABS(F64),0.000001))^2*MAX(((ABS(H64)/MAX(((F33)+(H33)*(MAX($D$16,(D64)-(J33))))*(MAX($D$16,(D64)-(J33))),0.000001))^2)/(2*$I$5),((ABS(H64)/MAX(((G33)+(I33)*(MAX($D$16,(L64)-(K33))))*(MAX($D$16,(L64)-(K33))),0.000001))^2)/(2*$I$5))))-((ABS(H64)/MAX(((F33)+(H33)*(MAX($D$16,(D64)-(J33))))*(MAX($D$16,(D64)-(J33))),0.000001))^2)/(2*$I$5)</f>
        <v>637</v>
      </c>
      <c r="R64">
        <f>D64+((ABS(G64)/MAX(((F32)+(H32)*(MAX($D$16,(D64)-(J32))))*(MAX($D$16,(D64)-(J32))),0.000001))^2)/(2*$I$5)-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G32)+(I32)*(MAX($D$16,(E64)-(K32))))*(MAX($D$16,(E64)-(K32))),0.000001))^2)/(2*$I$5)</f>
        <v>-46500.392649222857</v>
      </c>
      <c r="S64">
        <f>M64+((ABS(I64)/MAX(((G34)+(I34)*(MAX($D$16,(M64)-(K34))))*(MAX($D$16,(M64)-(K34))),0.000001))^2)/(2*$I$5)+((E34)*((((ABS(I64)*$D$6)/(MAX(((F34)+(H34)*(MAX($D$16,(E64)-(J34))))*(MAX($D$16,(E64)-(J34))),0.000001)*MAX(((((F34)+(H34)*(MAX($D$16,(E64)-(J34))))*(MAX($D$16,(E64)-(J34))))/MAX((F34)+2*(MAX($D$16,(E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E64)-(J34))))*(MAX($D$16,(E64)-(J34))),0.000001)),$D$9*((((ABS(I64)/MAX(((G34)+(I34)*(MAX($D$16,(M64)-(K34))))*(MAX($D$16,(M64)-(K34))),0.000001))^2)/(2*$I$5))-(((ABS(I64)/MAX(((F34)+(H34)*(MAX($D$16,(E64)-(J34))))*(MAX($D$16,(E64)-(J34))),0.000001))^2)/(2*$I$5))),$D$8*((((ABS(I64)/MAX(((F34)+(H34)*(MAX($D$16,(E64)-(J34))))*(MAX($D$16,(E64)-(J34))),0.000001))^2)/(2*$I$5))-(((ABS(I64)/MAX(((G34)+(I34)*(MAX($D$16,(M64)-(K34))))*(MAX($D$16,(M64)-(K34))),0.000001))^2)/(2*$I$5)))))+($D$10*(ABS((X34)-(W34))/90)*MAX(((ABS(I64)/MAX(((F34)+(H34)*(MAX($D$16,(E64)-(J34))))*(MAX($D$16,(E64)-(J34))),0.000001))^2)/(2*$I$5),((ABS(I64)/MAX(((G34)+(I34)*(MAX($D$16,(M64)-(K34))))*(MAX($D$16,(M64)-(K34))),0.000001))^2)/(2*$I$5)))+(0)-((ABS(I64)/MAX(((F34)+(H34)*(MAX($D$16,(E64)-(J34))))*(MAX($D$16,(E64)-(J34))),0.000001))^2)/(2*$I$5)</f>
        <v>635.5</v>
      </c>
      <c r="T64">
        <f>N64+((ABS(J64)/MAX(((G35)+(I35)*(MAX($D$16,(N64)-(K35))))*(MAX($D$16,(N64)-(K35))),0.000001))^2)/(2*$I$5)+((E35)*((((ABS(J64)*$D$6)/(MAX(((F35)+(H35)*(MAX($D$16,(E64)-(J35))))*(MAX($D$16,(E64)-(J35))),0.000001)*MAX(((((F35)+(H35)*(MAX($D$16,(E64)-(J35))))*(MAX($D$16,(E64)-(J35))))/MAX((F35)+2*(MAX($D$16,(E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E64)-(J35))))*(MAX($D$16,(E64)-(J35))),0.000001)),$D$9*((((ABS(J64)/MAX(((G35)+(I35)*(MAX($D$16,(N64)-(K35))))*(MAX($D$16,(N64)-(K35))),0.000001))^2)/(2*$I$5))-(((ABS(J64)/MAX(((F35)+(H35)*(MAX($D$16,(E64)-(J35))))*(MAX($D$16,(E64)-(J35))),0.000001))^2)/(2*$I$5))),$D$8*((((ABS(J64)/MAX(((F35)+(H35)*(MAX($D$16,(E64)-(J35))))*(MAX($D$16,(E64)-(J35))),0.000001))^2)/(2*$I$5))-(((ABS(J64)/MAX(((G35)+(I35)*(MAX($D$16,(N64)-(K35))))*(MAX($D$16,(N64)-(K35))),0.000001))^2)/(2*$I$5)))))+($D$10*(ABS((X35)-(W35))/90)*MAX(((ABS(J64)/MAX(((F35)+(H35)*(MAX($D$16,(E64)-(J35))))*(MAX($D$16,(E64)-(J35))),0.000001))^2)/(2*$I$5),((ABS(J64)/MAX(((G35)+(I35)*(MAX($D$16,(N64)-(K35))))*(MAX($D$16,(N64)-(K35))),0.000001))^2)/(2*$I$5)))+(($D$11*0.34699541*(ABS(I64)/MAX(ABS(G64),0.000001))^2*MAX(((ABS(J64)/MAX(((F35)+(H35)*(MAX($D$16,(E64)-(J35))))*(MAX($D$16,(E64)-(J35))),0.000001))^2)/(2*$I$5),((ABS(J64)/MAX(((G35)+(I35)*(MAX($D$16,(N64)-(K35))))*(MAX($D$16,(N64)-(K35))),0.000001))^2)/(2*$I$5))))-((ABS(J64)/MAX(((F35)+(H35)*(MAX($D$16,(E64)-(J35))))*(MAX($D$16,(E64)-(J35))),0.000001))^2)/(2*$I$5)</f>
        <v>22382.80587457701</v>
      </c>
      <c r="U64">
        <f>(((((F32)*(MAX($D$16,(D64)-(J32)))^2)/2+(H32)*(MAX($D$16,(D64)-(J32)))^3/3+(ABS(G64)^2)/($I$5*MAX(((F32)+(H32)*(MAX($D$16,(D64)-(J32))))*(MAX($D$16,(D64)-(J32))),0.000001)))*0.72785025)-((((F33)*(MAX($D$16,(D64)-(J33)))^2)/2+(H33)*(MAX($D$16,(D64)-(J33)))^3/3+(ABS(H64)^2)/($I$5*MAX(((F33)+(H33)*(MAX($D$16,(D64)-(J33))))*(MAX($D$16,(D64)-(J33))),0.000001)))*0.99999971))/MAX(((G31)*(MAX($D$16,(D64)-(K31)))^2)/2+(I31)*(MAX($D$16,(D64)-(K31)))^3/3+(ABS(F64)^2)/($I$5*MAX(((G31)+(I31)*(MAX($D$16,(D64)-(K31))))*(MAX($D$16,(D64)-(K31))),0.000001)),0.000001)</f>
        <v>-0.27214945999978701</v>
      </c>
      <c r="V64">
        <f>(((((F34)*(MAX($D$16,(E64)-(J34)))^2)/2+(H34)*(MAX($D$16,(E64)-(J34)))^3/3+(ABS(I64)^2)/($I$5*MAX(((F34)+(H34)*(MAX($D$16,(E64)-(J34))))*(MAX($D$16,(E64)-(J34))),0.000001)))*1)-((((F35)*(MAX($D$16,(E64)-(J35)))^2)/2+(H35)*(MAX($D$16,(E64)-(J35)))^3/3+(ABS(J64)^2)/($I$5*MAX(((F35)+(H35)*(MAX($D$16,(E64)-(J35))))*(MAX($D$16,(E64)-(J35))),0.000001)))*0.30600918))/MAX(((G32)*(MAX($D$16,(E64)-(K32)))^2)/2+(I32)*(MAX($D$16,(E64)-(K32)))^3/3+(ABS(G64)^2)/($I$5*MAX(((G32)+(I32)*(MAX($D$16,(E64)-(K32))))*(MAX($D$16,(E64)-(K32))),0.000001)),0.000001)</f>
        <v>-0.30598462674144999</v>
      </c>
      <c r="W64">
        <f>IF(N6="None",MAX(ABS(O64-D64),ABS(P64-D64)),MAX(ABS(O64-D64),ABS(P64-D64),ABS(Q64-D64)))</f>
        <v>38837.039070787403</v>
      </c>
      <c r="X64">
        <f>IF(AND(N7="None",N8="None"),ABS(R64-E64),IF(N8="None",MAX(ABS(R64-E64),ABS(S64-E64)),IF(N7="None",MAX(ABS(R64-E64),ABS(T64-E64)),MAX(ABS(R64-E64),ABS(S64-E64),ABS(T64-E64)))))</f>
        <v>38614.272004888458</v>
      </c>
      <c r="AA64">
        <f>D64+$D$13*(IF(N6="None",AVERAGE(O64:P64),AVERAGE(O64:Q64))-D64)</f>
        <v>39355.891166040528</v>
      </c>
      <c r="AB64">
        <f>E64+$D$13*(IF(AND(N7="None",N8="None"),R64,IF(N8="None",AVERAGE(R64:S64),IF(N7="None",AVERAGE(R64,T64),AVERAGE(R64:T64))))-E64)</f>
        <v>-7865.5552091927066</v>
      </c>
    </row>
    <row r="65" spans="1:28" x14ac:dyDescent="0.35">
      <c r="A65">
        <v>22</v>
      </c>
      <c r="B65">
        <f t="shared" si="3"/>
        <v>0</v>
      </c>
      <c r="C65">
        <f t="shared" si="4"/>
        <v>0</v>
      </c>
      <c r="D65">
        <f t="shared" si="5"/>
        <v>39355.891166040528</v>
      </c>
      <c r="E65">
        <f t="shared" si="6"/>
        <v>-7865.5552091927066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>IF(AND(N7="None",N8="None"),0,IF(N8="None",G65,IF(N7="None",0,MAX(0,G65*C65))))</f>
        <v>0</v>
      </c>
      <c r="J65">
        <f>IF(AND(N7="None",N8="None"),0,IF(N8="None",0,IF(N7="None",G65,MAX(0,G65-I65))))</f>
        <v>51</v>
      </c>
      <c r="K65">
        <f>P5</f>
        <v>637</v>
      </c>
      <c r="L65">
        <f>P6</f>
        <v>637</v>
      </c>
      <c r="M65">
        <f>P7</f>
        <v>635.5</v>
      </c>
      <c r="N65">
        <f>P8</f>
        <v>631.54999999999995</v>
      </c>
      <c r="O65">
        <f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D65)-(K31))))*(MAX($D$16,(D65)-(K31))),0.000001)*MAX(((((G31)+(I31)*(MAX($D$16,(D65)-(K31))))*(MAX($D$16,(D65)-(K31))))/MAX((G31)+2*(MAX($D$16,(D65)-(K31)))*SQRT(1+(I31)^2),0.000001))^(2/3),0.000001)))^2))/2)+(IF((ABS(F65)/MAX(((G31)+(I31)*(MAX($D$16,(D65)-(K31))))*(MAX($D$16,(D65)-(K31))),0.000001))&gt;(ABS(F65)/MAX(((F31)+(H31)*(MAX($D$16,(K65)-(J31))))*(MAX($D$16,(K65)-(J31))),0.000001)),$D$9*((((ABS(F65)/MAX(((G31)+(I31)*(MAX($D$16,(D65)-(K31))))*(MAX($D$16,(D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D65)-(K31))))*(MAX($D$16,(D65)-(K31))),0.000001))^2)/(2*$I$5)))))+($D$10*(ABS((X31)-(W31))/90)*MAX(((ABS(F65)/MAX(((F31)+(H31)*(MAX($D$16,(K65)-(J31))))*(MAX($D$16,(K65)-(J31))),0.000001))^2)/(2*$I$5),((ABS(F65)/MAX(((G31)+(I31)*(MAX($D$16,(D65)-(K31))))*(MAX($D$16,(D65)-(K31))),0.000001))^2)/(2*$I$5)))+(0)-((ABS(F65)/MAX(((G31)+(I31)*(MAX($D$16,(D65)-(K31))))*(MAX($D$16,(D65)-(K31))),0.000001))^2)/(2*$I$5)</f>
        <v>637.65825100971483</v>
      </c>
      <c r="P65">
        <f>E65+((ABS(G65)/MAX(((G32)+(I32)*(MAX($D$16,(E65)-(K32))))*(MAX($D$16,(E65)-(K32))),0.000001))^2)/(2*$I$5)+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F32)+(H32)*(MAX($D$16,(D65)-(J32))))*(MAX($D$16,(D65)-(J32))),0.000001))^2)/(2*$I$5)</f>
        <v>78188.294366203074</v>
      </c>
      <c r="Q65">
        <f>L65+((ABS(H65)/MAX(((G33)+(I33)*(MAX($D$16,(L65)-(K33))))*(MAX($D$16,(L65)-(K33))),0.000001))^2)/(2*$I$5)+((E33)*((((ABS(H65)*$D$6)/(MAX(((F33)+(H33)*(MAX($D$16,(D65)-(J33))))*(MAX($D$16,(D65)-(J33))),0.000001)*MAX(((((F33)+(H33)*(MAX($D$16,(D65)-(J33))))*(MAX($D$16,(D65)-(J33))))/MAX((F33)+2*(MAX($D$16,(D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D65)-(J33))))*(MAX($D$16,(D65)-(J33))),0.000001)),$D$9*((((ABS(H65)/MAX(((G33)+(I33)*(MAX($D$16,(L65)-(K33))))*(MAX($D$16,(L65)-(K33))),0.000001))^2)/(2*$I$5))-(((ABS(H65)/MAX(((F33)+(H33)*(MAX($D$16,(D65)-(J33))))*(MAX($D$16,(D65)-(J33))),0.000001))^2)/(2*$I$5))),$D$8*((((ABS(H65)/MAX(((F33)+(H33)*(MAX($D$16,(D65)-(J33))))*(MAX($D$16,(D65)-(J33))),0.000001))^2)/(2*$I$5))-(((ABS(H65)/MAX(((G33)+(I33)*(MAX($D$16,(L65)-(K33))))*(MAX($D$16,(L65)-(K33))),0.000001))^2)/(2*$I$5)))))+($D$10*(ABS((X33)-(W33))/90)*MAX(((ABS(H65)/MAX(((F33)+(H33)*(MAX($D$16,(D65)-(J33))))*(MAX($D$16,(D65)-(J33))),0.000001))^2)/(2*$I$5),((ABS(H65)/MAX(((G33)+(I33)*(MAX($D$16,(L65)-(K33))))*(MAX($D$16,(L65)-(K33))),0.000001))^2)/(2*$I$5)))+(($D$11*0.00000015*(ABS(G65)/MAX(ABS(F65),0.000001))^2*MAX(((ABS(H65)/MAX(((F33)+(H33)*(MAX($D$16,(D65)-(J33))))*(MAX($D$16,(D65)-(J33))),0.000001))^2)/(2*$I$5),((ABS(H65)/MAX(((G33)+(I33)*(MAX($D$16,(L65)-(K33))))*(MAX($D$16,(L65)-(K33))),0.000001))^2)/(2*$I$5))))-((ABS(H65)/MAX(((F33)+(H33)*(MAX($D$16,(D65)-(J33))))*(MAX($D$16,(D65)-(J33))),0.000001))^2)/(2*$I$5)</f>
        <v>637</v>
      </c>
      <c r="R65">
        <f>D65+((ABS(G65)/MAX(((F32)+(H32)*(MAX($D$16,(D65)-(J32))))*(MAX($D$16,(D65)-(J32))),0.000001))^2)/(2*$I$5)-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G32)+(I32)*(MAX($D$16,(E65)-(K32))))*(MAX($D$16,(E65)-(K32))),0.000001))^2)/(2*$I$5)</f>
        <v>-46475.19134345631</v>
      </c>
      <c r="S65">
        <f>M65+((ABS(I65)/MAX(((G34)+(I34)*(MAX($D$16,(M65)-(K34))))*(MAX($D$16,(M65)-(K34))),0.000001))^2)/(2*$I$5)+((E34)*((((ABS(I65)*$D$6)/(MAX(((F34)+(H34)*(MAX($D$16,(E65)-(J34))))*(MAX($D$16,(E65)-(J34))),0.000001)*MAX(((((F34)+(H34)*(MAX($D$16,(E65)-(J34))))*(MAX($D$16,(E65)-(J34))))/MAX((F34)+2*(MAX($D$16,(E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E65)-(J34))))*(MAX($D$16,(E65)-(J34))),0.000001)),$D$9*((((ABS(I65)/MAX(((G34)+(I34)*(MAX($D$16,(M65)-(K34))))*(MAX($D$16,(M65)-(K34))),0.000001))^2)/(2*$I$5))-(((ABS(I65)/MAX(((F34)+(H34)*(MAX($D$16,(E65)-(J34))))*(MAX($D$16,(E65)-(J34))),0.000001))^2)/(2*$I$5))),$D$8*((((ABS(I65)/MAX(((F34)+(H34)*(MAX($D$16,(E65)-(J34))))*(MAX($D$16,(E65)-(J34))),0.000001))^2)/(2*$I$5))-(((ABS(I65)/MAX(((G34)+(I34)*(MAX($D$16,(M65)-(K34))))*(MAX($D$16,(M65)-(K34))),0.000001))^2)/(2*$I$5)))))+($D$10*(ABS((X34)-(W34))/90)*MAX(((ABS(I65)/MAX(((F34)+(H34)*(MAX($D$16,(E65)-(J34))))*(MAX($D$16,(E65)-(J34))),0.000001))^2)/(2*$I$5),((ABS(I65)/MAX(((G34)+(I34)*(MAX($D$16,(M65)-(K34))))*(MAX($D$16,(M65)-(K34))),0.000001))^2)/(2*$I$5)))+(0)-((ABS(I65)/MAX(((F34)+(H34)*(MAX($D$16,(E65)-(J34))))*(MAX($D$16,(E65)-(J34))),0.000001))^2)/(2*$I$5)</f>
        <v>635.5</v>
      </c>
      <c r="T65">
        <f>N65+((ABS(J65)/MAX(((G35)+(I35)*(MAX($D$16,(N65)-(K35))))*(MAX($D$16,(N65)-(K35))),0.000001))^2)/(2*$I$5)+((E35)*((((ABS(J65)*$D$6)/(MAX(((F35)+(H35)*(MAX($D$16,(E65)-(J35))))*(MAX($D$16,(E65)-(J35))),0.000001)*MAX(((((F35)+(H35)*(MAX($D$16,(E65)-(J35))))*(MAX($D$16,(E65)-(J35))))/MAX((F35)+2*(MAX($D$16,(E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E65)-(J35))))*(MAX($D$16,(E65)-(J35))),0.000001)),$D$9*((((ABS(J65)/MAX(((G35)+(I35)*(MAX($D$16,(N65)-(K35))))*(MAX($D$16,(N65)-(K35))),0.000001))^2)/(2*$I$5))-(((ABS(J65)/MAX(((F35)+(H35)*(MAX($D$16,(E65)-(J35))))*(MAX($D$16,(E65)-(J35))),0.000001))^2)/(2*$I$5))),$D$8*((((ABS(J65)/MAX(((F35)+(H35)*(MAX($D$16,(E65)-(J35))))*(MAX($D$16,(E65)-(J35))),0.000001))^2)/(2*$I$5))-(((ABS(J65)/MAX(((G35)+(I35)*(MAX($D$16,(N65)-(K35))))*(MAX($D$16,(N65)-(K35))),0.000001))^2)/(2*$I$5)))))+($D$10*(ABS((X35)-(W35))/90)*MAX(((ABS(J65)/MAX(((F35)+(H35)*(MAX($D$16,(E65)-(J35))))*(MAX($D$16,(E65)-(J35))),0.000001))^2)/(2*$I$5),((ABS(J65)/MAX(((G35)+(I35)*(MAX($D$16,(N65)-(K35))))*(MAX($D$16,(N65)-(K35))),0.000001))^2)/(2*$I$5)))+(($D$11*0.34699541*(ABS(I65)/MAX(ABS(G65),0.000001))^2*MAX(((ABS(J65)/MAX(((F35)+(H35)*(MAX($D$16,(E65)-(J35))))*(MAX($D$16,(E65)-(J35))),0.000001))^2)/(2*$I$5),((ABS(J65)/MAX(((G35)+(I35)*(MAX($D$16,(N65)-(K35))))*(MAX($D$16,(N65)-(K35))),0.000001))^2)/(2*$I$5))))-((ABS(J65)/MAX(((F35)+(H35)*(MAX($D$16,(E65)-(J35))))*(MAX($D$16,(E65)-(J35))),0.000001))^2)/(2*$I$5)</f>
        <v>22382.80587457701</v>
      </c>
      <c r="U65">
        <f>(((((F32)*(MAX($D$16,(D65)-(J32)))^2)/2+(H32)*(MAX($D$16,(D65)-(J32)))^3/3+(ABS(G65)^2)/($I$5*MAX(((F32)+(H32)*(MAX($D$16,(D65)-(J32))))*(MAX($D$16,(D65)-(J32))),0.000001)))*0.72785025)-((((F33)*(MAX($D$16,(D65)-(J33)))^2)/2+(H33)*(MAX($D$16,(D65)-(J33)))^3/3+(ABS(H65)^2)/($I$5*MAX(((F33)+(H33)*(MAX($D$16,(D65)-(J33))))*(MAX($D$16,(D65)-(J33))),0.000001)))*0.99999971))/MAX(((G31)*(MAX($D$16,(D65)-(K31)))^2)/2+(I31)*(MAX($D$16,(D65)-(K31)))^3/3+(ABS(F65)^2)/($I$5*MAX(((G31)+(I31)*(MAX($D$16,(D65)-(K31))))*(MAX($D$16,(D65)-(K31))),0.000001)),0.000001)</f>
        <v>-0.27214945999978746</v>
      </c>
      <c r="V65">
        <f>(((((F34)*(MAX($D$16,(E65)-(J34)))^2)/2+(H34)*(MAX($D$16,(E65)-(J34)))^3/3+(ABS(I65)^2)/($I$5*MAX(((F34)+(H34)*(MAX($D$16,(E65)-(J34))))*(MAX($D$16,(E65)-(J34))),0.000001)))*1)-((((F35)*(MAX($D$16,(E65)-(J35)))^2)/2+(H35)*(MAX($D$16,(E65)-(J35)))^3/3+(ABS(J65)^2)/($I$5*MAX(((F35)+(H35)*(MAX($D$16,(E65)-(J35))))*(MAX($D$16,(E65)-(J35))),0.000001)))*0.30600918))/MAX(((G32)*(MAX($D$16,(E65)-(K32)))^2)/2+(I32)*(MAX($D$16,(E65)-(K32)))^3/3+(ABS(G65)^2)/($I$5*MAX(((G32)+(I32)*(MAX($D$16,(E65)-(K32))))*(MAX($D$16,(E65)-(K32))),0.000001)),0.000001)</f>
        <v>-0.30598462674144999</v>
      </c>
      <c r="W65">
        <f>IF(N6="None",MAX(ABS(O65-D65),ABS(P65-D65)),MAX(ABS(O65-D65),ABS(P65-D65),ABS(Q65-D65)))</f>
        <v>38832.403200162546</v>
      </c>
      <c r="X65">
        <f>IF(AND(N7="None",N8="None"),ABS(R65-E65),IF(N8="None",MAX(ABS(R65-E65),ABS(S65-E65)),IF(N7="None",MAX(ABS(R65-E65),ABS(T65-E65)),MAX(ABS(R65-E65),ABS(S65-E65),ABS(T65-E65)))))</f>
        <v>38609.636134263601</v>
      </c>
      <c r="AA65">
        <f>D65+$D$13*(IF(N6="None",AVERAGE(O65:P65),AVERAGE(O65:Q65))-D65)</f>
        <v>39375.870965938586</v>
      </c>
      <c r="AB65">
        <f>E65+$D$13*(IF(AND(N7="None",N8="None"),R65,IF(N8="None",AVERAGE(R65:S65),IF(N7="None",AVERAGE(R65,T65),AVERAGE(R65:T65))))-E65)</f>
        <v>-7849.2475240111771</v>
      </c>
    </row>
    <row r="66" spans="1:28" x14ac:dyDescent="0.35">
      <c r="A66">
        <v>23</v>
      </c>
      <c r="B66">
        <f t="shared" si="3"/>
        <v>0</v>
      </c>
      <c r="C66">
        <f t="shared" si="4"/>
        <v>0</v>
      </c>
      <c r="D66">
        <f t="shared" si="5"/>
        <v>39375.870965938586</v>
      </c>
      <c r="E66">
        <f t="shared" si="6"/>
        <v>-7849.2475240111771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>IF(AND(N7="None",N8="None"),0,IF(N8="None",G66,IF(N7="None",0,MAX(0,G66*C66))))</f>
        <v>0</v>
      </c>
      <c r="J66">
        <f>IF(AND(N7="None",N8="None"),0,IF(N8="None",0,IF(N7="None",G66,MAX(0,G66-I66))))</f>
        <v>51</v>
      </c>
      <c r="K66">
        <f>P5</f>
        <v>637</v>
      </c>
      <c r="L66">
        <f>P6</f>
        <v>637</v>
      </c>
      <c r="M66">
        <f>P7</f>
        <v>635.5</v>
      </c>
      <c r="N66">
        <f>P8</f>
        <v>631.54999999999995</v>
      </c>
      <c r="O66">
        <f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D66)-(K31))))*(MAX($D$16,(D66)-(K31))),0.000001)*MAX(((((G31)+(I31)*(MAX($D$16,(D66)-(K31))))*(MAX($D$16,(D66)-(K31))))/MAX((G31)+2*(MAX($D$16,(D66)-(K31)))*SQRT(1+(I31)^2),0.000001))^(2/3),0.000001)))^2))/2)+(IF((ABS(F66)/MAX(((G31)+(I31)*(MAX($D$16,(D66)-(K31))))*(MAX($D$16,(D66)-(K31))),0.000001))&gt;(ABS(F66)/MAX(((F31)+(H31)*(MAX($D$16,(K66)-(J31))))*(MAX($D$16,(K66)-(J31))),0.000001)),$D$9*((((ABS(F66)/MAX(((G31)+(I31)*(MAX($D$16,(D66)-(K31))))*(MAX($D$16,(D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D66)-(K31))))*(MAX($D$16,(D66)-(K31))),0.000001))^2)/(2*$I$5)))))+($D$10*(ABS((X31)-(W31))/90)*MAX(((ABS(F66)/MAX(((F31)+(H31)*(MAX($D$16,(K66)-(J31))))*(MAX($D$16,(K66)-(J31))),0.000001))^2)/(2*$I$5),((ABS(F66)/MAX(((G31)+(I31)*(MAX($D$16,(D66)-(K31))))*(MAX($D$16,(D66)-(K31))),0.000001))^2)/(2*$I$5)))+(0)-((ABS(F66)/MAX(((G31)+(I31)*(MAX($D$16,(D66)-(K31))))*(MAX($D$16,(D66)-(K31))),0.000001))^2)/(2*$I$5)</f>
        <v>637.65825100971756</v>
      </c>
      <c r="P66">
        <f>E66+((ABS(G66)/MAX(((G32)+(I32)*(MAX($D$16,(E66)-(K32))))*(MAX($D$16,(E66)-(K32))),0.000001))^2)/(2*$I$5)+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F32)+(H32)*(MAX($D$16,(D66)-(J32))))*(MAX($D$16,(D66)-(J32))),0.000001))^2)/(2*$I$5)</f>
        <v>78204.602051384602</v>
      </c>
      <c r="Q66">
        <f>L66+((ABS(H66)/MAX(((G33)+(I33)*(MAX($D$16,(L66)-(K33))))*(MAX($D$16,(L66)-(K33))),0.000001))^2)/(2*$I$5)+((E33)*((((ABS(H66)*$D$6)/(MAX(((F33)+(H33)*(MAX($D$16,(D66)-(J33))))*(MAX($D$16,(D66)-(J33))),0.000001)*MAX(((((F33)+(H33)*(MAX($D$16,(D66)-(J33))))*(MAX($D$16,(D66)-(J33))))/MAX((F33)+2*(MAX($D$16,(D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D66)-(J33))))*(MAX($D$16,(D66)-(J33))),0.000001)),$D$9*((((ABS(H66)/MAX(((G33)+(I33)*(MAX($D$16,(L66)-(K33))))*(MAX($D$16,(L66)-(K33))),0.000001))^2)/(2*$I$5))-(((ABS(H66)/MAX(((F33)+(H33)*(MAX($D$16,(D66)-(J33))))*(MAX($D$16,(D66)-(J33))),0.000001))^2)/(2*$I$5))),$D$8*((((ABS(H66)/MAX(((F33)+(H33)*(MAX($D$16,(D66)-(J33))))*(MAX($D$16,(D66)-(J33))),0.000001))^2)/(2*$I$5))-(((ABS(H66)/MAX(((G33)+(I33)*(MAX($D$16,(L66)-(K33))))*(MAX($D$16,(L66)-(K33))),0.000001))^2)/(2*$I$5)))))+($D$10*(ABS((X33)-(W33))/90)*MAX(((ABS(H66)/MAX(((F33)+(H33)*(MAX($D$16,(D66)-(J33))))*(MAX($D$16,(D66)-(J33))),0.000001))^2)/(2*$I$5),((ABS(H66)/MAX(((G33)+(I33)*(MAX($D$16,(L66)-(K33))))*(MAX($D$16,(L66)-(K33))),0.000001))^2)/(2*$I$5)))+(($D$11*0.00000015*(ABS(G66)/MAX(ABS(F66),0.000001))^2*MAX(((ABS(H66)/MAX(((F33)+(H33)*(MAX($D$16,(D66)-(J33))))*(MAX($D$16,(D66)-(J33))),0.000001))^2)/(2*$I$5),((ABS(H66)/MAX(((G33)+(I33)*(MAX($D$16,(L66)-(K33))))*(MAX($D$16,(L66)-(K33))),0.000001))^2)/(2*$I$5))))-((ABS(H66)/MAX(((F33)+(H33)*(MAX($D$16,(D66)-(J33))))*(MAX($D$16,(D66)-(J33))),0.000001))^2)/(2*$I$5)</f>
        <v>637</v>
      </c>
      <c r="R66">
        <f>D66+((ABS(G66)/MAX(((F32)+(H32)*(MAX($D$16,(D66)-(J32))))*(MAX($D$16,(D66)-(J32))),0.000001))^2)/(2*$I$5)-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G32)+(I32)*(MAX($D$16,(E66)-(K32))))*(MAX($D$16,(E66)-(K32))),0.000001))^2)/(2*$I$5)</f>
        <v>-46455.21154355826</v>
      </c>
      <c r="S66">
        <f>M66+((ABS(I66)/MAX(((G34)+(I34)*(MAX($D$16,(M66)-(K34))))*(MAX($D$16,(M66)-(K34))),0.000001))^2)/(2*$I$5)+((E34)*((((ABS(I66)*$D$6)/(MAX(((F34)+(H34)*(MAX($D$16,(E66)-(J34))))*(MAX($D$16,(E66)-(J34))),0.000001)*MAX(((((F34)+(H34)*(MAX($D$16,(E66)-(J34))))*(MAX($D$16,(E66)-(J34))))/MAX((F34)+2*(MAX($D$16,(E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E66)-(J34))))*(MAX($D$16,(E66)-(J34))),0.000001)),$D$9*((((ABS(I66)/MAX(((G34)+(I34)*(MAX($D$16,(M66)-(K34))))*(MAX($D$16,(M66)-(K34))),0.000001))^2)/(2*$I$5))-(((ABS(I66)/MAX(((F34)+(H34)*(MAX($D$16,(E66)-(J34))))*(MAX($D$16,(E66)-(J34))),0.000001))^2)/(2*$I$5))),$D$8*((((ABS(I66)/MAX(((F34)+(H34)*(MAX($D$16,(E66)-(J34))))*(MAX($D$16,(E66)-(J34))),0.000001))^2)/(2*$I$5))-(((ABS(I66)/MAX(((G34)+(I34)*(MAX($D$16,(M66)-(K34))))*(MAX($D$16,(M66)-(K34))),0.000001))^2)/(2*$I$5)))))+($D$10*(ABS((X34)-(W34))/90)*MAX(((ABS(I66)/MAX(((F34)+(H34)*(MAX($D$16,(E66)-(J34))))*(MAX($D$16,(E66)-(J34))),0.000001))^2)/(2*$I$5),((ABS(I66)/MAX(((G34)+(I34)*(MAX($D$16,(M66)-(K34))))*(MAX($D$16,(M66)-(K34))),0.000001))^2)/(2*$I$5)))+(0)-((ABS(I66)/MAX(((F34)+(H34)*(MAX($D$16,(E66)-(J34))))*(MAX($D$16,(E66)-(J34))),0.000001))^2)/(2*$I$5)</f>
        <v>635.5</v>
      </c>
      <c r="T66">
        <f>N66+((ABS(J66)/MAX(((G35)+(I35)*(MAX($D$16,(N66)-(K35))))*(MAX($D$16,(N66)-(K35))),0.000001))^2)/(2*$I$5)+((E35)*((((ABS(J66)*$D$6)/(MAX(((F35)+(H35)*(MAX($D$16,(E66)-(J35))))*(MAX($D$16,(E66)-(J35))),0.000001)*MAX(((((F35)+(H35)*(MAX($D$16,(E66)-(J35))))*(MAX($D$16,(E66)-(J35))))/MAX((F35)+2*(MAX($D$16,(E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E66)-(J35))))*(MAX($D$16,(E66)-(J35))),0.000001)),$D$9*((((ABS(J66)/MAX(((G35)+(I35)*(MAX($D$16,(N66)-(K35))))*(MAX($D$16,(N66)-(K35))),0.000001))^2)/(2*$I$5))-(((ABS(J66)/MAX(((F35)+(H35)*(MAX($D$16,(E66)-(J35))))*(MAX($D$16,(E66)-(J35))),0.000001))^2)/(2*$I$5))),$D$8*((((ABS(J66)/MAX(((F35)+(H35)*(MAX($D$16,(E66)-(J35))))*(MAX($D$16,(E66)-(J35))),0.000001))^2)/(2*$I$5))-(((ABS(J66)/MAX(((G35)+(I35)*(MAX($D$16,(N66)-(K35))))*(MAX($D$16,(N66)-(K35))),0.000001))^2)/(2*$I$5)))))+($D$10*(ABS((X35)-(W35))/90)*MAX(((ABS(J66)/MAX(((F35)+(H35)*(MAX($D$16,(E66)-(J35))))*(MAX($D$16,(E66)-(J35))),0.000001))^2)/(2*$I$5),((ABS(J66)/MAX(((G35)+(I35)*(MAX($D$16,(N66)-(K35))))*(MAX($D$16,(N66)-(K35))),0.000001))^2)/(2*$I$5)))+(($D$11*0.34699541*(ABS(I66)/MAX(ABS(G66),0.000001))^2*MAX(((ABS(J66)/MAX(((F35)+(H35)*(MAX($D$16,(E66)-(J35))))*(MAX($D$16,(E66)-(J35))),0.000001))^2)/(2*$I$5),((ABS(J66)/MAX(((G35)+(I35)*(MAX($D$16,(N66)-(K35))))*(MAX($D$16,(N66)-(K35))),0.000001))^2)/(2*$I$5))))-((ABS(J66)/MAX(((F35)+(H35)*(MAX($D$16,(E66)-(J35))))*(MAX($D$16,(E66)-(J35))),0.000001))^2)/(2*$I$5)</f>
        <v>22382.80587457701</v>
      </c>
      <c r="U66">
        <f>(((((F32)*(MAX($D$16,(D66)-(J32)))^2)/2+(H32)*(MAX($D$16,(D66)-(J32)))^3/3+(ABS(G66)^2)/($I$5*MAX(((F32)+(H32)*(MAX($D$16,(D66)-(J32))))*(MAX($D$16,(D66)-(J32))),0.000001)))*0.72785025)-((((F33)*(MAX($D$16,(D66)-(J33)))^2)/2+(H33)*(MAX($D$16,(D66)-(J33)))^3/3+(ABS(H66)^2)/($I$5*MAX(((F33)+(H33)*(MAX($D$16,(D66)-(J33))))*(MAX($D$16,(D66)-(J33))),0.000001)))*0.99999971))/MAX(((G31)*(MAX($D$16,(D66)-(K31)))^2)/2+(I31)*(MAX($D$16,(D66)-(K31)))^3/3+(ABS(F66)^2)/($I$5*MAX(((G31)+(I31)*(MAX($D$16,(D66)-(K31))))*(MAX($D$16,(D66)-(K31))),0.000001)),0.000001)</f>
        <v>-0.27214945999978796</v>
      </c>
      <c r="V66">
        <f>(((((F34)*(MAX($D$16,(E66)-(J34)))^2)/2+(H34)*(MAX($D$16,(E66)-(J34)))^3/3+(ABS(I66)^2)/($I$5*MAX(((F34)+(H34)*(MAX($D$16,(E66)-(J34))))*(MAX($D$16,(E66)-(J34))),0.000001)))*1)-((((F35)*(MAX($D$16,(E66)-(J35)))^2)/2+(H35)*(MAX($D$16,(E66)-(J35)))^3/3+(ABS(J66)^2)/($I$5*MAX(((F35)+(H35)*(MAX($D$16,(E66)-(J35))))*(MAX($D$16,(E66)-(J35))),0.000001)))*0.30600918))/MAX(((G32)*(MAX($D$16,(E66)-(K32)))^2)/2+(I32)*(MAX($D$16,(E66)-(K32)))^3/3+(ABS(G66)^2)/($I$5*MAX(((G32)+(I32)*(MAX($D$16,(E66)-(K32))))*(MAX($D$16,(E66)-(K32))),0.000001)),0.000001)</f>
        <v>-0.30598462674144999</v>
      </c>
      <c r="W66">
        <f>IF(N6="None",MAX(ABS(O66-D66),ABS(P66-D66)),MAX(ABS(O66-D66),ABS(P66-D66),ABS(Q66-D66)))</f>
        <v>38828.731085446016</v>
      </c>
      <c r="X66">
        <f>IF(AND(N7="None",N8="None"),ABS(R66-E66),IF(N8="None",MAX(ABS(R66-E66),ABS(S66-E66)),IF(N7="None",MAX(ABS(R66-E66),ABS(T66-E66)),MAX(ABS(R66-E66),ABS(S66-E66),ABS(T66-E66)))))</f>
        <v>38605.964019547086</v>
      </c>
      <c r="AA66">
        <f>D66+$D$13*(IF(N6="None",AVERAGE(O66:P66),AVERAGE(O66:Q66))-D66)</f>
        <v>39391.711680779088</v>
      </c>
      <c r="AB66">
        <f>E66+$D$13*(IF(AND(N7="None",N8="None"),R66,IF(N8="None",AVERAGE(R66:S66),IF(N7="None",AVERAGE(R66,T66),AVERAGE(R66:T66))))-E66)</f>
        <v>-7836.3165519884105</v>
      </c>
    </row>
    <row r="67" spans="1:28" x14ac:dyDescent="0.35">
      <c r="A67">
        <v>24</v>
      </c>
      <c r="B67">
        <f t="shared" si="3"/>
        <v>0</v>
      </c>
      <c r="C67">
        <f t="shared" si="4"/>
        <v>0</v>
      </c>
      <c r="D67">
        <f t="shared" si="5"/>
        <v>39391.711680779088</v>
      </c>
      <c r="E67">
        <f t="shared" si="6"/>
        <v>-7836.3165519884105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>IF(AND(N7="None",N8="None"),0,IF(N8="None",G67,IF(N7="None",0,MAX(0,G67*C67))))</f>
        <v>0</v>
      </c>
      <c r="J67">
        <f>IF(AND(N7="None",N8="None"),0,IF(N8="None",0,IF(N7="None",G67,MAX(0,G67-I67))))</f>
        <v>51</v>
      </c>
      <c r="K67">
        <f>P5</f>
        <v>637</v>
      </c>
      <c r="L67">
        <f>P6</f>
        <v>637</v>
      </c>
      <c r="M67">
        <f>P7</f>
        <v>635.5</v>
      </c>
      <c r="N67">
        <f>P8</f>
        <v>631.54999999999995</v>
      </c>
      <c r="O67">
        <f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D67)-(K31))))*(MAX($D$16,(D67)-(K31))),0.000001)*MAX(((((G31)+(I31)*(MAX($D$16,(D67)-(K31))))*(MAX($D$16,(D67)-(K31))))/MAX((G31)+2*(MAX($D$16,(D67)-(K31)))*SQRT(1+(I31)^2),0.000001))^(2/3),0.000001)))^2))/2)+(IF((ABS(F67)/MAX(((G31)+(I31)*(MAX($D$16,(D67)-(K31))))*(MAX($D$16,(D67)-(K31))),0.000001))&gt;(ABS(F67)/MAX(((F31)+(H31)*(MAX($D$16,(K67)-(J31))))*(MAX($D$16,(K67)-(J31))),0.000001)),$D$9*((((ABS(F67)/MAX(((G31)+(I31)*(MAX($D$16,(D67)-(K31))))*(MAX($D$16,(D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D67)-(K31))))*(MAX($D$16,(D67)-(K31))),0.000001))^2)/(2*$I$5)))))+($D$10*(ABS((X31)-(W31))/90)*MAX(((ABS(F67)/MAX(((F31)+(H31)*(MAX($D$16,(K67)-(J31))))*(MAX($D$16,(K67)-(J31))),0.000001))^2)/(2*$I$5),((ABS(F67)/MAX(((G31)+(I31)*(MAX($D$16,(D67)-(K31))))*(MAX($D$16,(D67)-(K31))),0.000001))^2)/(2*$I$5)))+(0)-((ABS(F67)/MAX(((G31)+(I31)*(MAX($D$16,(D67)-(K31))))*(MAX($D$16,(D67)-(K31))),0.000001))^2)/(2*$I$5)</f>
        <v>637.65825100971972</v>
      </c>
      <c r="P67">
        <f>E67+((ABS(G67)/MAX(((G32)+(I32)*(MAX($D$16,(E67)-(K32))))*(MAX($D$16,(E67)-(K32))),0.000001))^2)/(2*$I$5)+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F32)+(H32)*(MAX($D$16,(D67)-(J32))))*(MAX($D$16,(D67)-(J32))),0.000001))^2)/(2*$I$5)</f>
        <v>78217.533023407363</v>
      </c>
      <c r="Q67">
        <f>L67+((ABS(H67)/MAX(((G33)+(I33)*(MAX($D$16,(L67)-(K33))))*(MAX($D$16,(L67)-(K33))),0.000001))^2)/(2*$I$5)+((E33)*((((ABS(H67)*$D$6)/(MAX(((F33)+(H33)*(MAX($D$16,(D67)-(J33))))*(MAX($D$16,(D67)-(J33))),0.000001)*MAX(((((F33)+(H33)*(MAX($D$16,(D67)-(J33))))*(MAX($D$16,(D67)-(J33))))/MAX((F33)+2*(MAX($D$16,(D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D67)-(J33))))*(MAX($D$16,(D67)-(J33))),0.000001)),$D$9*((((ABS(H67)/MAX(((G33)+(I33)*(MAX($D$16,(L67)-(K33))))*(MAX($D$16,(L67)-(K33))),0.000001))^2)/(2*$I$5))-(((ABS(H67)/MAX(((F33)+(H33)*(MAX($D$16,(D67)-(J33))))*(MAX($D$16,(D67)-(J33))),0.000001))^2)/(2*$I$5))),$D$8*((((ABS(H67)/MAX(((F33)+(H33)*(MAX($D$16,(D67)-(J33))))*(MAX($D$16,(D67)-(J33))),0.000001))^2)/(2*$I$5))-(((ABS(H67)/MAX(((G33)+(I33)*(MAX($D$16,(L67)-(K33))))*(MAX($D$16,(L67)-(K33))),0.000001))^2)/(2*$I$5)))))+($D$10*(ABS((X33)-(W33))/90)*MAX(((ABS(H67)/MAX(((F33)+(H33)*(MAX($D$16,(D67)-(J33))))*(MAX($D$16,(D67)-(J33))),0.000001))^2)/(2*$I$5),((ABS(H67)/MAX(((G33)+(I33)*(MAX($D$16,(L67)-(K33))))*(MAX($D$16,(L67)-(K33))),0.000001))^2)/(2*$I$5)))+(($D$11*0.00000015*(ABS(G67)/MAX(ABS(F67),0.000001))^2*MAX(((ABS(H67)/MAX(((F33)+(H33)*(MAX($D$16,(D67)-(J33))))*(MAX($D$16,(D67)-(J33))),0.000001))^2)/(2*$I$5),((ABS(H67)/MAX(((G33)+(I33)*(MAX($D$16,(L67)-(K33))))*(MAX($D$16,(L67)-(K33))),0.000001))^2)/(2*$I$5))))-((ABS(H67)/MAX(((F33)+(H33)*(MAX($D$16,(D67)-(J33))))*(MAX($D$16,(D67)-(J33))),0.000001))^2)/(2*$I$5)</f>
        <v>637</v>
      </c>
      <c r="R67">
        <f>D67+((ABS(G67)/MAX(((F32)+(H32)*(MAX($D$16,(D67)-(J32))))*(MAX($D$16,(D67)-(J32))),0.000001))^2)/(2*$I$5)-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G32)+(I32)*(MAX($D$16,(E67)-(K32))))*(MAX($D$16,(E67)-(K32))),0.000001))^2)/(2*$I$5)</f>
        <v>-46439.370828717758</v>
      </c>
      <c r="S67">
        <f>M67+((ABS(I67)/MAX(((G34)+(I34)*(MAX($D$16,(M67)-(K34))))*(MAX($D$16,(M67)-(K34))),0.000001))^2)/(2*$I$5)+((E34)*((((ABS(I67)*$D$6)/(MAX(((F34)+(H34)*(MAX($D$16,(E67)-(J34))))*(MAX($D$16,(E67)-(J34))),0.000001)*MAX(((((F34)+(H34)*(MAX($D$16,(E67)-(J34))))*(MAX($D$16,(E67)-(J34))))/MAX((F34)+2*(MAX($D$16,(E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E67)-(J34))))*(MAX($D$16,(E67)-(J34))),0.000001)),$D$9*((((ABS(I67)/MAX(((G34)+(I34)*(MAX($D$16,(M67)-(K34))))*(MAX($D$16,(M67)-(K34))),0.000001))^2)/(2*$I$5))-(((ABS(I67)/MAX(((F34)+(H34)*(MAX($D$16,(E67)-(J34))))*(MAX($D$16,(E67)-(J34))),0.000001))^2)/(2*$I$5))),$D$8*((((ABS(I67)/MAX(((F34)+(H34)*(MAX($D$16,(E67)-(J34))))*(MAX($D$16,(E67)-(J34))),0.000001))^2)/(2*$I$5))-(((ABS(I67)/MAX(((G34)+(I34)*(MAX($D$16,(M67)-(K34))))*(MAX($D$16,(M67)-(K34))),0.000001))^2)/(2*$I$5)))))+($D$10*(ABS((X34)-(W34))/90)*MAX(((ABS(I67)/MAX(((F34)+(H34)*(MAX($D$16,(E67)-(J34))))*(MAX($D$16,(E67)-(J34))),0.000001))^2)/(2*$I$5),((ABS(I67)/MAX(((G34)+(I34)*(MAX($D$16,(M67)-(K34))))*(MAX($D$16,(M67)-(K34))),0.000001))^2)/(2*$I$5)))+(0)-((ABS(I67)/MAX(((F34)+(H34)*(MAX($D$16,(E67)-(J34))))*(MAX($D$16,(E67)-(J34))),0.000001))^2)/(2*$I$5)</f>
        <v>635.5</v>
      </c>
      <c r="T67">
        <f>N67+((ABS(J67)/MAX(((G35)+(I35)*(MAX($D$16,(N67)-(K35))))*(MAX($D$16,(N67)-(K35))),0.000001))^2)/(2*$I$5)+((E35)*((((ABS(J67)*$D$6)/(MAX(((F35)+(H35)*(MAX($D$16,(E67)-(J35))))*(MAX($D$16,(E67)-(J35))),0.000001)*MAX(((((F35)+(H35)*(MAX($D$16,(E67)-(J35))))*(MAX($D$16,(E67)-(J35))))/MAX((F35)+2*(MAX($D$16,(E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E67)-(J35))))*(MAX($D$16,(E67)-(J35))),0.000001)),$D$9*((((ABS(J67)/MAX(((G35)+(I35)*(MAX($D$16,(N67)-(K35))))*(MAX($D$16,(N67)-(K35))),0.000001))^2)/(2*$I$5))-(((ABS(J67)/MAX(((F35)+(H35)*(MAX($D$16,(E67)-(J35))))*(MAX($D$16,(E67)-(J35))),0.000001))^2)/(2*$I$5))),$D$8*((((ABS(J67)/MAX(((F35)+(H35)*(MAX($D$16,(E67)-(J35))))*(MAX($D$16,(E67)-(J35))),0.000001))^2)/(2*$I$5))-(((ABS(J67)/MAX(((G35)+(I35)*(MAX($D$16,(N67)-(K35))))*(MAX($D$16,(N67)-(K35))),0.000001))^2)/(2*$I$5)))))+($D$10*(ABS((X35)-(W35))/90)*MAX(((ABS(J67)/MAX(((F35)+(H35)*(MAX($D$16,(E67)-(J35))))*(MAX($D$16,(E67)-(J35))),0.000001))^2)/(2*$I$5),((ABS(J67)/MAX(((G35)+(I35)*(MAX($D$16,(N67)-(K35))))*(MAX($D$16,(N67)-(K35))),0.000001))^2)/(2*$I$5)))+(($D$11*0.34699541*(ABS(I67)/MAX(ABS(G67),0.000001))^2*MAX(((ABS(J67)/MAX(((F35)+(H35)*(MAX($D$16,(E67)-(J35))))*(MAX($D$16,(E67)-(J35))),0.000001))^2)/(2*$I$5),((ABS(J67)/MAX(((G35)+(I35)*(MAX($D$16,(N67)-(K35))))*(MAX($D$16,(N67)-(K35))),0.000001))^2)/(2*$I$5))))-((ABS(J67)/MAX(((F35)+(H35)*(MAX($D$16,(E67)-(J35))))*(MAX($D$16,(E67)-(J35))),0.000001))^2)/(2*$I$5)</f>
        <v>22382.80587457701</v>
      </c>
      <c r="U67">
        <f>(((((F32)*(MAX($D$16,(D67)-(J32)))^2)/2+(H32)*(MAX($D$16,(D67)-(J32)))^3/3+(ABS(G67)^2)/($I$5*MAX(((F32)+(H32)*(MAX($D$16,(D67)-(J32))))*(MAX($D$16,(D67)-(J32))),0.000001)))*0.72785025)-((((F33)*(MAX($D$16,(D67)-(J33)))^2)/2+(H33)*(MAX($D$16,(D67)-(J33)))^3/3+(ABS(H67)^2)/($I$5*MAX(((F33)+(H33)*(MAX($D$16,(D67)-(J33))))*(MAX($D$16,(D67)-(J33))),0.000001)))*0.99999971))/MAX(((G31)*(MAX($D$16,(D67)-(K31)))^2)/2+(I31)*(MAX($D$16,(D67)-(K31)))^3/3+(ABS(F67)^2)/($I$5*MAX(((G31)+(I31)*(MAX($D$16,(D67)-(K31))))*(MAX($D$16,(D67)-(K31))),0.000001)),0.000001)</f>
        <v>-0.27214945999978807</v>
      </c>
      <c r="V67">
        <f>(((((F34)*(MAX($D$16,(E67)-(J34)))^2)/2+(H34)*(MAX($D$16,(E67)-(J34)))^3/3+(ABS(I67)^2)/($I$5*MAX(((F34)+(H34)*(MAX($D$16,(E67)-(J34))))*(MAX($D$16,(E67)-(J34))),0.000001)))*1)-((((F35)*(MAX($D$16,(E67)-(J35)))^2)/2+(H35)*(MAX($D$16,(E67)-(J35)))^3/3+(ABS(J67)^2)/($I$5*MAX(((F35)+(H35)*(MAX($D$16,(E67)-(J35))))*(MAX($D$16,(E67)-(J35))),0.000001)))*0.30600918))/MAX(((G32)*(MAX($D$16,(E67)-(K32)))^2)/2+(I32)*(MAX($D$16,(E67)-(K32)))^3/3+(ABS(G67)^2)/($I$5*MAX(((G32)+(I32)*(MAX($D$16,(E67)-(K32))))*(MAX($D$16,(E67)-(K32))),0.000001)),0.000001)</f>
        <v>-0.30598462674144999</v>
      </c>
      <c r="W67">
        <f>IF(N6="None",MAX(ABS(O67-D67),ABS(P67-D67)),MAX(ABS(O67-D67),ABS(P67-D67),ABS(Q67-D67)))</f>
        <v>38825.821342628275</v>
      </c>
      <c r="X67">
        <f>IF(AND(N7="None",N8="None"),ABS(R67-E67),IF(N8="None",MAX(ABS(R67-E67),ABS(S67-E67)),IF(N7="None",MAX(ABS(R67-E67),ABS(T67-E67)),MAX(ABS(R67-E67),ABS(S67-E67),ABS(T67-E67)))))</f>
        <v>38603.054276729345</v>
      </c>
      <c r="AA67">
        <f>D67+$D$13*(IF(N6="None",AVERAGE(O67:P67),AVERAGE(O67:Q67))-D67)</f>
        <v>39404.271065529399</v>
      </c>
      <c r="AB67">
        <f>E67+$D$13*(IF(AND(N7="None",N8="None"),R67,IF(N8="None",AVERAGE(R67:S67),IF(N7="None",AVERAGE(R67,T67),AVERAGE(R67:T67))))-E67)</f>
        <v>-7826.0633367755536</v>
      </c>
    </row>
    <row r="68" spans="1:28" x14ac:dyDescent="0.35">
      <c r="A68">
        <v>25</v>
      </c>
      <c r="B68">
        <f t="shared" si="3"/>
        <v>0</v>
      </c>
      <c r="C68">
        <f t="shared" si="4"/>
        <v>0</v>
      </c>
      <c r="D68">
        <f t="shared" si="5"/>
        <v>39404.271065529399</v>
      </c>
      <c r="E68">
        <f t="shared" si="6"/>
        <v>-7826.0633367755536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>IF(AND(N7="None",N8="None"),0,IF(N8="None",G68,IF(N7="None",0,MAX(0,G68*C68))))</f>
        <v>0</v>
      </c>
      <c r="J68">
        <f>IF(AND(N7="None",N8="None"),0,IF(N8="None",0,IF(N7="None",G68,MAX(0,G68-I68))))</f>
        <v>51</v>
      </c>
      <c r="K68">
        <f>P5</f>
        <v>637</v>
      </c>
      <c r="L68">
        <f>P6</f>
        <v>637</v>
      </c>
      <c r="M68">
        <f>P7</f>
        <v>635.5</v>
      </c>
      <c r="N68">
        <f>P8</f>
        <v>631.54999999999995</v>
      </c>
      <c r="O68">
        <f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D68)-(K31))))*(MAX($D$16,(D68)-(K31))),0.000001)*MAX(((((G31)+(I31)*(MAX($D$16,(D68)-(K31))))*(MAX($D$16,(D68)-(K31))))/MAX((G31)+2*(MAX($D$16,(D68)-(K31)))*SQRT(1+(I31)^2),0.000001))^(2/3),0.000001)))^2))/2)+(IF((ABS(F68)/MAX(((G31)+(I31)*(MAX($D$16,(D68)-(K31))))*(MAX($D$16,(D68)-(K31))),0.000001))&gt;(ABS(F68)/MAX(((F31)+(H31)*(MAX($D$16,(K68)-(J31))))*(MAX($D$16,(K68)-(J31))),0.000001)),$D$9*((((ABS(F68)/MAX(((G31)+(I31)*(MAX($D$16,(D68)-(K31))))*(MAX($D$16,(D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D68)-(K31))))*(MAX($D$16,(D68)-(K31))),0.000001))^2)/(2*$I$5)))))+($D$10*(ABS((X31)-(W31))/90)*MAX(((ABS(F68)/MAX(((F31)+(H31)*(MAX($D$16,(K68)-(J31))))*(MAX($D$16,(K68)-(J31))),0.000001))^2)/(2*$I$5),((ABS(F68)/MAX(((G31)+(I31)*(MAX($D$16,(D68)-(K31))))*(MAX($D$16,(D68)-(K31))),0.000001))^2)/(2*$I$5)))+(0)-((ABS(F68)/MAX(((G31)+(I31)*(MAX($D$16,(D68)-(K31))))*(MAX($D$16,(D68)-(K31))),0.000001))^2)/(2*$I$5)</f>
        <v>637.65825100972154</v>
      </c>
      <c r="P68">
        <f>E68+((ABS(G68)/MAX(((G32)+(I32)*(MAX($D$16,(E68)-(K32))))*(MAX($D$16,(E68)-(K32))),0.000001))^2)/(2*$I$5)+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F32)+(H32)*(MAX($D$16,(D68)-(J32))))*(MAX($D$16,(D68)-(J32))),0.000001))^2)/(2*$I$5)</f>
        <v>78227.786238620218</v>
      </c>
      <c r="Q68">
        <f>L68+((ABS(H68)/MAX(((G33)+(I33)*(MAX($D$16,(L68)-(K33))))*(MAX($D$16,(L68)-(K33))),0.000001))^2)/(2*$I$5)+((E33)*((((ABS(H68)*$D$6)/(MAX(((F33)+(H33)*(MAX($D$16,(D68)-(J33))))*(MAX($D$16,(D68)-(J33))),0.000001)*MAX(((((F33)+(H33)*(MAX($D$16,(D68)-(J33))))*(MAX($D$16,(D68)-(J33))))/MAX((F33)+2*(MAX($D$16,(D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D68)-(J33))))*(MAX($D$16,(D68)-(J33))),0.000001)),$D$9*((((ABS(H68)/MAX(((G33)+(I33)*(MAX($D$16,(L68)-(K33))))*(MAX($D$16,(L68)-(K33))),0.000001))^2)/(2*$I$5))-(((ABS(H68)/MAX(((F33)+(H33)*(MAX($D$16,(D68)-(J33))))*(MAX($D$16,(D68)-(J33))),0.000001))^2)/(2*$I$5))),$D$8*((((ABS(H68)/MAX(((F33)+(H33)*(MAX($D$16,(D68)-(J33))))*(MAX($D$16,(D68)-(J33))),0.000001))^2)/(2*$I$5))-(((ABS(H68)/MAX(((G33)+(I33)*(MAX($D$16,(L68)-(K33))))*(MAX($D$16,(L68)-(K33))),0.000001))^2)/(2*$I$5)))))+($D$10*(ABS((X33)-(W33))/90)*MAX(((ABS(H68)/MAX(((F33)+(H33)*(MAX($D$16,(D68)-(J33))))*(MAX($D$16,(D68)-(J33))),0.000001))^2)/(2*$I$5),((ABS(H68)/MAX(((G33)+(I33)*(MAX($D$16,(L68)-(K33))))*(MAX($D$16,(L68)-(K33))),0.000001))^2)/(2*$I$5)))+(($D$11*0.00000015*(ABS(G68)/MAX(ABS(F68),0.000001))^2*MAX(((ABS(H68)/MAX(((F33)+(H33)*(MAX($D$16,(D68)-(J33))))*(MAX($D$16,(D68)-(J33))),0.000001))^2)/(2*$I$5),((ABS(H68)/MAX(((G33)+(I33)*(MAX($D$16,(L68)-(K33))))*(MAX($D$16,(L68)-(K33))),0.000001))^2)/(2*$I$5))))-((ABS(H68)/MAX(((F33)+(H33)*(MAX($D$16,(D68)-(J33))))*(MAX($D$16,(D68)-(J33))),0.000001))^2)/(2*$I$5)</f>
        <v>637</v>
      </c>
      <c r="R68">
        <f>D68+((ABS(G68)/MAX(((F32)+(H32)*(MAX($D$16,(D68)-(J32))))*(MAX($D$16,(D68)-(J32))),0.000001))^2)/(2*$I$5)-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G32)+(I32)*(MAX($D$16,(E68)-(K32))))*(MAX($D$16,(E68)-(K32))),0.000001))^2)/(2*$I$5)</f>
        <v>-46426.811443967446</v>
      </c>
      <c r="S68">
        <f>M68+((ABS(I68)/MAX(((G34)+(I34)*(MAX($D$16,(M68)-(K34))))*(MAX($D$16,(M68)-(K34))),0.000001))^2)/(2*$I$5)+((E34)*((((ABS(I68)*$D$6)/(MAX(((F34)+(H34)*(MAX($D$16,(E68)-(J34))))*(MAX($D$16,(E68)-(J34))),0.000001)*MAX(((((F34)+(H34)*(MAX($D$16,(E68)-(J34))))*(MAX($D$16,(E68)-(J34))))/MAX((F34)+2*(MAX($D$16,(E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E68)-(J34))))*(MAX($D$16,(E68)-(J34))),0.000001)),$D$9*((((ABS(I68)/MAX(((G34)+(I34)*(MAX($D$16,(M68)-(K34))))*(MAX($D$16,(M68)-(K34))),0.000001))^2)/(2*$I$5))-(((ABS(I68)/MAX(((F34)+(H34)*(MAX($D$16,(E68)-(J34))))*(MAX($D$16,(E68)-(J34))),0.000001))^2)/(2*$I$5))),$D$8*((((ABS(I68)/MAX(((F34)+(H34)*(MAX($D$16,(E68)-(J34))))*(MAX($D$16,(E68)-(J34))),0.000001))^2)/(2*$I$5))-(((ABS(I68)/MAX(((G34)+(I34)*(MAX($D$16,(M68)-(K34))))*(MAX($D$16,(M68)-(K34))),0.000001))^2)/(2*$I$5)))))+($D$10*(ABS((X34)-(W34))/90)*MAX(((ABS(I68)/MAX(((F34)+(H34)*(MAX($D$16,(E68)-(J34))))*(MAX($D$16,(E68)-(J34))),0.000001))^2)/(2*$I$5),((ABS(I68)/MAX(((G34)+(I34)*(MAX($D$16,(M68)-(K34))))*(MAX($D$16,(M68)-(K34))),0.000001))^2)/(2*$I$5)))+(0)-((ABS(I68)/MAX(((F34)+(H34)*(MAX($D$16,(E68)-(J34))))*(MAX($D$16,(E68)-(J34))),0.000001))^2)/(2*$I$5)</f>
        <v>635.5</v>
      </c>
      <c r="T68">
        <f>N68+((ABS(J68)/MAX(((G35)+(I35)*(MAX($D$16,(N68)-(K35))))*(MAX($D$16,(N68)-(K35))),0.000001))^2)/(2*$I$5)+((E35)*((((ABS(J68)*$D$6)/(MAX(((F35)+(H35)*(MAX($D$16,(E68)-(J35))))*(MAX($D$16,(E68)-(J35))),0.000001)*MAX(((((F35)+(H35)*(MAX($D$16,(E68)-(J35))))*(MAX($D$16,(E68)-(J35))))/MAX((F35)+2*(MAX($D$16,(E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E68)-(J35))))*(MAX($D$16,(E68)-(J35))),0.000001)),$D$9*((((ABS(J68)/MAX(((G35)+(I35)*(MAX($D$16,(N68)-(K35))))*(MAX($D$16,(N68)-(K35))),0.000001))^2)/(2*$I$5))-(((ABS(J68)/MAX(((F35)+(H35)*(MAX($D$16,(E68)-(J35))))*(MAX($D$16,(E68)-(J35))),0.000001))^2)/(2*$I$5))),$D$8*((((ABS(J68)/MAX(((F35)+(H35)*(MAX($D$16,(E68)-(J35))))*(MAX($D$16,(E68)-(J35))),0.000001))^2)/(2*$I$5))-(((ABS(J68)/MAX(((G35)+(I35)*(MAX($D$16,(N68)-(K35))))*(MAX($D$16,(N68)-(K35))),0.000001))^2)/(2*$I$5)))))+($D$10*(ABS((X35)-(W35))/90)*MAX(((ABS(J68)/MAX(((F35)+(H35)*(MAX($D$16,(E68)-(J35))))*(MAX($D$16,(E68)-(J35))),0.000001))^2)/(2*$I$5),((ABS(J68)/MAX(((G35)+(I35)*(MAX($D$16,(N68)-(K35))))*(MAX($D$16,(N68)-(K35))),0.000001))^2)/(2*$I$5)))+(($D$11*0.34699541*(ABS(I68)/MAX(ABS(G68),0.000001))^2*MAX(((ABS(J68)/MAX(((F35)+(H35)*(MAX($D$16,(E68)-(J35))))*(MAX($D$16,(E68)-(J35))),0.000001))^2)/(2*$I$5),((ABS(J68)/MAX(((G35)+(I35)*(MAX($D$16,(N68)-(K35))))*(MAX($D$16,(N68)-(K35))),0.000001))^2)/(2*$I$5))))-((ABS(J68)/MAX(((F35)+(H35)*(MAX($D$16,(E68)-(J35))))*(MAX($D$16,(E68)-(J35))),0.000001))^2)/(2*$I$5)</f>
        <v>22382.80587457701</v>
      </c>
      <c r="U68">
        <f>(((((F32)*(MAX($D$16,(D68)-(J32)))^2)/2+(H32)*(MAX($D$16,(D68)-(J32)))^3/3+(ABS(G68)^2)/($I$5*MAX(((F32)+(H32)*(MAX($D$16,(D68)-(J32))))*(MAX($D$16,(D68)-(J32))),0.000001)))*0.72785025)-((((F33)*(MAX($D$16,(D68)-(J33)))^2)/2+(H33)*(MAX($D$16,(D68)-(J33)))^3/3+(ABS(H68)^2)/($I$5*MAX(((F33)+(H33)*(MAX($D$16,(D68)-(J33))))*(MAX($D$16,(D68)-(J33))),0.000001)))*0.99999971))/MAX(((G31)*(MAX($D$16,(D68)-(K31)))^2)/2+(I31)*(MAX($D$16,(D68)-(K31)))^3/3+(ABS(F68)^2)/($I$5*MAX(((G31)+(I31)*(MAX($D$16,(D68)-(K31))))*(MAX($D$16,(D68)-(K31))),0.000001)),0.000001)</f>
        <v>-0.2721494599997884</v>
      </c>
      <c r="V68">
        <f>(((((F34)*(MAX($D$16,(E68)-(J34)))^2)/2+(H34)*(MAX($D$16,(E68)-(J34)))^3/3+(ABS(I68)^2)/($I$5*MAX(((F34)+(H34)*(MAX($D$16,(E68)-(J34))))*(MAX($D$16,(E68)-(J34))),0.000001)))*1)-((((F35)*(MAX($D$16,(E68)-(J35)))^2)/2+(H35)*(MAX($D$16,(E68)-(J35)))^3/3+(ABS(J68)^2)/($I$5*MAX(((F35)+(H35)*(MAX($D$16,(E68)-(J35))))*(MAX($D$16,(E68)-(J35))),0.000001)))*0.30600918))/MAX(((G32)*(MAX($D$16,(E68)-(K32)))^2)/2+(I32)*(MAX($D$16,(E68)-(K32)))^3/3+(ABS(G68)^2)/($I$5*MAX(((G32)+(I32)*(MAX($D$16,(E68)-(K32))))*(MAX($D$16,(E68)-(K32))),0.000001)),0.000001)</f>
        <v>-0.30598462674144999</v>
      </c>
      <c r="W68">
        <f>IF(N6="None",MAX(ABS(O68-D68),ABS(P68-D68)),MAX(ABS(O68-D68),ABS(P68-D68),ABS(Q68-D68)))</f>
        <v>38823.515173090818</v>
      </c>
      <c r="X68">
        <f>IF(AND(N7="None",N8="None"),ABS(R68-E68),IF(N8="None",MAX(ABS(R68-E68),ABS(S68-E68)),IF(N7="None",MAX(ABS(R68-E68),ABS(T68-E68)),MAX(ABS(R68-E68),ABS(S68-E68),ABS(T68-E68)))))</f>
        <v>38600.748107191896</v>
      </c>
      <c r="AA68">
        <f>D68+$D$13*(IF(N6="None",AVERAGE(O68:P68),AVERAGE(O68:Q68))-D68)</f>
        <v>39414.228978279352</v>
      </c>
      <c r="AB68">
        <f>E68+$D$13*(IF(AND(N7="None",N8="None"),R68,IF(N8="None",AVERAGE(R68:S68),IF(N7="None",AVERAGE(R68,T68),AVERAGE(R68:T68))))-E68)</f>
        <v>-7817.9334853329938</v>
      </c>
    </row>
    <row r="69" spans="1:28" x14ac:dyDescent="0.35">
      <c r="A69">
        <v>26</v>
      </c>
      <c r="B69">
        <f t="shared" si="3"/>
        <v>0</v>
      </c>
      <c r="C69">
        <f t="shared" si="4"/>
        <v>0</v>
      </c>
      <c r="D69">
        <f t="shared" si="5"/>
        <v>39414.228978279352</v>
      </c>
      <c r="E69">
        <f t="shared" si="6"/>
        <v>-7817.9334853329938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>IF(AND(N7="None",N8="None"),0,IF(N8="None",G69,IF(N7="None",0,MAX(0,G69*C69))))</f>
        <v>0</v>
      </c>
      <c r="J69">
        <f>IF(AND(N7="None",N8="None"),0,IF(N8="None",0,IF(N7="None",G69,MAX(0,G69-I69))))</f>
        <v>51</v>
      </c>
      <c r="K69">
        <f>P5</f>
        <v>637</v>
      </c>
      <c r="L69">
        <f>P6</f>
        <v>637</v>
      </c>
      <c r="M69">
        <f>P7</f>
        <v>635.5</v>
      </c>
      <c r="N69">
        <f>P8</f>
        <v>631.54999999999995</v>
      </c>
      <c r="O69">
        <f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D69)-(K31))))*(MAX($D$16,(D69)-(K31))),0.000001)*MAX(((((G31)+(I31)*(MAX($D$16,(D69)-(K31))))*(MAX($D$16,(D69)-(K31))))/MAX((G31)+2*(MAX($D$16,(D69)-(K31)))*SQRT(1+(I31)^2),0.000001))^(2/3),0.000001)))^2))/2)+(IF((ABS(F69)/MAX(((G31)+(I31)*(MAX($D$16,(D69)-(K31))))*(MAX($D$16,(D69)-(K31))),0.000001))&gt;(ABS(F69)/MAX(((F31)+(H31)*(MAX($D$16,(K69)-(J31))))*(MAX($D$16,(K69)-(J31))),0.000001)),$D$9*((((ABS(F69)/MAX(((G31)+(I31)*(MAX($D$16,(D69)-(K31))))*(MAX($D$16,(D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D69)-(K31))))*(MAX($D$16,(D69)-(K31))),0.000001))^2)/(2*$I$5)))))+($D$10*(ABS((X31)-(W31))/90)*MAX(((ABS(F69)/MAX(((F31)+(H31)*(MAX($D$16,(K69)-(J31))))*(MAX($D$16,(K69)-(J31))),0.000001))^2)/(2*$I$5),((ABS(F69)/MAX(((G31)+(I31)*(MAX($D$16,(D69)-(K31))))*(MAX($D$16,(D69)-(K31))),0.000001))^2)/(2*$I$5)))+(0)-((ABS(F69)/MAX(((G31)+(I31)*(MAX($D$16,(D69)-(K31))))*(MAX($D$16,(D69)-(K31))),0.000001))^2)/(2*$I$5)</f>
        <v>637.6582510097229</v>
      </c>
      <c r="P69">
        <f>E69+((ABS(G69)/MAX(((G32)+(I32)*(MAX($D$16,(E69)-(K32))))*(MAX($D$16,(E69)-(K32))),0.000001))^2)/(2*$I$5)+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F32)+(H32)*(MAX($D$16,(D69)-(J32))))*(MAX($D$16,(D69)-(J32))),0.000001))^2)/(2*$I$5)</f>
        <v>78235.91609006279</v>
      </c>
      <c r="Q69">
        <f>L69+((ABS(H69)/MAX(((G33)+(I33)*(MAX($D$16,(L69)-(K33))))*(MAX($D$16,(L69)-(K33))),0.000001))^2)/(2*$I$5)+((E33)*((((ABS(H69)*$D$6)/(MAX(((F33)+(H33)*(MAX($D$16,(D69)-(J33))))*(MAX($D$16,(D69)-(J33))),0.000001)*MAX(((((F33)+(H33)*(MAX($D$16,(D69)-(J33))))*(MAX($D$16,(D69)-(J33))))/MAX((F33)+2*(MAX($D$16,(D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D69)-(J33))))*(MAX($D$16,(D69)-(J33))),0.000001)),$D$9*((((ABS(H69)/MAX(((G33)+(I33)*(MAX($D$16,(L69)-(K33))))*(MAX($D$16,(L69)-(K33))),0.000001))^2)/(2*$I$5))-(((ABS(H69)/MAX(((F33)+(H33)*(MAX($D$16,(D69)-(J33))))*(MAX($D$16,(D69)-(J33))),0.000001))^2)/(2*$I$5))),$D$8*((((ABS(H69)/MAX(((F33)+(H33)*(MAX($D$16,(D69)-(J33))))*(MAX($D$16,(D69)-(J33))),0.000001))^2)/(2*$I$5))-(((ABS(H69)/MAX(((G33)+(I33)*(MAX($D$16,(L69)-(K33))))*(MAX($D$16,(L69)-(K33))),0.000001))^2)/(2*$I$5)))))+($D$10*(ABS((X33)-(W33))/90)*MAX(((ABS(H69)/MAX(((F33)+(H33)*(MAX($D$16,(D69)-(J33))))*(MAX($D$16,(D69)-(J33))),0.000001))^2)/(2*$I$5),((ABS(H69)/MAX(((G33)+(I33)*(MAX($D$16,(L69)-(K33))))*(MAX($D$16,(L69)-(K33))),0.000001))^2)/(2*$I$5)))+(($D$11*0.00000015*(ABS(G69)/MAX(ABS(F69),0.000001))^2*MAX(((ABS(H69)/MAX(((F33)+(H33)*(MAX($D$16,(D69)-(J33))))*(MAX($D$16,(D69)-(J33))),0.000001))^2)/(2*$I$5),((ABS(H69)/MAX(((G33)+(I33)*(MAX($D$16,(L69)-(K33))))*(MAX($D$16,(L69)-(K33))),0.000001))^2)/(2*$I$5))))-((ABS(H69)/MAX(((F33)+(H33)*(MAX($D$16,(D69)-(J33))))*(MAX($D$16,(D69)-(J33))),0.000001))^2)/(2*$I$5)</f>
        <v>637</v>
      </c>
      <c r="R69">
        <f>D69+((ABS(G69)/MAX(((F32)+(H32)*(MAX($D$16,(D69)-(J32))))*(MAX($D$16,(D69)-(J32))),0.000001))^2)/(2*$I$5)-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G32)+(I32)*(MAX($D$16,(E69)-(K32))))*(MAX($D$16,(E69)-(K32))),0.000001))^2)/(2*$I$5)</f>
        <v>-46416.853531217494</v>
      </c>
      <c r="S69">
        <f>M69+((ABS(I69)/MAX(((G34)+(I34)*(MAX($D$16,(M69)-(K34))))*(MAX($D$16,(M69)-(K34))),0.000001))^2)/(2*$I$5)+((E34)*((((ABS(I69)*$D$6)/(MAX(((F34)+(H34)*(MAX($D$16,(E69)-(J34))))*(MAX($D$16,(E69)-(J34))),0.000001)*MAX(((((F34)+(H34)*(MAX($D$16,(E69)-(J34))))*(MAX($D$16,(E69)-(J34))))/MAX((F34)+2*(MAX($D$16,(E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E69)-(J34))))*(MAX($D$16,(E69)-(J34))),0.000001)),$D$9*((((ABS(I69)/MAX(((G34)+(I34)*(MAX($D$16,(M69)-(K34))))*(MAX($D$16,(M69)-(K34))),0.000001))^2)/(2*$I$5))-(((ABS(I69)/MAX(((F34)+(H34)*(MAX($D$16,(E69)-(J34))))*(MAX($D$16,(E69)-(J34))),0.000001))^2)/(2*$I$5))),$D$8*((((ABS(I69)/MAX(((F34)+(H34)*(MAX($D$16,(E69)-(J34))))*(MAX($D$16,(E69)-(J34))),0.000001))^2)/(2*$I$5))-(((ABS(I69)/MAX(((G34)+(I34)*(MAX($D$16,(M69)-(K34))))*(MAX($D$16,(M69)-(K34))),0.000001))^2)/(2*$I$5)))))+($D$10*(ABS((X34)-(W34))/90)*MAX(((ABS(I69)/MAX(((F34)+(H34)*(MAX($D$16,(E69)-(J34))))*(MAX($D$16,(E69)-(J34))),0.000001))^2)/(2*$I$5),((ABS(I69)/MAX(((G34)+(I34)*(MAX($D$16,(M69)-(K34))))*(MAX($D$16,(M69)-(K34))),0.000001))^2)/(2*$I$5)))+(0)-((ABS(I69)/MAX(((F34)+(H34)*(MAX($D$16,(E69)-(J34))))*(MAX($D$16,(E69)-(J34))),0.000001))^2)/(2*$I$5)</f>
        <v>635.5</v>
      </c>
      <c r="T69">
        <f>N69+((ABS(J69)/MAX(((G35)+(I35)*(MAX($D$16,(N69)-(K35))))*(MAX($D$16,(N69)-(K35))),0.000001))^2)/(2*$I$5)+((E35)*((((ABS(J69)*$D$6)/(MAX(((F35)+(H35)*(MAX($D$16,(E69)-(J35))))*(MAX($D$16,(E69)-(J35))),0.000001)*MAX(((((F35)+(H35)*(MAX($D$16,(E69)-(J35))))*(MAX($D$16,(E69)-(J35))))/MAX((F35)+2*(MAX($D$16,(E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E69)-(J35))))*(MAX($D$16,(E69)-(J35))),0.000001)),$D$9*((((ABS(J69)/MAX(((G35)+(I35)*(MAX($D$16,(N69)-(K35))))*(MAX($D$16,(N69)-(K35))),0.000001))^2)/(2*$I$5))-(((ABS(J69)/MAX(((F35)+(H35)*(MAX($D$16,(E69)-(J35))))*(MAX($D$16,(E69)-(J35))),0.000001))^2)/(2*$I$5))),$D$8*((((ABS(J69)/MAX(((F35)+(H35)*(MAX($D$16,(E69)-(J35))))*(MAX($D$16,(E69)-(J35))),0.000001))^2)/(2*$I$5))-(((ABS(J69)/MAX(((G35)+(I35)*(MAX($D$16,(N69)-(K35))))*(MAX($D$16,(N69)-(K35))),0.000001))^2)/(2*$I$5)))))+($D$10*(ABS((X35)-(W35))/90)*MAX(((ABS(J69)/MAX(((F35)+(H35)*(MAX($D$16,(E69)-(J35))))*(MAX($D$16,(E69)-(J35))),0.000001))^2)/(2*$I$5),((ABS(J69)/MAX(((G35)+(I35)*(MAX($D$16,(N69)-(K35))))*(MAX($D$16,(N69)-(K35))),0.000001))^2)/(2*$I$5)))+(($D$11*0.34699541*(ABS(I69)/MAX(ABS(G69),0.000001))^2*MAX(((ABS(J69)/MAX(((F35)+(H35)*(MAX($D$16,(E69)-(J35))))*(MAX($D$16,(E69)-(J35))),0.000001))^2)/(2*$I$5),((ABS(J69)/MAX(((G35)+(I35)*(MAX($D$16,(N69)-(K35))))*(MAX($D$16,(N69)-(K35))),0.000001))^2)/(2*$I$5))))-((ABS(J69)/MAX(((F35)+(H35)*(MAX($D$16,(E69)-(J35))))*(MAX($D$16,(E69)-(J35))),0.000001))^2)/(2*$I$5)</f>
        <v>22382.80587457701</v>
      </c>
      <c r="U69">
        <f>(((((F32)*(MAX($D$16,(D69)-(J32)))^2)/2+(H32)*(MAX($D$16,(D69)-(J32)))^3/3+(ABS(G69)^2)/($I$5*MAX(((F32)+(H32)*(MAX($D$16,(D69)-(J32))))*(MAX($D$16,(D69)-(J32))),0.000001)))*0.72785025)-((((F33)*(MAX($D$16,(D69)-(J33)))^2)/2+(H33)*(MAX($D$16,(D69)-(J33)))^3/3+(ABS(H69)^2)/($I$5*MAX(((F33)+(H33)*(MAX($D$16,(D69)-(J33))))*(MAX($D$16,(D69)-(J33))),0.000001)))*0.99999971))/MAX(((G31)*(MAX($D$16,(D69)-(K31)))^2)/2+(I31)*(MAX($D$16,(D69)-(K31)))^3/3+(ABS(F69)^2)/($I$5*MAX(((G31)+(I31)*(MAX($D$16,(D69)-(K31))))*(MAX($D$16,(D69)-(K31))),0.000001)),0.000001)</f>
        <v>-0.27214945999978851</v>
      </c>
      <c r="V69">
        <f>(((((F34)*(MAX($D$16,(E69)-(J34)))^2)/2+(H34)*(MAX($D$16,(E69)-(J34)))^3/3+(ABS(I69)^2)/($I$5*MAX(((F34)+(H34)*(MAX($D$16,(E69)-(J34))))*(MAX($D$16,(E69)-(J34))),0.000001)))*1)-((((F35)*(MAX($D$16,(E69)-(J35)))^2)/2+(H35)*(MAX($D$16,(E69)-(J35)))^3/3+(ABS(J69)^2)/($I$5*MAX(((F35)+(H35)*(MAX($D$16,(E69)-(J35))))*(MAX($D$16,(E69)-(J35))),0.000001)))*0.30600918))/MAX(((G32)*(MAX($D$16,(E69)-(K32)))^2)/2+(I32)*(MAX($D$16,(E69)-(K32)))^3/3+(ABS(G69)^2)/($I$5*MAX(((G32)+(I32)*(MAX($D$16,(E69)-(K32))))*(MAX($D$16,(E69)-(K32))),0.000001)),0.000001)</f>
        <v>-0.30598462674144999</v>
      </c>
      <c r="W69">
        <f>IF(N6="None",MAX(ABS(O69-D69),ABS(P69-D69)),MAX(ABS(O69-D69),ABS(P69-D69),ABS(Q69-D69)))</f>
        <v>38821.687111783438</v>
      </c>
      <c r="X69">
        <f>IF(AND(N7="None",N8="None"),ABS(R69-E69),IF(N8="None",MAX(ABS(R69-E69),ABS(S69-E69)),IF(N7="None",MAX(ABS(R69-E69),ABS(T69-E69)),MAX(ABS(R69-E69),ABS(S69-E69),ABS(T69-E69)))))</f>
        <v>38598.920045884501</v>
      </c>
      <c r="AA69">
        <f>D69+$D$13*(IF(N6="None",AVERAGE(O69:P69),AVERAGE(O69:Q69))-D69)</f>
        <v>39422.124345569267</v>
      </c>
      <c r="AB69">
        <f>E69+$D$13*(IF(AND(N7="None",N8="None"),R69,IF(N8="None",AVERAGE(R69:S69),IF(N7="None",AVERAGE(R69,T69),AVERAGE(R69:T69))))-E69)</f>
        <v>-7811.4873254078357</v>
      </c>
    </row>
    <row r="70" spans="1:28" x14ac:dyDescent="0.35">
      <c r="A70">
        <v>27</v>
      </c>
      <c r="B70">
        <f t="shared" si="3"/>
        <v>0</v>
      </c>
      <c r="C70">
        <f t="shared" si="4"/>
        <v>0</v>
      </c>
      <c r="D70">
        <f t="shared" si="5"/>
        <v>39422.124345569267</v>
      </c>
      <c r="E70">
        <f t="shared" si="6"/>
        <v>-7811.4873254078357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>IF(AND(N7="None",N8="None"),0,IF(N8="None",G70,IF(N7="None",0,MAX(0,G70*C70))))</f>
        <v>0</v>
      </c>
      <c r="J70">
        <f>IF(AND(N7="None",N8="None"),0,IF(N8="None",0,IF(N7="None",G70,MAX(0,G70-I70))))</f>
        <v>51</v>
      </c>
      <c r="K70">
        <f>P5</f>
        <v>637</v>
      </c>
      <c r="L70">
        <f>P6</f>
        <v>637</v>
      </c>
      <c r="M70">
        <f>P7</f>
        <v>635.5</v>
      </c>
      <c r="N70">
        <f>P8</f>
        <v>631.54999999999995</v>
      </c>
      <c r="O70">
        <f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D70)-(K31))))*(MAX($D$16,(D70)-(K31))),0.000001)*MAX(((((G31)+(I31)*(MAX($D$16,(D70)-(K31))))*(MAX($D$16,(D70)-(K31))))/MAX((G31)+2*(MAX($D$16,(D70)-(K31)))*SQRT(1+(I31)^2),0.000001))^(2/3),0.000001)))^2))/2)+(IF((ABS(F70)/MAX(((G31)+(I31)*(MAX($D$16,(D70)-(K31))))*(MAX($D$16,(D70)-(K31))),0.000001))&gt;(ABS(F70)/MAX(((F31)+(H31)*(MAX($D$16,(K70)-(J31))))*(MAX($D$16,(K70)-(J31))),0.000001)),$D$9*((((ABS(F70)/MAX(((G31)+(I31)*(MAX($D$16,(D70)-(K31))))*(MAX($D$16,(D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D70)-(K31))))*(MAX($D$16,(D70)-(K31))),0.000001))^2)/(2*$I$5)))))+($D$10*(ABS((X31)-(W31))/90)*MAX(((ABS(F70)/MAX(((F31)+(H31)*(MAX($D$16,(K70)-(J31))))*(MAX($D$16,(K70)-(J31))),0.000001))^2)/(2*$I$5),((ABS(F70)/MAX(((G31)+(I31)*(MAX($D$16,(D70)-(K31))))*(MAX($D$16,(D70)-(K31))),0.000001))^2)/(2*$I$5)))+(0)-((ABS(F70)/MAX(((G31)+(I31)*(MAX($D$16,(D70)-(K31))))*(MAX($D$16,(D70)-(K31))),0.000001))^2)/(2*$I$5)</f>
        <v>637.65825100972393</v>
      </c>
      <c r="P70">
        <f>E70+((ABS(G70)/MAX(((G32)+(I32)*(MAX($D$16,(E70)-(K32))))*(MAX($D$16,(E70)-(K32))),0.000001))^2)/(2*$I$5)+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F32)+(H32)*(MAX($D$16,(D70)-(J32))))*(MAX($D$16,(D70)-(J32))),0.000001))^2)/(2*$I$5)</f>
        <v>78242.362249987942</v>
      </c>
      <c r="Q70">
        <f>L70+((ABS(H70)/MAX(((G33)+(I33)*(MAX($D$16,(L70)-(K33))))*(MAX($D$16,(L70)-(K33))),0.000001))^2)/(2*$I$5)+((E33)*((((ABS(H70)*$D$6)/(MAX(((F33)+(H33)*(MAX($D$16,(D70)-(J33))))*(MAX($D$16,(D70)-(J33))),0.000001)*MAX(((((F33)+(H33)*(MAX($D$16,(D70)-(J33))))*(MAX($D$16,(D70)-(J33))))/MAX((F33)+2*(MAX($D$16,(D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D70)-(J33))))*(MAX($D$16,(D70)-(J33))),0.000001)),$D$9*((((ABS(H70)/MAX(((G33)+(I33)*(MAX($D$16,(L70)-(K33))))*(MAX($D$16,(L70)-(K33))),0.000001))^2)/(2*$I$5))-(((ABS(H70)/MAX(((F33)+(H33)*(MAX($D$16,(D70)-(J33))))*(MAX($D$16,(D70)-(J33))),0.000001))^2)/(2*$I$5))),$D$8*((((ABS(H70)/MAX(((F33)+(H33)*(MAX($D$16,(D70)-(J33))))*(MAX($D$16,(D70)-(J33))),0.000001))^2)/(2*$I$5))-(((ABS(H70)/MAX(((G33)+(I33)*(MAX($D$16,(L70)-(K33))))*(MAX($D$16,(L70)-(K33))),0.000001))^2)/(2*$I$5)))))+($D$10*(ABS((X33)-(W33))/90)*MAX(((ABS(H70)/MAX(((F33)+(H33)*(MAX($D$16,(D70)-(J33))))*(MAX($D$16,(D70)-(J33))),0.000001))^2)/(2*$I$5),((ABS(H70)/MAX(((G33)+(I33)*(MAX($D$16,(L70)-(K33))))*(MAX($D$16,(L70)-(K33))),0.000001))^2)/(2*$I$5)))+(($D$11*0.00000015*(ABS(G70)/MAX(ABS(F70),0.000001))^2*MAX(((ABS(H70)/MAX(((F33)+(H33)*(MAX($D$16,(D70)-(J33))))*(MAX($D$16,(D70)-(J33))),0.000001))^2)/(2*$I$5),((ABS(H70)/MAX(((G33)+(I33)*(MAX($D$16,(L70)-(K33))))*(MAX($D$16,(L70)-(K33))),0.000001))^2)/(2*$I$5))))-((ABS(H70)/MAX(((F33)+(H33)*(MAX($D$16,(D70)-(J33))))*(MAX($D$16,(D70)-(J33))),0.000001))^2)/(2*$I$5)</f>
        <v>637</v>
      </c>
      <c r="R70">
        <f>D70+((ABS(G70)/MAX(((F32)+(H32)*(MAX($D$16,(D70)-(J32))))*(MAX($D$16,(D70)-(J32))),0.000001))^2)/(2*$I$5)-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G32)+(I32)*(MAX($D$16,(E70)-(K32))))*(MAX($D$16,(E70)-(K32))),0.000001))^2)/(2*$I$5)</f>
        <v>-46408.958163927578</v>
      </c>
      <c r="S70">
        <f>M70+((ABS(I70)/MAX(((G34)+(I34)*(MAX($D$16,(M70)-(K34))))*(MAX($D$16,(M70)-(K34))),0.000001))^2)/(2*$I$5)+((E34)*((((ABS(I70)*$D$6)/(MAX(((F34)+(H34)*(MAX($D$16,(E70)-(J34))))*(MAX($D$16,(E70)-(J34))),0.000001)*MAX(((((F34)+(H34)*(MAX($D$16,(E70)-(J34))))*(MAX($D$16,(E70)-(J34))))/MAX((F34)+2*(MAX($D$16,(E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E70)-(J34))))*(MAX($D$16,(E70)-(J34))),0.000001)),$D$9*((((ABS(I70)/MAX(((G34)+(I34)*(MAX($D$16,(M70)-(K34))))*(MAX($D$16,(M70)-(K34))),0.000001))^2)/(2*$I$5))-(((ABS(I70)/MAX(((F34)+(H34)*(MAX($D$16,(E70)-(J34))))*(MAX($D$16,(E70)-(J34))),0.000001))^2)/(2*$I$5))),$D$8*((((ABS(I70)/MAX(((F34)+(H34)*(MAX($D$16,(E70)-(J34))))*(MAX($D$16,(E70)-(J34))),0.000001))^2)/(2*$I$5))-(((ABS(I70)/MAX(((G34)+(I34)*(MAX($D$16,(M70)-(K34))))*(MAX($D$16,(M70)-(K34))),0.000001))^2)/(2*$I$5)))))+($D$10*(ABS((X34)-(W34))/90)*MAX(((ABS(I70)/MAX(((F34)+(H34)*(MAX($D$16,(E70)-(J34))))*(MAX($D$16,(E70)-(J34))),0.000001))^2)/(2*$I$5),((ABS(I70)/MAX(((G34)+(I34)*(MAX($D$16,(M70)-(K34))))*(MAX($D$16,(M70)-(K34))),0.000001))^2)/(2*$I$5)))+(0)-((ABS(I70)/MAX(((F34)+(H34)*(MAX($D$16,(E70)-(J34))))*(MAX($D$16,(E70)-(J34))),0.000001))^2)/(2*$I$5)</f>
        <v>635.5</v>
      </c>
      <c r="T70">
        <f>N70+((ABS(J70)/MAX(((G35)+(I35)*(MAX($D$16,(N70)-(K35))))*(MAX($D$16,(N70)-(K35))),0.000001))^2)/(2*$I$5)+((E35)*((((ABS(J70)*$D$6)/(MAX(((F35)+(H35)*(MAX($D$16,(E70)-(J35))))*(MAX($D$16,(E70)-(J35))),0.000001)*MAX(((((F35)+(H35)*(MAX($D$16,(E70)-(J35))))*(MAX($D$16,(E70)-(J35))))/MAX((F35)+2*(MAX($D$16,(E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E70)-(J35))))*(MAX($D$16,(E70)-(J35))),0.000001)),$D$9*((((ABS(J70)/MAX(((G35)+(I35)*(MAX($D$16,(N70)-(K35))))*(MAX($D$16,(N70)-(K35))),0.000001))^2)/(2*$I$5))-(((ABS(J70)/MAX(((F35)+(H35)*(MAX($D$16,(E70)-(J35))))*(MAX($D$16,(E70)-(J35))),0.000001))^2)/(2*$I$5))),$D$8*((((ABS(J70)/MAX(((F35)+(H35)*(MAX($D$16,(E70)-(J35))))*(MAX($D$16,(E70)-(J35))),0.000001))^2)/(2*$I$5))-(((ABS(J70)/MAX(((G35)+(I35)*(MAX($D$16,(N70)-(K35))))*(MAX($D$16,(N70)-(K35))),0.000001))^2)/(2*$I$5)))))+($D$10*(ABS((X35)-(W35))/90)*MAX(((ABS(J70)/MAX(((F35)+(H35)*(MAX($D$16,(E70)-(J35))))*(MAX($D$16,(E70)-(J35))),0.000001))^2)/(2*$I$5),((ABS(J70)/MAX(((G35)+(I35)*(MAX($D$16,(N70)-(K35))))*(MAX($D$16,(N70)-(K35))),0.000001))^2)/(2*$I$5)))+(($D$11*0.34699541*(ABS(I70)/MAX(ABS(G70),0.000001))^2*MAX(((ABS(J70)/MAX(((F35)+(H35)*(MAX($D$16,(E70)-(J35))))*(MAX($D$16,(E70)-(J35))),0.000001))^2)/(2*$I$5),((ABS(J70)/MAX(((G35)+(I35)*(MAX($D$16,(N70)-(K35))))*(MAX($D$16,(N70)-(K35))),0.000001))^2)/(2*$I$5))))-((ABS(J70)/MAX(((F35)+(H35)*(MAX($D$16,(E70)-(J35))))*(MAX($D$16,(E70)-(J35))),0.000001))^2)/(2*$I$5)</f>
        <v>22382.80587457701</v>
      </c>
      <c r="U70">
        <f>(((((F32)*(MAX($D$16,(D70)-(J32)))^2)/2+(H32)*(MAX($D$16,(D70)-(J32)))^3/3+(ABS(G70)^2)/($I$5*MAX(((F32)+(H32)*(MAX($D$16,(D70)-(J32))))*(MAX($D$16,(D70)-(J32))),0.000001)))*0.72785025)-((((F33)*(MAX($D$16,(D70)-(J33)))^2)/2+(H33)*(MAX($D$16,(D70)-(J33)))^3/3+(ABS(H70)^2)/($I$5*MAX(((F33)+(H33)*(MAX($D$16,(D70)-(J33))))*(MAX($D$16,(D70)-(J33))),0.000001)))*0.99999971))/MAX(((G31)*(MAX($D$16,(D70)-(K31)))^2)/2+(I31)*(MAX($D$16,(D70)-(K31)))^3/3+(ABS(F70)^2)/($I$5*MAX(((G31)+(I31)*(MAX($D$16,(D70)-(K31))))*(MAX($D$16,(D70)-(K31))),0.000001)),0.000001)</f>
        <v>-0.27214945999978873</v>
      </c>
      <c r="V70">
        <f>(((((F34)*(MAX($D$16,(E70)-(J34)))^2)/2+(H34)*(MAX($D$16,(E70)-(J34)))^3/3+(ABS(I70)^2)/($I$5*MAX(((F34)+(H34)*(MAX($D$16,(E70)-(J34))))*(MAX($D$16,(E70)-(J34))),0.000001)))*1)-((((F35)*(MAX($D$16,(E70)-(J35)))^2)/2+(H35)*(MAX($D$16,(E70)-(J35)))^3/3+(ABS(J70)^2)/($I$5*MAX(((F35)+(H35)*(MAX($D$16,(E70)-(J35))))*(MAX($D$16,(E70)-(J35))),0.000001)))*0.30600918))/MAX(((G32)*(MAX($D$16,(E70)-(K32)))^2)/2+(I32)*(MAX($D$16,(E70)-(K32)))^3/3+(ABS(G70)^2)/($I$5*MAX(((G32)+(I32)*(MAX($D$16,(E70)-(K32))))*(MAX($D$16,(E70)-(K32))),0.000001)),0.000001)</f>
        <v>-0.30598462674144999</v>
      </c>
      <c r="W70">
        <f>IF(N6="None",MAX(ABS(O70-D70),ABS(P70-D70)),MAX(ABS(O70-D70),ABS(P70-D70),ABS(Q70-D70)))</f>
        <v>38820.237904418675</v>
      </c>
      <c r="X70">
        <f>IF(AND(N7="None",N8="None"),ABS(R70-E70),IF(N8="None",MAX(ABS(R70-E70),ABS(S70-E70)),IF(N7="None",MAX(ABS(R70-E70),ABS(T70-E70)),MAX(ABS(R70-E70),ABS(S70-E70),ABS(T70-E70)))))</f>
        <v>38597.470838519745</v>
      </c>
      <c r="AA70">
        <f>D70+$D$13*(IF(N6="None",AVERAGE(O70:P70),AVERAGE(O70:Q70))-D70)</f>
        <v>39428.384412294618</v>
      </c>
      <c r="AB70">
        <f>E70+$D$13*(IF(AND(N7="None",N8="None"),R70,IF(N8="None",AVERAGE(R70:S70),IF(N7="None",AVERAGE(R70,T70),AVERAGE(R70:T70))))-E70)</f>
        <v>-7806.37619527266</v>
      </c>
    </row>
    <row r="71" spans="1:28" x14ac:dyDescent="0.35">
      <c r="A71">
        <v>28</v>
      </c>
      <c r="B71">
        <f t="shared" si="3"/>
        <v>0</v>
      </c>
      <c r="C71">
        <f t="shared" si="4"/>
        <v>0</v>
      </c>
      <c r="D71">
        <f t="shared" si="5"/>
        <v>39428.384412294618</v>
      </c>
      <c r="E71">
        <f t="shared" si="6"/>
        <v>-7806.37619527266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>IF(AND(N7="None",N8="None"),0,IF(N8="None",G71,IF(N7="None",0,MAX(0,G71*C71))))</f>
        <v>0</v>
      </c>
      <c r="J71">
        <f>IF(AND(N7="None",N8="None"),0,IF(N8="None",0,IF(N7="None",G71,MAX(0,G71-I71))))</f>
        <v>51</v>
      </c>
      <c r="K71">
        <f>P5</f>
        <v>637</v>
      </c>
      <c r="L71">
        <f>P6</f>
        <v>637</v>
      </c>
      <c r="M71">
        <f>P7</f>
        <v>635.5</v>
      </c>
      <c r="N71">
        <f>P8</f>
        <v>631.54999999999995</v>
      </c>
      <c r="O71">
        <f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D71)-(K31))))*(MAX($D$16,(D71)-(K31))),0.000001)*MAX(((((G31)+(I31)*(MAX($D$16,(D71)-(K31))))*(MAX($D$16,(D71)-(K31))))/MAX((G31)+2*(MAX($D$16,(D71)-(K31)))*SQRT(1+(I31)^2),0.000001))^(2/3),0.000001)))^2))/2)+(IF((ABS(F71)/MAX(((G31)+(I31)*(MAX($D$16,(D71)-(K31))))*(MAX($D$16,(D71)-(K31))),0.000001))&gt;(ABS(F71)/MAX(((F31)+(H31)*(MAX($D$16,(K71)-(J31))))*(MAX($D$16,(K71)-(J31))),0.000001)),$D$9*((((ABS(F71)/MAX(((G31)+(I31)*(MAX($D$16,(D71)-(K31))))*(MAX($D$16,(D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D71)-(K31))))*(MAX($D$16,(D71)-(K31))),0.000001))^2)/(2*$I$5)))))+($D$10*(ABS((X31)-(W31))/90)*MAX(((ABS(F71)/MAX(((F31)+(H31)*(MAX($D$16,(K71)-(J31))))*(MAX($D$16,(K71)-(J31))),0.000001))^2)/(2*$I$5),((ABS(F71)/MAX(((G31)+(I31)*(MAX($D$16,(D71)-(K31))))*(MAX($D$16,(D71)-(K31))),0.000001))^2)/(2*$I$5)))+(0)-((ABS(F71)/MAX(((G31)+(I31)*(MAX($D$16,(D71)-(K31))))*(MAX($D$16,(D71)-(K31))),0.000001))^2)/(2*$I$5)</f>
        <v>637.65825100972484</v>
      </c>
      <c r="P71">
        <f>E71+((ABS(G71)/MAX(((G32)+(I32)*(MAX($D$16,(E71)-(K32))))*(MAX($D$16,(E71)-(K32))),0.000001))^2)/(2*$I$5)+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F32)+(H32)*(MAX($D$16,(D71)-(J32))))*(MAX($D$16,(D71)-(J32))),0.000001))^2)/(2*$I$5)</f>
        <v>78247.47338012312</v>
      </c>
      <c r="Q71">
        <f>L71+((ABS(H71)/MAX(((G33)+(I33)*(MAX($D$16,(L71)-(K33))))*(MAX($D$16,(L71)-(K33))),0.000001))^2)/(2*$I$5)+((E33)*((((ABS(H71)*$D$6)/(MAX(((F33)+(H33)*(MAX($D$16,(D71)-(J33))))*(MAX($D$16,(D71)-(J33))),0.000001)*MAX(((((F33)+(H33)*(MAX($D$16,(D71)-(J33))))*(MAX($D$16,(D71)-(J33))))/MAX((F33)+2*(MAX($D$16,(D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D71)-(J33))))*(MAX($D$16,(D71)-(J33))),0.000001)),$D$9*((((ABS(H71)/MAX(((G33)+(I33)*(MAX($D$16,(L71)-(K33))))*(MAX($D$16,(L71)-(K33))),0.000001))^2)/(2*$I$5))-(((ABS(H71)/MAX(((F33)+(H33)*(MAX($D$16,(D71)-(J33))))*(MAX($D$16,(D71)-(J33))),0.000001))^2)/(2*$I$5))),$D$8*((((ABS(H71)/MAX(((F33)+(H33)*(MAX($D$16,(D71)-(J33))))*(MAX($D$16,(D71)-(J33))),0.000001))^2)/(2*$I$5))-(((ABS(H71)/MAX(((G33)+(I33)*(MAX($D$16,(L71)-(K33))))*(MAX($D$16,(L71)-(K33))),0.000001))^2)/(2*$I$5)))))+($D$10*(ABS((X33)-(W33))/90)*MAX(((ABS(H71)/MAX(((F33)+(H33)*(MAX($D$16,(D71)-(J33))))*(MAX($D$16,(D71)-(J33))),0.000001))^2)/(2*$I$5),((ABS(H71)/MAX(((G33)+(I33)*(MAX($D$16,(L71)-(K33))))*(MAX($D$16,(L71)-(K33))),0.000001))^2)/(2*$I$5)))+(($D$11*0.00000015*(ABS(G71)/MAX(ABS(F71),0.000001))^2*MAX(((ABS(H71)/MAX(((F33)+(H33)*(MAX($D$16,(D71)-(J33))))*(MAX($D$16,(D71)-(J33))),0.000001))^2)/(2*$I$5),((ABS(H71)/MAX(((G33)+(I33)*(MAX($D$16,(L71)-(K33))))*(MAX($D$16,(L71)-(K33))),0.000001))^2)/(2*$I$5))))-((ABS(H71)/MAX(((F33)+(H33)*(MAX($D$16,(D71)-(J33))))*(MAX($D$16,(D71)-(J33))),0.000001))^2)/(2*$I$5)</f>
        <v>637</v>
      </c>
      <c r="R71">
        <f>D71+((ABS(G71)/MAX(((F32)+(H32)*(MAX($D$16,(D71)-(J32))))*(MAX($D$16,(D71)-(J32))),0.000001))^2)/(2*$I$5)-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G32)+(I32)*(MAX($D$16,(E71)-(K32))))*(MAX($D$16,(E71)-(K32))),0.000001))^2)/(2*$I$5)</f>
        <v>-46402.698097202236</v>
      </c>
      <c r="S71">
        <f>M71+((ABS(I71)/MAX(((G34)+(I34)*(MAX($D$16,(M71)-(K34))))*(MAX($D$16,(M71)-(K34))),0.000001))^2)/(2*$I$5)+((E34)*((((ABS(I71)*$D$6)/(MAX(((F34)+(H34)*(MAX($D$16,(E71)-(J34))))*(MAX($D$16,(E71)-(J34))),0.000001)*MAX(((((F34)+(H34)*(MAX($D$16,(E71)-(J34))))*(MAX($D$16,(E71)-(J34))))/MAX((F34)+2*(MAX($D$16,(E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E71)-(J34))))*(MAX($D$16,(E71)-(J34))),0.000001)),$D$9*((((ABS(I71)/MAX(((G34)+(I34)*(MAX($D$16,(M71)-(K34))))*(MAX($D$16,(M71)-(K34))),0.000001))^2)/(2*$I$5))-(((ABS(I71)/MAX(((F34)+(H34)*(MAX($D$16,(E71)-(J34))))*(MAX($D$16,(E71)-(J34))),0.000001))^2)/(2*$I$5))),$D$8*((((ABS(I71)/MAX(((F34)+(H34)*(MAX($D$16,(E71)-(J34))))*(MAX($D$16,(E71)-(J34))),0.000001))^2)/(2*$I$5))-(((ABS(I71)/MAX(((G34)+(I34)*(MAX($D$16,(M71)-(K34))))*(MAX($D$16,(M71)-(K34))),0.000001))^2)/(2*$I$5)))))+($D$10*(ABS((X34)-(W34))/90)*MAX(((ABS(I71)/MAX(((F34)+(H34)*(MAX($D$16,(E71)-(J34))))*(MAX($D$16,(E71)-(J34))),0.000001))^2)/(2*$I$5),((ABS(I71)/MAX(((G34)+(I34)*(MAX($D$16,(M71)-(K34))))*(MAX($D$16,(M71)-(K34))),0.000001))^2)/(2*$I$5)))+(0)-((ABS(I71)/MAX(((F34)+(H34)*(MAX($D$16,(E71)-(J34))))*(MAX($D$16,(E71)-(J34))),0.000001))^2)/(2*$I$5)</f>
        <v>635.5</v>
      </c>
      <c r="T71">
        <f>N71+((ABS(J71)/MAX(((G35)+(I35)*(MAX($D$16,(N71)-(K35))))*(MAX($D$16,(N71)-(K35))),0.000001))^2)/(2*$I$5)+((E35)*((((ABS(J71)*$D$6)/(MAX(((F35)+(H35)*(MAX($D$16,(E71)-(J35))))*(MAX($D$16,(E71)-(J35))),0.000001)*MAX(((((F35)+(H35)*(MAX($D$16,(E71)-(J35))))*(MAX($D$16,(E71)-(J35))))/MAX((F35)+2*(MAX($D$16,(E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E71)-(J35))))*(MAX($D$16,(E71)-(J35))),0.000001)),$D$9*((((ABS(J71)/MAX(((G35)+(I35)*(MAX($D$16,(N71)-(K35))))*(MAX($D$16,(N71)-(K35))),0.000001))^2)/(2*$I$5))-(((ABS(J71)/MAX(((F35)+(H35)*(MAX($D$16,(E71)-(J35))))*(MAX($D$16,(E71)-(J35))),0.000001))^2)/(2*$I$5))),$D$8*((((ABS(J71)/MAX(((F35)+(H35)*(MAX($D$16,(E71)-(J35))))*(MAX($D$16,(E71)-(J35))),0.000001))^2)/(2*$I$5))-(((ABS(J71)/MAX(((G35)+(I35)*(MAX($D$16,(N71)-(K35))))*(MAX($D$16,(N71)-(K35))),0.000001))^2)/(2*$I$5)))))+($D$10*(ABS((X35)-(W35))/90)*MAX(((ABS(J71)/MAX(((F35)+(H35)*(MAX($D$16,(E71)-(J35))))*(MAX($D$16,(E71)-(J35))),0.000001))^2)/(2*$I$5),((ABS(J71)/MAX(((G35)+(I35)*(MAX($D$16,(N71)-(K35))))*(MAX($D$16,(N71)-(K35))),0.000001))^2)/(2*$I$5)))+(($D$11*0.34699541*(ABS(I71)/MAX(ABS(G71),0.000001))^2*MAX(((ABS(J71)/MAX(((F35)+(H35)*(MAX($D$16,(E71)-(J35))))*(MAX($D$16,(E71)-(J35))),0.000001))^2)/(2*$I$5),((ABS(J71)/MAX(((G35)+(I35)*(MAX($D$16,(N71)-(K35))))*(MAX($D$16,(N71)-(K35))),0.000001))^2)/(2*$I$5))))-((ABS(J71)/MAX(((F35)+(H35)*(MAX($D$16,(E71)-(J35))))*(MAX($D$16,(E71)-(J35))),0.000001))^2)/(2*$I$5)</f>
        <v>22382.80587457701</v>
      </c>
      <c r="U71">
        <f>(((((F32)*(MAX($D$16,(D71)-(J32)))^2)/2+(H32)*(MAX($D$16,(D71)-(J32)))^3/3+(ABS(G71)^2)/($I$5*MAX(((F32)+(H32)*(MAX($D$16,(D71)-(J32))))*(MAX($D$16,(D71)-(J32))),0.000001)))*0.72785025)-((((F33)*(MAX($D$16,(D71)-(J33)))^2)/2+(H33)*(MAX($D$16,(D71)-(J33)))^3/3+(ABS(H71)^2)/($I$5*MAX(((F33)+(H33)*(MAX($D$16,(D71)-(J33))))*(MAX($D$16,(D71)-(J33))),0.000001)))*0.99999971))/MAX(((G31)*(MAX($D$16,(D71)-(K31)))^2)/2+(I31)*(MAX($D$16,(D71)-(K31)))^3/3+(ABS(F71)^2)/($I$5*MAX(((G31)+(I31)*(MAX($D$16,(D71)-(K31))))*(MAX($D$16,(D71)-(K31))),0.000001)),0.000001)</f>
        <v>-0.27214945999978862</v>
      </c>
      <c r="V71">
        <f>(((((F34)*(MAX($D$16,(E71)-(J34)))^2)/2+(H34)*(MAX($D$16,(E71)-(J34)))^3/3+(ABS(I71)^2)/($I$5*MAX(((F34)+(H34)*(MAX($D$16,(E71)-(J34))))*(MAX($D$16,(E71)-(J34))),0.000001)))*1)-((((F35)*(MAX($D$16,(E71)-(J35)))^2)/2+(H35)*(MAX($D$16,(E71)-(J35)))^3/3+(ABS(J71)^2)/($I$5*MAX(((F35)+(H35)*(MAX($D$16,(E71)-(J35))))*(MAX($D$16,(E71)-(J35))),0.000001)))*0.30600918))/MAX(((G32)*(MAX($D$16,(E71)-(K32)))^2)/2+(I32)*(MAX($D$16,(E71)-(K32)))^3/3+(ABS(G71)^2)/($I$5*MAX(((G32)+(I32)*(MAX($D$16,(E71)-(K32))))*(MAX($D$16,(E71)-(K32))),0.000001)),0.000001)</f>
        <v>-0.30598462674144999</v>
      </c>
      <c r="W71">
        <f>IF(N6="None",MAX(ABS(O71-D71),ABS(P71-D71)),MAX(ABS(O71-D71),ABS(P71-D71),ABS(Q71-D71)))</f>
        <v>38819.088967828502</v>
      </c>
      <c r="X71">
        <f>IF(AND(N7="None",N8="None"),ABS(R71-E71),IF(N8="None",MAX(ABS(R71-E71),ABS(S71-E71)),IF(N7="None",MAX(ABS(R71-E71),ABS(T71-E71)),MAX(ABS(R71-E71),ABS(S71-E71),ABS(T71-E71)))))</f>
        <v>38596.321901929579</v>
      </c>
      <c r="AA71">
        <f>D71+$D$13*(IF(N6="None",AVERAGE(O71:P71),AVERAGE(O71:Q71))-D71)</f>
        <v>39433.347903439746</v>
      </c>
      <c r="AB71">
        <f>E71+$D$13*(IF(AND(N7="None",N8="None"),R71,IF(N8="None",AVERAGE(R71:S71),IF(N7="None",AVERAGE(R71,T71),AVERAGE(R71:T71))))-E71)</f>
        <v>-7802.3236195668387</v>
      </c>
    </row>
    <row r="72" spans="1:28" x14ac:dyDescent="0.35">
      <c r="A72">
        <v>29</v>
      </c>
      <c r="B72">
        <f t="shared" si="3"/>
        <v>0</v>
      </c>
      <c r="C72">
        <f t="shared" si="4"/>
        <v>0</v>
      </c>
      <c r="D72">
        <f t="shared" si="5"/>
        <v>39433.347903439746</v>
      </c>
      <c r="E72">
        <f t="shared" si="6"/>
        <v>-7802.3236195668387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>IF(AND(N7="None",N8="None"),0,IF(N8="None",G72,IF(N7="None",0,MAX(0,G72*C72))))</f>
        <v>0</v>
      </c>
      <c r="J72">
        <f>IF(AND(N7="None",N8="None"),0,IF(N8="None",0,IF(N7="None",G72,MAX(0,G72-I72))))</f>
        <v>51</v>
      </c>
      <c r="K72">
        <f>P5</f>
        <v>637</v>
      </c>
      <c r="L72">
        <f>P6</f>
        <v>637</v>
      </c>
      <c r="M72">
        <f>P7</f>
        <v>635.5</v>
      </c>
      <c r="N72">
        <f>P8</f>
        <v>631.54999999999995</v>
      </c>
      <c r="O72">
        <f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D72)-(K31))))*(MAX($D$16,(D72)-(K31))),0.000001)*MAX(((((G31)+(I31)*(MAX($D$16,(D72)-(K31))))*(MAX($D$16,(D72)-(K31))))/MAX((G31)+2*(MAX($D$16,(D72)-(K31)))*SQRT(1+(I31)^2),0.000001))^(2/3),0.000001)))^2))/2)+(IF((ABS(F72)/MAX(((G31)+(I31)*(MAX($D$16,(D72)-(K31))))*(MAX($D$16,(D72)-(K31))),0.000001))&gt;(ABS(F72)/MAX(((F31)+(H31)*(MAX($D$16,(K72)-(J31))))*(MAX($D$16,(K72)-(J31))),0.000001)),$D$9*((((ABS(F72)/MAX(((G31)+(I31)*(MAX($D$16,(D72)-(K31))))*(MAX($D$16,(D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D72)-(K31))))*(MAX($D$16,(D72)-(K31))),0.000001))^2)/(2*$I$5)))))+($D$10*(ABS((X31)-(W31))/90)*MAX(((ABS(F72)/MAX(((F31)+(H31)*(MAX($D$16,(K72)-(J31))))*(MAX($D$16,(K72)-(J31))),0.000001))^2)/(2*$I$5),((ABS(F72)/MAX(((G31)+(I31)*(MAX($D$16,(D72)-(K31))))*(MAX($D$16,(D72)-(K31))),0.000001))^2)/(2*$I$5)))+(0)-((ABS(F72)/MAX(((G31)+(I31)*(MAX($D$16,(D72)-(K31))))*(MAX($D$16,(D72)-(K31))),0.000001))^2)/(2*$I$5)</f>
        <v>637.65825100972552</v>
      </c>
      <c r="P72">
        <f>E72+((ABS(G72)/MAX(((G32)+(I32)*(MAX($D$16,(E72)-(K32))))*(MAX($D$16,(E72)-(K32))),0.000001))^2)/(2*$I$5)+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F32)+(H32)*(MAX($D$16,(D72)-(J32))))*(MAX($D$16,(D72)-(J32))),0.000001))^2)/(2*$I$5)</f>
        <v>78251.52595582894</v>
      </c>
      <c r="Q72">
        <f>L72+((ABS(H72)/MAX(((G33)+(I33)*(MAX($D$16,(L72)-(K33))))*(MAX($D$16,(L72)-(K33))),0.000001))^2)/(2*$I$5)+((E33)*((((ABS(H72)*$D$6)/(MAX(((F33)+(H33)*(MAX($D$16,(D72)-(J33))))*(MAX($D$16,(D72)-(J33))),0.000001)*MAX(((((F33)+(H33)*(MAX($D$16,(D72)-(J33))))*(MAX($D$16,(D72)-(J33))))/MAX((F33)+2*(MAX($D$16,(D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D72)-(J33))))*(MAX($D$16,(D72)-(J33))),0.000001)),$D$9*((((ABS(H72)/MAX(((G33)+(I33)*(MAX($D$16,(L72)-(K33))))*(MAX($D$16,(L72)-(K33))),0.000001))^2)/(2*$I$5))-(((ABS(H72)/MAX(((F33)+(H33)*(MAX($D$16,(D72)-(J33))))*(MAX($D$16,(D72)-(J33))),0.000001))^2)/(2*$I$5))),$D$8*((((ABS(H72)/MAX(((F33)+(H33)*(MAX($D$16,(D72)-(J33))))*(MAX($D$16,(D72)-(J33))),0.000001))^2)/(2*$I$5))-(((ABS(H72)/MAX(((G33)+(I33)*(MAX($D$16,(L72)-(K33))))*(MAX($D$16,(L72)-(K33))),0.000001))^2)/(2*$I$5)))))+($D$10*(ABS((X33)-(W33))/90)*MAX(((ABS(H72)/MAX(((F33)+(H33)*(MAX($D$16,(D72)-(J33))))*(MAX($D$16,(D72)-(J33))),0.000001))^2)/(2*$I$5),((ABS(H72)/MAX(((G33)+(I33)*(MAX($D$16,(L72)-(K33))))*(MAX($D$16,(L72)-(K33))),0.000001))^2)/(2*$I$5)))+(($D$11*0.00000015*(ABS(G72)/MAX(ABS(F72),0.000001))^2*MAX(((ABS(H72)/MAX(((F33)+(H33)*(MAX($D$16,(D72)-(J33))))*(MAX($D$16,(D72)-(J33))),0.000001))^2)/(2*$I$5),((ABS(H72)/MAX(((G33)+(I33)*(MAX($D$16,(L72)-(K33))))*(MAX($D$16,(L72)-(K33))),0.000001))^2)/(2*$I$5))))-((ABS(H72)/MAX(((F33)+(H33)*(MAX($D$16,(D72)-(J33))))*(MAX($D$16,(D72)-(J33))),0.000001))^2)/(2*$I$5)</f>
        <v>637</v>
      </c>
      <c r="R72">
        <f>D72+((ABS(G72)/MAX(((F32)+(H32)*(MAX($D$16,(D72)-(J32))))*(MAX($D$16,(D72)-(J32))),0.000001))^2)/(2*$I$5)-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G32)+(I32)*(MAX($D$16,(E72)-(K32))))*(MAX($D$16,(E72)-(K32))),0.000001))^2)/(2*$I$5)</f>
        <v>-46397.734606057107</v>
      </c>
      <c r="S72">
        <f>M72+((ABS(I72)/MAX(((G34)+(I34)*(MAX($D$16,(M72)-(K34))))*(MAX($D$16,(M72)-(K34))),0.000001))^2)/(2*$I$5)+((E34)*((((ABS(I72)*$D$6)/(MAX(((F34)+(H34)*(MAX($D$16,(E72)-(J34))))*(MAX($D$16,(E72)-(J34))),0.000001)*MAX(((((F34)+(H34)*(MAX($D$16,(E72)-(J34))))*(MAX($D$16,(E72)-(J34))))/MAX((F34)+2*(MAX($D$16,(E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E72)-(J34))))*(MAX($D$16,(E72)-(J34))),0.000001)),$D$9*((((ABS(I72)/MAX(((G34)+(I34)*(MAX($D$16,(M72)-(K34))))*(MAX($D$16,(M72)-(K34))),0.000001))^2)/(2*$I$5))-(((ABS(I72)/MAX(((F34)+(H34)*(MAX($D$16,(E72)-(J34))))*(MAX($D$16,(E72)-(J34))),0.000001))^2)/(2*$I$5))),$D$8*((((ABS(I72)/MAX(((F34)+(H34)*(MAX($D$16,(E72)-(J34))))*(MAX($D$16,(E72)-(J34))),0.000001))^2)/(2*$I$5))-(((ABS(I72)/MAX(((G34)+(I34)*(MAX($D$16,(M72)-(K34))))*(MAX($D$16,(M72)-(K34))),0.000001))^2)/(2*$I$5)))))+($D$10*(ABS((X34)-(W34))/90)*MAX(((ABS(I72)/MAX(((F34)+(H34)*(MAX($D$16,(E72)-(J34))))*(MAX($D$16,(E72)-(J34))),0.000001))^2)/(2*$I$5),((ABS(I72)/MAX(((G34)+(I34)*(MAX($D$16,(M72)-(K34))))*(MAX($D$16,(M72)-(K34))),0.000001))^2)/(2*$I$5)))+(0)-((ABS(I72)/MAX(((F34)+(H34)*(MAX($D$16,(E72)-(J34))))*(MAX($D$16,(E72)-(J34))),0.000001))^2)/(2*$I$5)</f>
        <v>635.5</v>
      </c>
      <c r="T72">
        <f>N72+((ABS(J72)/MAX(((G35)+(I35)*(MAX($D$16,(N72)-(K35))))*(MAX($D$16,(N72)-(K35))),0.000001))^2)/(2*$I$5)+((E35)*((((ABS(J72)*$D$6)/(MAX(((F35)+(H35)*(MAX($D$16,(E72)-(J35))))*(MAX($D$16,(E72)-(J35))),0.000001)*MAX(((((F35)+(H35)*(MAX($D$16,(E72)-(J35))))*(MAX($D$16,(E72)-(J35))))/MAX((F35)+2*(MAX($D$16,(E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E72)-(J35))))*(MAX($D$16,(E72)-(J35))),0.000001)),$D$9*((((ABS(J72)/MAX(((G35)+(I35)*(MAX($D$16,(N72)-(K35))))*(MAX($D$16,(N72)-(K35))),0.000001))^2)/(2*$I$5))-(((ABS(J72)/MAX(((F35)+(H35)*(MAX($D$16,(E72)-(J35))))*(MAX($D$16,(E72)-(J35))),0.000001))^2)/(2*$I$5))),$D$8*((((ABS(J72)/MAX(((F35)+(H35)*(MAX($D$16,(E72)-(J35))))*(MAX($D$16,(E72)-(J35))),0.000001))^2)/(2*$I$5))-(((ABS(J72)/MAX(((G35)+(I35)*(MAX($D$16,(N72)-(K35))))*(MAX($D$16,(N72)-(K35))),0.000001))^2)/(2*$I$5)))))+($D$10*(ABS((X35)-(W35))/90)*MAX(((ABS(J72)/MAX(((F35)+(H35)*(MAX($D$16,(E72)-(J35))))*(MAX($D$16,(E72)-(J35))),0.000001))^2)/(2*$I$5),((ABS(J72)/MAX(((G35)+(I35)*(MAX($D$16,(N72)-(K35))))*(MAX($D$16,(N72)-(K35))),0.000001))^2)/(2*$I$5)))+(($D$11*0.34699541*(ABS(I72)/MAX(ABS(G72),0.000001))^2*MAX(((ABS(J72)/MAX(((F35)+(H35)*(MAX($D$16,(E72)-(J35))))*(MAX($D$16,(E72)-(J35))),0.000001))^2)/(2*$I$5),((ABS(J72)/MAX(((G35)+(I35)*(MAX($D$16,(N72)-(K35))))*(MAX($D$16,(N72)-(K35))),0.000001))^2)/(2*$I$5))))-((ABS(J72)/MAX(((F35)+(H35)*(MAX($D$16,(E72)-(J35))))*(MAX($D$16,(E72)-(J35))),0.000001))^2)/(2*$I$5)</f>
        <v>22382.80587457701</v>
      </c>
      <c r="U72">
        <f>(((((F32)*(MAX($D$16,(D72)-(J32)))^2)/2+(H32)*(MAX($D$16,(D72)-(J32)))^3/3+(ABS(G72)^2)/($I$5*MAX(((F32)+(H32)*(MAX($D$16,(D72)-(J32))))*(MAX($D$16,(D72)-(J32))),0.000001)))*0.72785025)-((((F33)*(MAX($D$16,(D72)-(J33)))^2)/2+(H33)*(MAX($D$16,(D72)-(J33)))^3/3+(ABS(H72)^2)/($I$5*MAX(((F33)+(H33)*(MAX($D$16,(D72)-(J33))))*(MAX($D$16,(D72)-(J33))),0.000001)))*0.99999971))/MAX(((G31)*(MAX($D$16,(D72)-(K31)))^2)/2+(I31)*(MAX($D$16,(D72)-(K31)))^3/3+(ABS(F72)^2)/($I$5*MAX(((G31)+(I31)*(MAX($D$16,(D72)-(K31))))*(MAX($D$16,(D72)-(K31))),0.000001)),0.000001)</f>
        <v>-0.27214945999978885</v>
      </c>
      <c r="V72">
        <f>(((((F34)*(MAX($D$16,(E72)-(J34)))^2)/2+(H34)*(MAX($D$16,(E72)-(J34)))^3/3+(ABS(I72)^2)/($I$5*MAX(((F34)+(H34)*(MAX($D$16,(E72)-(J34))))*(MAX($D$16,(E72)-(J34))),0.000001)))*1)-((((F35)*(MAX($D$16,(E72)-(J35)))^2)/2+(H35)*(MAX($D$16,(E72)-(J35)))^3/3+(ABS(J72)^2)/($I$5*MAX(((F35)+(H35)*(MAX($D$16,(E72)-(J35))))*(MAX($D$16,(E72)-(J35))),0.000001)))*0.30600918))/MAX(((G32)*(MAX($D$16,(E72)-(K32)))^2)/2+(I32)*(MAX($D$16,(E72)-(K32)))^3/3+(ABS(G72)^2)/($I$5*MAX(((G32)+(I32)*(MAX($D$16,(E72)-(K32))))*(MAX($D$16,(E72)-(K32))),0.000001)),0.000001)</f>
        <v>-0.30598462674144999</v>
      </c>
      <c r="W72">
        <f>IF(N6="None",MAX(ABS(O72-D72),ABS(P72-D72)),MAX(ABS(O72-D72),ABS(P72-D72),ABS(Q72-D72)))</f>
        <v>38818.178052389194</v>
      </c>
      <c r="X72">
        <f>IF(AND(N7="None",N8="None"),ABS(R72-E72),IF(N8="None",MAX(ABS(R72-E72),ABS(S72-E72)),IF(N7="None",MAX(ABS(R72-E72),ABS(T72-E72)),MAX(ABS(R72-E72),ABS(S72-E72),ABS(T72-E72)))))</f>
        <v>38595.410986490271</v>
      </c>
      <c r="AA72">
        <f>D72+$D$13*(IF(N6="None",AVERAGE(O72:P72),AVERAGE(O72:Q72))-D72)</f>
        <v>39437.283373432598</v>
      </c>
      <c r="AB72">
        <f>E72+$D$13*(IF(AND(N7="None",N8="None"),R72,IF(N8="None",AVERAGE(R72:S72),IF(N7="None",AVERAGE(R72,T72),AVERAGE(R72:T72))))-E72)</f>
        <v>-7799.1103713911234</v>
      </c>
    </row>
    <row r="73" spans="1:28" x14ac:dyDescent="0.35">
      <c r="A73">
        <v>30</v>
      </c>
      <c r="B73">
        <f t="shared" si="3"/>
        <v>0</v>
      </c>
      <c r="C73">
        <f t="shared" si="4"/>
        <v>0</v>
      </c>
      <c r="D73">
        <f t="shared" si="5"/>
        <v>39437.283373432598</v>
      </c>
      <c r="E73">
        <f t="shared" si="6"/>
        <v>-7799.1103713911234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>IF(AND(N7="None",N8="None"),0,IF(N8="None",G73,IF(N7="None",0,MAX(0,G73*C73))))</f>
        <v>0</v>
      </c>
      <c r="J73">
        <f>IF(AND(N7="None",N8="None"),0,IF(N8="None",0,IF(N7="None",G73,MAX(0,G73-I73))))</f>
        <v>51</v>
      </c>
      <c r="K73">
        <f>P5</f>
        <v>637</v>
      </c>
      <c r="L73">
        <f>P6</f>
        <v>637</v>
      </c>
      <c r="M73">
        <f>P7</f>
        <v>635.5</v>
      </c>
      <c r="N73">
        <f>P8</f>
        <v>631.54999999999995</v>
      </c>
      <c r="O73">
        <f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D73)-(K31))))*(MAX($D$16,(D73)-(K31))),0.000001)*MAX(((((G31)+(I31)*(MAX($D$16,(D73)-(K31))))*(MAX($D$16,(D73)-(K31))))/MAX((G31)+2*(MAX($D$16,(D73)-(K31)))*SQRT(1+(I31)^2),0.000001))^(2/3),0.000001)))^2))/2)+(IF((ABS(F73)/MAX(((G31)+(I31)*(MAX($D$16,(D73)-(K31))))*(MAX($D$16,(D73)-(K31))),0.000001))&gt;(ABS(F73)/MAX(((F31)+(H31)*(MAX($D$16,(K73)-(J31))))*(MAX($D$16,(K73)-(J31))),0.000001)),$D$9*((((ABS(F73)/MAX(((G31)+(I31)*(MAX($D$16,(D73)-(K31))))*(MAX($D$16,(D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D73)-(K31))))*(MAX($D$16,(D73)-(K31))),0.000001))^2)/(2*$I$5)))))+($D$10*(ABS((X31)-(W31))/90)*MAX(((ABS(F73)/MAX(((F31)+(H31)*(MAX($D$16,(K73)-(J31))))*(MAX($D$16,(K73)-(J31))),0.000001))^2)/(2*$I$5),((ABS(F73)/MAX(((G31)+(I31)*(MAX($D$16,(D73)-(K31))))*(MAX($D$16,(D73)-(K31))),0.000001))^2)/(2*$I$5)))+(0)-((ABS(F73)/MAX(((G31)+(I31)*(MAX($D$16,(D73)-(K31))))*(MAX($D$16,(D73)-(K31))),0.000001))^2)/(2*$I$5)</f>
        <v>637.65825100972597</v>
      </c>
      <c r="P73">
        <f>E73+((ABS(G73)/MAX(((G32)+(I32)*(MAX($D$16,(E73)-(K32))))*(MAX($D$16,(E73)-(K32))),0.000001))^2)/(2*$I$5)+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F32)+(H32)*(MAX($D$16,(D73)-(J32))))*(MAX($D$16,(D73)-(J32))),0.000001))^2)/(2*$I$5)</f>
        <v>78254.739204004654</v>
      </c>
      <c r="Q73">
        <f>L73+((ABS(H73)/MAX(((G33)+(I33)*(MAX($D$16,(L73)-(K33))))*(MAX($D$16,(L73)-(K33))),0.000001))^2)/(2*$I$5)+((E33)*((((ABS(H73)*$D$6)/(MAX(((F33)+(H33)*(MAX($D$16,(D73)-(J33))))*(MAX($D$16,(D73)-(J33))),0.000001)*MAX(((((F33)+(H33)*(MAX($D$16,(D73)-(J33))))*(MAX($D$16,(D73)-(J33))))/MAX((F33)+2*(MAX($D$16,(D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D73)-(J33))))*(MAX($D$16,(D73)-(J33))),0.000001)),$D$9*((((ABS(H73)/MAX(((G33)+(I33)*(MAX($D$16,(L73)-(K33))))*(MAX($D$16,(L73)-(K33))),0.000001))^2)/(2*$I$5))-(((ABS(H73)/MAX(((F33)+(H33)*(MAX($D$16,(D73)-(J33))))*(MAX($D$16,(D73)-(J33))),0.000001))^2)/(2*$I$5))),$D$8*((((ABS(H73)/MAX(((F33)+(H33)*(MAX($D$16,(D73)-(J33))))*(MAX($D$16,(D73)-(J33))),0.000001))^2)/(2*$I$5))-(((ABS(H73)/MAX(((G33)+(I33)*(MAX($D$16,(L73)-(K33))))*(MAX($D$16,(L73)-(K33))),0.000001))^2)/(2*$I$5)))))+($D$10*(ABS((X33)-(W33))/90)*MAX(((ABS(H73)/MAX(((F33)+(H33)*(MAX($D$16,(D73)-(J33))))*(MAX($D$16,(D73)-(J33))),0.000001))^2)/(2*$I$5),((ABS(H73)/MAX(((G33)+(I33)*(MAX($D$16,(L73)-(K33))))*(MAX($D$16,(L73)-(K33))),0.000001))^2)/(2*$I$5)))+(($D$11*0.00000015*(ABS(G73)/MAX(ABS(F73),0.000001))^2*MAX(((ABS(H73)/MAX(((F33)+(H33)*(MAX($D$16,(D73)-(J33))))*(MAX($D$16,(D73)-(J33))),0.000001))^2)/(2*$I$5),((ABS(H73)/MAX(((G33)+(I33)*(MAX($D$16,(L73)-(K33))))*(MAX($D$16,(L73)-(K33))),0.000001))^2)/(2*$I$5))))-((ABS(H73)/MAX(((F33)+(H33)*(MAX($D$16,(D73)-(J33))))*(MAX($D$16,(D73)-(J33))),0.000001))^2)/(2*$I$5)</f>
        <v>637</v>
      </c>
      <c r="R73">
        <f>D73+((ABS(G73)/MAX(((F32)+(H32)*(MAX($D$16,(D73)-(J32))))*(MAX($D$16,(D73)-(J32))),0.000001))^2)/(2*$I$5)-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G32)+(I32)*(MAX($D$16,(E73)-(K32))))*(MAX($D$16,(E73)-(K32))),0.000001))^2)/(2*$I$5)</f>
        <v>-46393.799136064255</v>
      </c>
      <c r="S73">
        <f>M73+((ABS(I73)/MAX(((G34)+(I34)*(MAX($D$16,(M73)-(K34))))*(MAX($D$16,(M73)-(K34))),0.000001))^2)/(2*$I$5)+((E34)*((((ABS(I73)*$D$6)/(MAX(((F34)+(H34)*(MAX($D$16,(E73)-(J34))))*(MAX($D$16,(E73)-(J34))),0.000001)*MAX(((((F34)+(H34)*(MAX($D$16,(E73)-(J34))))*(MAX($D$16,(E73)-(J34))))/MAX((F34)+2*(MAX($D$16,(E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E73)-(J34))))*(MAX($D$16,(E73)-(J34))),0.000001)),$D$9*((((ABS(I73)/MAX(((G34)+(I34)*(MAX($D$16,(M73)-(K34))))*(MAX($D$16,(M73)-(K34))),0.000001))^2)/(2*$I$5))-(((ABS(I73)/MAX(((F34)+(H34)*(MAX($D$16,(E73)-(J34))))*(MAX($D$16,(E73)-(J34))),0.000001))^2)/(2*$I$5))),$D$8*((((ABS(I73)/MAX(((F34)+(H34)*(MAX($D$16,(E73)-(J34))))*(MAX($D$16,(E73)-(J34))),0.000001))^2)/(2*$I$5))-(((ABS(I73)/MAX(((G34)+(I34)*(MAX($D$16,(M73)-(K34))))*(MAX($D$16,(M73)-(K34))),0.000001))^2)/(2*$I$5)))))+($D$10*(ABS((X34)-(W34))/90)*MAX(((ABS(I73)/MAX(((F34)+(H34)*(MAX($D$16,(E73)-(J34))))*(MAX($D$16,(E73)-(J34))),0.000001))^2)/(2*$I$5),((ABS(I73)/MAX(((G34)+(I34)*(MAX($D$16,(M73)-(K34))))*(MAX($D$16,(M73)-(K34))),0.000001))^2)/(2*$I$5)))+(0)-((ABS(I73)/MAX(((F34)+(H34)*(MAX($D$16,(E73)-(J34))))*(MAX($D$16,(E73)-(J34))),0.000001))^2)/(2*$I$5)</f>
        <v>635.5</v>
      </c>
      <c r="T73">
        <f>N73+((ABS(J73)/MAX(((G35)+(I35)*(MAX($D$16,(N73)-(K35))))*(MAX($D$16,(N73)-(K35))),0.000001))^2)/(2*$I$5)+((E35)*((((ABS(J73)*$D$6)/(MAX(((F35)+(H35)*(MAX($D$16,(E73)-(J35))))*(MAX($D$16,(E73)-(J35))),0.000001)*MAX(((((F35)+(H35)*(MAX($D$16,(E73)-(J35))))*(MAX($D$16,(E73)-(J35))))/MAX((F35)+2*(MAX($D$16,(E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E73)-(J35))))*(MAX($D$16,(E73)-(J35))),0.000001)),$D$9*((((ABS(J73)/MAX(((G35)+(I35)*(MAX($D$16,(N73)-(K35))))*(MAX($D$16,(N73)-(K35))),0.000001))^2)/(2*$I$5))-(((ABS(J73)/MAX(((F35)+(H35)*(MAX($D$16,(E73)-(J35))))*(MAX($D$16,(E73)-(J35))),0.000001))^2)/(2*$I$5))),$D$8*((((ABS(J73)/MAX(((F35)+(H35)*(MAX($D$16,(E73)-(J35))))*(MAX($D$16,(E73)-(J35))),0.000001))^2)/(2*$I$5))-(((ABS(J73)/MAX(((G35)+(I35)*(MAX($D$16,(N73)-(K35))))*(MAX($D$16,(N73)-(K35))),0.000001))^2)/(2*$I$5)))))+($D$10*(ABS((X35)-(W35))/90)*MAX(((ABS(J73)/MAX(((F35)+(H35)*(MAX($D$16,(E73)-(J35))))*(MAX($D$16,(E73)-(J35))),0.000001))^2)/(2*$I$5),((ABS(J73)/MAX(((G35)+(I35)*(MAX($D$16,(N73)-(K35))))*(MAX($D$16,(N73)-(K35))),0.000001))^2)/(2*$I$5)))+(($D$11*0.34699541*(ABS(I73)/MAX(ABS(G73),0.000001))^2*MAX(((ABS(J73)/MAX(((F35)+(H35)*(MAX($D$16,(E73)-(J35))))*(MAX($D$16,(E73)-(J35))),0.000001))^2)/(2*$I$5),((ABS(J73)/MAX(((G35)+(I35)*(MAX($D$16,(N73)-(K35))))*(MAX($D$16,(N73)-(K35))),0.000001))^2)/(2*$I$5))))-((ABS(J73)/MAX(((F35)+(H35)*(MAX($D$16,(E73)-(J35))))*(MAX($D$16,(E73)-(J35))),0.000001))^2)/(2*$I$5)</f>
        <v>22382.80587457701</v>
      </c>
      <c r="U73">
        <f>(((((F32)*(MAX($D$16,(D73)-(J32)))^2)/2+(H32)*(MAX($D$16,(D73)-(J32)))^3/3+(ABS(G73)^2)/($I$5*MAX(((F32)+(H32)*(MAX($D$16,(D73)-(J32))))*(MAX($D$16,(D73)-(J32))),0.000001)))*0.72785025)-((((F33)*(MAX($D$16,(D73)-(J33)))^2)/2+(H33)*(MAX($D$16,(D73)-(J33)))^3/3+(ABS(H73)^2)/($I$5*MAX(((F33)+(H33)*(MAX($D$16,(D73)-(J33))))*(MAX($D$16,(D73)-(J33))),0.000001)))*0.99999971))/MAX(((G31)*(MAX($D$16,(D73)-(K31)))^2)/2+(I31)*(MAX($D$16,(D73)-(K31)))^3/3+(ABS(F73)^2)/($I$5*MAX(((G31)+(I31)*(MAX($D$16,(D73)-(K31))))*(MAX($D$16,(D73)-(K31))),0.000001)),0.000001)</f>
        <v>-0.27214945999978885</v>
      </c>
      <c r="V73">
        <f>(((((F34)*(MAX($D$16,(E73)-(J34)))^2)/2+(H34)*(MAX($D$16,(E73)-(J34)))^3/3+(ABS(I73)^2)/($I$5*MAX(((F34)+(H34)*(MAX($D$16,(E73)-(J34))))*(MAX($D$16,(E73)-(J34))),0.000001)))*1)-((((F35)*(MAX($D$16,(E73)-(J35)))^2)/2+(H35)*(MAX($D$16,(E73)-(J35)))^3/3+(ABS(J73)^2)/($I$5*MAX(((F35)+(H35)*(MAX($D$16,(E73)-(J35))))*(MAX($D$16,(E73)-(J35))),0.000001)))*0.30600918))/MAX(((G32)*(MAX($D$16,(E73)-(K32)))^2)/2+(I32)*(MAX($D$16,(E73)-(K32)))^3/3+(ABS(G73)^2)/($I$5*MAX(((G32)+(I32)*(MAX($D$16,(E73)-(K32))))*(MAX($D$16,(E73)-(K32))),0.000001)),0.000001)</f>
        <v>-0.30598462674144999</v>
      </c>
      <c r="W73">
        <f>IF(N6="None",MAX(ABS(O73-D73),ABS(P73-D73)),MAX(ABS(O73-D73),ABS(P73-D73),ABS(Q73-D73)))</f>
        <v>38817.455830572057</v>
      </c>
      <c r="X73">
        <f>IF(AND(N7="None",N8="None"),ABS(R73-E73),IF(N8="None",MAX(ABS(R73-E73),ABS(S73-E73)),IF(N7="None",MAX(ABS(R73-E73),ABS(T73-E73)),MAX(ABS(R73-E73),ABS(S73-E73),ABS(T73-E73)))))</f>
        <v>38594.688764673134</v>
      </c>
      <c r="AA73">
        <f>D73+$D$13*(IF(N6="None",AVERAGE(O73:P73),AVERAGE(O73:Q73))-D73)</f>
        <v>39440.403747358701</v>
      </c>
      <c r="AB73">
        <f>E73+$D$13*(IF(AND(N7="None",N8="None"),R73,IF(N8="None",AVERAGE(R73:S73),IF(N7="None",AVERAGE(R73,T73),AVERAGE(R73:T73))))-E73)</f>
        <v>-7796.5626219110754</v>
      </c>
    </row>
    <row r="74" spans="1:28" x14ac:dyDescent="0.35">
      <c r="A74">
        <v>31</v>
      </c>
      <c r="B74">
        <f t="shared" si="3"/>
        <v>0</v>
      </c>
      <c r="C74">
        <f t="shared" si="4"/>
        <v>0</v>
      </c>
      <c r="D74">
        <f t="shared" si="5"/>
        <v>39440.403747358701</v>
      </c>
      <c r="E74">
        <f t="shared" si="6"/>
        <v>-7796.5626219110754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>IF(AND(N7="None",N8="None"),0,IF(N8="None",G74,IF(N7="None",0,MAX(0,G74*C74))))</f>
        <v>0</v>
      </c>
      <c r="J74">
        <f>IF(AND(N7="None",N8="None"),0,IF(N8="None",0,IF(N7="None",G74,MAX(0,G74-I74))))</f>
        <v>51</v>
      </c>
      <c r="K74">
        <f>P5</f>
        <v>637</v>
      </c>
      <c r="L74">
        <f>P6</f>
        <v>637</v>
      </c>
      <c r="M74">
        <f>P7</f>
        <v>635.5</v>
      </c>
      <c r="N74">
        <f>P8</f>
        <v>631.54999999999995</v>
      </c>
      <c r="O74">
        <f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D74)-(K31))))*(MAX($D$16,(D74)-(K31))),0.000001)*MAX(((((G31)+(I31)*(MAX($D$16,(D74)-(K31))))*(MAX($D$16,(D74)-(K31))))/MAX((G31)+2*(MAX($D$16,(D74)-(K31)))*SQRT(1+(I31)^2),0.000001))^(2/3),0.000001)))^2))/2)+(IF((ABS(F74)/MAX(((G31)+(I31)*(MAX($D$16,(D74)-(K31))))*(MAX($D$16,(D74)-(K31))),0.000001))&gt;(ABS(F74)/MAX(((F31)+(H31)*(MAX($D$16,(K74)-(J31))))*(MAX($D$16,(K74)-(J31))),0.000001)),$D$9*((((ABS(F74)/MAX(((G31)+(I31)*(MAX($D$16,(D74)-(K31))))*(MAX($D$16,(D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D74)-(K31))))*(MAX($D$16,(D74)-(K31))),0.000001))^2)/(2*$I$5)))))+($D$10*(ABS((X31)-(W31))/90)*MAX(((ABS(F74)/MAX(((F31)+(H31)*(MAX($D$16,(K74)-(J31))))*(MAX($D$16,(K74)-(J31))),0.000001))^2)/(2*$I$5),((ABS(F74)/MAX(((G31)+(I31)*(MAX($D$16,(D74)-(K31))))*(MAX($D$16,(D74)-(K31))),0.000001))^2)/(2*$I$5)))+(0)-((ABS(F74)/MAX(((G31)+(I31)*(MAX($D$16,(D74)-(K31))))*(MAX($D$16,(D74)-(K31))),0.000001))^2)/(2*$I$5)</f>
        <v>637.65825100972643</v>
      </c>
      <c r="P74">
        <f>E74+((ABS(G74)/MAX(((G32)+(I32)*(MAX($D$16,(E74)-(K32))))*(MAX($D$16,(E74)-(K32))),0.000001))^2)/(2*$I$5)+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F32)+(H32)*(MAX($D$16,(D74)-(J32))))*(MAX($D$16,(D74)-(J32))),0.000001))^2)/(2*$I$5)</f>
        <v>78257.286953484698</v>
      </c>
      <c r="Q74">
        <f>L74+((ABS(H74)/MAX(((G33)+(I33)*(MAX($D$16,(L74)-(K33))))*(MAX($D$16,(L74)-(K33))),0.000001))^2)/(2*$I$5)+((E33)*((((ABS(H74)*$D$6)/(MAX(((F33)+(H33)*(MAX($D$16,(D74)-(J33))))*(MAX($D$16,(D74)-(J33))),0.000001)*MAX(((((F33)+(H33)*(MAX($D$16,(D74)-(J33))))*(MAX($D$16,(D74)-(J33))))/MAX((F33)+2*(MAX($D$16,(D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D74)-(J33))))*(MAX($D$16,(D74)-(J33))),0.000001)),$D$9*((((ABS(H74)/MAX(((G33)+(I33)*(MAX($D$16,(L74)-(K33))))*(MAX($D$16,(L74)-(K33))),0.000001))^2)/(2*$I$5))-(((ABS(H74)/MAX(((F33)+(H33)*(MAX($D$16,(D74)-(J33))))*(MAX($D$16,(D74)-(J33))),0.000001))^2)/(2*$I$5))),$D$8*((((ABS(H74)/MAX(((F33)+(H33)*(MAX($D$16,(D74)-(J33))))*(MAX($D$16,(D74)-(J33))),0.000001))^2)/(2*$I$5))-(((ABS(H74)/MAX(((G33)+(I33)*(MAX($D$16,(L74)-(K33))))*(MAX($D$16,(L74)-(K33))),0.000001))^2)/(2*$I$5)))))+($D$10*(ABS((X33)-(W33))/90)*MAX(((ABS(H74)/MAX(((F33)+(H33)*(MAX($D$16,(D74)-(J33))))*(MAX($D$16,(D74)-(J33))),0.000001))^2)/(2*$I$5),((ABS(H74)/MAX(((G33)+(I33)*(MAX($D$16,(L74)-(K33))))*(MAX($D$16,(L74)-(K33))),0.000001))^2)/(2*$I$5)))+(($D$11*0.00000015*(ABS(G74)/MAX(ABS(F74),0.000001))^2*MAX(((ABS(H74)/MAX(((F33)+(H33)*(MAX($D$16,(D74)-(J33))))*(MAX($D$16,(D74)-(J33))),0.000001))^2)/(2*$I$5),((ABS(H74)/MAX(((G33)+(I33)*(MAX($D$16,(L74)-(K33))))*(MAX($D$16,(L74)-(K33))),0.000001))^2)/(2*$I$5))))-((ABS(H74)/MAX(((F33)+(H33)*(MAX($D$16,(D74)-(J33))))*(MAX($D$16,(D74)-(J33))),0.000001))^2)/(2*$I$5)</f>
        <v>637</v>
      </c>
      <c r="R74">
        <f>D74+((ABS(G74)/MAX(((F32)+(H32)*(MAX($D$16,(D74)-(J32))))*(MAX($D$16,(D74)-(J32))),0.000001))^2)/(2*$I$5)-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G32)+(I32)*(MAX($D$16,(E74)-(K32))))*(MAX($D$16,(E74)-(K32))),0.000001))^2)/(2*$I$5)</f>
        <v>-46390.678762138152</v>
      </c>
      <c r="S74">
        <f>M74+((ABS(I74)/MAX(((G34)+(I34)*(MAX($D$16,(M74)-(K34))))*(MAX($D$16,(M74)-(K34))),0.000001))^2)/(2*$I$5)+((E34)*((((ABS(I74)*$D$6)/(MAX(((F34)+(H34)*(MAX($D$16,(E74)-(J34))))*(MAX($D$16,(E74)-(J34))),0.000001)*MAX(((((F34)+(H34)*(MAX($D$16,(E74)-(J34))))*(MAX($D$16,(E74)-(J34))))/MAX((F34)+2*(MAX($D$16,(E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E74)-(J34))))*(MAX($D$16,(E74)-(J34))),0.000001)),$D$9*((((ABS(I74)/MAX(((G34)+(I34)*(MAX($D$16,(M74)-(K34))))*(MAX($D$16,(M74)-(K34))),0.000001))^2)/(2*$I$5))-(((ABS(I74)/MAX(((F34)+(H34)*(MAX($D$16,(E74)-(J34))))*(MAX($D$16,(E74)-(J34))),0.000001))^2)/(2*$I$5))),$D$8*((((ABS(I74)/MAX(((F34)+(H34)*(MAX($D$16,(E74)-(J34))))*(MAX($D$16,(E74)-(J34))),0.000001))^2)/(2*$I$5))-(((ABS(I74)/MAX(((G34)+(I34)*(MAX($D$16,(M74)-(K34))))*(MAX($D$16,(M74)-(K34))),0.000001))^2)/(2*$I$5)))))+($D$10*(ABS((X34)-(W34))/90)*MAX(((ABS(I74)/MAX(((F34)+(H34)*(MAX($D$16,(E74)-(J34))))*(MAX($D$16,(E74)-(J34))),0.000001))^2)/(2*$I$5),((ABS(I74)/MAX(((G34)+(I34)*(MAX($D$16,(M74)-(K34))))*(MAX($D$16,(M74)-(K34))),0.000001))^2)/(2*$I$5)))+(0)-((ABS(I74)/MAX(((F34)+(H34)*(MAX($D$16,(E74)-(J34))))*(MAX($D$16,(E74)-(J34))),0.000001))^2)/(2*$I$5)</f>
        <v>635.5</v>
      </c>
      <c r="T74">
        <f>N74+((ABS(J74)/MAX(((G35)+(I35)*(MAX($D$16,(N74)-(K35))))*(MAX($D$16,(N74)-(K35))),0.000001))^2)/(2*$I$5)+((E35)*((((ABS(J74)*$D$6)/(MAX(((F35)+(H35)*(MAX($D$16,(E74)-(J35))))*(MAX($D$16,(E74)-(J35))),0.000001)*MAX(((((F35)+(H35)*(MAX($D$16,(E74)-(J35))))*(MAX($D$16,(E74)-(J35))))/MAX((F35)+2*(MAX($D$16,(E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E74)-(J35))))*(MAX($D$16,(E74)-(J35))),0.000001)),$D$9*((((ABS(J74)/MAX(((G35)+(I35)*(MAX($D$16,(N74)-(K35))))*(MAX($D$16,(N74)-(K35))),0.000001))^2)/(2*$I$5))-(((ABS(J74)/MAX(((F35)+(H35)*(MAX($D$16,(E74)-(J35))))*(MAX($D$16,(E74)-(J35))),0.000001))^2)/(2*$I$5))),$D$8*((((ABS(J74)/MAX(((F35)+(H35)*(MAX($D$16,(E74)-(J35))))*(MAX($D$16,(E74)-(J35))),0.000001))^2)/(2*$I$5))-(((ABS(J74)/MAX(((G35)+(I35)*(MAX($D$16,(N74)-(K35))))*(MAX($D$16,(N74)-(K35))),0.000001))^2)/(2*$I$5)))))+($D$10*(ABS((X35)-(W35))/90)*MAX(((ABS(J74)/MAX(((F35)+(H35)*(MAX($D$16,(E74)-(J35))))*(MAX($D$16,(E74)-(J35))),0.000001))^2)/(2*$I$5),((ABS(J74)/MAX(((G35)+(I35)*(MAX($D$16,(N74)-(K35))))*(MAX($D$16,(N74)-(K35))),0.000001))^2)/(2*$I$5)))+(($D$11*0.34699541*(ABS(I74)/MAX(ABS(G74),0.000001))^2*MAX(((ABS(J74)/MAX(((F35)+(H35)*(MAX($D$16,(E74)-(J35))))*(MAX($D$16,(E74)-(J35))),0.000001))^2)/(2*$I$5),((ABS(J74)/MAX(((G35)+(I35)*(MAX($D$16,(N74)-(K35))))*(MAX($D$16,(N74)-(K35))),0.000001))^2)/(2*$I$5))))-((ABS(J74)/MAX(((F35)+(H35)*(MAX($D$16,(E74)-(J35))))*(MAX($D$16,(E74)-(J35))),0.000001))^2)/(2*$I$5)</f>
        <v>22382.80587457701</v>
      </c>
      <c r="U74">
        <f>(((((F32)*(MAX($D$16,(D74)-(J32)))^2)/2+(H32)*(MAX($D$16,(D74)-(J32)))^3/3+(ABS(G74)^2)/($I$5*MAX(((F32)+(H32)*(MAX($D$16,(D74)-(J32))))*(MAX($D$16,(D74)-(J32))),0.000001)))*0.72785025)-((((F33)*(MAX($D$16,(D74)-(J33)))^2)/2+(H33)*(MAX($D$16,(D74)-(J33)))^3/3+(ABS(H74)^2)/($I$5*MAX(((F33)+(H33)*(MAX($D$16,(D74)-(J33))))*(MAX($D$16,(D74)-(J33))),0.000001)))*0.99999971))/MAX(((G31)*(MAX($D$16,(D74)-(K31)))^2)/2+(I31)*(MAX($D$16,(D74)-(K31)))^3/3+(ABS(F74)^2)/($I$5*MAX(((G31)+(I31)*(MAX($D$16,(D74)-(K31))))*(MAX($D$16,(D74)-(K31))),0.000001)),0.000001)</f>
        <v>-0.27214945999978901</v>
      </c>
      <c r="V74">
        <f>(((((F34)*(MAX($D$16,(E74)-(J34)))^2)/2+(H34)*(MAX($D$16,(E74)-(J34)))^3/3+(ABS(I74)^2)/($I$5*MAX(((F34)+(H34)*(MAX($D$16,(E74)-(J34))))*(MAX($D$16,(E74)-(J34))),0.000001)))*1)-((((F35)*(MAX($D$16,(E74)-(J35)))^2)/2+(H35)*(MAX($D$16,(E74)-(J35)))^3/3+(ABS(J74)^2)/($I$5*MAX(((F35)+(H35)*(MAX($D$16,(E74)-(J35))))*(MAX($D$16,(E74)-(J35))),0.000001)))*0.30600918))/MAX(((G32)*(MAX($D$16,(E74)-(K32)))^2)/2+(I32)*(MAX($D$16,(E74)-(K32)))^3/3+(ABS(G74)^2)/($I$5*MAX(((G32)+(I32)*(MAX($D$16,(E74)-(K32))))*(MAX($D$16,(E74)-(K32))),0.000001)),0.000001)</f>
        <v>-0.30598462674144999</v>
      </c>
      <c r="W74">
        <f>IF(N6="None",MAX(ABS(O74-D74),ABS(P74-D74)),MAX(ABS(O74-D74),ABS(P74-D74),ABS(Q74-D74)))</f>
        <v>38816.883206125996</v>
      </c>
      <c r="X74">
        <f>IF(AND(N7="None",N8="None"),ABS(R74-E74),IF(N8="None",MAX(ABS(R74-E74),ABS(S74-E74)),IF(N7="None",MAX(ABS(R74-E74),ABS(T74-E74)),MAX(ABS(R74-E74),ABS(S74-E74),ABS(T74-E74)))))</f>
        <v>38594.116140227074</v>
      </c>
      <c r="AA74">
        <f>D74+$D$13*(IF(N6="None",AVERAGE(O74:P74),AVERAGE(O74:Q74))-D74)</f>
        <v>39442.877846569681</v>
      </c>
      <c r="AB74">
        <f>E74+$D$13*(IF(AND(N7="None",N8="None"),R74,IF(N8="None",AVERAGE(R74:S74),IF(N7="None",AVERAGE(R74,T74),AVERAGE(R74:T74))))-E74)</f>
        <v>-7794.5425411243323</v>
      </c>
    </row>
    <row r="75" spans="1:28" x14ac:dyDescent="0.35">
      <c r="A75">
        <v>32</v>
      </c>
      <c r="B75">
        <f t="shared" si="3"/>
        <v>0</v>
      </c>
      <c r="C75">
        <f t="shared" si="4"/>
        <v>0</v>
      </c>
      <c r="D75">
        <f t="shared" si="5"/>
        <v>39442.877846569681</v>
      </c>
      <c r="E75">
        <f t="shared" si="6"/>
        <v>-7794.5425411243323</v>
      </c>
      <c r="F75">
        <f t="shared" ref="F75:F106" si="7">$D$5</f>
        <v>51</v>
      </c>
      <c r="G75">
        <f>IF(N6="None",F75,MAX(0,F75*B75))</f>
        <v>51</v>
      </c>
      <c r="H75">
        <f>IF(N6="None",0,MAX(0,F75-G75))</f>
        <v>0</v>
      </c>
      <c r="I75">
        <f>IF(AND(N7="None",N8="None"),0,IF(N8="None",G75,IF(N7="None",0,MAX(0,G75*C75))))</f>
        <v>0</v>
      </c>
      <c r="J75">
        <f>IF(AND(N7="None",N8="None"),0,IF(N8="None",0,IF(N7="None",G75,MAX(0,G75-I75))))</f>
        <v>51</v>
      </c>
      <c r="K75">
        <f>P5</f>
        <v>637</v>
      </c>
      <c r="L75">
        <f>P6</f>
        <v>637</v>
      </c>
      <c r="M75">
        <f>P7</f>
        <v>635.5</v>
      </c>
      <c r="N75">
        <f>P8</f>
        <v>631.54999999999995</v>
      </c>
      <c r="O75">
        <f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D75)-(K31))))*(MAX($D$16,(D75)-(K31))),0.000001)*MAX(((((G31)+(I31)*(MAX($D$16,(D75)-(K31))))*(MAX($D$16,(D75)-(K31))))/MAX((G31)+2*(MAX($D$16,(D75)-(K31)))*SQRT(1+(I31)^2),0.000001))^(2/3),0.000001)))^2))/2)+(IF((ABS(F75)/MAX(((G31)+(I31)*(MAX($D$16,(D75)-(K31))))*(MAX($D$16,(D75)-(K31))),0.000001))&gt;(ABS(F75)/MAX(((F31)+(H31)*(MAX($D$16,(K75)-(J31))))*(MAX($D$16,(K75)-(J31))),0.000001)),$D$9*((((ABS(F75)/MAX(((G31)+(I31)*(MAX($D$16,(D75)-(K31))))*(MAX($D$16,(D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D75)-(K31))))*(MAX($D$16,(D75)-(K31))),0.000001))^2)/(2*$I$5)))))+($D$10*(ABS((X31)-(W31))/90)*MAX(((ABS(F75)/MAX(((F31)+(H31)*(MAX($D$16,(K75)-(J31))))*(MAX($D$16,(K75)-(J31))),0.000001))^2)/(2*$I$5),((ABS(F75)/MAX(((G31)+(I31)*(MAX($D$16,(D75)-(K31))))*(MAX($D$16,(D75)-(K31))),0.000001))^2)/(2*$I$5)))+(0)-((ABS(F75)/MAX(((G31)+(I31)*(MAX($D$16,(D75)-(K31))))*(MAX($D$16,(D75)-(K31))),0.000001))^2)/(2*$I$5)</f>
        <v>637.65825100972677</v>
      </c>
      <c r="P75">
        <f>E75+((ABS(G75)/MAX(((G32)+(I32)*(MAX($D$16,(E75)-(K32))))*(MAX($D$16,(E75)-(K32))),0.000001))^2)/(2*$I$5)+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F32)+(H32)*(MAX($D$16,(D75)-(J32))))*(MAX($D$16,(D75)-(J32))),0.000001))^2)/(2*$I$5)</f>
        <v>78259.307034271464</v>
      </c>
      <c r="Q75">
        <f>L75+((ABS(H75)/MAX(((G33)+(I33)*(MAX($D$16,(L75)-(K33))))*(MAX($D$16,(L75)-(K33))),0.000001))^2)/(2*$I$5)+((E33)*((((ABS(H75)*$D$6)/(MAX(((F33)+(H33)*(MAX($D$16,(D75)-(J33))))*(MAX($D$16,(D75)-(J33))),0.000001)*MAX(((((F33)+(H33)*(MAX($D$16,(D75)-(J33))))*(MAX($D$16,(D75)-(J33))))/MAX((F33)+2*(MAX($D$16,(D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D75)-(J33))))*(MAX($D$16,(D75)-(J33))),0.000001)),$D$9*((((ABS(H75)/MAX(((G33)+(I33)*(MAX($D$16,(L75)-(K33))))*(MAX($D$16,(L75)-(K33))),0.000001))^2)/(2*$I$5))-(((ABS(H75)/MAX(((F33)+(H33)*(MAX($D$16,(D75)-(J33))))*(MAX($D$16,(D75)-(J33))),0.000001))^2)/(2*$I$5))),$D$8*((((ABS(H75)/MAX(((F33)+(H33)*(MAX($D$16,(D75)-(J33))))*(MAX($D$16,(D75)-(J33))),0.000001))^2)/(2*$I$5))-(((ABS(H75)/MAX(((G33)+(I33)*(MAX($D$16,(L75)-(K33))))*(MAX($D$16,(L75)-(K33))),0.000001))^2)/(2*$I$5)))))+($D$10*(ABS((X33)-(W33))/90)*MAX(((ABS(H75)/MAX(((F33)+(H33)*(MAX($D$16,(D75)-(J33))))*(MAX($D$16,(D75)-(J33))),0.000001))^2)/(2*$I$5),((ABS(H75)/MAX(((G33)+(I33)*(MAX($D$16,(L75)-(K33))))*(MAX($D$16,(L75)-(K33))),0.000001))^2)/(2*$I$5)))+(($D$11*0.00000015*(ABS(G75)/MAX(ABS(F75),0.000001))^2*MAX(((ABS(H75)/MAX(((F33)+(H33)*(MAX($D$16,(D75)-(J33))))*(MAX($D$16,(D75)-(J33))),0.000001))^2)/(2*$I$5),((ABS(H75)/MAX(((G33)+(I33)*(MAX($D$16,(L75)-(K33))))*(MAX($D$16,(L75)-(K33))),0.000001))^2)/(2*$I$5))))-((ABS(H75)/MAX(((F33)+(H33)*(MAX($D$16,(D75)-(J33))))*(MAX($D$16,(D75)-(J33))),0.000001))^2)/(2*$I$5)</f>
        <v>637</v>
      </c>
      <c r="R75">
        <f>D75+((ABS(G75)/MAX(((F32)+(H32)*(MAX($D$16,(D75)-(J32))))*(MAX($D$16,(D75)-(J32))),0.000001))^2)/(2*$I$5)-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G32)+(I32)*(MAX($D$16,(E75)-(K32))))*(MAX($D$16,(E75)-(K32))),0.000001))^2)/(2*$I$5)</f>
        <v>-46388.204662927172</v>
      </c>
      <c r="S75">
        <f>M75+((ABS(I75)/MAX(((G34)+(I34)*(MAX($D$16,(M75)-(K34))))*(MAX($D$16,(M75)-(K34))),0.000001))^2)/(2*$I$5)+((E34)*((((ABS(I75)*$D$6)/(MAX(((F34)+(H34)*(MAX($D$16,(E75)-(J34))))*(MAX($D$16,(E75)-(J34))),0.000001)*MAX(((((F34)+(H34)*(MAX($D$16,(E75)-(J34))))*(MAX($D$16,(E75)-(J34))))/MAX((F34)+2*(MAX($D$16,(E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E75)-(J34))))*(MAX($D$16,(E75)-(J34))),0.000001)),$D$9*((((ABS(I75)/MAX(((G34)+(I34)*(MAX($D$16,(M75)-(K34))))*(MAX($D$16,(M75)-(K34))),0.000001))^2)/(2*$I$5))-(((ABS(I75)/MAX(((F34)+(H34)*(MAX($D$16,(E75)-(J34))))*(MAX($D$16,(E75)-(J34))),0.000001))^2)/(2*$I$5))),$D$8*((((ABS(I75)/MAX(((F34)+(H34)*(MAX($D$16,(E75)-(J34))))*(MAX($D$16,(E75)-(J34))),0.000001))^2)/(2*$I$5))-(((ABS(I75)/MAX(((G34)+(I34)*(MAX($D$16,(M75)-(K34))))*(MAX($D$16,(M75)-(K34))),0.000001))^2)/(2*$I$5)))))+($D$10*(ABS((X34)-(W34))/90)*MAX(((ABS(I75)/MAX(((F34)+(H34)*(MAX($D$16,(E75)-(J34))))*(MAX($D$16,(E75)-(J34))),0.000001))^2)/(2*$I$5),((ABS(I75)/MAX(((G34)+(I34)*(MAX($D$16,(M75)-(K34))))*(MAX($D$16,(M75)-(K34))),0.000001))^2)/(2*$I$5)))+(0)-((ABS(I75)/MAX(((F34)+(H34)*(MAX($D$16,(E75)-(J34))))*(MAX($D$16,(E75)-(J34))),0.000001))^2)/(2*$I$5)</f>
        <v>635.5</v>
      </c>
      <c r="T75">
        <f>N75+((ABS(J75)/MAX(((G35)+(I35)*(MAX($D$16,(N75)-(K35))))*(MAX($D$16,(N75)-(K35))),0.000001))^2)/(2*$I$5)+((E35)*((((ABS(J75)*$D$6)/(MAX(((F35)+(H35)*(MAX($D$16,(E75)-(J35))))*(MAX($D$16,(E75)-(J35))),0.000001)*MAX(((((F35)+(H35)*(MAX($D$16,(E75)-(J35))))*(MAX($D$16,(E75)-(J35))))/MAX((F35)+2*(MAX($D$16,(E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E75)-(J35))))*(MAX($D$16,(E75)-(J35))),0.000001)),$D$9*((((ABS(J75)/MAX(((G35)+(I35)*(MAX($D$16,(N75)-(K35))))*(MAX($D$16,(N75)-(K35))),0.000001))^2)/(2*$I$5))-(((ABS(J75)/MAX(((F35)+(H35)*(MAX($D$16,(E75)-(J35))))*(MAX($D$16,(E75)-(J35))),0.000001))^2)/(2*$I$5))),$D$8*((((ABS(J75)/MAX(((F35)+(H35)*(MAX($D$16,(E75)-(J35))))*(MAX($D$16,(E75)-(J35))),0.000001))^2)/(2*$I$5))-(((ABS(J75)/MAX(((G35)+(I35)*(MAX($D$16,(N75)-(K35))))*(MAX($D$16,(N75)-(K35))),0.000001))^2)/(2*$I$5)))))+($D$10*(ABS((X35)-(W35))/90)*MAX(((ABS(J75)/MAX(((F35)+(H35)*(MAX($D$16,(E75)-(J35))))*(MAX($D$16,(E75)-(J35))),0.000001))^2)/(2*$I$5),((ABS(J75)/MAX(((G35)+(I35)*(MAX($D$16,(N75)-(K35))))*(MAX($D$16,(N75)-(K35))),0.000001))^2)/(2*$I$5)))+(($D$11*0.34699541*(ABS(I75)/MAX(ABS(G75),0.000001))^2*MAX(((ABS(J75)/MAX(((F35)+(H35)*(MAX($D$16,(E75)-(J35))))*(MAX($D$16,(E75)-(J35))),0.000001))^2)/(2*$I$5),((ABS(J75)/MAX(((G35)+(I35)*(MAX($D$16,(N75)-(K35))))*(MAX($D$16,(N75)-(K35))),0.000001))^2)/(2*$I$5))))-((ABS(J75)/MAX(((F35)+(H35)*(MAX($D$16,(E75)-(J35))))*(MAX($D$16,(E75)-(J35))),0.000001))^2)/(2*$I$5)</f>
        <v>22382.80587457701</v>
      </c>
      <c r="U75">
        <f>(((((F32)*(MAX($D$16,(D75)-(J32)))^2)/2+(H32)*(MAX($D$16,(D75)-(J32)))^3/3+(ABS(G75)^2)/($I$5*MAX(((F32)+(H32)*(MAX($D$16,(D75)-(J32))))*(MAX($D$16,(D75)-(J32))),0.000001)))*0.72785025)-((((F33)*(MAX($D$16,(D75)-(J33)))^2)/2+(H33)*(MAX($D$16,(D75)-(J33)))^3/3+(ABS(H75)^2)/($I$5*MAX(((F33)+(H33)*(MAX($D$16,(D75)-(J33))))*(MAX($D$16,(D75)-(J33))),0.000001)))*0.99999971))/MAX(((G31)*(MAX($D$16,(D75)-(K31)))^2)/2+(I31)*(MAX($D$16,(D75)-(K31)))^3/3+(ABS(F75)^2)/($I$5*MAX(((G31)+(I31)*(MAX($D$16,(D75)-(K31))))*(MAX($D$16,(D75)-(K31))),0.000001)),0.000001)</f>
        <v>-0.27214945999978896</v>
      </c>
      <c r="V75">
        <f>(((((F34)*(MAX($D$16,(E75)-(J34)))^2)/2+(H34)*(MAX($D$16,(E75)-(J34)))^3/3+(ABS(I75)^2)/($I$5*MAX(((F34)+(H34)*(MAX($D$16,(E75)-(J34))))*(MAX($D$16,(E75)-(J34))),0.000001)))*1)-((((F35)*(MAX($D$16,(E75)-(J35)))^2)/2+(H35)*(MAX($D$16,(E75)-(J35)))^3/3+(ABS(J75)^2)/($I$5*MAX(((F35)+(H35)*(MAX($D$16,(E75)-(J35))))*(MAX($D$16,(E75)-(J35))),0.000001)))*0.30600918))/MAX(((G32)*(MAX($D$16,(E75)-(K32)))^2)/2+(I32)*(MAX($D$16,(E75)-(K32)))^3/3+(ABS(G75)^2)/($I$5*MAX(((G32)+(I32)*(MAX($D$16,(E75)-(K32))))*(MAX($D$16,(E75)-(K32))),0.000001)),0.000001)</f>
        <v>-0.30598462674144999</v>
      </c>
      <c r="W75">
        <f>IF(N6="None",MAX(ABS(O75-D75),ABS(P75-D75)),MAX(ABS(O75-D75),ABS(P75-D75),ABS(Q75-D75)))</f>
        <v>38816.429187701782</v>
      </c>
      <c r="X75">
        <f>IF(AND(N7="None",N8="None"),ABS(R75-E75),IF(N8="None",MAX(ABS(R75-E75),ABS(S75-E75)),IF(N7="None",MAX(ABS(R75-E75),ABS(T75-E75)),MAX(ABS(R75-E75),ABS(S75-E75),ABS(T75-E75)))))</f>
        <v>38593.662121802838</v>
      </c>
      <c r="AA75">
        <f>D75+$D$13*(IF(N6="None",AVERAGE(O75:P75),AVERAGE(O75:Q75))-D75)</f>
        <v>39444.839525194504</v>
      </c>
      <c r="AB75">
        <f>E75+$D$13*(IF(AND(N7="None",N8="None"),R75,IF(N8="None",AVERAGE(R75:S75),IF(N7="None",AVERAGE(R75,T75),AVERAGE(R75:T75))))-E75)</f>
        <v>-7792.9408437050015</v>
      </c>
    </row>
    <row r="76" spans="1:28" x14ac:dyDescent="0.35">
      <c r="A76">
        <v>33</v>
      </c>
      <c r="B76">
        <f t="shared" ref="B76:B107" si="8">Y75</f>
        <v>0</v>
      </c>
      <c r="C76">
        <f t="shared" ref="C76:C107" si="9">Z75</f>
        <v>0</v>
      </c>
      <c r="D76">
        <f t="shared" ref="D76:D107" si="10">AA75</f>
        <v>39444.839525194504</v>
      </c>
      <c r="E76">
        <f t="shared" ref="E76:E107" si="11">AB75</f>
        <v>-7792.9408437050015</v>
      </c>
      <c r="F76">
        <f t="shared" si="7"/>
        <v>51</v>
      </c>
      <c r="G76">
        <f>IF(N6="None",F76,MAX(0,F76*B76))</f>
        <v>51</v>
      </c>
      <c r="H76">
        <f>IF(N6="None",0,MAX(0,F76-G76))</f>
        <v>0</v>
      </c>
      <c r="I76">
        <f>IF(AND(N7="None",N8="None"),0,IF(N8="None",G76,IF(N7="None",0,MAX(0,G76*C76))))</f>
        <v>0</v>
      </c>
      <c r="J76">
        <f>IF(AND(N7="None",N8="None"),0,IF(N8="None",0,IF(N7="None",G76,MAX(0,G76-I76))))</f>
        <v>51</v>
      </c>
      <c r="K76">
        <f>P5</f>
        <v>637</v>
      </c>
      <c r="L76">
        <f>P6</f>
        <v>637</v>
      </c>
      <c r="M76">
        <f>P7</f>
        <v>635.5</v>
      </c>
      <c r="N76">
        <f>P8</f>
        <v>631.54999999999995</v>
      </c>
      <c r="O76">
        <f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D76)-(K31))))*(MAX($D$16,(D76)-(K31))),0.000001)*MAX(((((G31)+(I31)*(MAX($D$16,(D76)-(K31))))*(MAX($D$16,(D76)-(K31))))/MAX((G31)+2*(MAX($D$16,(D76)-(K31)))*SQRT(1+(I31)^2),0.000001))^(2/3),0.000001)))^2))/2)+(IF((ABS(F76)/MAX(((G31)+(I31)*(MAX($D$16,(D76)-(K31))))*(MAX($D$16,(D76)-(K31))),0.000001))&gt;(ABS(F76)/MAX(((F31)+(H31)*(MAX($D$16,(K76)-(J31))))*(MAX($D$16,(K76)-(J31))),0.000001)),$D$9*((((ABS(F76)/MAX(((G31)+(I31)*(MAX($D$16,(D76)-(K31))))*(MAX($D$16,(D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D76)-(K31))))*(MAX($D$16,(D76)-(K31))),0.000001))^2)/(2*$I$5)))))+($D$10*(ABS((X31)-(W31))/90)*MAX(((ABS(F76)/MAX(((F31)+(H31)*(MAX($D$16,(K76)-(J31))))*(MAX($D$16,(K76)-(J31))),0.000001))^2)/(2*$I$5),((ABS(F76)/MAX(((G31)+(I31)*(MAX($D$16,(D76)-(K31))))*(MAX($D$16,(D76)-(K31))),0.000001))^2)/(2*$I$5)))+(0)-((ABS(F76)/MAX(((G31)+(I31)*(MAX($D$16,(D76)-(K31))))*(MAX($D$16,(D76)-(K31))),0.000001))^2)/(2*$I$5)</f>
        <v>637.658251009727</v>
      </c>
      <c r="P76">
        <f>E76+((ABS(G76)/MAX(((G32)+(I32)*(MAX($D$16,(E76)-(K32))))*(MAX($D$16,(E76)-(K32))),0.000001))^2)/(2*$I$5)+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F32)+(H32)*(MAX($D$16,(D76)-(J32))))*(MAX($D$16,(D76)-(J32))),0.000001))^2)/(2*$I$5)</f>
        <v>78260.908731690797</v>
      </c>
      <c r="Q76">
        <f>L76+((ABS(H76)/MAX(((G33)+(I33)*(MAX($D$16,(L76)-(K33))))*(MAX($D$16,(L76)-(K33))),0.000001))^2)/(2*$I$5)+((E33)*((((ABS(H76)*$D$6)/(MAX(((F33)+(H33)*(MAX($D$16,(D76)-(J33))))*(MAX($D$16,(D76)-(J33))),0.000001)*MAX(((((F33)+(H33)*(MAX($D$16,(D76)-(J33))))*(MAX($D$16,(D76)-(J33))))/MAX((F33)+2*(MAX($D$16,(D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D76)-(J33))))*(MAX($D$16,(D76)-(J33))),0.000001)),$D$9*((((ABS(H76)/MAX(((G33)+(I33)*(MAX($D$16,(L76)-(K33))))*(MAX($D$16,(L76)-(K33))),0.000001))^2)/(2*$I$5))-(((ABS(H76)/MAX(((F33)+(H33)*(MAX($D$16,(D76)-(J33))))*(MAX($D$16,(D76)-(J33))),0.000001))^2)/(2*$I$5))),$D$8*((((ABS(H76)/MAX(((F33)+(H33)*(MAX($D$16,(D76)-(J33))))*(MAX($D$16,(D76)-(J33))),0.000001))^2)/(2*$I$5))-(((ABS(H76)/MAX(((G33)+(I33)*(MAX($D$16,(L76)-(K33))))*(MAX($D$16,(L76)-(K33))),0.000001))^2)/(2*$I$5)))))+($D$10*(ABS((X33)-(W33))/90)*MAX(((ABS(H76)/MAX(((F33)+(H33)*(MAX($D$16,(D76)-(J33))))*(MAX($D$16,(D76)-(J33))),0.000001))^2)/(2*$I$5),((ABS(H76)/MAX(((G33)+(I33)*(MAX($D$16,(L76)-(K33))))*(MAX($D$16,(L76)-(K33))),0.000001))^2)/(2*$I$5)))+(($D$11*0.00000015*(ABS(G76)/MAX(ABS(F76),0.000001))^2*MAX(((ABS(H76)/MAX(((F33)+(H33)*(MAX($D$16,(D76)-(J33))))*(MAX($D$16,(D76)-(J33))),0.000001))^2)/(2*$I$5),((ABS(H76)/MAX(((G33)+(I33)*(MAX($D$16,(L76)-(K33))))*(MAX($D$16,(L76)-(K33))),0.000001))^2)/(2*$I$5))))-((ABS(H76)/MAX(((F33)+(H33)*(MAX($D$16,(D76)-(J33))))*(MAX($D$16,(D76)-(J33))),0.000001))^2)/(2*$I$5)</f>
        <v>637</v>
      </c>
      <c r="R76">
        <f>D76+((ABS(G76)/MAX(((F32)+(H32)*(MAX($D$16,(D76)-(J32))))*(MAX($D$16,(D76)-(J32))),0.000001))^2)/(2*$I$5)-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G32)+(I32)*(MAX($D$16,(E76)-(K32))))*(MAX($D$16,(E76)-(K32))),0.000001))^2)/(2*$I$5)</f>
        <v>-46386.242984302349</v>
      </c>
      <c r="S76">
        <f>M76+((ABS(I76)/MAX(((G34)+(I34)*(MAX($D$16,(M76)-(K34))))*(MAX($D$16,(M76)-(K34))),0.000001))^2)/(2*$I$5)+((E34)*((((ABS(I76)*$D$6)/(MAX(((F34)+(H34)*(MAX($D$16,(E76)-(J34))))*(MAX($D$16,(E76)-(J34))),0.000001)*MAX(((((F34)+(H34)*(MAX($D$16,(E76)-(J34))))*(MAX($D$16,(E76)-(J34))))/MAX((F34)+2*(MAX($D$16,(E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E76)-(J34))))*(MAX($D$16,(E76)-(J34))),0.000001)),$D$9*((((ABS(I76)/MAX(((G34)+(I34)*(MAX($D$16,(M76)-(K34))))*(MAX($D$16,(M76)-(K34))),0.000001))^2)/(2*$I$5))-(((ABS(I76)/MAX(((F34)+(H34)*(MAX($D$16,(E76)-(J34))))*(MAX($D$16,(E76)-(J34))),0.000001))^2)/(2*$I$5))),$D$8*((((ABS(I76)/MAX(((F34)+(H34)*(MAX($D$16,(E76)-(J34))))*(MAX($D$16,(E76)-(J34))),0.000001))^2)/(2*$I$5))-(((ABS(I76)/MAX(((G34)+(I34)*(MAX($D$16,(M76)-(K34))))*(MAX($D$16,(M76)-(K34))),0.000001))^2)/(2*$I$5)))))+($D$10*(ABS((X34)-(W34))/90)*MAX(((ABS(I76)/MAX(((F34)+(H34)*(MAX($D$16,(E76)-(J34))))*(MAX($D$16,(E76)-(J34))),0.000001))^2)/(2*$I$5),((ABS(I76)/MAX(((G34)+(I34)*(MAX($D$16,(M76)-(K34))))*(MAX($D$16,(M76)-(K34))),0.000001))^2)/(2*$I$5)))+(0)-((ABS(I76)/MAX(((F34)+(H34)*(MAX($D$16,(E76)-(J34))))*(MAX($D$16,(E76)-(J34))),0.000001))^2)/(2*$I$5)</f>
        <v>635.5</v>
      </c>
      <c r="T76">
        <f>N76+((ABS(J76)/MAX(((G35)+(I35)*(MAX($D$16,(N76)-(K35))))*(MAX($D$16,(N76)-(K35))),0.000001))^2)/(2*$I$5)+((E35)*((((ABS(J76)*$D$6)/(MAX(((F35)+(H35)*(MAX($D$16,(E76)-(J35))))*(MAX($D$16,(E76)-(J35))),0.000001)*MAX(((((F35)+(H35)*(MAX($D$16,(E76)-(J35))))*(MAX($D$16,(E76)-(J35))))/MAX((F35)+2*(MAX($D$16,(E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E76)-(J35))))*(MAX($D$16,(E76)-(J35))),0.000001)),$D$9*((((ABS(J76)/MAX(((G35)+(I35)*(MAX($D$16,(N76)-(K35))))*(MAX($D$16,(N76)-(K35))),0.000001))^2)/(2*$I$5))-(((ABS(J76)/MAX(((F35)+(H35)*(MAX($D$16,(E76)-(J35))))*(MAX($D$16,(E76)-(J35))),0.000001))^2)/(2*$I$5))),$D$8*((((ABS(J76)/MAX(((F35)+(H35)*(MAX($D$16,(E76)-(J35))))*(MAX($D$16,(E76)-(J35))),0.000001))^2)/(2*$I$5))-(((ABS(J76)/MAX(((G35)+(I35)*(MAX($D$16,(N76)-(K35))))*(MAX($D$16,(N76)-(K35))),0.000001))^2)/(2*$I$5)))))+($D$10*(ABS((X35)-(W35))/90)*MAX(((ABS(J76)/MAX(((F35)+(H35)*(MAX($D$16,(E76)-(J35))))*(MAX($D$16,(E76)-(J35))),0.000001))^2)/(2*$I$5),((ABS(J76)/MAX(((G35)+(I35)*(MAX($D$16,(N76)-(K35))))*(MAX($D$16,(N76)-(K35))),0.000001))^2)/(2*$I$5)))+(($D$11*0.34699541*(ABS(I76)/MAX(ABS(G76),0.000001))^2*MAX(((ABS(J76)/MAX(((F35)+(H35)*(MAX($D$16,(E76)-(J35))))*(MAX($D$16,(E76)-(J35))),0.000001))^2)/(2*$I$5),((ABS(J76)/MAX(((G35)+(I35)*(MAX($D$16,(N76)-(K35))))*(MAX($D$16,(N76)-(K35))),0.000001))^2)/(2*$I$5))))-((ABS(J76)/MAX(((F35)+(H35)*(MAX($D$16,(E76)-(J35))))*(MAX($D$16,(E76)-(J35))),0.000001))^2)/(2*$I$5)</f>
        <v>22382.80587457701</v>
      </c>
      <c r="U76">
        <f>(((((F32)*(MAX($D$16,(D76)-(J32)))^2)/2+(H32)*(MAX($D$16,(D76)-(J32)))^3/3+(ABS(G76)^2)/($I$5*MAX(((F32)+(H32)*(MAX($D$16,(D76)-(J32))))*(MAX($D$16,(D76)-(J32))),0.000001)))*0.72785025)-((((F33)*(MAX($D$16,(D76)-(J33)))^2)/2+(H33)*(MAX($D$16,(D76)-(J33)))^3/3+(ABS(H76)^2)/($I$5*MAX(((F33)+(H33)*(MAX($D$16,(D76)-(J33))))*(MAX($D$16,(D76)-(J33))),0.000001)))*0.99999971))/MAX(((G31)*(MAX($D$16,(D76)-(K31)))^2)/2+(I31)*(MAX($D$16,(D76)-(K31)))^3/3+(ABS(F76)^2)/($I$5*MAX(((G31)+(I31)*(MAX($D$16,(D76)-(K31))))*(MAX($D$16,(D76)-(K31))),0.000001)),0.000001)</f>
        <v>-0.27214945999978907</v>
      </c>
      <c r="V76">
        <f>(((((F34)*(MAX($D$16,(E76)-(J34)))^2)/2+(H34)*(MAX($D$16,(E76)-(J34)))^3/3+(ABS(I76)^2)/($I$5*MAX(((F34)+(H34)*(MAX($D$16,(E76)-(J34))))*(MAX($D$16,(E76)-(J34))),0.000001)))*1)-((((F35)*(MAX($D$16,(E76)-(J35)))^2)/2+(H35)*(MAX($D$16,(E76)-(J35)))^3/3+(ABS(J76)^2)/($I$5*MAX(((F35)+(H35)*(MAX($D$16,(E76)-(J35))))*(MAX($D$16,(E76)-(J35))),0.000001)))*0.30600918))/MAX(((G32)*(MAX($D$16,(E76)-(K32)))^2)/2+(I32)*(MAX($D$16,(E76)-(K32)))^3/3+(ABS(G76)^2)/($I$5*MAX(((G32)+(I32)*(MAX($D$16,(E76)-(K32))))*(MAX($D$16,(E76)-(K32))),0.000001)),0.000001)</f>
        <v>-0.30598462674144999</v>
      </c>
      <c r="W76">
        <f>IF(N6="None",MAX(ABS(O76-D76),ABS(P76-D76)),MAX(ABS(O76-D76),ABS(P76-D76),ABS(Q76-D76)))</f>
        <v>38816.069206496293</v>
      </c>
      <c r="X76">
        <f>IF(AND(N7="None",N8="None"),ABS(R76-E76),IF(N8="None",MAX(ABS(R76-E76),ABS(S76-E76)),IF(N7="None",MAX(ABS(R76-E76),ABS(T76-E76)),MAX(ABS(R76-E76),ABS(S76-E76),ABS(T76-E76)))))</f>
        <v>38593.302140597349</v>
      </c>
      <c r="AA76">
        <f>D76+$D$13*(IF(N6="None",AVERAGE(O76:P76),AVERAGE(O76:Q76))-D76)</f>
        <v>39446.394913349017</v>
      </c>
      <c r="AB76">
        <f>E76+$D$13*(IF(AND(N7="None",N8="None"),R76,IF(N8="None",AVERAGE(R76:S76),IF(N7="None",AVERAGE(R76,T76),AVERAGE(R76:T76))))-E76)</f>
        <v>-7791.6708778762068</v>
      </c>
    </row>
    <row r="77" spans="1:28" x14ac:dyDescent="0.35">
      <c r="A77">
        <v>34</v>
      </c>
      <c r="B77">
        <f t="shared" si="8"/>
        <v>0</v>
      </c>
      <c r="C77">
        <f t="shared" si="9"/>
        <v>0</v>
      </c>
      <c r="D77">
        <f t="shared" si="10"/>
        <v>39446.394913349017</v>
      </c>
      <c r="E77">
        <f t="shared" si="11"/>
        <v>-7791.6708778762068</v>
      </c>
      <c r="F77">
        <f t="shared" si="7"/>
        <v>51</v>
      </c>
      <c r="G77">
        <f>IF(N6="None",F77,MAX(0,F77*B77))</f>
        <v>51</v>
      </c>
      <c r="H77">
        <f>IF(N6="None",0,MAX(0,F77-G77))</f>
        <v>0</v>
      </c>
      <c r="I77">
        <f>IF(AND(N7="None",N8="None"),0,IF(N8="None",G77,IF(N7="None",0,MAX(0,G77*C77))))</f>
        <v>0</v>
      </c>
      <c r="J77">
        <f>IF(AND(N7="None",N8="None"),0,IF(N8="None",0,IF(N7="None",G77,MAX(0,G77-I77))))</f>
        <v>51</v>
      </c>
      <c r="K77">
        <f>P5</f>
        <v>637</v>
      </c>
      <c r="L77">
        <f>P6</f>
        <v>637</v>
      </c>
      <c r="M77">
        <f>P7</f>
        <v>635.5</v>
      </c>
      <c r="N77">
        <f>P8</f>
        <v>631.54999999999995</v>
      </c>
      <c r="O77">
        <f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D77)-(K31))))*(MAX($D$16,(D77)-(K31))),0.000001)*MAX(((((G31)+(I31)*(MAX($D$16,(D77)-(K31))))*(MAX($D$16,(D77)-(K31))))/MAX((G31)+2*(MAX($D$16,(D77)-(K31)))*SQRT(1+(I31)^2),0.000001))^(2/3),0.000001)))^2))/2)+(IF((ABS(F77)/MAX(((G31)+(I31)*(MAX($D$16,(D77)-(K31))))*(MAX($D$16,(D77)-(K31))),0.000001))&gt;(ABS(F77)/MAX(((F31)+(H31)*(MAX($D$16,(K77)-(J31))))*(MAX($D$16,(K77)-(J31))),0.000001)),$D$9*((((ABS(F77)/MAX(((G31)+(I31)*(MAX($D$16,(D77)-(K31))))*(MAX($D$16,(D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D77)-(K31))))*(MAX($D$16,(D77)-(K31))),0.000001))^2)/(2*$I$5)))))+($D$10*(ABS((X31)-(W31))/90)*MAX(((ABS(F77)/MAX(((F31)+(H31)*(MAX($D$16,(K77)-(J31))))*(MAX($D$16,(K77)-(J31))),0.000001))^2)/(2*$I$5),((ABS(F77)/MAX(((G31)+(I31)*(MAX($D$16,(D77)-(K31))))*(MAX($D$16,(D77)-(K31))),0.000001))^2)/(2*$I$5)))+(0)-((ABS(F77)/MAX(((G31)+(I31)*(MAX($D$16,(D77)-(K31))))*(MAX($D$16,(D77)-(K31))),0.000001))^2)/(2*$I$5)</f>
        <v>637.65825100972734</v>
      </c>
      <c r="P77">
        <f>E77+((ABS(G77)/MAX(((G32)+(I32)*(MAX($D$16,(E77)-(K32))))*(MAX($D$16,(E77)-(K32))),0.000001))^2)/(2*$I$5)+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F32)+(H32)*(MAX($D$16,(D77)-(J32))))*(MAX($D$16,(D77)-(J32))),0.000001))^2)/(2*$I$5)</f>
        <v>78262.178697519586</v>
      </c>
      <c r="Q77">
        <f>L77+((ABS(H77)/MAX(((G33)+(I33)*(MAX($D$16,(L77)-(K33))))*(MAX($D$16,(L77)-(K33))),0.000001))^2)/(2*$I$5)+((E33)*((((ABS(H77)*$D$6)/(MAX(((F33)+(H33)*(MAX($D$16,(D77)-(J33))))*(MAX($D$16,(D77)-(J33))),0.000001)*MAX(((((F33)+(H33)*(MAX($D$16,(D77)-(J33))))*(MAX($D$16,(D77)-(J33))))/MAX((F33)+2*(MAX($D$16,(D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D77)-(J33))))*(MAX($D$16,(D77)-(J33))),0.000001)),$D$9*((((ABS(H77)/MAX(((G33)+(I33)*(MAX($D$16,(L77)-(K33))))*(MAX($D$16,(L77)-(K33))),0.000001))^2)/(2*$I$5))-(((ABS(H77)/MAX(((F33)+(H33)*(MAX($D$16,(D77)-(J33))))*(MAX($D$16,(D77)-(J33))),0.000001))^2)/(2*$I$5))),$D$8*((((ABS(H77)/MAX(((F33)+(H33)*(MAX($D$16,(D77)-(J33))))*(MAX($D$16,(D77)-(J33))),0.000001))^2)/(2*$I$5))-(((ABS(H77)/MAX(((G33)+(I33)*(MAX($D$16,(L77)-(K33))))*(MAX($D$16,(L77)-(K33))),0.000001))^2)/(2*$I$5)))))+($D$10*(ABS((X33)-(W33))/90)*MAX(((ABS(H77)/MAX(((F33)+(H33)*(MAX($D$16,(D77)-(J33))))*(MAX($D$16,(D77)-(J33))),0.000001))^2)/(2*$I$5),((ABS(H77)/MAX(((G33)+(I33)*(MAX($D$16,(L77)-(K33))))*(MAX($D$16,(L77)-(K33))),0.000001))^2)/(2*$I$5)))+(($D$11*0.00000015*(ABS(G77)/MAX(ABS(F77),0.000001))^2*MAX(((ABS(H77)/MAX(((F33)+(H33)*(MAX($D$16,(D77)-(J33))))*(MAX($D$16,(D77)-(J33))),0.000001))^2)/(2*$I$5),((ABS(H77)/MAX(((G33)+(I33)*(MAX($D$16,(L77)-(K33))))*(MAX($D$16,(L77)-(K33))),0.000001))^2)/(2*$I$5))))-((ABS(H77)/MAX(((F33)+(H33)*(MAX($D$16,(D77)-(J33))))*(MAX($D$16,(D77)-(J33))),0.000001))^2)/(2*$I$5)</f>
        <v>637</v>
      </c>
      <c r="R77">
        <f>D77+((ABS(G77)/MAX(((F32)+(H32)*(MAX($D$16,(D77)-(J32))))*(MAX($D$16,(D77)-(J32))),0.000001))^2)/(2*$I$5)-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G32)+(I32)*(MAX($D$16,(E77)-(K32))))*(MAX($D$16,(E77)-(K32))),0.000001))^2)/(2*$I$5)</f>
        <v>-46384.687596147836</v>
      </c>
      <c r="S77">
        <f>M77+((ABS(I77)/MAX(((G34)+(I34)*(MAX($D$16,(M77)-(K34))))*(MAX($D$16,(M77)-(K34))),0.000001))^2)/(2*$I$5)+((E34)*((((ABS(I77)*$D$6)/(MAX(((F34)+(H34)*(MAX($D$16,(E77)-(J34))))*(MAX($D$16,(E77)-(J34))),0.000001)*MAX(((((F34)+(H34)*(MAX($D$16,(E77)-(J34))))*(MAX($D$16,(E77)-(J34))))/MAX((F34)+2*(MAX($D$16,(E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E77)-(J34))))*(MAX($D$16,(E77)-(J34))),0.000001)),$D$9*((((ABS(I77)/MAX(((G34)+(I34)*(MAX($D$16,(M77)-(K34))))*(MAX($D$16,(M77)-(K34))),0.000001))^2)/(2*$I$5))-(((ABS(I77)/MAX(((F34)+(H34)*(MAX($D$16,(E77)-(J34))))*(MAX($D$16,(E77)-(J34))),0.000001))^2)/(2*$I$5))),$D$8*((((ABS(I77)/MAX(((F34)+(H34)*(MAX($D$16,(E77)-(J34))))*(MAX($D$16,(E77)-(J34))),0.000001))^2)/(2*$I$5))-(((ABS(I77)/MAX(((G34)+(I34)*(MAX($D$16,(M77)-(K34))))*(MAX($D$16,(M77)-(K34))),0.000001))^2)/(2*$I$5)))))+($D$10*(ABS((X34)-(W34))/90)*MAX(((ABS(I77)/MAX(((F34)+(H34)*(MAX($D$16,(E77)-(J34))))*(MAX($D$16,(E77)-(J34))),0.000001))^2)/(2*$I$5),((ABS(I77)/MAX(((G34)+(I34)*(MAX($D$16,(M77)-(K34))))*(MAX($D$16,(M77)-(K34))),0.000001))^2)/(2*$I$5)))+(0)-((ABS(I77)/MAX(((F34)+(H34)*(MAX($D$16,(E77)-(J34))))*(MAX($D$16,(E77)-(J34))),0.000001))^2)/(2*$I$5)</f>
        <v>635.5</v>
      </c>
      <c r="T77">
        <f>N77+((ABS(J77)/MAX(((G35)+(I35)*(MAX($D$16,(N77)-(K35))))*(MAX($D$16,(N77)-(K35))),0.000001))^2)/(2*$I$5)+((E35)*((((ABS(J77)*$D$6)/(MAX(((F35)+(H35)*(MAX($D$16,(E77)-(J35))))*(MAX($D$16,(E77)-(J35))),0.000001)*MAX(((((F35)+(H35)*(MAX($D$16,(E77)-(J35))))*(MAX($D$16,(E77)-(J35))))/MAX((F35)+2*(MAX($D$16,(E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E77)-(J35))))*(MAX($D$16,(E77)-(J35))),0.000001)),$D$9*((((ABS(J77)/MAX(((G35)+(I35)*(MAX($D$16,(N77)-(K35))))*(MAX($D$16,(N77)-(K35))),0.000001))^2)/(2*$I$5))-(((ABS(J77)/MAX(((F35)+(H35)*(MAX($D$16,(E77)-(J35))))*(MAX($D$16,(E77)-(J35))),0.000001))^2)/(2*$I$5))),$D$8*((((ABS(J77)/MAX(((F35)+(H35)*(MAX($D$16,(E77)-(J35))))*(MAX($D$16,(E77)-(J35))),0.000001))^2)/(2*$I$5))-(((ABS(J77)/MAX(((G35)+(I35)*(MAX($D$16,(N77)-(K35))))*(MAX($D$16,(N77)-(K35))),0.000001))^2)/(2*$I$5)))))+($D$10*(ABS((X35)-(W35))/90)*MAX(((ABS(J77)/MAX(((F35)+(H35)*(MAX($D$16,(E77)-(J35))))*(MAX($D$16,(E77)-(J35))),0.000001))^2)/(2*$I$5),((ABS(J77)/MAX(((G35)+(I35)*(MAX($D$16,(N77)-(K35))))*(MAX($D$16,(N77)-(K35))),0.000001))^2)/(2*$I$5)))+(($D$11*0.34699541*(ABS(I77)/MAX(ABS(G77),0.000001))^2*MAX(((ABS(J77)/MAX(((F35)+(H35)*(MAX($D$16,(E77)-(J35))))*(MAX($D$16,(E77)-(J35))),0.000001))^2)/(2*$I$5),((ABS(J77)/MAX(((G35)+(I35)*(MAX($D$16,(N77)-(K35))))*(MAX($D$16,(N77)-(K35))),0.000001))^2)/(2*$I$5))))-((ABS(J77)/MAX(((F35)+(H35)*(MAX($D$16,(E77)-(J35))))*(MAX($D$16,(E77)-(J35))),0.000001))^2)/(2*$I$5)</f>
        <v>22382.80587457701</v>
      </c>
      <c r="U77">
        <f>(((((F32)*(MAX($D$16,(D77)-(J32)))^2)/2+(H32)*(MAX($D$16,(D77)-(J32)))^3/3+(ABS(G77)^2)/($I$5*MAX(((F32)+(H32)*(MAX($D$16,(D77)-(J32))))*(MAX($D$16,(D77)-(J32))),0.000001)))*0.72785025)-((((F33)*(MAX($D$16,(D77)-(J33)))^2)/2+(H33)*(MAX($D$16,(D77)-(J33)))^3/3+(ABS(H77)^2)/($I$5*MAX(((F33)+(H33)*(MAX($D$16,(D77)-(J33))))*(MAX($D$16,(D77)-(J33))),0.000001)))*0.99999971))/MAX(((G31)*(MAX($D$16,(D77)-(K31)))^2)/2+(I31)*(MAX($D$16,(D77)-(K31)))^3/3+(ABS(F77)^2)/($I$5*MAX(((G31)+(I31)*(MAX($D$16,(D77)-(K31))))*(MAX($D$16,(D77)-(K31))),0.000001)),0.000001)</f>
        <v>-0.27214945999978912</v>
      </c>
      <c r="V77">
        <f>(((((F34)*(MAX($D$16,(E77)-(J34)))^2)/2+(H34)*(MAX($D$16,(E77)-(J34)))^3/3+(ABS(I77)^2)/($I$5*MAX(((F34)+(H34)*(MAX($D$16,(E77)-(J34))))*(MAX($D$16,(E77)-(J34))),0.000001)))*1)-((((F35)*(MAX($D$16,(E77)-(J35)))^2)/2+(H35)*(MAX($D$16,(E77)-(J35)))^3/3+(ABS(J77)^2)/($I$5*MAX(((F35)+(H35)*(MAX($D$16,(E77)-(J35))))*(MAX($D$16,(E77)-(J35))),0.000001)))*0.30600918))/MAX(((G32)*(MAX($D$16,(E77)-(K32)))^2)/2+(I32)*(MAX($D$16,(E77)-(K32)))^3/3+(ABS(G77)^2)/($I$5*MAX(((G32)+(I32)*(MAX($D$16,(E77)-(K32))))*(MAX($D$16,(E77)-(K32))),0.000001)),0.000001)</f>
        <v>-0.30598462674144999</v>
      </c>
      <c r="W77">
        <f>IF(N6="None",MAX(ABS(O77-D77),ABS(P77-D77)),MAX(ABS(O77-D77),ABS(P77-D77),ABS(Q77-D77)))</f>
        <v>38815.78378417057</v>
      </c>
      <c r="X77">
        <f>IF(AND(N7="None",N8="None"),ABS(R77-E77),IF(N8="None",MAX(ABS(R77-E77),ABS(S77-E77)),IF(N7="None",MAX(ABS(R77-E77),ABS(T77-E77)),MAX(ABS(R77-E77),ABS(S77-E77),ABS(T77-E77)))))</f>
        <v>38593.016718271632</v>
      </c>
      <c r="AA77">
        <f>D77+$D$13*(IF(N6="None",AVERAGE(O77:P77),AVERAGE(O77:Q77))-D77)</f>
        <v>39447.62815966949</v>
      </c>
      <c r="AB77">
        <f>E77+$D$13*(IF(AND(N7="None",N8="None"),R77,IF(N8="None",AVERAGE(R77:S77),IF(N7="None",AVERAGE(R77,T77),AVERAGE(R77:T77))))-E77)</f>
        <v>-7790.663938136131</v>
      </c>
    </row>
    <row r="78" spans="1:28" x14ac:dyDescent="0.35">
      <c r="A78">
        <v>35</v>
      </c>
      <c r="B78">
        <f t="shared" si="8"/>
        <v>0</v>
      </c>
      <c r="C78">
        <f t="shared" si="9"/>
        <v>0</v>
      </c>
      <c r="D78">
        <f t="shared" si="10"/>
        <v>39447.62815966949</v>
      </c>
      <c r="E78">
        <f t="shared" si="11"/>
        <v>-7790.663938136131</v>
      </c>
      <c r="F78">
        <f t="shared" si="7"/>
        <v>51</v>
      </c>
      <c r="G78">
        <f>IF(N6="None",F78,MAX(0,F78*B78))</f>
        <v>51</v>
      </c>
      <c r="H78">
        <f>IF(N6="None",0,MAX(0,F78-G78))</f>
        <v>0</v>
      </c>
      <c r="I78">
        <f>IF(AND(N7="None",N8="None"),0,IF(N8="None",G78,IF(N7="None",0,MAX(0,G78*C78))))</f>
        <v>0</v>
      </c>
      <c r="J78">
        <f>IF(AND(N7="None",N8="None"),0,IF(N8="None",0,IF(N7="None",G78,MAX(0,G78-I78))))</f>
        <v>51</v>
      </c>
      <c r="K78">
        <f>P5</f>
        <v>637</v>
      </c>
      <c r="L78">
        <f>P6</f>
        <v>637</v>
      </c>
      <c r="M78">
        <f>P7</f>
        <v>635.5</v>
      </c>
      <c r="N78">
        <f>P8</f>
        <v>631.54999999999995</v>
      </c>
      <c r="O78">
        <f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D78)-(K31))))*(MAX($D$16,(D78)-(K31))),0.000001)*MAX(((((G31)+(I31)*(MAX($D$16,(D78)-(K31))))*(MAX($D$16,(D78)-(K31))))/MAX((G31)+2*(MAX($D$16,(D78)-(K31)))*SQRT(1+(I31)^2),0.000001))^(2/3),0.000001)))^2))/2)+(IF((ABS(F78)/MAX(((G31)+(I31)*(MAX($D$16,(D78)-(K31))))*(MAX($D$16,(D78)-(K31))),0.000001))&gt;(ABS(F78)/MAX(((F31)+(H31)*(MAX($D$16,(K78)-(J31))))*(MAX($D$16,(K78)-(J31))),0.000001)),$D$9*((((ABS(F78)/MAX(((G31)+(I31)*(MAX($D$16,(D78)-(K31))))*(MAX($D$16,(D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D78)-(K31))))*(MAX($D$16,(D78)-(K31))),0.000001))^2)/(2*$I$5)))))+($D$10*(ABS((X31)-(W31))/90)*MAX(((ABS(F78)/MAX(((F31)+(H31)*(MAX($D$16,(K78)-(J31))))*(MAX($D$16,(K78)-(J31))),0.000001))^2)/(2*$I$5),((ABS(F78)/MAX(((G31)+(I31)*(MAX($D$16,(D78)-(K31))))*(MAX($D$16,(D78)-(K31))),0.000001))^2)/(2*$I$5)))+(0)-((ABS(F78)/MAX(((G31)+(I31)*(MAX($D$16,(D78)-(K31))))*(MAX($D$16,(D78)-(K31))),0.000001))^2)/(2*$I$5)</f>
        <v>637.65825100972745</v>
      </c>
      <c r="P78">
        <f>E78+((ABS(G78)/MAX(((G32)+(I32)*(MAX($D$16,(E78)-(K32))))*(MAX($D$16,(E78)-(K32))),0.000001))^2)/(2*$I$5)+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F32)+(H32)*(MAX($D$16,(D78)-(J32))))*(MAX($D$16,(D78)-(J32))),0.000001))^2)/(2*$I$5)</f>
        <v>78263.185637259652</v>
      </c>
      <c r="Q78">
        <f>L78+((ABS(H78)/MAX(((G33)+(I33)*(MAX($D$16,(L78)-(K33))))*(MAX($D$16,(L78)-(K33))),0.000001))^2)/(2*$I$5)+((E33)*((((ABS(H78)*$D$6)/(MAX(((F33)+(H33)*(MAX($D$16,(D78)-(J33))))*(MAX($D$16,(D78)-(J33))),0.000001)*MAX(((((F33)+(H33)*(MAX($D$16,(D78)-(J33))))*(MAX($D$16,(D78)-(J33))))/MAX((F33)+2*(MAX($D$16,(D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D78)-(J33))))*(MAX($D$16,(D78)-(J33))),0.000001)),$D$9*((((ABS(H78)/MAX(((G33)+(I33)*(MAX($D$16,(L78)-(K33))))*(MAX($D$16,(L78)-(K33))),0.000001))^2)/(2*$I$5))-(((ABS(H78)/MAX(((F33)+(H33)*(MAX($D$16,(D78)-(J33))))*(MAX($D$16,(D78)-(J33))),0.000001))^2)/(2*$I$5))),$D$8*((((ABS(H78)/MAX(((F33)+(H33)*(MAX($D$16,(D78)-(J33))))*(MAX($D$16,(D78)-(J33))),0.000001))^2)/(2*$I$5))-(((ABS(H78)/MAX(((G33)+(I33)*(MAX($D$16,(L78)-(K33))))*(MAX($D$16,(L78)-(K33))),0.000001))^2)/(2*$I$5)))))+($D$10*(ABS((X33)-(W33))/90)*MAX(((ABS(H78)/MAX(((F33)+(H33)*(MAX($D$16,(D78)-(J33))))*(MAX($D$16,(D78)-(J33))),0.000001))^2)/(2*$I$5),((ABS(H78)/MAX(((G33)+(I33)*(MAX($D$16,(L78)-(K33))))*(MAX($D$16,(L78)-(K33))),0.000001))^2)/(2*$I$5)))+(($D$11*0.00000015*(ABS(G78)/MAX(ABS(F78),0.000001))^2*MAX(((ABS(H78)/MAX(((F33)+(H33)*(MAX($D$16,(D78)-(J33))))*(MAX($D$16,(D78)-(J33))),0.000001))^2)/(2*$I$5),((ABS(H78)/MAX(((G33)+(I33)*(MAX($D$16,(L78)-(K33))))*(MAX($D$16,(L78)-(K33))),0.000001))^2)/(2*$I$5))))-((ABS(H78)/MAX(((F33)+(H33)*(MAX($D$16,(D78)-(J33))))*(MAX($D$16,(D78)-(J33))),0.000001))^2)/(2*$I$5)</f>
        <v>637</v>
      </c>
      <c r="R78">
        <f>D78+((ABS(G78)/MAX(((F32)+(H32)*(MAX($D$16,(D78)-(J32))))*(MAX($D$16,(D78)-(J32))),0.000001))^2)/(2*$I$5)-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G32)+(I32)*(MAX($D$16,(E78)-(K32))))*(MAX($D$16,(E78)-(K32))),0.000001))^2)/(2*$I$5)</f>
        <v>-46383.454349827349</v>
      </c>
      <c r="S78">
        <f>M78+((ABS(I78)/MAX(((G34)+(I34)*(MAX($D$16,(M78)-(K34))))*(MAX($D$16,(M78)-(K34))),0.000001))^2)/(2*$I$5)+((E34)*((((ABS(I78)*$D$6)/(MAX(((F34)+(H34)*(MAX($D$16,(E78)-(J34))))*(MAX($D$16,(E78)-(J34))),0.000001)*MAX(((((F34)+(H34)*(MAX($D$16,(E78)-(J34))))*(MAX($D$16,(E78)-(J34))))/MAX((F34)+2*(MAX($D$16,(E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E78)-(J34))))*(MAX($D$16,(E78)-(J34))),0.000001)),$D$9*((((ABS(I78)/MAX(((G34)+(I34)*(MAX($D$16,(M78)-(K34))))*(MAX($D$16,(M78)-(K34))),0.000001))^2)/(2*$I$5))-(((ABS(I78)/MAX(((F34)+(H34)*(MAX($D$16,(E78)-(J34))))*(MAX($D$16,(E78)-(J34))),0.000001))^2)/(2*$I$5))),$D$8*((((ABS(I78)/MAX(((F34)+(H34)*(MAX($D$16,(E78)-(J34))))*(MAX($D$16,(E78)-(J34))),0.000001))^2)/(2*$I$5))-(((ABS(I78)/MAX(((G34)+(I34)*(MAX($D$16,(M78)-(K34))))*(MAX($D$16,(M78)-(K34))),0.000001))^2)/(2*$I$5)))))+($D$10*(ABS((X34)-(W34))/90)*MAX(((ABS(I78)/MAX(((F34)+(H34)*(MAX($D$16,(E78)-(J34))))*(MAX($D$16,(E78)-(J34))),0.000001))^2)/(2*$I$5),((ABS(I78)/MAX(((G34)+(I34)*(MAX($D$16,(M78)-(K34))))*(MAX($D$16,(M78)-(K34))),0.000001))^2)/(2*$I$5)))+(0)-((ABS(I78)/MAX(((F34)+(H34)*(MAX($D$16,(E78)-(J34))))*(MAX($D$16,(E78)-(J34))),0.000001))^2)/(2*$I$5)</f>
        <v>635.5</v>
      </c>
      <c r="T78">
        <f>N78+((ABS(J78)/MAX(((G35)+(I35)*(MAX($D$16,(N78)-(K35))))*(MAX($D$16,(N78)-(K35))),0.000001))^2)/(2*$I$5)+((E35)*((((ABS(J78)*$D$6)/(MAX(((F35)+(H35)*(MAX($D$16,(E78)-(J35))))*(MAX($D$16,(E78)-(J35))),0.000001)*MAX(((((F35)+(H35)*(MAX($D$16,(E78)-(J35))))*(MAX($D$16,(E78)-(J35))))/MAX((F35)+2*(MAX($D$16,(E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E78)-(J35))))*(MAX($D$16,(E78)-(J35))),0.000001)),$D$9*((((ABS(J78)/MAX(((G35)+(I35)*(MAX($D$16,(N78)-(K35))))*(MAX($D$16,(N78)-(K35))),0.000001))^2)/(2*$I$5))-(((ABS(J78)/MAX(((F35)+(H35)*(MAX($D$16,(E78)-(J35))))*(MAX($D$16,(E78)-(J35))),0.000001))^2)/(2*$I$5))),$D$8*((((ABS(J78)/MAX(((F35)+(H35)*(MAX($D$16,(E78)-(J35))))*(MAX($D$16,(E78)-(J35))),0.000001))^2)/(2*$I$5))-(((ABS(J78)/MAX(((G35)+(I35)*(MAX($D$16,(N78)-(K35))))*(MAX($D$16,(N78)-(K35))),0.000001))^2)/(2*$I$5)))))+($D$10*(ABS((X35)-(W35))/90)*MAX(((ABS(J78)/MAX(((F35)+(H35)*(MAX($D$16,(E78)-(J35))))*(MAX($D$16,(E78)-(J35))),0.000001))^2)/(2*$I$5),((ABS(J78)/MAX(((G35)+(I35)*(MAX($D$16,(N78)-(K35))))*(MAX($D$16,(N78)-(K35))),0.000001))^2)/(2*$I$5)))+(($D$11*0.34699541*(ABS(I78)/MAX(ABS(G78),0.000001))^2*MAX(((ABS(J78)/MAX(((F35)+(H35)*(MAX($D$16,(E78)-(J35))))*(MAX($D$16,(E78)-(J35))),0.000001))^2)/(2*$I$5),((ABS(J78)/MAX(((G35)+(I35)*(MAX($D$16,(N78)-(K35))))*(MAX($D$16,(N78)-(K35))),0.000001))^2)/(2*$I$5))))-((ABS(J78)/MAX(((F35)+(H35)*(MAX($D$16,(E78)-(J35))))*(MAX($D$16,(E78)-(J35))),0.000001))^2)/(2*$I$5)</f>
        <v>22382.80587457701</v>
      </c>
      <c r="U78">
        <f>(((((F32)*(MAX($D$16,(D78)-(J32)))^2)/2+(H32)*(MAX($D$16,(D78)-(J32)))^3/3+(ABS(G78)^2)/($I$5*MAX(((F32)+(H32)*(MAX($D$16,(D78)-(J32))))*(MAX($D$16,(D78)-(J32))),0.000001)))*0.72785025)-((((F33)*(MAX($D$16,(D78)-(J33)))^2)/2+(H33)*(MAX($D$16,(D78)-(J33)))^3/3+(ABS(H78)^2)/($I$5*MAX(((F33)+(H33)*(MAX($D$16,(D78)-(J33))))*(MAX($D$16,(D78)-(J33))),0.000001)))*0.99999971))/MAX(((G31)*(MAX($D$16,(D78)-(K31)))^2)/2+(I31)*(MAX($D$16,(D78)-(K31)))^3/3+(ABS(F78)^2)/($I$5*MAX(((G31)+(I31)*(MAX($D$16,(D78)-(K31))))*(MAX($D$16,(D78)-(K31))),0.000001)),0.000001)</f>
        <v>-0.27214945999978912</v>
      </c>
      <c r="V78">
        <f>(((((F34)*(MAX($D$16,(E78)-(J34)))^2)/2+(H34)*(MAX($D$16,(E78)-(J34)))^3/3+(ABS(I78)^2)/($I$5*MAX(((F34)+(H34)*(MAX($D$16,(E78)-(J34))))*(MAX($D$16,(E78)-(J34))),0.000001)))*1)-((((F35)*(MAX($D$16,(E78)-(J35)))^2)/2+(H35)*(MAX($D$16,(E78)-(J35)))^3/3+(ABS(J78)^2)/($I$5*MAX(((F35)+(H35)*(MAX($D$16,(E78)-(J35))))*(MAX($D$16,(E78)-(J35))),0.000001)))*0.30600918))/MAX(((G32)*(MAX($D$16,(E78)-(K32)))^2)/2+(I32)*(MAX($D$16,(E78)-(K32)))^3/3+(ABS(G78)^2)/($I$5*MAX(((G32)+(I32)*(MAX($D$16,(E78)-(K32))))*(MAX($D$16,(E78)-(K32))),0.000001)),0.000001)</f>
        <v>-0.30598462674144999</v>
      </c>
      <c r="W78">
        <f>IF(N6="None",MAX(ABS(O78-D78),ABS(P78-D78)),MAX(ABS(O78-D78),ABS(P78-D78),ABS(Q78-D78)))</f>
        <v>38815.557477590162</v>
      </c>
      <c r="X78">
        <f>IF(AND(N7="None",N8="None"),ABS(R78-E78),IF(N8="None",MAX(ABS(R78-E78),ABS(S78-E78)),IF(N7="None",MAX(ABS(R78-E78),ABS(T78-E78)),MAX(ABS(R78-E78),ABS(S78-E78),ABS(T78-E78)))))</f>
        <v>38592.790411691218</v>
      </c>
      <c r="AA78">
        <f>D78+$D$13*(IF(N6="None",AVERAGE(O78:P78),AVERAGE(O78:Q78))-D78)</f>
        <v>39448.605984232308</v>
      </c>
      <c r="AB78">
        <f>E78+$D$13*(IF(AND(N7="None",N8="None"),R78,IF(N8="None",AVERAGE(R78:S78),IF(N7="None",AVERAGE(R78,T78),AVERAGE(R78:T78))))-E78)</f>
        <v>-7789.8655485676909</v>
      </c>
    </row>
    <row r="79" spans="1:28" x14ac:dyDescent="0.35">
      <c r="A79">
        <v>36</v>
      </c>
      <c r="B79">
        <f t="shared" si="8"/>
        <v>0</v>
      </c>
      <c r="C79">
        <f t="shared" si="9"/>
        <v>0</v>
      </c>
      <c r="D79">
        <f t="shared" si="10"/>
        <v>39448.605984232308</v>
      </c>
      <c r="E79">
        <f t="shared" si="11"/>
        <v>-7789.8655485676909</v>
      </c>
      <c r="F79">
        <f t="shared" si="7"/>
        <v>51</v>
      </c>
      <c r="G79">
        <f>IF(N6="None",F79,MAX(0,F79*B79))</f>
        <v>51</v>
      </c>
      <c r="H79">
        <f>IF(N6="None",0,MAX(0,F79-G79))</f>
        <v>0</v>
      </c>
      <c r="I79">
        <f>IF(AND(N7="None",N8="None"),0,IF(N8="None",G79,IF(N7="None",0,MAX(0,G79*C79))))</f>
        <v>0</v>
      </c>
      <c r="J79">
        <f>IF(AND(N7="None",N8="None"),0,IF(N8="None",0,IF(N7="None",G79,MAX(0,G79-I79))))</f>
        <v>51</v>
      </c>
      <c r="K79">
        <f>P5</f>
        <v>637</v>
      </c>
      <c r="L79">
        <f>P6</f>
        <v>637</v>
      </c>
      <c r="M79">
        <f>P7</f>
        <v>635.5</v>
      </c>
      <c r="N79">
        <f>P8</f>
        <v>631.54999999999995</v>
      </c>
      <c r="O79">
        <f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D79)-(K31))))*(MAX($D$16,(D79)-(K31))),0.000001)*MAX(((((G31)+(I31)*(MAX($D$16,(D79)-(K31))))*(MAX($D$16,(D79)-(K31))))/MAX((G31)+2*(MAX($D$16,(D79)-(K31)))*SQRT(1+(I31)^2),0.000001))^(2/3),0.000001)))^2))/2)+(IF((ABS(F79)/MAX(((G31)+(I31)*(MAX($D$16,(D79)-(K31))))*(MAX($D$16,(D79)-(K31))),0.000001))&gt;(ABS(F79)/MAX(((F31)+(H31)*(MAX($D$16,(K79)-(J31))))*(MAX($D$16,(K79)-(J31))),0.000001)),$D$9*((((ABS(F79)/MAX(((G31)+(I31)*(MAX($D$16,(D79)-(K31))))*(MAX($D$16,(D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D79)-(K31))))*(MAX($D$16,(D79)-(K31))),0.000001))^2)/(2*$I$5)))))+($D$10*(ABS((X31)-(W31))/90)*MAX(((ABS(F79)/MAX(((F31)+(H31)*(MAX($D$16,(K79)-(J31))))*(MAX($D$16,(K79)-(J31))),0.000001))^2)/(2*$I$5),((ABS(F79)/MAX(((G31)+(I31)*(MAX($D$16,(D79)-(K31))))*(MAX($D$16,(D79)-(K31))),0.000001))^2)/(2*$I$5)))+(0)-((ABS(F79)/MAX(((G31)+(I31)*(MAX($D$16,(D79)-(K31))))*(MAX($D$16,(D79)-(K31))),0.000001))^2)/(2*$I$5)</f>
        <v>637.65825100972756</v>
      </c>
      <c r="P79">
        <f>E79+((ABS(G79)/MAX(((G32)+(I32)*(MAX($D$16,(E79)-(K32))))*(MAX($D$16,(E79)-(K32))),0.000001))^2)/(2*$I$5)+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F32)+(H32)*(MAX($D$16,(D79)-(J32))))*(MAX($D$16,(D79)-(J32))),0.000001))^2)/(2*$I$5)</f>
        <v>78263.984026828082</v>
      </c>
      <c r="Q79">
        <f>L79+((ABS(H79)/MAX(((G33)+(I33)*(MAX($D$16,(L79)-(K33))))*(MAX($D$16,(L79)-(K33))),0.000001))^2)/(2*$I$5)+((E33)*((((ABS(H79)*$D$6)/(MAX(((F33)+(H33)*(MAX($D$16,(D79)-(J33))))*(MAX($D$16,(D79)-(J33))),0.000001)*MAX(((((F33)+(H33)*(MAX($D$16,(D79)-(J33))))*(MAX($D$16,(D79)-(J33))))/MAX((F33)+2*(MAX($D$16,(D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D79)-(J33))))*(MAX($D$16,(D79)-(J33))),0.000001)),$D$9*((((ABS(H79)/MAX(((G33)+(I33)*(MAX($D$16,(L79)-(K33))))*(MAX($D$16,(L79)-(K33))),0.000001))^2)/(2*$I$5))-(((ABS(H79)/MAX(((F33)+(H33)*(MAX($D$16,(D79)-(J33))))*(MAX($D$16,(D79)-(J33))),0.000001))^2)/(2*$I$5))),$D$8*((((ABS(H79)/MAX(((F33)+(H33)*(MAX($D$16,(D79)-(J33))))*(MAX($D$16,(D79)-(J33))),0.000001))^2)/(2*$I$5))-(((ABS(H79)/MAX(((G33)+(I33)*(MAX($D$16,(L79)-(K33))))*(MAX($D$16,(L79)-(K33))),0.000001))^2)/(2*$I$5)))))+($D$10*(ABS((X33)-(W33))/90)*MAX(((ABS(H79)/MAX(((F33)+(H33)*(MAX($D$16,(D79)-(J33))))*(MAX($D$16,(D79)-(J33))),0.000001))^2)/(2*$I$5),((ABS(H79)/MAX(((G33)+(I33)*(MAX($D$16,(L79)-(K33))))*(MAX($D$16,(L79)-(K33))),0.000001))^2)/(2*$I$5)))+(($D$11*0.00000015*(ABS(G79)/MAX(ABS(F79),0.000001))^2*MAX(((ABS(H79)/MAX(((F33)+(H33)*(MAX($D$16,(D79)-(J33))))*(MAX($D$16,(D79)-(J33))),0.000001))^2)/(2*$I$5),((ABS(H79)/MAX(((G33)+(I33)*(MAX($D$16,(L79)-(K33))))*(MAX($D$16,(L79)-(K33))),0.000001))^2)/(2*$I$5))))-((ABS(H79)/MAX(((F33)+(H33)*(MAX($D$16,(D79)-(J33))))*(MAX($D$16,(D79)-(J33))),0.000001))^2)/(2*$I$5)</f>
        <v>637</v>
      </c>
      <c r="R79">
        <f>D79+((ABS(G79)/MAX(((F32)+(H32)*(MAX($D$16,(D79)-(J32))))*(MAX($D$16,(D79)-(J32))),0.000001))^2)/(2*$I$5)-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G32)+(I32)*(MAX($D$16,(E79)-(K32))))*(MAX($D$16,(E79)-(K32))),0.000001))^2)/(2*$I$5)</f>
        <v>-46382.47652526453</v>
      </c>
      <c r="S79">
        <f>M79+((ABS(I79)/MAX(((G34)+(I34)*(MAX($D$16,(M79)-(K34))))*(MAX($D$16,(M79)-(K34))),0.000001))^2)/(2*$I$5)+((E34)*((((ABS(I79)*$D$6)/(MAX(((F34)+(H34)*(MAX($D$16,(E79)-(J34))))*(MAX($D$16,(E79)-(J34))),0.000001)*MAX(((((F34)+(H34)*(MAX($D$16,(E79)-(J34))))*(MAX($D$16,(E79)-(J34))))/MAX((F34)+2*(MAX($D$16,(E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E79)-(J34))))*(MAX($D$16,(E79)-(J34))),0.000001)),$D$9*((((ABS(I79)/MAX(((G34)+(I34)*(MAX($D$16,(M79)-(K34))))*(MAX($D$16,(M79)-(K34))),0.000001))^2)/(2*$I$5))-(((ABS(I79)/MAX(((F34)+(H34)*(MAX($D$16,(E79)-(J34))))*(MAX($D$16,(E79)-(J34))),0.000001))^2)/(2*$I$5))),$D$8*((((ABS(I79)/MAX(((F34)+(H34)*(MAX($D$16,(E79)-(J34))))*(MAX($D$16,(E79)-(J34))),0.000001))^2)/(2*$I$5))-(((ABS(I79)/MAX(((G34)+(I34)*(MAX($D$16,(M79)-(K34))))*(MAX($D$16,(M79)-(K34))),0.000001))^2)/(2*$I$5)))))+($D$10*(ABS((X34)-(W34))/90)*MAX(((ABS(I79)/MAX(((F34)+(H34)*(MAX($D$16,(E79)-(J34))))*(MAX($D$16,(E79)-(J34))),0.000001))^2)/(2*$I$5),((ABS(I79)/MAX(((G34)+(I34)*(MAX($D$16,(M79)-(K34))))*(MAX($D$16,(M79)-(K34))),0.000001))^2)/(2*$I$5)))+(0)-((ABS(I79)/MAX(((F34)+(H34)*(MAX($D$16,(E79)-(J34))))*(MAX($D$16,(E79)-(J34))),0.000001))^2)/(2*$I$5)</f>
        <v>635.5</v>
      </c>
      <c r="T79">
        <f>N79+((ABS(J79)/MAX(((G35)+(I35)*(MAX($D$16,(N79)-(K35))))*(MAX($D$16,(N79)-(K35))),0.000001))^2)/(2*$I$5)+((E35)*((((ABS(J79)*$D$6)/(MAX(((F35)+(H35)*(MAX($D$16,(E79)-(J35))))*(MAX($D$16,(E79)-(J35))),0.000001)*MAX(((((F35)+(H35)*(MAX($D$16,(E79)-(J35))))*(MAX($D$16,(E79)-(J35))))/MAX((F35)+2*(MAX($D$16,(E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E79)-(J35))))*(MAX($D$16,(E79)-(J35))),0.000001)),$D$9*((((ABS(J79)/MAX(((G35)+(I35)*(MAX($D$16,(N79)-(K35))))*(MAX($D$16,(N79)-(K35))),0.000001))^2)/(2*$I$5))-(((ABS(J79)/MAX(((F35)+(H35)*(MAX($D$16,(E79)-(J35))))*(MAX($D$16,(E79)-(J35))),0.000001))^2)/(2*$I$5))),$D$8*((((ABS(J79)/MAX(((F35)+(H35)*(MAX($D$16,(E79)-(J35))))*(MAX($D$16,(E79)-(J35))),0.000001))^2)/(2*$I$5))-(((ABS(J79)/MAX(((G35)+(I35)*(MAX($D$16,(N79)-(K35))))*(MAX($D$16,(N79)-(K35))),0.000001))^2)/(2*$I$5)))))+($D$10*(ABS((X35)-(W35))/90)*MAX(((ABS(J79)/MAX(((F35)+(H35)*(MAX($D$16,(E79)-(J35))))*(MAX($D$16,(E79)-(J35))),0.000001))^2)/(2*$I$5),((ABS(J79)/MAX(((G35)+(I35)*(MAX($D$16,(N79)-(K35))))*(MAX($D$16,(N79)-(K35))),0.000001))^2)/(2*$I$5)))+(($D$11*0.34699541*(ABS(I79)/MAX(ABS(G79),0.000001))^2*MAX(((ABS(J79)/MAX(((F35)+(H35)*(MAX($D$16,(E79)-(J35))))*(MAX($D$16,(E79)-(J35))),0.000001))^2)/(2*$I$5),((ABS(J79)/MAX(((G35)+(I35)*(MAX($D$16,(N79)-(K35))))*(MAX($D$16,(N79)-(K35))),0.000001))^2)/(2*$I$5))))-((ABS(J79)/MAX(((F35)+(H35)*(MAX($D$16,(E79)-(J35))))*(MAX($D$16,(E79)-(J35))),0.000001))^2)/(2*$I$5)</f>
        <v>22382.80587457701</v>
      </c>
      <c r="U79">
        <f>(((((F32)*(MAX($D$16,(D79)-(J32)))^2)/2+(H32)*(MAX($D$16,(D79)-(J32)))^3/3+(ABS(G79)^2)/($I$5*MAX(((F32)+(H32)*(MAX($D$16,(D79)-(J32))))*(MAX($D$16,(D79)-(J32))),0.000001)))*0.72785025)-((((F33)*(MAX($D$16,(D79)-(J33)))^2)/2+(H33)*(MAX($D$16,(D79)-(J33)))^3/3+(ABS(H79)^2)/($I$5*MAX(((F33)+(H33)*(MAX($D$16,(D79)-(J33))))*(MAX($D$16,(D79)-(J33))),0.000001)))*0.99999971))/MAX(((G31)*(MAX($D$16,(D79)-(K31)))^2)/2+(I31)*(MAX($D$16,(D79)-(K31)))^3/3+(ABS(F79)^2)/($I$5*MAX(((G31)+(I31)*(MAX($D$16,(D79)-(K31))))*(MAX($D$16,(D79)-(K31))),0.000001)),0.000001)</f>
        <v>-0.27214945999978923</v>
      </c>
      <c r="V79">
        <f>(((((F34)*(MAX($D$16,(E79)-(J34)))^2)/2+(H34)*(MAX($D$16,(E79)-(J34)))^3/3+(ABS(I79)^2)/($I$5*MAX(((F34)+(H34)*(MAX($D$16,(E79)-(J34))))*(MAX($D$16,(E79)-(J34))),0.000001)))*1)-((((F35)*(MAX($D$16,(E79)-(J35)))^2)/2+(H35)*(MAX($D$16,(E79)-(J35)))^3/3+(ABS(J79)^2)/($I$5*MAX(((F35)+(H35)*(MAX($D$16,(E79)-(J35))))*(MAX($D$16,(E79)-(J35))),0.000001)))*0.30600918))/MAX(((G32)*(MAX($D$16,(E79)-(K32)))^2)/2+(I32)*(MAX($D$16,(E79)-(K32)))^3/3+(ABS(G79)^2)/($I$5*MAX(((G32)+(I32)*(MAX($D$16,(E79)-(K32))))*(MAX($D$16,(E79)-(K32))),0.000001)),0.000001)</f>
        <v>-0.30598462674144999</v>
      </c>
      <c r="W79">
        <f>IF(N6="None",MAX(ABS(O79-D79),ABS(P79-D79)),MAX(ABS(O79-D79),ABS(P79-D79),ABS(Q79-D79)))</f>
        <v>38815.378042595774</v>
      </c>
      <c r="X79">
        <f>IF(AND(N7="None",N8="None"),ABS(R79-E79),IF(N8="None",MAX(ABS(R79-E79),ABS(S79-E79)),IF(N7="None",MAX(ABS(R79-E79),ABS(T79-E79)),MAX(ABS(R79-E79),ABS(S79-E79),ABS(T79-E79)))))</f>
        <v>38592.610976696837</v>
      </c>
      <c r="AA79">
        <f>D79+$D$13*(IF(N6="None",AVERAGE(O79:P79),AVERAGE(O79:Q79))-D79)</f>
        <v>39449.381288372613</v>
      </c>
      <c r="AB79">
        <f>E79+$D$13*(IF(AND(N7="None",N8="None"),R79,IF(N8="None",AVERAGE(R79:S79),IF(N7="None",AVERAGE(R79,T79),AVERAGE(R79:T79))))-E79)</f>
        <v>-7789.2325158158765</v>
      </c>
    </row>
    <row r="80" spans="1:28" x14ac:dyDescent="0.35">
      <c r="A80">
        <v>37</v>
      </c>
      <c r="B80">
        <f t="shared" si="8"/>
        <v>0</v>
      </c>
      <c r="C80">
        <f t="shared" si="9"/>
        <v>0</v>
      </c>
      <c r="D80">
        <f t="shared" si="10"/>
        <v>39449.381288372613</v>
      </c>
      <c r="E80">
        <f t="shared" si="11"/>
        <v>-7789.2325158158765</v>
      </c>
      <c r="F80">
        <f t="shared" si="7"/>
        <v>51</v>
      </c>
      <c r="G80">
        <f>IF(N6="None",F80,MAX(0,F80*B80))</f>
        <v>51</v>
      </c>
      <c r="H80">
        <f>IF(N6="None",0,MAX(0,F80-G80))</f>
        <v>0</v>
      </c>
      <c r="I80">
        <f>IF(AND(N7="None",N8="None"),0,IF(N8="None",G80,IF(N7="None",0,MAX(0,G80*C80))))</f>
        <v>0</v>
      </c>
      <c r="J80">
        <f>IF(AND(N7="None",N8="None"),0,IF(N8="None",0,IF(N7="None",G80,MAX(0,G80-I80))))</f>
        <v>51</v>
      </c>
      <c r="K80">
        <f>P5</f>
        <v>637</v>
      </c>
      <c r="L80">
        <f>P6</f>
        <v>637</v>
      </c>
      <c r="M80">
        <f>P7</f>
        <v>635.5</v>
      </c>
      <c r="N80">
        <f>P8</f>
        <v>631.54999999999995</v>
      </c>
      <c r="O80">
        <f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D80)-(K31))))*(MAX($D$16,(D80)-(K31))),0.000001)*MAX(((((G31)+(I31)*(MAX($D$16,(D80)-(K31))))*(MAX($D$16,(D80)-(K31))))/MAX((G31)+2*(MAX($D$16,(D80)-(K31)))*SQRT(1+(I31)^2),0.000001))^(2/3),0.000001)))^2))/2)+(IF((ABS(F80)/MAX(((G31)+(I31)*(MAX($D$16,(D80)-(K31))))*(MAX($D$16,(D80)-(K31))),0.000001))&gt;(ABS(F80)/MAX(((F31)+(H31)*(MAX($D$16,(K80)-(J31))))*(MAX($D$16,(K80)-(J31))),0.000001)),$D$9*((((ABS(F80)/MAX(((G31)+(I31)*(MAX($D$16,(D80)-(K31))))*(MAX($D$16,(D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D80)-(K31))))*(MAX($D$16,(D80)-(K31))),0.000001))^2)/(2*$I$5)))))+($D$10*(ABS((X31)-(W31))/90)*MAX(((ABS(F80)/MAX(((F31)+(H31)*(MAX($D$16,(K80)-(J31))))*(MAX($D$16,(K80)-(J31))),0.000001))^2)/(2*$I$5),((ABS(F80)/MAX(((G31)+(I31)*(MAX($D$16,(D80)-(K31))))*(MAX($D$16,(D80)-(K31))),0.000001))^2)/(2*$I$5)))+(0)-((ABS(F80)/MAX(((G31)+(I31)*(MAX($D$16,(D80)-(K31))))*(MAX($D$16,(D80)-(K31))),0.000001))^2)/(2*$I$5)</f>
        <v>637.65825100972768</v>
      </c>
      <c r="P80">
        <f>E80+((ABS(G80)/MAX(((G32)+(I32)*(MAX($D$16,(E80)-(K32))))*(MAX($D$16,(E80)-(K32))),0.000001))^2)/(2*$I$5)+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F32)+(H32)*(MAX($D$16,(D80)-(J32))))*(MAX($D$16,(D80)-(J32))),0.000001))^2)/(2*$I$5)</f>
        <v>78264.617059579905</v>
      </c>
      <c r="Q80">
        <f>L80+((ABS(H80)/MAX(((G33)+(I33)*(MAX($D$16,(L80)-(K33))))*(MAX($D$16,(L80)-(K33))),0.000001))^2)/(2*$I$5)+((E33)*((((ABS(H80)*$D$6)/(MAX(((F33)+(H33)*(MAX($D$16,(D80)-(J33))))*(MAX($D$16,(D80)-(J33))),0.000001)*MAX(((((F33)+(H33)*(MAX($D$16,(D80)-(J33))))*(MAX($D$16,(D80)-(J33))))/MAX((F33)+2*(MAX($D$16,(D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D80)-(J33))))*(MAX($D$16,(D80)-(J33))),0.000001)),$D$9*((((ABS(H80)/MAX(((G33)+(I33)*(MAX($D$16,(L80)-(K33))))*(MAX($D$16,(L80)-(K33))),0.000001))^2)/(2*$I$5))-(((ABS(H80)/MAX(((F33)+(H33)*(MAX($D$16,(D80)-(J33))))*(MAX($D$16,(D80)-(J33))),0.000001))^2)/(2*$I$5))),$D$8*((((ABS(H80)/MAX(((F33)+(H33)*(MAX($D$16,(D80)-(J33))))*(MAX($D$16,(D80)-(J33))),0.000001))^2)/(2*$I$5))-(((ABS(H80)/MAX(((G33)+(I33)*(MAX($D$16,(L80)-(K33))))*(MAX($D$16,(L80)-(K33))),0.000001))^2)/(2*$I$5)))))+($D$10*(ABS((X33)-(W33))/90)*MAX(((ABS(H80)/MAX(((F33)+(H33)*(MAX($D$16,(D80)-(J33))))*(MAX($D$16,(D80)-(J33))),0.000001))^2)/(2*$I$5),((ABS(H80)/MAX(((G33)+(I33)*(MAX($D$16,(L80)-(K33))))*(MAX($D$16,(L80)-(K33))),0.000001))^2)/(2*$I$5)))+(($D$11*0.00000015*(ABS(G80)/MAX(ABS(F80),0.000001))^2*MAX(((ABS(H80)/MAX(((F33)+(H33)*(MAX($D$16,(D80)-(J33))))*(MAX($D$16,(D80)-(J33))),0.000001))^2)/(2*$I$5),((ABS(H80)/MAX(((G33)+(I33)*(MAX($D$16,(L80)-(K33))))*(MAX($D$16,(L80)-(K33))),0.000001))^2)/(2*$I$5))))-((ABS(H80)/MAX(((F33)+(H33)*(MAX($D$16,(D80)-(J33))))*(MAX($D$16,(D80)-(J33))),0.000001))^2)/(2*$I$5)</f>
        <v>637</v>
      </c>
      <c r="R80">
        <f>D80+((ABS(G80)/MAX(((F32)+(H32)*(MAX($D$16,(D80)-(J32))))*(MAX($D$16,(D80)-(J32))),0.000001))^2)/(2*$I$5)-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G32)+(I32)*(MAX($D$16,(E80)-(K32))))*(MAX($D$16,(E80)-(K32))),0.000001))^2)/(2*$I$5)</f>
        <v>-46381.701221124225</v>
      </c>
      <c r="S80">
        <f>M80+((ABS(I80)/MAX(((G34)+(I34)*(MAX($D$16,(M80)-(K34))))*(MAX($D$16,(M80)-(K34))),0.000001))^2)/(2*$I$5)+((E34)*((((ABS(I80)*$D$6)/(MAX(((F34)+(H34)*(MAX($D$16,(E80)-(J34))))*(MAX($D$16,(E80)-(J34))),0.000001)*MAX(((((F34)+(H34)*(MAX($D$16,(E80)-(J34))))*(MAX($D$16,(E80)-(J34))))/MAX((F34)+2*(MAX($D$16,(E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E80)-(J34))))*(MAX($D$16,(E80)-(J34))),0.000001)),$D$9*((((ABS(I80)/MAX(((G34)+(I34)*(MAX($D$16,(M80)-(K34))))*(MAX($D$16,(M80)-(K34))),0.000001))^2)/(2*$I$5))-(((ABS(I80)/MAX(((F34)+(H34)*(MAX($D$16,(E80)-(J34))))*(MAX($D$16,(E80)-(J34))),0.000001))^2)/(2*$I$5))),$D$8*((((ABS(I80)/MAX(((F34)+(H34)*(MAX($D$16,(E80)-(J34))))*(MAX($D$16,(E80)-(J34))),0.000001))^2)/(2*$I$5))-(((ABS(I80)/MAX(((G34)+(I34)*(MAX($D$16,(M80)-(K34))))*(MAX($D$16,(M80)-(K34))),0.000001))^2)/(2*$I$5)))))+($D$10*(ABS((X34)-(W34))/90)*MAX(((ABS(I80)/MAX(((F34)+(H34)*(MAX($D$16,(E80)-(J34))))*(MAX($D$16,(E80)-(J34))),0.000001))^2)/(2*$I$5),((ABS(I80)/MAX(((G34)+(I34)*(MAX($D$16,(M80)-(K34))))*(MAX($D$16,(M80)-(K34))),0.000001))^2)/(2*$I$5)))+(0)-((ABS(I80)/MAX(((F34)+(H34)*(MAX($D$16,(E80)-(J34))))*(MAX($D$16,(E80)-(J34))),0.000001))^2)/(2*$I$5)</f>
        <v>635.5</v>
      </c>
      <c r="T80">
        <f>N80+((ABS(J80)/MAX(((G35)+(I35)*(MAX($D$16,(N80)-(K35))))*(MAX($D$16,(N80)-(K35))),0.000001))^2)/(2*$I$5)+((E35)*((((ABS(J80)*$D$6)/(MAX(((F35)+(H35)*(MAX($D$16,(E80)-(J35))))*(MAX($D$16,(E80)-(J35))),0.000001)*MAX(((((F35)+(H35)*(MAX($D$16,(E80)-(J35))))*(MAX($D$16,(E80)-(J35))))/MAX((F35)+2*(MAX($D$16,(E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E80)-(J35))))*(MAX($D$16,(E80)-(J35))),0.000001)),$D$9*((((ABS(J80)/MAX(((G35)+(I35)*(MAX($D$16,(N80)-(K35))))*(MAX($D$16,(N80)-(K35))),0.000001))^2)/(2*$I$5))-(((ABS(J80)/MAX(((F35)+(H35)*(MAX($D$16,(E80)-(J35))))*(MAX($D$16,(E80)-(J35))),0.000001))^2)/(2*$I$5))),$D$8*((((ABS(J80)/MAX(((F35)+(H35)*(MAX($D$16,(E80)-(J35))))*(MAX($D$16,(E80)-(J35))),0.000001))^2)/(2*$I$5))-(((ABS(J80)/MAX(((G35)+(I35)*(MAX($D$16,(N80)-(K35))))*(MAX($D$16,(N80)-(K35))),0.000001))^2)/(2*$I$5)))))+($D$10*(ABS((X35)-(W35))/90)*MAX(((ABS(J80)/MAX(((F35)+(H35)*(MAX($D$16,(E80)-(J35))))*(MAX($D$16,(E80)-(J35))),0.000001))^2)/(2*$I$5),((ABS(J80)/MAX(((G35)+(I35)*(MAX($D$16,(N80)-(K35))))*(MAX($D$16,(N80)-(K35))),0.000001))^2)/(2*$I$5)))+(($D$11*0.34699541*(ABS(I80)/MAX(ABS(G80),0.000001))^2*MAX(((ABS(J80)/MAX(((F35)+(H35)*(MAX($D$16,(E80)-(J35))))*(MAX($D$16,(E80)-(J35))),0.000001))^2)/(2*$I$5),((ABS(J80)/MAX(((G35)+(I35)*(MAX($D$16,(N80)-(K35))))*(MAX($D$16,(N80)-(K35))),0.000001))^2)/(2*$I$5))))-((ABS(J80)/MAX(((F35)+(H35)*(MAX($D$16,(E80)-(J35))))*(MAX($D$16,(E80)-(J35))),0.000001))^2)/(2*$I$5)</f>
        <v>22382.80587457701</v>
      </c>
      <c r="U80">
        <f>(((((F32)*(MAX($D$16,(D80)-(J32)))^2)/2+(H32)*(MAX($D$16,(D80)-(J32)))^3/3+(ABS(G80)^2)/($I$5*MAX(((F32)+(H32)*(MAX($D$16,(D80)-(J32))))*(MAX($D$16,(D80)-(J32))),0.000001)))*0.72785025)-((((F33)*(MAX($D$16,(D80)-(J33)))^2)/2+(H33)*(MAX($D$16,(D80)-(J33)))^3/3+(ABS(H80)^2)/($I$5*MAX(((F33)+(H33)*(MAX($D$16,(D80)-(J33))))*(MAX($D$16,(D80)-(J33))),0.000001)))*0.99999971))/MAX(((G31)*(MAX($D$16,(D80)-(K31)))^2)/2+(I31)*(MAX($D$16,(D80)-(K31)))^3/3+(ABS(F80)^2)/($I$5*MAX(((G31)+(I31)*(MAX($D$16,(D80)-(K31))))*(MAX($D$16,(D80)-(K31))),0.000001)),0.000001)</f>
        <v>-0.27214945999978918</v>
      </c>
      <c r="V80">
        <f>(((((F34)*(MAX($D$16,(E80)-(J34)))^2)/2+(H34)*(MAX($D$16,(E80)-(J34)))^3/3+(ABS(I80)^2)/($I$5*MAX(((F34)+(H34)*(MAX($D$16,(E80)-(J34))))*(MAX($D$16,(E80)-(J34))),0.000001)))*1)-((((F35)*(MAX($D$16,(E80)-(J35)))^2)/2+(H35)*(MAX($D$16,(E80)-(J35)))^3/3+(ABS(J80)^2)/($I$5*MAX(((F35)+(H35)*(MAX($D$16,(E80)-(J35))))*(MAX($D$16,(E80)-(J35))),0.000001)))*0.30600918))/MAX(((G32)*(MAX($D$16,(E80)-(K32)))^2)/2+(I32)*(MAX($D$16,(E80)-(K32)))^3/3+(ABS(G80)^2)/($I$5*MAX(((G32)+(I32)*(MAX($D$16,(E80)-(K32))))*(MAX($D$16,(E80)-(K32))),0.000001)),0.000001)</f>
        <v>-0.30598462674144999</v>
      </c>
      <c r="W80">
        <f>IF(N6="None",MAX(ABS(O80-D80),ABS(P80-D80)),MAX(ABS(O80-D80),ABS(P80-D80),ABS(Q80-D80)))</f>
        <v>38815.235771207292</v>
      </c>
      <c r="X80">
        <f>IF(AND(N7="None",N8="None"),ABS(R80-E80),IF(N8="None",MAX(ABS(R80-E80),ABS(S80-E80)),IF(N7="None",MAX(ABS(R80-E80),ABS(T80-E80)),MAX(ABS(R80-E80),ABS(S80-E80),ABS(T80-E80)))))</f>
        <v>38592.468705308347</v>
      </c>
      <c r="AA80">
        <f>D80+$D$13*(IF(N6="None",AVERAGE(O80:P80),AVERAGE(O80:Q80))-D80)</f>
        <v>39449.996016795383</v>
      </c>
      <c r="AB80">
        <f>E80+$D$13*(IF(AND(N7="None",N8="None"),R80,IF(N8="None",AVERAGE(R80:S80),IF(N7="None",AVERAGE(R80,T80),AVERAGE(R80:T80))))-E80)</f>
        <v>-7788.7305923774948</v>
      </c>
    </row>
    <row r="81" spans="1:28" x14ac:dyDescent="0.35">
      <c r="A81">
        <v>38</v>
      </c>
      <c r="B81">
        <f t="shared" si="8"/>
        <v>0</v>
      </c>
      <c r="C81">
        <f t="shared" si="9"/>
        <v>0</v>
      </c>
      <c r="D81">
        <f t="shared" si="10"/>
        <v>39449.996016795383</v>
      </c>
      <c r="E81">
        <f t="shared" si="11"/>
        <v>-7788.7305923774948</v>
      </c>
      <c r="F81">
        <f t="shared" si="7"/>
        <v>51</v>
      </c>
      <c r="G81">
        <f>IF(N6="None",F81,MAX(0,F81*B81))</f>
        <v>51</v>
      </c>
      <c r="H81">
        <f>IF(N6="None",0,MAX(0,F81-G81))</f>
        <v>0</v>
      </c>
      <c r="I81">
        <f>IF(AND(N7="None",N8="None"),0,IF(N8="None",G81,IF(N7="None",0,MAX(0,G81*C81))))</f>
        <v>0</v>
      </c>
      <c r="J81">
        <f>IF(AND(N7="None",N8="None"),0,IF(N8="None",0,IF(N7="None",G81,MAX(0,G81-I81))))</f>
        <v>51</v>
      </c>
      <c r="K81">
        <f>P5</f>
        <v>637</v>
      </c>
      <c r="L81">
        <f>P6</f>
        <v>637</v>
      </c>
      <c r="M81">
        <f>P7</f>
        <v>635.5</v>
      </c>
      <c r="N81">
        <f>P8</f>
        <v>631.54999999999995</v>
      </c>
      <c r="O81">
        <f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D81)-(K31))))*(MAX($D$16,(D81)-(K31))),0.000001)*MAX(((((G31)+(I31)*(MAX($D$16,(D81)-(K31))))*(MAX($D$16,(D81)-(K31))))/MAX((G31)+2*(MAX($D$16,(D81)-(K31)))*SQRT(1+(I31)^2),0.000001))^(2/3),0.000001)))^2))/2)+(IF((ABS(F81)/MAX(((G31)+(I31)*(MAX($D$16,(D81)-(K31))))*(MAX($D$16,(D81)-(K31))),0.000001))&gt;(ABS(F81)/MAX(((F31)+(H31)*(MAX($D$16,(K81)-(J31))))*(MAX($D$16,(K81)-(J31))),0.000001)),$D$9*((((ABS(F81)/MAX(((G31)+(I31)*(MAX($D$16,(D81)-(K31))))*(MAX($D$16,(D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D81)-(K31))))*(MAX($D$16,(D81)-(K31))),0.000001))^2)/(2*$I$5)))))+($D$10*(ABS((X31)-(W31))/90)*MAX(((ABS(F81)/MAX(((F31)+(H31)*(MAX($D$16,(K81)-(J31))))*(MAX($D$16,(K81)-(J31))),0.000001))^2)/(2*$I$5),((ABS(F81)/MAX(((G31)+(I31)*(MAX($D$16,(D81)-(K31))))*(MAX($D$16,(D81)-(K31))),0.000001))^2)/(2*$I$5)))+(0)-((ABS(F81)/MAX(((G31)+(I31)*(MAX($D$16,(D81)-(K31))))*(MAX($D$16,(D81)-(K31))),0.000001))^2)/(2*$I$5)</f>
        <v>637.65825100972779</v>
      </c>
      <c r="P81">
        <f>E81+((ABS(G81)/MAX(((G32)+(I32)*(MAX($D$16,(E81)-(K32))))*(MAX($D$16,(E81)-(K32))),0.000001))^2)/(2*$I$5)+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F32)+(H32)*(MAX($D$16,(D81)-(J32))))*(MAX($D$16,(D81)-(J32))),0.000001))^2)/(2*$I$5)</f>
        <v>78265.118983018285</v>
      </c>
      <c r="Q81">
        <f>L81+((ABS(H81)/MAX(((G33)+(I33)*(MAX($D$16,(L81)-(K33))))*(MAX($D$16,(L81)-(K33))),0.000001))^2)/(2*$I$5)+((E33)*((((ABS(H81)*$D$6)/(MAX(((F33)+(H33)*(MAX($D$16,(D81)-(J33))))*(MAX($D$16,(D81)-(J33))),0.000001)*MAX(((((F33)+(H33)*(MAX($D$16,(D81)-(J33))))*(MAX($D$16,(D81)-(J33))))/MAX((F33)+2*(MAX($D$16,(D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D81)-(J33))))*(MAX($D$16,(D81)-(J33))),0.000001)),$D$9*((((ABS(H81)/MAX(((G33)+(I33)*(MAX($D$16,(L81)-(K33))))*(MAX($D$16,(L81)-(K33))),0.000001))^2)/(2*$I$5))-(((ABS(H81)/MAX(((F33)+(H33)*(MAX($D$16,(D81)-(J33))))*(MAX($D$16,(D81)-(J33))),0.000001))^2)/(2*$I$5))),$D$8*((((ABS(H81)/MAX(((F33)+(H33)*(MAX($D$16,(D81)-(J33))))*(MAX($D$16,(D81)-(J33))),0.000001))^2)/(2*$I$5))-(((ABS(H81)/MAX(((G33)+(I33)*(MAX($D$16,(L81)-(K33))))*(MAX($D$16,(L81)-(K33))),0.000001))^2)/(2*$I$5)))))+($D$10*(ABS((X33)-(W33))/90)*MAX(((ABS(H81)/MAX(((F33)+(H33)*(MAX($D$16,(D81)-(J33))))*(MAX($D$16,(D81)-(J33))),0.000001))^2)/(2*$I$5),((ABS(H81)/MAX(((G33)+(I33)*(MAX($D$16,(L81)-(K33))))*(MAX($D$16,(L81)-(K33))),0.000001))^2)/(2*$I$5)))+(($D$11*0.00000015*(ABS(G81)/MAX(ABS(F81),0.000001))^2*MAX(((ABS(H81)/MAX(((F33)+(H33)*(MAX($D$16,(D81)-(J33))))*(MAX($D$16,(D81)-(J33))),0.000001))^2)/(2*$I$5),((ABS(H81)/MAX(((G33)+(I33)*(MAX($D$16,(L81)-(K33))))*(MAX($D$16,(L81)-(K33))),0.000001))^2)/(2*$I$5))))-((ABS(H81)/MAX(((F33)+(H33)*(MAX($D$16,(D81)-(J33))))*(MAX($D$16,(D81)-(J33))),0.000001))^2)/(2*$I$5)</f>
        <v>637</v>
      </c>
      <c r="R81">
        <f>D81+((ABS(G81)/MAX(((F32)+(H32)*(MAX($D$16,(D81)-(J32))))*(MAX($D$16,(D81)-(J32))),0.000001))^2)/(2*$I$5)-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G32)+(I32)*(MAX($D$16,(E81)-(K32))))*(MAX($D$16,(E81)-(K32))),0.000001))^2)/(2*$I$5)</f>
        <v>-46381.086492701455</v>
      </c>
      <c r="S81">
        <f>M81+((ABS(I81)/MAX(((G34)+(I34)*(MAX($D$16,(M81)-(K34))))*(MAX($D$16,(M81)-(K34))),0.000001))^2)/(2*$I$5)+((E34)*((((ABS(I81)*$D$6)/(MAX(((F34)+(H34)*(MAX($D$16,(E81)-(J34))))*(MAX($D$16,(E81)-(J34))),0.000001)*MAX(((((F34)+(H34)*(MAX($D$16,(E81)-(J34))))*(MAX($D$16,(E81)-(J34))))/MAX((F34)+2*(MAX($D$16,(E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E81)-(J34))))*(MAX($D$16,(E81)-(J34))),0.000001)),$D$9*((((ABS(I81)/MAX(((G34)+(I34)*(MAX($D$16,(M81)-(K34))))*(MAX($D$16,(M81)-(K34))),0.000001))^2)/(2*$I$5))-(((ABS(I81)/MAX(((F34)+(H34)*(MAX($D$16,(E81)-(J34))))*(MAX($D$16,(E81)-(J34))),0.000001))^2)/(2*$I$5))),$D$8*((((ABS(I81)/MAX(((F34)+(H34)*(MAX($D$16,(E81)-(J34))))*(MAX($D$16,(E81)-(J34))),0.000001))^2)/(2*$I$5))-(((ABS(I81)/MAX(((G34)+(I34)*(MAX($D$16,(M81)-(K34))))*(MAX($D$16,(M81)-(K34))),0.000001))^2)/(2*$I$5)))))+($D$10*(ABS((X34)-(W34))/90)*MAX(((ABS(I81)/MAX(((F34)+(H34)*(MAX($D$16,(E81)-(J34))))*(MAX($D$16,(E81)-(J34))),0.000001))^2)/(2*$I$5),((ABS(I81)/MAX(((G34)+(I34)*(MAX($D$16,(M81)-(K34))))*(MAX($D$16,(M81)-(K34))),0.000001))^2)/(2*$I$5)))+(0)-((ABS(I81)/MAX(((F34)+(H34)*(MAX($D$16,(E81)-(J34))))*(MAX($D$16,(E81)-(J34))),0.000001))^2)/(2*$I$5)</f>
        <v>635.5</v>
      </c>
      <c r="T81">
        <f>N81+((ABS(J81)/MAX(((G35)+(I35)*(MAX($D$16,(N81)-(K35))))*(MAX($D$16,(N81)-(K35))),0.000001))^2)/(2*$I$5)+((E35)*((((ABS(J81)*$D$6)/(MAX(((F35)+(H35)*(MAX($D$16,(E81)-(J35))))*(MAX($D$16,(E81)-(J35))),0.000001)*MAX(((((F35)+(H35)*(MAX($D$16,(E81)-(J35))))*(MAX($D$16,(E81)-(J35))))/MAX((F35)+2*(MAX($D$16,(E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E81)-(J35))))*(MAX($D$16,(E81)-(J35))),0.000001)),$D$9*((((ABS(J81)/MAX(((G35)+(I35)*(MAX($D$16,(N81)-(K35))))*(MAX($D$16,(N81)-(K35))),0.000001))^2)/(2*$I$5))-(((ABS(J81)/MAX(((F35)+(H35)*(MAX($D$16,(E81)-(J35))))*(MAX($D$16,(E81)-(J35))),0.000001))^2)/(2*$I$5))),$D$8*((((ABS(J81)/MAX(((F35)+(H35)*(MAX($D$16,(E81)-(J35))))*(MAX($D$16,(E81)-(J35))),0.000001))^2)/(2*$I$5))-(((ABS(J81)/MAX(((G35)+(I35)*(MAX($D$16,(N81)-(K35))))*(MAX($D$16,(N81)-(K35))),0.000001))^2)/(2*$I$5)))))+($D$10*(ABS((X35)-(W35))/90)*MAX(((ABS(J81)/MAX(((F35)+(H35)*(MAX($D$16,(E81)-(J35))))*(MAX($D$16,(E81)-(J35))),0.000001))^2)/(2*$I$5),((ABS(J81)/MAX(((G35)+(I35)*(MAX($D$16,(N81)-(K35))))*(MAX($D$16,(N81)-(K35))),0.000001))^2)/(2*$I$5)))+(($D$11*0.34699541*(ABS(I81)/MAX(ABS(G81),0.000001))^2*MAX(((ABS(J81)/MAX(((F35)+(H35)*(MAX($D$16,(E81)-(J35))))*(MAX($D$16,(E81)-(J35))),0.000001))^2)/(2*$I$5),((ABS(J81)/MAX(((G35)+(I35)*(MAX($D$16,(N81)-(K35))))*(MAX($D$16,(N81)-(K35))),0.000001))^2)/(2*$I$5))))-((ABS(J81)/MAX(((F35)+(H35)*(MAX($D$16,(E81)-(J35))))*(MAX($D$16,(E81)-(J35))),0.000001))^2)/(2*$I$5)</f>
        <v>22382.80587457701</v>
      </c>
      <c r="U81">
        <f>(((((F32)*(MAX($D$16,(D81)-(J32)))^2)/2+(H32)*(MAX($D$16,(D81)-(J32)))^3/3+(ABS(G81)^2)/($I$5*MAX(((F32)+(H32)*(MAX($D$16,(D81)-(J32))))*(MAX($D$16,(D81)-(J32))),0.000001)))*0.72785025)-((((F33)*(MAX($D$16,(D81)-(J33)))^2)/2+(H33)*(MAX($D$16,(D81)-(J33)))^3/3+(ABS(H81)^2)/($I$5*MAX(((F33)+(H33)*(MAX($D$16,(D81)-(J33))))*(MAX($D$16,(D81)-(J33))),0.000001)))*0.99999971))/MAX(((G31)*(MAX($D$16,(D81)-(K31)))^2)/2+(I31)*(MAX($D$16,(D81)-(K31)))^3/3+(ABS(F81)^2)/($I$5*MAX(((G31)+(I31)*(MAX($D$16,(D81)-(K31))))*(MAX($D$16,(D81)-(K31))),0.000001)),0.000001)</f>
        <v>-0.27214945999978912</v>
      </c>
      <c r="V81">
        <f>(((((F34)*(MAX($D$16,(E81)-(J34)))^2)/2+(H34)*(MAX($D$16,(E81)-(J34)))^3/3+(ABS(I81)^2)/($I$5*MAX(((F34)+(H34)*(MAX($D$16,(E81)-(J34))))*(MAX($D$16,(E81)-(J34))),0.000001)))*1)-((((F35)*(MAX($D$16,(E81)-(J35)))^2)/2+(H35)*(MAX($D$16,(E81)-(J35)))^3/3+(ABS(J81)^2)/($I$5*MAX(((F35)+(H35)*(MAX($D$16,(E81)-(J35))))*(MAX($D$16,(E81)-(J35))),0.000001)))*0.30600918))/MAX(((G32)*(MAX($D$16,(E81)-(K32)))^2)/2+(I32)*(MAX($D$16,(E81)-(K32)))^3/3+(ABS(G81)^2)/($I$5*MAX(((G32)+(I32)*(MAX($D$16,(E81)-(K32))))*(MAX($D$16,(E81)-(K32))),0.000001)),0.000001)</f>
        <v>-0.30598462674144999</v>
      </c>
      <c r="W81">
        <f>IF(N6="None",MAX(ABS(O81-D81),ABS(P81-D81)),MAX(ABS(O81-D81),ABS(P81-D81),ABS(Q81-D81)))</f>
        <v>38815.122966222902</v>
      </c>
      <c r="X81">
        <f>IF(AND(N7="None",N8="None"),ABS(R81-E81),IF(N8="None",MAX(ABS(R81-E81),ABS(S81-E81)),IF(N7="None",MAX(ABS(R81-E81),ABS(T81-E81)),MAX(ABS(R81-E81),ABS(S81-E81),ABS(T81-E81)))))</f>
        <v>38592.355900323964</v>
      </c>
      <c r="AA81">
        <f>D81+$D$13*(IF(N6="None",AVERAGE(O81:P81),AVERAGE(O81:Q81))-D81)</f>
        <v>39450.483426871899</v>
      </c>
      <c r="AB81">
        <f>E81+$D$13*(IF(AND(N7="None",N8="None"),R81,IF(N8="None",AVERAGE(R81:S81),IF(N7="None",AVERAGE(R81,T81),AVERAGE(R81:T81))))-E81)</f>
        <v>-7788.3326238265572</v>
      </c>
    </row>
    <row r="82" spans="1:28" x14ac:dyDescent="0.35">
      <c r="A82">
        <v>39</v>
      </c>
      <c r="B82">
        <f t="shared" si="8"/>
        <v>0</v>
      </c>
      <c r="C82">
        <f t="shared" si="9"/>
        <v>0</v>
      </c>
      <c r="D82">
        <f t="shared" si="10"/>
        <v>39450.483426871899</v>
      </c>
      <c r="E82">
        <f t="shared" si="11"/>
        <v>-7788.3326238265572</v>
      </c>
      <c r="F82">
        <f t="shared" si="7"/>
        <v>51</v>
      </c>
      <c r="G82">
        <f>IF(N6="None",F82,MAX(0,F82*B82))</f>
        <v>51</v>
      </c>
      <c r="H82">
        <f>IF(N6="None",0,MAX(0,F82-G82))</f>
        <v>0</v>
      </c>
      <c r="I82">
        <f>IF(AND(N7="None",N8="None"),0,IF(N8="None",G82,IF(N7="None",0,MAX(0,G82*C82))))</f>
        <v>0</v>
      </c>
      <c r="J82">
        <f>IF(AND(N7="None",N8="None"),0,IF(N8="None",0,IF(N7="None",G82,MAX(0,G82-I82))))</f>
        <v>51</v>
      </c>
      <c r="K82">
        <f>P5</f>
        <v>637</v>
      </c>
      <c r="L82">
        <f>P6</f>
        <v>637</v>
      </c>
      <c r="M82">
        <f>P7</f>
        <v>635.5</v>
      </c>
      <c r="N82">
        <f>P8</f>
        <v>631.54999999999995</v>
      </c>
      <c r="O82">
        <f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D82)-(K31))))*(MAX($D$16,(D82)-(K31))),0.000001)*MAX(((((G31)+(I31)*(MAX($D$16,(D82)-(K31))))*(MAX($D$16,(D82)-(K31))))/MAX((G31)+2*(MAX($D$16,(D82)-(K31)))*SQRT(1+(I31)^2),0.000001))^(2/3),0.000001)))^2))/2)+(IF((ABS(F82)/MAX(((G31)+(I31)*(MAX($D$16,(D82)-(K31))))*(MAX($D$16,(D82)-(K31))),0.000001))&gt;(ABS(F82)/MAX(((F31)+(H31)*(MAX($D$16,(K82)-(J31))))*(MAX($D$16,(K82)-(J31))),0.000001)),$D$9*((((ABS(F82)/MAX(((G31)+(I31)*(MAX($D$16,(D82)-(K31))))*(MAX($D$16,(D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D82)-(K31))))*(MAX($D$16,(D82)-(K31))),0.000001))^2)/(2*$I$5)))))+($D$10*(ABS((X31)-(W31))/90)*MAX(((ABS(F82)/MAX(((F31)+(H31)*(MAX($D$16,(K82)-(J31))))*(MAX($D$16,(K82)-(J31))),0.000001))^2)/(2*$I$5),((ABS(F82)/MAX(((G31)+(I31)*(MAX($D$16,(D82)-(K31))))*(MAX($D$16,(D82)-(K31))),0.000001))^2)/(2*$I$5)))+(0)-((ABS(F82)/MAX(((G31)+(I31)*(MAX($D$16,(D82)-(K31))))*(MAX($D$16,(D82)-(K31))),0.000001))^2)/(2*$I$5)</f>
        <v>637.65825100972791</v>
      </c>
      <c r="P82">
        <f>E82+((ABS(G82)/MAX(((G32)+(I32)*(MAX($D$16,(E82)-(K32))))*(MAX($D$16,(E82)-(K32))),0.000001))^2)/(2*$I$5)+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F32)+(H32)*(MAX($D$16,(D82)-(J32))))*(MAX($D$16,(D82)-(J32))),0.000001))^2)/(2*$I$5)</f>
        <v>78265.516951569225</v>
      </c>
      <c r="Q82">
        <f>L82+((ABS(H82)/MAX(((G33)+(I33)*(MAX($D$16,(L82)-(K33))))*(MAX($D$16,(L82)-(K33))),0.000001))^2)/(2*$I$5)+((E33)*((((ABS(H82)*$D$6)/(MAX(((F33)+(H33)*(MAX($D$16,(D82)-(J33))))*(MAX($D$16,(D82)-(J33))),0.000001)*MAX(((((F33)+(H33)*(MAX($D$16,(D82)-(J33))))*(MAX($D$16,(D82)-(J33))))/MAX((F33)+2*(MAX($D$16,(D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D82)-(J33))))*(MAX($D$16,(D82)-(J33))),0.000001)),$D$9*((((ABS(H82)/MAX(((G33)+(I33)*(MAX($D$16,(L82)-(K33))))*(MAX($D$16,(L82)-(K33))),0.000001))^2)/(2*$I$5))-(((ABS(H82)/MAX(((F33)+(H33)*(MAX($D$16,(D82)-(J33))))*(MAX($D$16,(D82)-(J33))),0.000001))^2)/(2*$I$5))),$D$8*((((ABS(H82)/MAX(((F33)+(H33)*(MAX($D$16,(D82)-(J33))))*(MAX($D$16,(D82)-(J33))),0.000001))^2)/(2*$I$5))-(((ABS(H82)/MAX(((G33)+(I33)*(MAX($D$16,(L82)-(K33))))*(MAX($D$16,(L82)-(K33))),0.000001))^2)/(2*$I$5)))))+($D$10*(ABS((X33)-(W33))/90)*MAX(((ABS(H82)/MAX(((F33)+(H33)*(MAX($D$16,(D82)-(J33))))*(MAX($D$16,(D82)-(J33))),0.000001))^2)/(2*$I$5),((ABS(H82)/MAX(((G33)+(I33)*(MAX($D$16,(L82)-(K33))))*(MAX($D$16,(L82)-(K33))),0.000001))^2)/(2*$I$5)))+(($D$11*0.00000015*(ABS(G82)/MAX(ABS(F82),0.000001))^2*MAX(((ABS(H82)/MAX(((F33)+(H33)*(MAX($D$16,(D82)-(J33))))*(MAX($D$16,(D82)-(J33))),0.000001))^2)/(2*$I$5),((ABS(H82)/MAX(((G33)+(I33)*(MAX($D$16,(L82)-(K33))))*(MAX($D$16,(L82)-(K33))),0.000001))^2)/(2*$I$5))))-((ABS(H82)/MAX(((F33)+(H33)*(MAX($D$16,(D82)-(J33))))*(MAX($D$16,(D82)-(J33))),0.000001))^2)/(2*$I$5)</f>
        <v>637</v>
      </c>
      <c r="R82">
        <f>D82+((ABS(G82)/MAX(((F32)+(H32)*(MAX($D$16,(D82)-(J32))))*(MAX($D$16,(D82)-(J32))),0.000001))^2)/(2*$I$5)-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G32)+(I32)*(MAX($D$16,(E82)-(K32))))*(MAX($D$16,(E82)-(K32))),0.000001))^2)/(2*$I$5)</f>
        <v>-46380.59908262494</v>
      </c>
      <c r="S82">
        <f>M82+((ABS(I82)/MAX(((G34)+(I34)*(MAX($D$16,(M82)-(K34))))*(MAX($D$16,(M82)-(K34))),0.000001))^2)/(2*$I$5)+((E34)*((((ABS(I82)*$D$6)/(MAX(((F34)+(H34)*(MAX($D$16,(E82)-(J34))))*(MAX($D$16,(E82)-(J34))),0.000001)*MAX(((((F34)+(H34)*(MAX($D$16,(E82)-(J34))))*(MAX($D$16,(E82)-(J34))))/MAX((F34)+2*(MAX($D$16,(E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E82)-(J34))))*(MAX($D$16,(E82)-(J34))),0.000001)),$D$9*((((ABS(I82)/MAX(((G34)+(I34)*(MAX($D$16,(M82)-(K34))))*(MAX($D$16,(M82)-(K34))),0.000001))^2)/(2*$I$5))-(((ABS(I82)/MAX(((F34)+(H34)*(MAX($D$16,(E82)-(J34))))*(MAX($D$16,(E82)-(J34))),0.000001))^2)/(2*$I$5))),$D$8*((((ABS(I82)/MAX(((F34)+(H34)*(MAX($D$16,(E82)-(J34))))*(MAX($D$16,(E82)-(J34))),0.000001))^2)/(2*$I$5))-(((ABS(I82)/MAX(((G34)+(I34)*(MAX($D$16,(M82)-(K34))))*(MAX($D$16,(M82)-(K34))),0.000001))^2)/(2*$I$5)))))+($D$10*(ABS((X34)-(W34))/90)*MAX(((ABS(I82)/MAX(((F34)+(H34)*(MAX($D$16,(E82)-(J34))))*(MAX($D$16,(E82)-(J34))),0.000001))^2)/(2*$I$5),((ABS(I82)/MAX(((G34)+(I34)*(MAX($D$16,(M82)-(K34))))*(MAX($D$16,(M82)-(K34))),0.000001))^2)/(2*$I$5)))+(0)-((ABS(I82)/MAX(((F34)+(H34)*(MAX($D$16,(E82)-(J34))))*(MAX($D$16,(E82)-(J34))),0.000001))^2)/(2*$I$5)</f>
        <v>635.5</v>
      </c>
      <c r="T82">
        <f>N82+((ABS(J82)/MAX(((G35)+(I35)*(MAX($D$16,(N82)-(K35))))*(MAX($D$16,(N82)-(K35))),0.000001))^2)/(2*$I$5)+((E35)*((((ABS(J82)*$D$6)/(MAX(((F35)+(H35)*(MAX($D$16,(E82)-(J35))))*(MAX($D$16,(E82)-(J35))),0.000001)*MAX(((((F35)+(H35)*(MAX($D$16,(E82)-(J35))))*(MAX($D$16,(E82)-(J35))))/MAX((F35)+2*(MAX($D$16,(E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E82)-(J35))))*(MAX($D$16,(E82)-(J35))),0.000001)),$D$9*((((ABS(J82)/MAX(((G35)+(I35)*(MAX($D$16,(N82)-(K35))))*(MAX($D$16,(N82)-(K35))),0.000001))^2)/(2*$I$5))-(((ABS(J82)/MAX(((F35)+(H35)*(MAX($D$16,(E82)-(J35))))*(MAX($D$16,(E82)-(J35))),0.000001))^2)/(2*$I$5))),$D$8*((((ABS(J82)/MAX(((F35)+(H35)*(MAX($D$16,(E82)-(J35))))*(MAX($D$16,(E82)-(J35))),0.000001))^2)/(2*$I$5))-(((ABS(J82)/MAX(((G35)+(I35)*(MAX($D$16,(N82)-(K35))))*(MAX($D$16,(N82)-(K35))),0.000001))^2)/(2*$I$5)))))+($D$10*(ABS((X35)-(W35))/90)*MAX(((ABS(J82)/MAX(((F35)+(H35)*(MAX($D$16,(E82)-(J35))))*(MAX($D$16,(E82)-(J35))),0.000001))^2)/(2*$I$5),((ABS(J82)/MAX(((G35)+(I35)*(MAX($D$16,(N82)-(K35))))*(MAX($D$16,(N82)-(K35))),0.000001))^2)/(2*$I$5)))+(($D$11*0.34699541*(ABS(I82)/MAX(ABS(G82),0.000001))^2*MAX(((ABS(J82)/MAX(((F35)+(H35)*(MAX($D$16,(E82)-(J35))))*(MAX($D$16,(E82)-(J35))),0.000001))^2)/(2*$I$5),((ABS(J82)/MAX(((G35)+(I35)*(MAX($D$16,(N82)-(K35))))*(MAX($D$16,(N82)-(K35))),0.000001))^2)/(2*$I$5))))-((ABS(J82)/MAX(((F35)+(H35)*(MAX($D$16,(E82)-(J35))))*(MAX($D$16,(E82)-(J35))),0.000001))^2)/(2*$I$5)</f>
        <v>22382.80587457701</v>
      </c>
      <c r="U82">
        <f>(((((F32)*(MAX($D$16,(D82)-(J32)))^2)/2+(H32)*(MAX($D$16,(D82)-(J32)))^3/3+(ABS(G82)^2)/($I$5*MAX(((F32)+(H32)*(MAX($D$16,(D82)-(J32))))*(MAX($D$16,(D82)-(J32))),0.000001)))*0.72785025)-((((F33)*(MAX($D$16,(D82)-(J33)))^2)/2+(H33)*(MAX($D$16,(D82)-(J33)))^3/3+(ABS(H82)^2)/($I$5*MAX(((F33)+(H33)*(MAX($D$16,(D82)-(J33))))*(MAX($D$16,(D82)-(J33))),0.000001)))*0.99999971))/MAX(((G31)*(MAX($D$16,(D82)-(K31)))^2)/2+(I31)*(MAX($D$16,(D82)-(K31)))^3/3+(ABS(F82)^2)/($I$5*MAX(((G31)+(I31)*(MAX($D$16,(D82)-(K31))))*(MAX($D$16,(D82)-(K31))),0.000001)),0.000001)</f>
        <v>-0.27214945999978907</v>
      </c>
      <c r="V82">
        <f>(((((F34)*(MAX($D$16,(E82)-(J34)))^2)/2+(H34)*(MAX($D$16,(E82)-(J34)))^3/3+(ABS(I82)^2)/($I$5*MAX(((F34)+(H34)*(MAX($D$16,(E82)-(J34))))*(MAX($D$16,(E82)-(J34))),0.000001)))*1)-((((F35)*(MAX($D$16,(E82)-(J35)))^2)/2+(H35)*(MAX($D$16,(E82)-(J35)))^3/3+(ABS(J82)^2)/($I$5*MAX(((F35)+(H35)*(MAX($D$16,(E82)-(J35))))*(MAX($D$16,(E82)-(J35))),0.000001)))*0.30600918))/MAX(((G32)*(MAX($D$16,(E82)-(K32)))^2)/2+(I32)*(MAX($D$16,(E82)-(K32)))^3/3+(ABS(G82)^2)/($I$5*MAX(((G32)+(I32)*(MAX($D$16,(E82)-(K32))))*(MAX($D$16,(E82)-(K32))),0.000001)),0.000001)</f>
        <v>-0.30598462674144999</v>
      </c>
      <c r="W82">
        <f>IF(N6="None",MAX(ABS(O82-D82),ABS(P82-D82)),MAX(ABS(O82-D82),ABS(P82-D82),ABS(Q82-D82)))</f>
        <v>38815.033524697326</v>
      </c>
      <c r="X82">
        <f>IF(AND(N7="None",N8="None"),ABS(R82-E82),IF(N8="None",MAX(ABS(R82-E82),ABS(S82-E82)),IF(N7="None",MAX(ABS(R82-E82),ABS(T82-E82)),MAX(ABS(R82-E82),ABS(S82-E82),ABS(T82-E82)))))</f>
        <v>38592.266458798382</v>
      </c>
      <c r="AA82">
        <f>D82+$D$13*(IF(N6="None",AVERAGE(O82:P82),AVERAGE(O82:Q82))-D82)</f>
        <v>39450.869887918052</v>
      </c>
      <c r="AB82">
        <f>E82+$D$13*(IF(AND(N7="None",N8="None"),R82,IF(N8="None",AVERAGE(R82:S82),IF(N7="None",AVERAGE(R82,T82),AVERAGE(R82:T82))))-E82)</f>
        <v>-7788.017079759521</v>
      </c>
    </row>
    <row r="83" spans="1:28" x14ac:dyDescent="0.35">
      <c r="A83">
        <v>40</v>
      </c>
      <c r="B83">
        <f t="shared" si="8"/>
        <v>0</v>
      </c>
      <c r="C83">
        <f t="shared" si="9"/>
        <v>0</v>
      </c>
      <c r="D83">
        <f t="shared" si="10"/>
        <v>39450.869887918052</v>
      </c>
      <c r="E83">
        <f t="shared" si="11"/>
        <v>-7788.017079759521</v>
      </c>
      <c r="F83">
        <f t="shared" si="7"/>
        <v>51</v>
      </c>
      <c r="G83">
        <f>IF(N6="None",F83,MAX(0,F83*B83))</f>
        <v>51</v>
      </c>
      <c r="H83">
        <f>IF(N6="None",0,MAX(0,F83-G83))</f>
        <v>0</v>
      </c>
      <c r="I83">
        <f>IF(AND(N7="None",N8="None"),0,IF(N8="None",G83,IF(N7="None",0,MAX(0,G83*C83))))</f>
        <v>0</v>
      </c>
      <c r="J83">
        <f>IF(AND(N7="None",N8="None"),0,IF(N8="None",0,IF(N7="None",G83,MAX(0,G83-I83))))</f>
        <v>51</v>
      </c>
      <c r="K83">
        <f>P5</f>
        <v>637</v>
      </c>
      <c r="L83">
        <f>P6</f>
        <v>637</v>
      </c>
      <c r="M83">
        <f>P7</f>
        <v>635.5</v>
      </c>
      <c r="N83">
        <f>P8</f>
        <v>631.54999999999995</v>
      </c>
      <c r="O83">
        <f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D83)-(K31))))*(MAX($D$16,(D83)-(K31))),0.000001)*MAX(((((G31)+(I31)*(MAX($D$16,(D83)-(K31))))*(MAX($D$16,(D83)-(K31))))/MAX((G31)+2*(MAX($D$16,(D83)-(K31)))*SQRT(1+(I31)^2),0.000001))^(2/3),0.000001)))^2))/2)+(IF((ABS(F83)/MAX(((G31)+(I31)*(MAX($D$16,(D83)-(K31))))*(MAX($D$16,(D83)-(K31))),0.000001))&gt;(ABS(F83)/MAX(((F31)+(H31)*(MAX($D$16,(K83)-(J31))))*(MAX($D$16,(K83)-(J31))),0.000001)),$D$9*((((ABS(F83)/MAX(((G31)+(I31)*(MAX($D$16,(D83)-(K31))))*(MAX($D$16,(D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D83)-(K31))))*(MAX($D$16,(D83)-(K31))),0.000001))^2)/(2*$I$5)))))+($D$10*(ABS((X31)-(W31))/90)*MAX(((ABS(F83)/MAX(((F31)+(H31)*(MAX($D$16,(K83)-(J31))))*(MAX($D$16,(K83)-(J31))),0.000001))^2)/(2*$I$5),((ABS(F83)/MAX(((G31)+(I31)*(MAX($D$16,(D83)-(K31))))*(MAX($D$16,(D83)-(K31))),0.000001))^2)/(2*$I$5)))+(0)-((ABS(F83)/MAX(((G31)+(I31)*(MAX($D$16,(D83)-(K31))))*(MAX($D$16,(D83)-(K31))),0.000001))^2)/(2*$I$5)</f>
        <v>637.65825100972791</v>
      </c>
      <c r="P83">
        <f>E83+((ABS(G83)/MAX(((G32)+(I32)*(MAX($D$16,(E83)-(K32))))*(MAX($D$16,(E83)-(K32))),0.000001))^2)/(2*$I$5)+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F32)+(H32)*(MAX($D$16,(D83)-(J32))))*(MAX($D$16,(D83)-(J32))),0.000001))^2)/(2*$I$5)</f>
        <v>78265.832495636263</v>
      </c>
      <c r="Q83">
        <f>L83+((ABS(H83)/MAX(((G33)+(I33)*(MAX($D$16,(L83)-(K33))))*(MAX($D$16,(L83)-(K33))),0.000001))^2)/(2*$I$5)+((E33)*((((ABS(H83)*$D$6)/(MAX(((F33)+(H33)*(MAX($D$16,(D83)-(J33))))*(MAX($D$16,(D83)-(J33))),0.000001)*MAX(((((F33)+(H33)*(MAX($D$16,(D83)-(J33))))*(MAX($D$16,(D83)-(J33))))/MAX((F33)+2*(MAX($D$16,(D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D83)-(J33))))*(MAX($D$16,(D83)-(J33))),0.000001)),$D$9*((((ABS(H83)/MAX(((G33)+(I33)*(MAX($D$16,(L83)-(K33))))*(MAX($D$16,(L83)-(K33))),0.000001))^2)/(2*$I$5))-(((ABS(H83)/MAX(((F33)+(H33)*(MAX($D$16,(D83)-(J33))))*(MAX($D$16,(D83)-(J33))),0.000001))^2)/(2*$I$5))),$D$8*((((ABS(H83)/MAX(((F33)+(H33)*(MAX($D$16,(D83)-(J33))))*(MAX($D$16,(D83)-(J33))),0.000001))^2)/(2*$I$5))-(((ABS(H83)/MAX(((G33)+(I33)*(MAX($D$16,(L83)-(K33))))*(MAX($D$16,(L83)-(K33))),0.000001))^2)/(2*$I$5)))))+($D$10*(ABS((X33)-(W33))/90)*MAX(((ABS(H83)/MAX(((F33)+(H33)*(MAX($D$16,(D83)-(J33))))*(MAX($D$16,(D83)-(J33))),0.000001))^2)/(2*$I$5),((ABS(H83)/MAX(((G33)+(I33)*(MAX($D$16,(L83)-(K33))))*(MAX($D$16,(L83)-(K33))),0.000001))^2)/(2*$I$5)))+(($D$11*0.00000015*(ABS(G83)/MAX(ABS(F83),0.000001))^2*MAX(((ABS(H83)/MAX(((F33)+(H33)*(MAX($D$16,(D83)-(J33))))*(MAX($D$16,(D83)-(J33))),0.000001))^2)/(2*$I$5),((ABS(H83)/MAX(((G33)+(I33)*(MAX($D$16,(L83)-(K33))))*(MAX($D$16,(L83)-(K33))),0.000001))^2)/(2*$I$5))))-((ABS(H83)/MAX(((F33)+(H33)*(MAX($D$16,(D83)-(J33))))*(MAX($D$16,(D83)-(J33))),0.000001))^2)/(2*$I$5)</f>
        <v>637</v>
      </c>
      <c r="R83">
        <f>D83+((ABS(G83)/MAX(((F32)+(H32)*(MAX($D$16,(D83)-(J32))))*(MAX($D$16,(D83)-(J32))),0.000001))^2)/(2*$I$5)-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G32)+(I32)*(MAX($D$16,(E83)-(K32))))*(MAX($D$16,(E83)-(K32))),0.000001))^2)/(2*$I$5)</f>
        <v>-46380.212621578787</v>
      </c>
      <c r="S83">
        <f>M83+((ABS(I83)/MAX(((G34)+(I34)*(MAX($D$16,(M83)-(K34))))*(MAX($D$16,(M83)-(K34))),0.000001))^2)/(2*$I$5)+((E34)*((((ABS(I83)*$D$6)/(MAX(((F34)+(H34)*(MAX($D$16,(E83)-(J34))))*(MAX($D$16,(E83)-(J34))),0.000001)*MAX(((((F34)+(H34)*(MAX($D$16,(E83)-(J34))))*(MAX($D$16,(E83)-(J34))))/MAX((F34)+2*(MAX($D$16,(E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E83)-(J34))))*(MAX($D$16,(E83)-(J34))),0.000001)),$D$9*((((ABS(I83)/MAX(((G34)+(I34)*(MAX($D$16,(M83)-(K34))))*(MAX($D$16,(M83)-(K34))),0.000001))^2)/(2*$I$5))-(((ABS(I83)/MAX(((F34)+(H34)*(MAX($D$16,(E83)-(J34))))*(MAX($D$16,(E83)-(J34))),0.000001))^2)/(2*$I$5))),$D$8*((((ABS(I83)/MAX(((F34)+(H34)*(MAX($D$16,(E83)-(J34))))*(MAX($D$16,(E83)-(J34))),0.000001))^2)/(2*$I$5))-(((ABS(I83)/MAX(((G34)+(I34)*(MAX($D$16,(M83)-(K34))))*(MAX($D$16,(M83)-(K34))),0.000001))^2)/(2*$I$5)))))+($D$10*(ABS((X34)-(W34))/90)*MAX(((ABS(I83)/MAX(((F34)+(H34)*(MAX($D$16,(E83)-(J34))))*(MAX($D$16,(E83)-(J34))),0.000001))^2)/(2*$I$5),((ABS(I83)/MAX(((G34)+(I34)*(MAX($D$16,(M83)-(K34))))*(MAX($D$16,(M83)-(K34))),0.000001))^2)/(2*$I$5)))+(0)-((ABS(I83)/MAX(((F34)+(H34)*(MAX($D$16,(E83)-(J34))))*(MAX($D$16,(E83)-(J34))),0.000001))^2)/(2*$I$5)</f>
        <v>635.5</v>
      </c>
      <c r="T83">
        <f>N83+((ABS(J83)/MAX(((G35)+(I35)*(MAX($D$16,(N83)-(K35))))*(MAX($D$16,(N83)-(K35))),0.000001))^2)/(2*$I$5)+((E35)*((((ABS(J83)*$D$6)/(MAX(((F35)+(H35)*(MAX($D$16,(E83)-(J35))))*(MAX($D$16,(E83)-(J35))),0.000001)*MAX(((((F35)+(H35)*(MAX($D$16,(E83)-(J35))))*(MAX($D$16,(E83)-(J35))))/MAX((F35)+2*(MAX($D$16,(E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E83)-(J35))))*(MAX($D$16,(E83)-(J35))),0.000001)),$D$9*((((ABS(J83)/MAX(((G35)+(I35)*(MAX($D$16,(N83)-(K35))))*(MAX($D$16,(N83)-(K35))),0.000001))^2)/(2*$I$5))-(((ABS(J83)/MAX(((F35)+(H35)*(MAX($D$16,(E83)-(J35))))*(MAX($D$16,(E83)-(J35))),0.000001))^2)/(2*$I$5))),$D$8*((((ABS(J83)/MAX(((F35)+(H35)*(MAX($D$16,(E83)-(J35))))*(MAX($D$16,(E83)-(J35))),0.000001))^2)/(2*$I$5))-(((ABS(J83)/MAX(((G35)+(I35)*(MAX($D$16,(N83)-(K35))))*(MAX($D$16,(N83)-(K35))),0.000001))^2)/(2*$I$5)))))+($D$10*(ABS((X35)-(W35))/90)*MAX(((ABS(J83)/MAX(((F35)+(H35)*(MAX($D$16,(E83)-(J35))))*(MAX($D$16,(E83)-(J35))),0.000001))^2)/(2*$I$5),((ABS(J83)/MAX(((G35)+(I35)*(MAX($D$16,(N83)-(K35))))*(MAX($D$16,(N83)-(K35))),0.000001))^2)/(2*$I$5)))+(($D$11*0.34699541*(ABS(I83)/MAX(ABS(G83),0.000001))^2*MAX(((ABS(J83)/MAX(((F35)+(H35)*(MAX($D$16,(E83)-(J35))))*(MAX($D$16,(E83)-(J35))),0.000001))^2)/(2*$I$5),((ABS(J83)/MAX(((G35)+(I35)*(MAX($D$16,(N83)-(K35))))*(MAX($D$16,(N83)-(K35))),0.000001))^2)/(2*$I$5))))-((ABS(J83)/MAX(((F35)+(H35)*(MAX($D$16,(E83)-(J35))))*(MAX($D$16,(E83)-(J35))),0.000001))^2)/(2*$I$5)</f>
        <v>22382.80587457701</v>
      </c>
      <c r="U83">
        <f>(((((F32)*(MAX($D$16,(D83)-(J32)))^2)/2+(H32)*(MAX($D$16,(D83)-(J32)))^3/3+(ABS(G83)^2)/($I$5*MAX(((F32)+(H32)*(MAX($D$16,(D83)-(J32))))*(MAX($D$16,(D83)-(J32))),0.000001)))*0.72785025)-((((F33)*(MAX($D$16,(D83)-(J33)))^2)/2+(H33)*(MAX($D$16,(D83)-(J33)))^3/3+(ABS(H83)^2)/($I$5*MAX(((F33)+(H33)*(MAX($D$16,(D83)-(J33))))*(MAX($D$16,(D83)-(J33))),0.000001)))*0.99999971))/MAX(((G31)*(MAX($D$16,(D83)-(K31)))^2)/2+(I31)*(MAX($D$16,(D83)-(K31)))^3/3+(ABS(F83)^2)/($I$5*MAX(((G31)+(I31)*(MAX($D$16,(D83)-(K31))))*(MAX($D$16,(D83)-(K31))),0.000001)),0.000001)</f>
        <v>-0.27214945999978918</v>
      </c>
      <c r="V83">
        <f>(((((F34)*(MAX($D$16,(E83)-(J34)))^2)/2+(H34)*(MAX($D$16,(E83)-(J34)))^3/3+(ABS(I83)^2)/($I$5*MAX(((F34)+(H34)*(MAX($D$16,(E83)-(J34))))*(MAX($D$16,(E83)-(J34))),0.000001)))*1)-((((F35)*(MAX($D$16,(E83)-(J35)))^2)/2+(H35)*(MAX($D$16,(E83)-(J35)))^3/3+(ABS(J83)^2)/($I$5*MAX(((F35)+(H35)*(MAX($D$16,(E83)-(J35))))*(MAX($D$16,(E83)-(J35))),0.000001)))*0.30600918))/MAX(((G32)*(MAX($D$16,(E83)-(K32)))^2)/2+(I32)*(MAX($D$16,(E83)-(K32)))^3/3+(ABS(G83)^2)/($I$5*MAX(((G32)+(I32)*(MAX($D$16,(E83)-(K32))))*(MAX($D$16,(E83)-(K32))),0.000001)),0.000001)</f>
        <v>-0.30598462674144999</v>
      </c>
      <c r="W83">
        <f>IF(N6="None",MAX(ABS(O83-D83),ABS(P83-D83)),MAX(ABS(O83-D83),ABS(P83-D83),ABS(Q83-D83)))</f>
        <v>38814.962607718211</v>
      </c>
      <c r="X83">
        <f>IF(AND(N7="None",N8="None"),ABS(R83-E83),IF(N8="None",MAX(ABS(R83-E83),ABS(S83-E83)),IF(N7="None",MAX(ABS(R83-E83),ABS(T83-E83)),MAX(ABS(R83-E83),ABS(S83-E83),ABS(T83-E83)))))</f>
        <v>38592.195541819267</v>
      </c>
      <c r="AA83">
        <f>D83+$D$13*(IF(N6="None",AVERAGE(O83:P83),AVERAGE(O83:Q83))-D83)</f>
        <v>39451.176307809779</v>
      </c>
      <c r="AB83">
        <f>E83+$D$13*(IF(AND(N7="None",N8="None"),R83,IF(N8="None",AVERAGE(R83:S83),IF(N7="None",AVERAGE(R83,T83),AVERAGE(R83:T83))))-E83)</f>
        <v>-7787.7668889938959</v>
      </c>
    </row>
    <row r="84" spans="1:28" x14ac:dyDescent="0.35">
      <c r="A84">
        <v>41</v>
      </c>
      <c r="B84">
        <f t="shared" si="8"/>
        <v>0</v>
      </c>
      <c r="C84">
        <f t="shared" si="9"/>
        <v>0</v>
      </c>
      <c r="D84">
        <f t="shared" si="10"/>
        <v>39451.176307809779</v>
      </c>
      <c r="E84">
        <f t="shared" si="11"/>
        <v>-7787.7668889938959</v>
      </c>
      <c r="F84">
        <f t="shared" si="7"/>
        <v>51</v>
      </c>
      <c r="G84">
        <f>IF(N6="None",F84,MAX(0,F84*B84))</f>
        <v>51</v>
      </c>
      <c r="H84">
        <f>IF(N6="None",0,MAX(0,F84-G84))</f>
        <v>0</v>
      </c>
      <c r="I84">
        <f>IF(AND(N7="None",N8="None"),0,IF(N8="None",G84,IF(N7="None",0,MAX(0,G84*C84))))</f>
        <v>0</v>
      </c>
      <c r="J84">
        <f>IF(AND(N7="None",N8="None"),0,IF(N8="None",0,IF(N7="None",G84,MAX(0,G84-I84))))</f>
        <v>51</v>
      </c>
      <c r="K84">
        <f>P5</f>
        <v>637</v>
      </c>
      <c r="L84">
        <f>P6</f>
        <v>637</v>
      </c>
      <c r="M84">
        <f>P7</f>
        <v>635.5</v>
      </c>
      <c r="N84">
        <f>P8</f>
        <v>631.54999999999995</v>
      </c>
      <c r="O84">
        <f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D84)-(K31))))*(MAX($D$16,(D84)-(K31))),0.000001)*MAX(((((G31)+(I31)*(MAX($D$16,(D84)-(K31))))*(MAX($D$16,(D84)-(K31))))/MAX((G31)+2*(MAX($D$16,(D84)-(K31)))*SQRT(1+(I31)^2),0.000001))^(2/3),0.000001)))^2))/2)+(IF((ABS(F84)/MAX(((G31)+(I31)*(MAX($D$16,(D84)-(K31))))*(MAX($D$16,(D84)-(K31))),0.000001))&gt;(ABS(F84)/MAX(((F31)+(H31)*(MAX($D$16,(K84)-(J31))))*(MAX($D$16,(K84)-(J31))),0.000001)),$D$9*((((ABS(F84)/MAX(((G31)+(I31)*(MAX($D$16,(D84)-(K31))))*(MAX($D$16,(D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D84)-(K31))))*(MAX($D$16,(D84)-(K31))),0.000001))^2)/(2*$I$5)))))+($D$10*(ABS((X31)-(W31))/90)*MAX(((ABS(F84)/MAX(((F31)+(H31)*(MAX($D$16,(K84)-(J31))))*(MAX($D$16,(K84)-(J31))),0.000001))^2)/(2*$I$5),((ABS(F84)/MAX(((G31)+(I31)*(MAX($D$16,(D84)-(K31))))*(MAX($D$16,(D84)-(K31))),0.000001))^2)/(2*$I$5)))+(0)-((ABS(F84)/MAX(((G31)+(I31)*(MAX($D$16,(D84)-(K31))))*(MAX($D$16,(D84)-(K31))),0.000001))^2)/(2*$I$5)</f>
        <v>637.65825100972791</v>
      </c>
      <c r="P84">
        <f>E84+((ABS(G84)/MAX(((G32)+(I32)*(MAX($D$16,(E84)-(K32))))*(MAX($D$16,(E84)-(K32))),0.000001))^2)/(2*$I$5)+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F32)+(H32)*(MAX($D$16,(D84)-(J32))))*(MAX($D$16,(D84)-(J32))),0.000001))^2)/(2*$I$5)</f>
        <v>78266.082686401875</v>
      </c>
      <c r="Q84">
        <f>L84+((ABS(H84)/MAX(((G33)+(I33)*(MAX($D$16,(L84)-(K33))))*(MAX($D$16,(L84)-(K33))),0.000001))^2)/(2*$I$5)+((E33)*((((ABS(H84)*$D$6)/(MAX(((F33)+(H33)*(MAX($D$16,(D84)-(J33))))*(MAX($D$16,(D84)-(J33))),0.000001)*MAX(((((F33)+(H33)*(MAX($D$16,(D84)-(J33))))*(MAX($D$16,(D84)-(J33))))/MAX((F33)+2*(MAX($D$16,(D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D84)-(J33))))*(MAX($D$16,(D84)-(J33))),0.000001)),$D$9*((((ABS(H84)/MAX(((G33)+(I33)*(MAX($D$16,(L84)-(K33))))*(MAX($D$16,(L84)-(K33))),0.000001))^2)/(2*$I$5))-(((ABS(H84)/MAX(((F33)+(H33)*(MAX($D$16,(D84)-(J33))))*(MAX($D$16,(D84)-(J33))),0.000001))^2)/(2*$I$5))),$D$8*((((ABS(H84)/MAX(((F33)+(H33)*(MAX($D$16,(D84)-(J33))))*(MAX($D$16,(D84)-(J33))),0.000001))^2)/(2*$I$5))-(((ABS(H84)/MAX(((G33)+(I33)*(MAX($D$16,(L84)-(K33))))*(MAX($D$16,(L84)-(K33))),0.000001))^2)/(2*$I$5)))))+($D$10*(ABS((X33)-(W33))/90)*MAX(((ABS(H84)/MAX(((F33)+(H33)*(MAX($D$16,(D84)-(J33))))*(MAX($D$16,(D84)-(J33))),0.000001))^2)/(2*$I$5),((ABS(H84)/MAX(((G33)+(I33)*(MAX($D$16,(L84)-(K33))))*(MAX($D$16,(L84)-(K33))),0.000001))^2)/(2*$I$5)))+(($D$11*0.00000015*(ABS(G84)/MAX(ABS(F84),0.000001))^2*MAX(((ABS(H84)/MAX(((F33)+(H33)*(MAX($D$16,(D84)-(J33))))*(MAX($D$16,(D84)-(J33))),0.000001))^2)/(2*$I$5),((ABS(H84)/MAX(((G33)+(I33)*(MAX($D$16,(L84)-(K33))))*(MAX($D$16,(L84)-(K33))),0.000001))^2)/(2*$I$5))))-((ABS(H84)/MAX(((F33)+(H33)*(MAX($D$16,(D84)-(J33))))*(MAX($D$16,(D84)-(J33))),0.000001))^2)/(2*$I$5)</f>
        <v>637</v>
      </c>
      <c r="R84">
        <f>D84+((ABS(G84)/MAX(((F32)+(H32)*(MAX($D$16,(D84)-(J32))))*(MAX($D$16,(D84)-(J32))),0.000001))^2)/(2*$I$5)-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G32)+(I32)*(MAX($D$16,(E84)-(K32))))*(MAX($D$16,(E84)-(K32))),0.000001))^2)/(2*$I$5)</f>
        <v>-46379.906201687059</v>
      </c>
      <c r="S84">
        <f>M84+((ABS(I84)/MAX(((G34)+(I34)*(MAX($D$16,(M84)-(K34))))*(MAX($D$16,(M84)-(K34))),0.000001))^2)/(2*$I$5)+((E34)*((((ABS(I84)*$D$6)/(MAX(((F34)+(H34)*(MAX($D$16,(E84)-(J34))))*(MAX($D$16,(E84)-(J34))),0.000001)*MAX(((((F34)+(H34)*(MAX($D$16,(E84)-(J34))))*(MAX($D$16,(E84)-(J34))))/MAX((F34)+2*(MAX($D$16,(E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E84)-(J34))))*(MAX($D$16,(E84)-(J34))),0.000001)),$D$9*((((ABS(I84)/MAX(((G34)+(I34)*(MAX($D$16,(M84)-(K34))))*(MAX($D$16,(M84)-(K34))),0.000001))^2)/(2*$I$5))-(((ABS(I84)/MAX(((F34)+(H34)*(MAX($D$16,(E84)-(J34))))*(MAX($D$16,(E84)-(J34))),0.000001))^2)/(2*$I$5))),$D$8*((((ABS(I84)/MAX(((F34)+(H34)*(MAX($D$16,(E84)-(J34))))*(MAX($D$16,(E84)-(J34))),0.000001))^2)/(2*$I$5))-(((ABS(I84)/MAX(((G34)+(I34)*(MAX($D$16,(M84)-(K34))))*(MAX($D$16,(M84)-(K34))),0.000001))^2)/(2*$I$5)))))+($D$10*(ABS((X34)-(W34))/90)*MAX(((ABS(I84)/MAX(((F34)+(H34)*(MAX($D$16,(E84)-(J34))))*(MAX($D$16,(E84)-(J34))),0.000001))^2)/(2*$I$5),((ABS(I84)/MAX(((G34)+(I34)*(MAX($D$16,(M84)-(K34))))*(MAX($D$16,(M84)-(K34))),0.000001))^2)/(2*$I$5)))+(0)-((ABS(I84)/MAX(((F34)+(H34)*(MAX($D$16,(E84)-(J34))))*(MAX($D$16,(E84)-(J34))),0.000001))^2)/(2*$I$5)</f>
        <v>635.5</v>
      </c>
      <c r="T84">
        <f>N84+((ABS(J84)/MAX(((G35)+(I35)*(MAX($D$16,(N84)-(K35))))*(MAX($D$16,(N84)-(K35))),0.000001))^2)/(2*$I$5)+((E35)*((((ABS(J84)*$D$6)/(MAX(((F35)+(H35)*(MAX($D$16,(E84)-(J35))))*(MAX($D$16,(E84)-(J35))),0.000001)*MAX(((((F35)+(H35)*(MAX($D$16,(E84)-(J35))))*(MAX($D$16,(E84)-(J35))))/MAX((F35)+2*(MAX($D$16,(E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E84)-(J35))))*(MAX($D$16,(E84)-(J35))),0.000001)),$D$9*((((ABS(J84)/MAX(((G35)+(I35)*(MAX($D$16,(N84)-(K35))))*(MAX($D$16,(N84)-(K35))),0.000001))^2)/(2*$I$5))-(((ABS(J84)/MAX(((F35)+(H35)*(MAX($D$16,(E84)-(J35))))*(MAX($D$16,(E84)-(J35))),0.000001))^2)/(2*$I$5))),$D$8*((((ABS(J84)/MAX(((F35)+(H35)*(MAX($D$16,(E84)-(J35))))*(MAX($D$16,(E84)-(J35))),0.000001))^2)/(2*$I$5))-(((ABS(J84)/MAX(((G35)+(I35)*(MAX($D$16,(N84)-(K35))))*(MAX($D$16,(N84)-(K35))),0.000001))^2)/(2*$I$5)))))+($D$10*(ABS((X35)-(W35))/90)*MAX(((ABS(J84)/MAX(((F35)+(H35)*(MAX($D$16,(E84)-(J35))))*(MAX($D$16,(E84)-(J35))),0.000001))^2)/(2*$I$5),((ABS(J84)/MAX(((G35)+(I35)*(MAX($D$16,(N84)-(K35))))*(MAX($D$16,(N84)-(K35))),0.000001))^2)/(2*$I$5)))+(($D$11*0.34699541*(ABS(I84)/MAX(ABS(G84),0.000001))^2*MAX(((ABS(J84)/MAX(((F35)+(H35)*(MAX($D$16,(E84)-(J35))))*(MAX($D$16,(E84)-(J35))),0.000001))^2)/(2*$I$5),((ABS(J84)/MAX(((G35)+(I35)*(MAX($D$16,(N84)-(K35))))*(MAX($D$16,(N84)-(K35))),0.000001))^2)/(2*$I$5))))-((ABS(J84)/MAX(((F35)+(H35)*(MAX($D$16,(E84)-(J35))))*(MAX($D$16,(E84)-(J35))),0.000001))^2)/(2*$I$5)</f>
        <v>22382.80587457701</v>
      </c>
      <c r="U84">
        <f>(((((F32)*(MAX($D$16,(D84)-(J32)))^2)/2+(H32)*(MAX($D$16,(D84)-(J32)))^3/3+(ABS(G84)^2)/($I$5*MAX(((F32)+(H32)*(MAX($D$16,(D84)-(J32))))*(MAX($D$16,(D84)-(J32))),0.000001)))*0.72785025)-((((F33)*(MAX($D$16,(D84)-(J33)))^2)/2+(H33)*(MAX($D$16,(D84)-(J33)))^3/3+(ABS(H84)^2)/($I$5*MAX(((F33)+(H33)*(MAX($D$16,(D84)-(J33))))*(MAX($D$16,(D84)-(J33))),0.000001)))*0.99999971))/MAX(((G31)*(MAX($D$16,(D84)-(K31)))^2)/2+(I31)*(MAX($D$16,(D84)-(K31)))^3/3+(ABS(F84)^2)/($I$5*MAX(((G31)+(I31)*(MAX($D$16,(D84)-(K31))))*(MAX($D$16,(D84)-(K31))),0.000001)),0.000001)</f>
        <v>-0.27214945999978923</v>
      </c>
      <c r="V84">
        <f>(((((F34)*(MAX($D$16,(E84)-(J34)))^2)/2+(H34)*(MAX($D$16,(E84)-(J34)))^3/3+(ABS(I84)^2)/($I$5*MAX(((F34)+(H34)*(MAX($D$16,(E84)-(J34))))*(MAX($D$16,(E84)-(J34))),0.000001)))*1)-((((F35)*(MAX($D$16,(E84)-(J35)))^2)/2+(H35)*(MAX($D$16,(E84)-(J35)))^3/3+(ABS(J84)^2)/($I$5*MAX(((F35)+(H35)*(MAX($D$16,(E84)-(J35))))*(MAX($D$16,(E84)-(J35))),0.000001)))*0.30600918))/MAX(((G32)*(MAX($D$16,(E84)-(K32)))^2)/2+(I32)*(MAX($D$16,(E84)-(K32)))^3/3+(ABS(G84)^2)/($I$5*MAX(((G32)+(I32)*(MAX($D$16,(E84)-(K32))))*(MAX($D$16,(E84)-(K32))),0.000001)),0.000001)</f>
        <v>-0.30598462674144999</v>
      </c>
      <c r="W84">
        <f>IF(N6="None",MAX(ABS(O84-D84),ABS(P84-D84)),MAX(ABS(O84-D84),ABS(P84-D84),ABS(Q84-D84)))</f>
        <v>38814.906378592095</v>
      </c>
      <c r="X84">
        <f>IF(AND(N7="None",N8="None"),ABS(R84-E84),IF(N8="None",MAX(ABS(R84-E84),ABS(S84-E84)),IF(N7="None",MAX(ABS(R84-E84),ABS(T84-E84)),MAX(ABS(R84-E84),ABS(S84-E84),ABS(T84-E84)))))</f>
        <v>38592.139312693165</v>
      </c>
      <c r="AA84">
        <f>D84+$D$13*(IF(N6="None",AVERAGE(O84:P84),AVERAGE(O84:Q84))-D84)</f>
        <v>39451.419264123382</v>
      </c>
      <c r="AB84">
        <f>E84+$D$13*(IF(AND(N7="None",N8="None"),R84,IF(N8="None",AVERAGE(R84:S84),IF(N7="None",AVERAGE(R84,T84),AVERAGE(R84:T84))))-E84)</f>
        <v>-7787.5685160088715</v>
      </c>
    </row>
    <row r="85" spans="1:28" x14ac:dyDescent="0.35">
      <c r="A85">
        <v>42</v>
      </c>
      <c r="B85">
        <f t="shared" si="8"/>
        <v>0</v>
      </c>
      <c r="C85">
        <f t="shared" si="9"/>
        <v>0</v>
      </c>
      <c r="D85">
        <f t="shared" si="10"/>
        <v>39451.419264123382</v>
      </c>
      <c r="E85">
        <f t="shared" si="11"/>
        <v>-7787.5685160088715</v>
      </c>
      <c r="F85">
        <f t="shared" si="7"/>
        <v>51</v>
      </c>
      <c r="G85">
        <f>IF(N6="None",F85,MAX(0,F85*B85))</f>
        <v>51</v>
      </c>
      <c r="H85">
        <f>IF(N6="None",0,MAX(0,F85-G85))</f>
        <v>0</v>
      </c>
      <c r="I85">
        <f>IF(AND(N7="None",N8="None"),0,IF(N8="None",G85,IF(N7="None",0,MAX(0,G85*C85))))</f>
        <v>0</v>
      </c>
      <c r="J85">
        <f>IF(AND(N7="None",N8="None"),0,IF(N8="None",0,IF(N7="None",G85,MAX(0,G85-I85))))</f>
        <v>51</v>
      </c>
      <c r="K85">
        <f>P5</f>
        <v>637</v>
      </c>
      <c r="L85">
        <f>P6</f>
        <v>637</v>
      </c>
      <c r="M85">
        <f>P7</f>
        <v>635.5</v>
      </c>
      <c r="N85">
        <f>P8</f>
        <v>631.54999999999995</v>
      </c>
      <c r="O85">
        <f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D85)-(K31))))*(MAX($D$16,(D85)-(K31))),0.000001)*MAX(((((G31)+(I31)*(MAX($D$16,(D85)-(K31))))*(MAX($D$16,(D85)-(K31))))/MAX((G31)+2*(MAX($D$16,(D85)-(K31)))*SQRT(1+(I31)^2),0.000001))^(2/3),0.000001)))^2))/2)+(IF((ABS(F85)/MAX(((G31)+(I31)*(MAX($D$16,(D85)-(K31))))*(MAX($D$16,(D85)-(K31))),0.000001))&gt;(ABS(F85)/MAX(((F31)+(H31)*(MAX($D$16,(K85)-(J31))))*(MAX($D$16,(K85)-(J31))),0.000001)),$D$9*((((ABS(F85)/MAX(((G31)+(I31)*(MAX($D$16,(D85)-(K31))))*(MAX($D$16,(D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D85)-(K31))))*(MAX($D$16,(D85)-(K31))),0.000001))^2)/(2*$I$5)))))+($D$10*(ABS((X31)-(W31))/90)*MAX(((ABS(F85)/MAX(((F31)+(H31)*(MAX($D$16,(K85)-(J31))))*(MAX($D$16,(K85)-(J31))),0.000001))^2)/(2*$I$5),((ABS(F85)/MAX(((G31)+(I31)*(MAX($D$16,(D85)-(K31))))*(MAX($D$16,(D85)-(K31))),0.000001))^2)/(2*$I$5)))+(0)-((ABS(F85)/MAX(((G31)+(I31)*(MAX($D$16,(D85)-(K31))))*(MAX($D$16,(D85)-(K31))),0.000001))^2)/(2*$I$5)</f>
        <v>637.65825100972791</v>
      </c>
      <c r="P85">
        <f>E85+((ABS(G85)/MAX(((G32)+(I32)*(MAX($D$16,(E85)-(K32))))*(MAX($D$16,(E85)-(K32))),0.000001))^2)/(2*$I$5)+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F32)+(H32)*(MAX($D$16,(D85)-(J32))))*(MAX($D$16,(D85)-(J32))),0.000001))^2)/(2*$I$5)</f>
        <v>78266.281059386907</v>
      </c>
      <c r="Q85">
        <f>L85+((ABS(H85)/MAX(((G33)+(I33)*(MAX($D$16,(L85)-(K33))))*(MAX($D$16,(L85)-(K33))),0.000001))^2)/(2*$I$5)+((E33)*((((ABS(H85)*$D$6)/(MAX(((F33)+(H33)*(MAX($D$16,(D85)-(J33))))*(MAX($D$16,(D85)-(J33))),0.000001)*MAX(((((F33)+(H33)*(MAX($D$16,(D85)-(J33))))*(MAX($D$16,(D85)-(J33))))/MAX((F33)+2*(MAX($D$16,(D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D85)-(J33))))*(MAX($D$16,(D85)-(J33))),0.000001)),$D$9*((((ABS(H85)/MAX(((G33)+(I33)*(MAX($D$16,(L85)-(K33))))*(MAX($D$16,(L85)-(K33))),0.000001))^2)/(2*$I$5))-(((ABS(H85)/MAX(((F33)+(H33)*(MAX($D$16,(D85)-(J33))))*(MAX($D$16,(D85)-(J33))),0.000001))^2)/(2*$I$5))),$D$8*((((ABS(H85)/MAX(((F33)+(H33)*(MAX($D$16,(D85)-(J33))))*(MAX($D$16,(D85)-(J33))),0.000001))^2)/(2*$I$5))-(((ABS(H85)/MAX(((G33)+(I33)*(MAX($D$16,(L85)-(K33))))*(MAX($D$16,(L85)-(K33))),0.000001))^2)/(2*$I$5)))))+($D$10*(ABS((X33)-(W33))/90)*MAX(((ABS(H85)/MAX(((F33)+(H33)*(MAX($D$16,(D85)-(J33))))*(MAX($D$16,(D85)-(J33))),0.000001))^2)/(2*$I$5),((ABS(H85)/MAX(((G33)+(I33)*(MAX($D$16,(L85)-(K33))))*(MAX($D$16,(L85)-(K33))),0.000001))^2)/(2*$I$5)))+(($D$11*0.00000015*(ABS(G85)/MAX(ABS(F85),0.000001))^2*MAX(((ABS(H85)/MAX(((F33)+(H33)*(MAX($D$16,(D85)-(J33))))*(MAX($D$16,(D85)-(J33))),0.000001))^2)/(2*$I$5),((ABS(H85)/MAX(((G33)+(I33)*(MAX($D$16,(L85)-(K33))))*(MAX($D$16,(L85)-(K33))),0.000001))^2)/(2*$I$5))))-((ABS(H85)/MAX(((F33)+(H33)*(MAX($D$16,(D85)-(J33))))*(MAX($D$16,(D85)-(J33))),0.000001))^2)/(2*$I$5)</f>
        <v>637</v>
      </c>
      <c r="R85">
        <f>D85+((ABS(G85)/MAX(((F32)+(H32)*(MAX($D$16,(D85)-(J32))))*(MAX($D$16,(D85)-(J32))),0.000001))^2)/(2*$I$5)-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G32)+(I32)*(MAX($D$16,(E85)-(K32))))*(MAX($D$16,(E85)-(K32))),0.000001))^2)/(2*$I$5)</f>
        <v>-46379.663245373456</v>
      </c>
      <c r="S85">
        <f>M85+((ABS(I85)/MAX(((G34)+(I34)*(MAX($D$16,(M85)-(K34))))*(MAX($D$16,(M85)-(K34))),0.000001))^2)/(2*$I$5)+((E34)*((((ABS(I85)*$D$6)/(MAX(((F34)+(H34)*(MAX($D$16,(E85)-(J34))))*(MAX($D$16,(E85)-(J34))),0.000001)*MAX(((((F34)+(H34)*(MAX($D$16,(E85)-(J34))))*(MAX($D$16,(E85)-(J34))))/MAX((F34)+2*(MAX($D$16,(E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E85)-(J34))))*(MAX($D$16,(E85)-(J34))),0.000001)),$D$9*((((ABS(I85)/MAX(((G34)+(I34)*(MAX($D$16,(M85)-(K34))))*(MAX($D$16,(M85)-(K34))),0.000001))^2)/(2*$I$5))-(((ABS(I85)/MAX(((F34)+(H34)*(MAX($D$16,(E85)-(J34))))*(MAX($D$16,(E85)-(J34))),0.000001))^2)/(2*$I$5))),$D$8*((((ABS(I85)/MAX(((F34)+(H34)*(MAX($D$16,(E85)-(J34))))*(MAX($D$16,(E85)-(J34))),0.000001))^2)/(2*$I$5))-(((ABS(I85)/MAX(((G34)+(I34)*(MAX($D$16,(M85)-(K34))))*(MAX($D$16,(M85)-(K34))),0.000001))^2)/(2*$I$5)))))+($D$10*(ABS((X34)-(W34))/90)*MAX(((ABS(I85)/MAX(((F34)+(H34)*(MAX($D$16,(E85)-(J34))))*(MAX($D$16,(E85)-(J34))),0.000001))^2)/(2*$I$5),((ABS(I85)/MAX(((G34)+(I34)*(MAX($D$16,(M85)-(K34))))*(MAX($D$16,(M85)-(K34))),0.000001))^2)/(2*$I$5)))+(0)-((ABS(I85)/MAX(((F34)+(H34)*(MAX($D$16,(E85)-(J34))))*(MAX($D$16,(E85)-(J34))),0.000001))^2)/(2*$I$5)</f>
        <v>635.5</v>
      </c>
      <c r="T85">
        <f>N85+((ABS(J85)/MAX(((G35)+(I35)*(MAX($D$16,(N85)-(K35))))*(MAX($D$16,(N85)-(K35))),0.000001))^2)/(2*$I$5)+((E35)*((((ABS(J85)*$D$6)/(MAX(((F35)+(H35)*(MAX($D$16,(E85)-(J35))))*(MAX($D$16,(E85)-(J35))),0.000001)*MAX(((((F35)+(H35)*(MAX($D$16,(E85)-(J35))))*(MAX($D$16,(E85)-(J35))))/MAX((F35)+2*(MAX($D$16,(E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E85)-(J35))))*(MAX($D$16,(E85)-(J35))),0.000001)),$D$9*((((ABS(J85)/MAX(((G35)+(I35)*(MAX($D$16,(N85)-(K35))))*(MAX($D$16,(N85)-(K35))),0.000001))^2)/(2*$I$5))-(((ABS(J85)/MAX(((F35)+(H35)*(MAX($D$16,(E85)-(J35))))*(MAX($D$16,(E85)-(J35))),0.000001))^2)/(2*$I$5))),$D$8*((((ABS(J85)/MAX(((F35)+(H35)*(MAX($D$16,(E85)-(J35))))*(MAX($D$16,(E85)-(J35))),0.000001))^2)/(2*$I$5))-(((ABS(J85)/MAX(((G35)+(I35)*(MAX($D$16,(N85)-(K35))))*(MAX($D$16,(N85)-(K35))),0.000001))^2)/(2*$I$5)))))+($D$10*(ABS((X35)-(W35))/90)*MAX(((ABS(J85)/MAX(((F35)+(H35)*(MAX($D$16,(E85)-(J35))))*(MAX($D$16,(E85)-(J35))),0.000001))^2)/(2*$I$5),((ABS(J85)/MAX(((G35)+(I35)*(MAX($D$16,(N85)-(K35))))*(MAX($D$16,(N85)-(K35))),0.000001))^2)/(2*$I$5)))+(($D$11*0.34699541*(ABS(I85)/MAX(ABS(G85),0.000001))^2*MAX(((ABS(J85)/MAX(((F35)+(H35)*(MAX($D$16,(E85)-(J35))))*(MAX($D$16,(E85)-(J35))),0.000001))^2)/(2*$I$5),((ABS(J85)/MAX(((G35)+(I35)*(MAX($D$16,(N85)-(K35))))*(MAX($D$16,(N85)-(K35))),0.000001))^2)/(2*$I$5))))-((ABS(J85)/MAX(((F35)+(H35)*(MAX($D$16,(E85)-(J35))))*(MAX($D$16,(E85)-(J35))),0.000001))^2)/(2*$I$5)</f>
        <v>22382.80587457701</v>
      </c>
      <c r="U85">
        <f>(((((F32)*(MAX($D$16,(D85)-(J32)))^2)/2+(H32)*(MAX($D$16,(D85)-(J32)))^3/3+(ABS(G85)^2)/($I$5*MAX(((F32)+(H32)*(MAX($D$16,(D85)-(J32))))*(MAX($D$16,(D85)-(J32))),0.000001)))*0.72785025)-((((F33)*(MAX($D$16,(D85)-(J33)))^2)/2+(H33)*(MAX($D$16,(D85)-(J33)))^3/3+(ABS(H85)^2)/($I$5*MAX(((F33)+(H33)*(MAX($D$16,(D85)-(J33))))*(MAX($D$16,(D85)-(J33))),0.000001)))*0.99999971))/MAX(((G31)*(MAX($D$16,(D85)-(K31)))^2)/2+(I31)*(MAX($D$16,(D85)-(K31)))^3/3+(ABS(F85)^2)/($I$5*MAX(((G31)+(I31)*(MAX($D$16,(D85)-(K31))))*(MAX($D$16,(D85)-(K31))),0.000001)),0.000001)</f>
        <v>-0.27214945999978923</v>
      </c>
      <c r="V85">
        <f>(((((F34)*(MAX($D$16,(E85)-(J34)))^2)/2+(H34)*(MAX($D$16,(E85)-(J34)))^3/3+(ABS(I85)^2)/($I$5*MAX(((F34)+(H34)*(MAX($D$16,(E85)-(J34))))*(MAX($D$16,(E85)-(J34))),0.000001)))*1)-((((F35)*(MAX($D$16,(E85)-(J35)))^2)/2+(H35)*(MAX($D$16,(E85)-(J35)))^3/3+(ABS(J85)^2)/($I$5*MAX(((F35)+(H35)*(MAX($D$16,(E85)-(J35))))*(MAX($D$16,(E85)-(J35))),0.000001)))*0.30600918))/MAX(((G32)*(MAX($D$16,(E85)-(K32)))^2)/2+(I32)*(MAX($D$16,(E85)-(K32)))^3/3+(ABS(G85)^2)/($I$5*MAX(((G32)+(I32)*(MAX($D$16,(E85)-(K32))))*(MAX($D$16,(E85)-(K32))),0.000001)),0.000001)</f>
        <v>-0.30598462674144999</v>
      </c>
      <c r="W85">
        <f>IF(N6="None",MAX(ABS(O85-D85),ABS(P85-D85)),MAX(ABS(O85-D85),ABS(P85-D85),ABS(Q85-D85)))</f>
        <v>38814.861795263525</v>
      </c>
      <c r="X85">
        <f>IF(AND(N7="None",N8="None"),ABS(R85-E85),IF(N8="None",MAX(ABS(R85-E85),ABS(S85-E85)),IF(N7="None",MAX(ABS(R85-E85),ABS(T85-E85)),MAX(ABS(R85-E85),ABS(S85-E85),ABS(T85-E85)))))</f>
        <v>38592.094729364588</v>
      </c>
      <c r="AA85">
        <f>D85+$D$13*(IF(N6="None",AVERAGE(O85:P85),AVERAGE(O85:Q85))-D85)</f>
        <v>39451.611900999611</v>
      </c>
      <c r="AB85">
        <f>E85+$D$13*(IF(AND(N7="None",N8="None"),R85,IF(N8="None",AVERAGE(R85:S85),IF(N7="None",AVERAGE(R85,T85),AVERAGE(R85:T85))))-E85)</f>
        <v>-7787.4112286653517</v>
      </c>
    </row>
    <row r="86" spans="1:28" x14ac:dyDescent="0.35">
      <c r="A86">
        <v>43</v>
      </c>
      <c r="B86">
        <f t="shared" si="8"/>
        <v>0</v>
      </c>
      <c r="C86">
        <f t="shared" si="9"/>
        <v>0</v>
      </c>
      <c r="D86">
        <f t="shared" si="10"/>
        <v>39451.611900999611</v>
      </c>
      <c r="E86">
        <f t="shared" si="11"/>
        <v>-7787.4112286653517</v>
      </c>
      <c r="F86">
        <f t="shared" si="7"/>
        <v>51</v>
      </c>
      <c r="G86">
        <f>IF(N6="None",F86,MAX(0,F86*B86))</f>
        <v>51</v>
      </c>
      <c r="H86">
        <f>IF(N6="None",0,MAX(0,F86-G86))</f>
        <v>0</v>
      </c>
      <c r="I86">
        <f>IF(AND(N7="None",N8="None"),0,IF(N8="None",G86,IF(N7="None",0,MAX(0,G86*C86))))</f>
        <v>0</v>
      </c>
      <c r="J86">
        <f>IF(AND(N7="None",N8="None"),0,IF(N8="None",0,IF(N7="None",G86,MAX(0,G86-I86))))</f>
        <v>51</v>
      </c>
      <c r="K86">
        <f>P5</f>
        <v>637</v>
      </c>
      <c r="L86">
        <f>P6</f>
        <v>637</v>
      </c>
      <c r="M86">
        <f>P7</f>
        <v>635.5</v>
      </c>
      <c r="N86">
        <f>P8</f>
        <v>631.54999999999995</v>
      </c>
      <c r="O86">
        <f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D86)-(K31))))*(MAX($D$16,(D86)-(K31))),0.000001)*MAX(((((G31)+(I31)*(MAX($D$16,(D86)-(K31))))*(MAX($D$16,(D86)-(K31))))/MAX((G31)+2*(MAX($D$16,(D86)-(K31)))*SQRT(1+(I31)^2),0.000001))^(2/3),0.000001)))^2))/2)+(IF((ABS(F86)/MAX(((G31)+(I31)*(MAX($D$16,(D86)-(K31))))*(MAX($D$16,(D86)-(K31))),0.000001))&gt;(ABS(F86)/MAX(((F31)+(H31)*(MAX($D$16,(K86)-(J31))))*(MAX($D$16,(K86)-(J31))),0.000001)),$D$9*((((ABS(F86)/MAX(((G31)+(I31)*(MAX($D$16,(D86)-(K31))))*(MAX($D$16,(D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D86)-(K31))))*(MAX($D$16,(D86)-(K31))),0.000001))^2)/(2*$I$5)))))+($D$10*(ABS((X31)-(W31))/90)*MAX(((ABS(F86)/MAX(((F31)+(H31)*(MAX($D$16,(K86)-(J31))))*(MAX($D$16,(K86)-(J31))),0.000001))^2)/(2*$I$5),((ABS(F86)/MAX(((G31)+(I31)*(MAX($D$16,(D86)-(K31))))*(MAX($D$16,(D86)-(K31))),0.000001))^2)/(2*$I$5)))+(0)-((ABS(F86)/MAX(((G31)+(I31)*(MAX($D$16,(D86)-(K31))))*(MAX($D$16,(D86)-(K31))),0.000001))^2)/(2*$I$5)</f>
        <v>637.65825100972802</v>
      </c>
      <c r="P86">
        <f>E86+((ABS(G86)/MAX(((G32)+(I32)*(MAX($D$16,(E86)-(K32))))*(MAX($D$16,(E86)-(K32))),0.000001))^2)/(2*$I$5)+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F32)+(H32)*(MAX($D$16,(D86)-(J32))))*(MAX($D$16,(D86)-(J32))),0.000001))^2)/(2*$I$5)</f>
        <v>78266.438346730429</v>
      </c>
      <c r="Q86">
        <f>L86+((ABS(H86)/MAX(((G33)+(I33)*(MAX($D$16,(L86)-(K33))))*(MAX($D$16,(L86)-(K33))),0.000001))^2)/(2*$I$5)+((E33)*((((ABS(H86)*$D$6)/(MAX(((F33)+(H33)*(MAX($D$16,(D86)-(J33))))*(MAX($D$16,(D86)-(J33))),0.000001)*MAX(((((F33)+(H33)*(MAX($D$16,(D86)-(J33))))*(MAX($D$16,(D86)-(J33))))/MAX((F33)+2*(MAX($D$16,(D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D86)-(J33))))*(MAX($D$16,(D86)-(J33))),0.000001)),$D$9*((((ABS(H86)/MAX(((G33)+(I33)*(MAX($D$16,(L86)-(K33))))*(MAX($D$16,(L86)-(K33))),0.000001))^2)/(2*$I$5))-(((ABS(H86)/MAX(((F33)+(H33)*(MAX($D$16,(D86)-(J33))))*(MAX($D$16,(D86)-(J33))),0.000001))^2)/(2*$I$5))),$D$8*((((ABS(H86)/MAX(((F33)+(H33)*(MAX($D$16,(D86)-(J33))))*(MAX($D$16,(D86)-(J33))),0.000001))^2)/(2*$I$5))-(((ABS(H86)/MAX(((G33)+(I33)*(MAX($D$16,(L86)-(K33))))*(MAX($D$16,(L86)-(K33))),0.000001))^2)/(2*$I$5)))))+($D$10*(ABS((X33)-(W33))/90)*MAX(((ABS(H86)/MAX(((F33)+(H33)*(MAX($D$16,(D86)-(J33))))*(MAX($D$16,(D86)-(J33))),0.000001))^2)/(2*$I$5),((ABS(H86)/MAX(((G33)+(I33)*(MAX($D$16,(L86)-(K33))))*(MAX($D$16,(L86)-(K33))),0.000001))^2)/(2*$I$5)))+(($D$11*0.00000015*(ABS(G86)/MAX(ABS(F86),0.000001))^2*MAX(((ABS(H86)/MAX(((F33)+(H33)*(MAX($D$16,(D86)-(J33))))*(MAX($D$16,(D86)-(J33))),0.000001))^2)/(2*$I$5),((ABS(H86)/MAX(((G33)+(I33)*(MAX($D$16,(L86)-(K33))))*(MAX($D$16,(L86)-(K33))),0.000001))^2)/(2*$I$5))))-((ABS(H86)/MAX(((F33)+(H33)*(MAX($D$16,(D86)-(J33))))*(MAX($D$16,(D86)-(J33))),0.000001))^2)/(2*$I$5)</f>
        <v>637</v>
      </c>
      <c r="R86">
        <f>D86+((ABS(G86)/MAX(((F32)+(H32)*(MAX($D$16,(D86)-(J32))))*(MAX($D$16,(D86)-(J32))),0.000001))^2)/(2*$I$5)-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G32)+(I32)*(MAX($D$16,(E86)-(K32))))*(MAX($D$16,(E86)-(K32))),0.000001))^2)/(2*$I$5)</f>
        <v>-46379.470608497228</v>
      </c>
      <c r="S86">
        <f>M86+((ABS(I86)/MAX(((G34)+(I34)*(MAX($D$16,(M86)-(K34))))*(MAX($D$16,(M86)-(K34))),0.000001))^2)/(2*$I$5)+((E34)*((((ABS(I86)*$D$6)/(MAX(((F34)+(H34)*(MAX($D$16,(E86)-(J34))))*(MAX($D$16,(E86)-(J34))),0.000001)*MAX(((((F34)+(H34)*(MAX($D$16,(E86)-(J34))))*(MAX($D$16,(E86)-(J34))))/MAX((F34)+2*(MAX($D$16,(E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E86)-(J34))))*(MAX($D$16,(E86)-(J34))),0.000001)),$D$9*((((ABS(I86)/MAX(((G34)+(I34)*(MAX($D$16,(M86)-(K34))))*(MAX($D$16,(M86)-(K34))),0.000001))^2)/(2*$I$5))-(((ABS(I86)/MAX(((F34)+(H34)*(MAX($D$16,(E86)-(J34))))*(MAX($D$16,(E86)-(J34))),0.000001))^2)/(2*$I$5))),$D$8*((((ABS(I86)/MAX(((F34)+(H34)*(MAX($D$16,(E86)-(J34))))*(MAX($D$16,(E86)-(J34))),0.000001))^2)/(2*$I$5))-(((ABS(I86)/MAX(((G34)+(I34)*(MAX($D$16,(M86)-(K34))))*(MAX($D$16,(M86)-(K34))),0.000001))^2)/(2*$I$5)))))+($D$10*(ABS((X34)-(W34))/90)*MAX(((ABS(I86)/MAX(((F34)+(H34)*(MAX($D$16,(E86)-(J34))))*(MAX($D$16,(E86)-(J34))),0.000001))^2)/(2*$I$5),((ABS(I86)/MAX(((G34)+(I34)*(MAX($D$16,(M86)-(K34))))*(MAX($D$16,(M86)-(K34))),0.000001))^2)/(2*$I$5)))+(0)-((ABS(I86)/MAX(((F34)+(H34)*(MAX($D$16,(E86)-(J34))))*(MAX($D$16,(E86)-(J34))),0.000001))^2)/(2*$I$5)</f>
        <v>635.5</v>
      </c>
      <c r="T86">
        <f>N86+((ABS(J86)/MAX(((G35)+(I35)*(MAX($D$16,(N86)-(K35))))*(MAX($D$16,(N86)-(K35))),0.000001))^2)/(2*$I$5)+((E35)*((((ABS(J86)*$D$6)/(MAX(((F35)+(H35)*(MAX($D$16,(E86)-(J35))))*(MAX($D$16,(E86)-(J35))),0.000001)*MAX(((((F35)+(H35)*(MAX($D$16,(E86)-(J35))))*(MAX($D$16,(E86)-(J35))))/MAX((F35)+2*(MAX($D$16,(E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E86)-(J35))))*(MAX($D$16,(E86)-(J35))),0.000001)),$D$9*((((ABS(J86)/MAX(((G35)+(I35)*(MAX($D$16,(N86)-(K35))))*(MAX($D$16,(N86)-(K35))),0.000001))^2)/(2*$I$5))-(((ABS(J86)/MAX(((F35)+(H35)*(MAX($D$16,(E86)-(J35))))*(MAX($D$16,(E86)-(J35))),0.000001))^2)/(2*$I$5))),$D$8*((((ABS(J86)/MAX(((F35)+(H35)*(MAX($D$16,(E86)-(J35))))*(MAX($D$16,(E86)-(J35))),0.000001))^2)/(2*$I$5))-(((ABS(J86)/MAX(((G35)+(I35)*(MAX($D$16,(N86)-(K35))))*(MAX($D$16,(N86)-(K35))),0.000001))^2)/(2*$I$5)))))+($D$10*(ABS((X35)-(W35))/90)*MAX(((ABS(J86)/MAX(((F35)+(H35)*(MAX($D$16,(E86)-(J35))))*(MAX($D$16,(E86)-(J35))),0.000001))^2)/(2*$I$5),((ABS(J86)/MAX(((G35)+(I35)*(MAX($D$16,(N86)-(K35))))*(MAX($D$16,(N86)-(K35))),0.000001))^2)/(2*$I$5)))+(($D$11*0.34699541*(ABS(I86)/MAX(ABS(G86),0.000001))^2*MAX(((ABS(J86)/MAX(((F35)+(H35)*(MAX($D$16,(E86)-(J35))))*(MAX($D$16,(E86)-(J35))),0.000001))^2)/(2*$I$5),((ABS(J86)/MAX(((G35)+(I35)*(MAX($D$16,(N86)-(K35))))*(MAX($D$16,(N86)-(K35))),0.000001))^2)/(2*$I$5))))-((ABS(J86)/MAX(((F35)+(H35)*(MAX($D$16,(E86)-(J35))))*(MAX($D$16,(E86)-(J35))),0.000001))^2)/(2*$I$5)</f>
        <v>22382.80587457701</v>
      </c>
      <c r="U86">
        <f>(((((F32)*(MAX($D$16,(D86)-(J32)))^2)/2+(H32)*(MAX($D$16,(D86)-(J32)))^3/3+(ABS(G86)^2)/($I$5*MAX(((F32)+(H32)*(MAX($D$16,(D86)-(J32))))*(MAX($D$16,(D86)-(J32))),0.000001)))*0.72785025)-((((F33)*(MAX($D$16,(D86)-(J33)))^2)/2+(H33)*(MAX($D$16,(D86)-(J33)))^3/3+(ABS(H86)^2)/($I$5*MAX(((F33)+(H33)*(MAX($D$16,(D86)-(J33))))*(MAX($D$16,(D86)-(J33))),0.000001)))*0.99999971))/MAX(((G31)*(MAX($D$16,(D86)-(K31)))^2)/2+(I31)*(MAX($D$16,(D86)-(K31)))^3/3+(ABS(F86)^2)/($I$5*MAX(((G31)+(I31)*(MAX($D$16,(D86)-(K31))))*(MAX($D$16,(D86)-(K31))),0.000001)),0.000001)</f>
        <v>-0.27214945999978918</v>
      </c>
      <c r="V86">
        <f>(((((F34)*(MAX($D$16,(E86)-(J34)))^2)/2+(H34)*(MAX($D$16,(E86)-(J34)))^3/3+(ABS(I86)^2)/($I$5*MAX(((F34)+(H34)*(MAX($D$16,(E86)-(J34))))*(MAX($D$16,(E86)-(J34))),0.000001)))*1)-((((F35)*(MAX($D$16,(E86)-(J35)))^2)/2+(H35)*(MAX($D$16,(E86)-(J35)))^3/3+(ABS(J86)^2)/($I$5*MAX(((F35)+(H35)*(MAX($D$16,(E86)-(J35))))*(MAX($D$16,(E86)-(J35))),0.000001)))*0.30600918))/MAX(((G32)*(MAX($D$16,(E86)-(K32)))^2)/2+(I32)*(MAX($D$16,(E86)-(K32)))^3/3+(ABS(G86)^2)/($I$5*MAX(((G32)+(I32)*(MAX($D$16,(E86)-(K32))))*(MAX($D$16,(E86)-(K32))),0.000001)),0.000001)</f>
        <v>-0.30598462674144999</v>
      </c>
      <c r="W86">
        <f>IF(N6="None",MAX(ABS(O86-D86),ABS(P86-D86)),MAX(ABS(O86-D86),ABS(P86-D86),ABS(Q86-D86)))</f>
        <v>38814.826445730818</v>
      </c>
      <c r="X86">
        <f>IF(AND(N7="None",N8="None"),ABS(R86-E86),IF(N8="None",MAX(ABS(R86-E86),ABS(S86-E86)),IF(N7="None",MAX(ABS(R86-E86),ABS(T86-E86)),MAX(ABS(R86-E86),ABS(S86-E86),ABS(T86-E86)))))</f>
        <v>38592.059379831873</v>
      </c>
      <c r="AA86">
        <f>D86+$D$13*(IF(N6="None",AVERAGE(O86:P86),AVERAGE(O86:Q86))-D86)</f>
        <v>39451.764640254274</v>
      </c>
      <c r="AB86">
        <f>E86+$D$13*(IF(AND(N7="None",N8="None"),R86,IF(N8="None",AVERAGE(R86:S86),IF(N7="None",AVERAGE(R86,T86),AVERAGE(R86:T86))))-E86)</f>
        <v>-7787.2865175898369</v>
      </c>
    </row>
    <row r="87" spans="1:28" x14ac:dyDescent="0.35">
      <c r="A87">
        <v>44</v>
      </c>
      <c r="B87">
        <f t="shared" si="8"/>
        <v>0</v>
      </c>
      <c r="C87">
        <f t="shared" si="9"/>
        <v>0</v>
      </c>
      <c r="D87">
        <f t="shared" si="10"/>
        <v>39451.764640254274</v>
      </c>
      <c r="E87">
        <f t="shared" si="11"/>
        <v>-7787.2865175898369</v>
      </c>
      <c r="F87">
        <f t="shared" si="7"/>
        <v>51</v>
      </c>
      <c r="G87">
        <f>IF(N6="None",F87,MAX(0,F87*B87))</f>
        <v>51</v>
      </c>
      <c r="H87">
        <f>IF(N6="None",0,MAX(0,F87-G87))</f>
        <v>0</v>
      </c>
      <c r="I87">
        <f>IF(AND(N7="None",N8="None"),0,IF(N8="None",G87,IF(N7="None",0,MAX(0,G87*C87))))</f>
        <v>0</v>
      </c>
      <c r="J87">
        <f>IF(AND(N7="None",N8="None"),0,IF(N8="None",0,IF(N7="None",G87,MAX(0,G87-I87))))</f>
        <v>51</v>
      </c>
      <c r="K87">
        <f>P5</f>
        <v>637</v>
      </c>
      <c r="L87">
        <f>P6</f>
        <v>637</v>
      </c>
      <c r="M87">
        <f>P7</f>
        <v>635.5</v>
      </c>
      <c r="N87">
        <f>P8</f>
        <v>631.54999999999995</v>
      </c>
      <c r="O87">
        <f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D87)-(K31))))*(MAX($D$16,(D87)-(K31))),0.000001)*MAX(((((G31)+(I31)*(MAX($D$16,(D87)-(K31))))*(MAX($D$16,(D87)-(K31))))/MAX((G31)+2*(MAX($D$16,(D87)-(K31)))*SQRT(1+(I31)^2),0.000001))^(2/3),0.000001)))^2))/2)+(IF((ABS(F87)/MAX(((G31)+(I31)*(MAX($D$16,(D87)-(K31))))*(MAX($D$16,(D87)-(K31))),0.000001))&gt;(ABS(F87)/MAX(((F31)+(H31)*(MAX($D$16,(K87)-(J31))))*(MAX($D$16,(K87)-(J31))),0.000001)),$D$9*((((ABS(F87)/MAX(((G31)+(I31)*(MAX($D$16,(D87)-(K31))))*(MAX($D$16,(D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D87)-(K31))))*(MAX($D$16,(D87)-(K31))),0.000001))^2)/(2*$I$5)))))+($D$10*(ABS((X31)-(W31))/90)*MAX(((ABS(F87)/MAX(((F31)+(H31)*(MAX($D$16,(K87)-(J31))))*(MAX($D$16,(K87)-(J31))),0.000001))^2)/(2*$I$5),((ABS(F87)/MAX(((G31)+(I31)*(MAX($D$16,(D87)-(K31))))*(MAX($D$16,(D87)-(K31))),0.000001))^2)/(2*$I$5)))+(0)-((ABS(F87)/MAX(((G31)+(I31)*(MAX($D$16,(D87)-(K31))))*(MAX($D$16,(D87)-(K31))),0.000001))^2)/(2*$I$5)</f>
        <v>637.65825100972802</v>
      </c>
      <c r="P87">
        <f>E87+((ABS(G87)/MAX(((G32)+(I32)*(MAX($D$16,(E87)-(K32))))*(MAX($D$16,(E87)-(K32))),0.000001))^2)/(2*$I$5)+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F32)+(H32)*(MAX($D$16,(D87)-(J32))))*(MAX($D$16,(D87)-(J32))),0.000001))^2)/(2*$I$5)</f>
        <v>78266.563057805935</v>
      </c>
      <c r="Q87">
        <f>L87+((ABS(H87)/MAX(((G33)+(I33)*(MAX($D$16,(L87)-(K33))))*(MAX($D$16,(L87)-(K33))),0.000001))^2)/(2*$I$5)+((E33)*((((ABS(H87)*$D$6)/(MAX(((F33)+(H33)*(MAX($D$16,(D87)-(J33))))*(MAX($D$16,(D87)-(J33))),0.000001)*MAX(((((F33)+(H33)*(MAX($D$16,(D87)-(J33))))*(MAX($D$16,(D87)-(J33))))/MAX((F33)+2*(MAX($D$16,(D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D87)-(J33))))*(MAX($D$16,(D87)-(J33))),0.000001)),$D$9*((((ABS(H87)/MAX(((G33)+(I33)*(MAX($D$16,(L87)-(K33))))*(MAX($D$16,(L87)-(K33))),0.000001))^2)/(2*$I$5))-(((ABS(H87)/MAX(((F33)+(H33)*(MAX($D$16,(D87)-(J33))))*(MAX($D$16,(D87)-(J33))),0.000001))^2)/(2*$I$5))),$D$8*((((ABS(H87)/MAX(((F33)+(H33)*(MAX($D$16,(D87)-(J33))))*(MAX($D$16,(D87)-(J33))),0.000001))^2)/(2*$I$5))-(((ABS(H87)/MAX(((G33)+(I33)*(MAX($D$16,(L87)-(K33))))*(MAX($D$16,(L87)-(K33))),0.000001))^2)/(2*$I$5)))))+($D$10*(ABS((X33)-(W33))/90)*MAX(((ABS(H87)/MAX(((F33)+(H33)*(MAX($D$16,(D87)-(J33))))*(MAX($D$16,(D87)-(J33))),0.000001))^2)/(2*$I$5),((ABS(H87)/MAX(((G33)+(I33)*(MAX($D$16,(L87)-(K33))))*(MAX($D$16,(L87)-(K33))),0.000001))^2)/(2*$I$5)))+(($D$11*0.00000015*(ABS(G87)/MAX(ABS(F87),0.000001))^2*MAX(((ABS(H87)/MAX(((F33)+(H33)*(MAX($D$16,(D87)-(J33))))*(MAX($D$16,(D87)-(J33))),0.000001))^2)/(2*$I$5),((ABS(H87)/MAX(((G33)+(I33)*(MAX($D$16,(L87)-(K33))))*(MAX($D$16,(L87)-(K33))),0.000001))^2)/(2*$I$5))))-((ABS(H87)/MAX(((F33)+(H33)*(MAX($D$16,(D87)-(J33))))*(MAX($D$16,(D87)-(J33))),0.000001))^2)/(2*$I$5)</f>
        <v>637</v>
      </c>
      <c r="R87">
        <f>D87+((ABS(G87)/MAX(((F32)+(H32)*(MAX($D$16,(D87)-(J32))))*(MAX($D$16,(D87)-(J32))),0.000001))^2)/(2*$I$5)-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G32)+(I32)*(MAX($D$16,(E87)-(K32))))*(MAX($D$16,(E87)-(K32))),0.000001))^2)/(2*$I$5)</f>
        <v>-46379.317869242564</v>
      </c>
      <c r="S87">
        <f>M87+((ABS(I87)/MAX(((G34)+(I34)*(MAX($D$16,(M87)-(K34))))*(MAX($D$16,(M87)-(K34))),0.000001))^2)/(2*$I$5)+((E34)*((((ABS(I87)*$D$6)/(MAX(((F34)+(H34)*(MAX($D$16,(E87)-(J34))))*(MAX($D$16,(E87)-(J34))),0.000001)*MAX(((((F34)+(H34)*(MAX($D$16,(E87)-(J34))))*(MAX($D$16,(E87)-(J34))))/MAX((F34)+2*(MAX($D$16,(E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E87)-(J34))))*(MAX($D$16,(E87)-(J34))),0.000001)),$D$9*((((ABS(I87)/MAX(((G34)+(I34)*(MAX($D$16,(M87)-(K34))))*(MAX($D$16,(M87)-(K34))),0.000001))^2)/(2*$I$5))-(((ABS(I87)/MAX(((F34)+(H34)*(MAX($D$16,(E87)-(J34))))*(MAX($D$16,(E87)-(J34))),0.000001))^2)/(2*$I$5))),$D$8*((((ABS(I87)/MAX(((F34)+(H34)*(MAX($D$16,(E87)-(J34))))*(MAX($D$16,(E87)-(J34))),0.000001))^2)/(2*$I$5))-(((ABS(I87)/MAX(((G34)+(I34)*(MAX($D$16,(M87)-(K34))))*(MAX($D$16,(M87)-(K34))),0.000001))^2)/(2*$I$5)))))+($D$10*(ABS((X34)-(W34))/90)*MAX(((ABS(I87)/MAX(((F34)+(H34)*(MAX($D$16,(E87)-(J34))))*(MAX($D$16,(E87)-(J34))),0.000001))^2)/(2*$I$5),((ABS(I87)/MAX(((G34)+(I34)*(MAX($D$16,(M87)-(K34))))*(MAX($D$16,(M87)-(K34))),0.000001))^2)/(2*$I$5)))+(0)-((ABS(I87)/MAX(((F34)+(H34)*(MAX($D$16,(E87)-(J34))))*(MAX($D$16,(E87)-(J34))),0.000001))^2)/(2*$I$5)</f>
        <v>635.5</v>
      </c>
      <c r="T87">
        <f>N87+((ABS(J87)/MAX(((G35)+(I35)*(MAX($D$16,(N87)-(K35))))*(MAX($D$16,(N87)-(K35))),0.000001))^2)/(2*$I$5)+((E35)*((((ABS(J87)*$D$6)/(MAX(((F35)+(H35)*(MAX($D$16,(E87)-(J35))))*(MAX($D$16,(E87)-(J35))),0.000001)*MAX(((((F35)+(H35)*(MAX($D$16,(E87)-(J35))))*(MAX($D$16,(E87)-(J35))))/MAX((F35)+2*(MAX($D$16,(E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E87)-(J35))))*(MAX($D$16,(E87)-(J35))),0.000001)),$D$9*((((ABS(J87)/MAX(((G35)+(I35)*(MAX($D$16,(N87)-(K35))))*(MAX($D$16,(N87)-(K35))),0.000001))^2)/(2*$I$5))-(((ABS(J87)/MAX(((F35)+(H35)*(MAX($D$16,(E87)-(J35))))*(MAX($D$16,(E87)-(J35))),0.000001))^2)/(2*$I$5))),$D$8*((((ABS(J87)/MAX(((F35)+(H35)*(MAX($D$16,(E87)-(J35))))*(MAX($D$16,(E87)-(J35))),0.000001))^2)/(2*$I$5))-(((ABS(J87)/MAX(((G35)+(I35)*(MAX($D$16,(N87)-(K35))))*(MAX($D$16,(N87)-(K35))),0.000001))^2)/(2*$I$5)))))+($D$10*(ABS((X35)-(W35))/90)*MAX(((ABS(J87)/MAX(((F35)+(H35)*(MAX($D$16,(E87)-(J35))))*(MAX($D$16,(E87)-(J35))),0.000001))^2)/(2*$I$5),((ABS(J87)/MAX(((G35)+(I35)*(MAX($D$16,(N87)-(K35))))*(MAX($D$16,(N87)-(K35))),0.000001))^2)/(2*$I$5)))+(($D$11*0.34699541*(ABS(I87)/MAX(ABS(G87),0.000001))^2*MAX(((ABS(J87)/MAX(((F35)+(H35)*(MAX($D$16,(E87)-(J35))))*(MAX($D$16,(E87)-(J35))),0.000001))^2)/(2*$I$5),((ABS(J87)/MAX(((G35)+(I35)*(MAX($D$16,(N87)-(K35))))*(MAX($D$16,(N87)-(K35))),0.000001))^2)/(2*$I$5))))-((ABS(J87)/MAX(((F35)+(H35)*(MAX($D$16,(E87)-(J35))))*(MAX($D$16,(E87)-(J35))),0.000001))^2)/(2*$I$5)</f>
        <v>22382.80587457701</v>
      </c>
      <c r="U87">
        <f>(((((F32)*(MAX($D$16,(D87)-(J32)))^2)/2+(H32)*(MAX($D$16,(D87)-(J32)))^3/3+(ABS(G87)^2)/($I$5*MAX(((F32)+(H32)*(MAX($D$16,(D87)-(J32))))*(MAX($D$16,(D87)-(J32))),0.000001)))*0.72785025)-((((F33)*(MAX($D$16,(D87)-(J33)))^2)/2+(H33)*(MAX($D$16,(D87)-(J33)))^3/3+(ABS(H87)^2)/($I$5*MAX(((F33)+(H33)*(MAX($D$16,(D87)-(J33))))*(MAX($D$16,(D87)-(J33))),0.000001)))*0.99999971))/MAX(((G31)*(MAX($D$16,(D87)-(K31)))^2)/2+(I31)*(MAX($D$16,(D87)-(K31)))^3/3+(ABS(F87)^2)/($I$5*MAX(((G31)+(I31)*(MAX($D$16,(D87)-(K31))))*(MAX($D$16,(D87)-(K31))),0.000001)),0.000001)</f>
        <v>-0.27214945999978907</v>
      </c>
      <c r="V87">
        <f>(((((F34)*(MAX($D$16,(E87)-(J34)))^2)/2+(H34)*(MAX($D$16,(E87)-(J34)))^3/3+(ABS(I87)^2)/($I$5*MAX(((F34)+(H34)*(MAX($D$16,(E87)-(J34))))*(MAX($D$16,(E87)-(J34))),0.000001)))*1)-((((F35)*(MAX($D$16,(E87)-(J35)))^2)/2+(H35)*(MAX($D$16,(E87)-(J35)))^3/3+(ABS(J87)^2)/($I$5*MAX(((F35)+(H35)*(MAX($D$16,(E87)-(J35))))*(MAX($D$16,(E87)-(J35))),0.000001)))*0.30600918))/MAX(((G32)*(MAX($D$16,(E87)-(K32)))^2)/2+(I32)*(MAX($D$16,(E87)-(K32)))^3/3+(ABS(G87)^2)/($I$5*MAX(((G32)+(I32)*(MAX($D$16,(E87)-(K32))))*(MAX($D$16,(E87)-(K32))),0.000001)),0.000001)</f>
        <v>-0.30598462674144999</v>
      </c>
      <c r="W87">
        <f>IF(N6="None",MAX(ABS(O87-D87),ABS(P87-D87)),MAX(ABS(O87-D87),ABS(P87-D87),ABS(Q87-D87)))</f>
        <v>38814.798417551661</v>
      </c>
      <c r="X87">
        <f>IF(AND(N7="None",N8="None"),ABS(R87-E87),IF(N8="None",MAX(ABS(R87-E87),ABS(S87-E87)),IF(N7="None",MAX(ABS(R87-E87),ABS(T87-E87)),MAX(ABS(R87-E87),ABS(S87-E87),ABS(T87-E87)))))</f>
        <v>38592.031351652724</v>
      </c>
      <c r="AA87">
        <f>D87+$D$13*(IF(N6="None",AVERAGE(O87:P87),AVERAGE(O87:Q87))-D87)</f>
        <v>39451.885745208019</v>
      </c>
      <c r="AB87">
        <f>E87+$D$13*(IF(AND(N7="None",N8="None"),R87,IF(N8="None",AVERAGE(R87:S87),IF(N7="None",AVERAGE(R87,T87),AVERAGE(R87:T87))))-E87)</f>
        <v>-7787.1876358110421</v>
      </c>
    </row>
    <row r="88" spans="1:28" x14ac:dyDescent="0.35">
      <c r="A88">
        <v>45</v>
      </c>
      <c r="B88">
        <f t="shared" si="8"/>
        <v>0</v>
      </c>
      <c r="C88">
        <f t="shared" si="9"/>
        <v>0</v>
      </c>
      <c r="D88">
        <f t="shared" si="10"/>
        <v>39451.885745208019</v>
      </c>
      <c r="E88">
        <f t="shared" si="11"/>
        <v>-7787.1876358110421</v>
      </c>
      <c r="F88">
        <f t="shared" si="7"/>
        <v>51</v>
      </c>
      <c r="G88">
        <f>IF(N6="None",F88,MAX(0,F88*B88))</f>
        <v>51</v>
      </c>
      <c r="H88">
        <f>IF(N6="None",0,MAX(0,F88-G88))</f>
        <v>0</v>
      </c>
      <c r="I88">
        <f>IF(AND(N7="None",N8="None"),0,IF(N8="None",G88,IF(N7="None",0,MAX(0,G88*C88))))</f>
        <v>0</v>
      </c>
      <c r="J88">
        <f>IF(AND(N7="None",N8="None"),0,IF(N8="None",0,IF(N7="None",G88,MAX(0,G88-I88))))</f>
        <v>51</v>
      </c>
      <c r="K88">
        <f>P5</f>
        <v>637</v>
      </c>
      <c r="L88">
        <f>P6</f>
        <v>637</v>
      </c>
      <c r="M88">
        <f>P7</f>
        <v>635.5</v>
      </c>
      <c r="N88">
        <f>P8</f>
        <v>631.54999999999995</v>
      </c>
      <c r="O88">
        <f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D88)-(K31))))*(MAX($D$16,(D88)-(K31))),0.000001)*MAX(((((G31)+(I31)*(MAX($D$16,(D88)-(K31))))*(MAX($D$16,(D88)-(K31))))/MAX((G31)+2*(MAX($D$16,(D88)-(K31)))*SQRT(1+(I31)^2),0.000001))^(2/3),0.000001)))^2))/2)+(IF((ABS(F88)/MAX(((G31)+(I31)*(MAX($D$16,(D88)-(K31))))*(MAX($D$16,(D88)-(K31))),0.000001))&gt;(ABS(F88)/MAX(((F31)+(H31)*(MAX($D$16,(K88)-(J31))))*(MAX($D$16,(K88)-(J31))),0.000001)),$D$9*((((ABS(F88)/MAX(((G31)+(I31)*(MAX($D$16,(D88)-(K31))))*(MAX($D$16,(D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D88)-(K31))))*(MAX($D$16,(D88)-(K31))),0.000001))^2)/(2*$I$5)))))+($D$10*(ABS((X31)-(W31))/90)*MAX(((ABS(F88)/MAX(((F31)+(H31)*(MAX($D$16,(K88)-(J31))))*(MAX($D$16,(K88)-(J31))),0.000001))^2)/(2*$I$5),((ABS(F88)/MAX(((G31)+(I31)*(MAX($D$16,(D88)-(K31))))*(MAX($D$16,(D88)-(K31))),0.000001))^2)/(2*$I$5)))+(0)-((ABS(F88)/MAX(((G31)+(I31)*(MAX($D$16,(D88)-(K31))))*(MAX($D$16,(D88)-(K31))),0.000001))^2)/(2*$I$5)</f>
        <v>637.65825100972802</v>
      </c>
      <c r="P88">
        <f>E88+((ABS(G88)/MAX(((G32)+(I32)*(MAX($D$16,(E88)-(K32))))*(MAX($D$16,(E88)-(K32))),0.000001))^2)/(2*$I$5)+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F32)+(H32)*(MAX($D$16,(D88)-(J32))))*(MAX($D$16,(D88)-(J32))),0.000001))^2)/(2*$I$5)</f>
        <v>78266.661939584737</v>
      </c>
      <c r="Q88">
        <f>L88+((ABS(H88)/MAX(((G33)+(I33)*(MAX($D$16,(L88)-(K33))))*(MAX($D$16,(L88)-(K33))),0.000001))^2)/(2*$I$5)+((E33)*((((ABS(H88)*$D$6)/(MAX(((F33)+(H33)*(MAX($D$16,(D88)-(J33))))*(MAX($D$16,(D88)-(J33))),0.000001)*MAX(((((F33)+(H33)*(MAX($D$16,(D88)-(J33))))*(MAX($D$16,(D88)-(J33))))/MAX((F33)+2*(MAX($D$16,(D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D88)-(J33))))*(MAX($D$16,(D88)-(J33))),0.000001)),$D$9*((((ABS(H88)/MAX(((G33)+(I33)*(MAX($D$16,(L88)-(K33))))*(MAX($D$16,(L88)-(K33))),0.000001))^2)/(2*$I$5))-(((ABS(H88)/MAX(((F33)+(H33)*(MAX($D$16,(D88)-(J33))))*(MAX($D$16,(D88)-(J33))),0.000001))^2)/(2*$I$5))),$D$8*((((ABS(H88)/MAX(((F33)+(H33)*(MAX($D$16,(D88)-(J33))))*(MAX($D$16,(D88)-(J33))),0.000001))^2)/(2*$I$5))-(((ABS(H88)/MAX(((G33)+(I33)*(MAX($D$16,(L88)-(K33))))*(MAX($D$16,(L88)-(K33))),0.000001))^2)/(2*$I$5)))))+($D$10*(ABS((X33)-(W33))/90)*MAX(((ABS(H88)/MAX(((F33)+(H33)*(MAX($D$16,(D88)-(J33))))*(MAX($D$16,(D88)-(J33))),0.000001))^2)/(2*$I$5),((ABS(H88)/MAX(((G33)+(I33)*(MAX($D$16,(L88)-(K33))))*(MAX($D$16,(L88)-(K33))),0.000001))^2)/(2*$I$5)))+(($D$11*0.00000015*(ABS(G88)/MAX(ABS(F88),0.000001))^2*MAX(((ABS(H88)/MAX(((F33)+(H33)*(MAX($D$16,(D88)-(J33))))*(MAX($D$16,(D88)-(J33))),0.000001))^2)/(2*$I$5),((ABS(H88)/MAX(((G33)+(I33)*(MAX($D$16,(L88)-(K33))))*(MAX($D$16,(L88)-(K33))),0.000001))^2)/(2*$I$5))))-((ABS(H88)/MAX(((F33)+(H33)*(MAX($D$16,(D88)-(J33))))*(MAX($D$16,(D88)-(J33))),0.000001))^2)/(2*$I$5)</f>
        <v>637</v>
      </c>
      <c r="R88">
        <f>D88+((ABS(G88)/MAX(((F32)+(H32)*(MAX($D$16,(D88)-(J32))))*(MAX($D$16,(D88)-(J32))),0.000001))^2)/(2*$I$5)-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G32)+(I32)*(MAX($D$16,(E88)-(K32))))*(MAX($D$16,(E88)-(K32))),0.000001))^2)/(2*$I$5)</f>
        <v>-46379.196764288819</v>
      </c>
      <c r="S88">
        <f>M88+((ABS(I88)/MAX(((G34)+(I34)*(MAX($D$16,(M88)-(K34))))*(MAX($D$16,(M88)-(K34))),0.000001))^2)/(2*$I$5)+((E34)*((((ABS(I88)*$D$6)/(MAX(((F34)+(H34)*(MAX($D$16,(E88)-(J34))))*(MAX($D$16,(E88)-(J34))),0.000001)*MAX(((((F34)+(H34)*(MAX($D$16,(E88)-(J34))))*(MAX($D$16,(E88)-(J34))))/MAX((F34)+2*(MAX($D$16,(E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E88)-(J34))))*(MAX($D$16,(E88)-(J34))),0.000001)),$D$9*((((ABS(I88)/MAX(((G34)+(I34)*(MAX($D$16,(M88)-(K34))))*(MAX($D$16,(M88)-(K34))),0.000001))^2)/(2*$I$5))-(((ABS(I88)/MAX(((F34)+(H34)*(MAX($D$16,(E88)-(J34))))*(MAX($D$16,(E88)-(J34))),0.000001))^2)/(2*$I$5))),$D$8*((((ABS(I88)/MAX(((F34)+(H34)*(MAX($D$16,(E88)-(J34))))*(MAX($D$16,(E88)-(J34))),0.000001))^2)/(2*$I$5))-(((ABS(I88)/MAX(((G34)+(I34)*(MAX($D$16,(M88)-(K34))))*(MAX($D$16,(M88)-(K34))),0.000001))^2)/(2*$I$5)))))+($D$10*(ABS((X34)-(W34))/90)*MAX(((ABS(I88)/MAX(((F34)+(H34)*(MAX($D$16,(E88)-(J34))))*(MAX($D$16,(E88)-(J34))),0.000001))^2)/(2*$I$5),((ABS(I88)/MAX(((G34)+(I34)*(MAX($D$16,(M88)-(K34))))*(MAX($D$16,(M88)-(K34))),0.000001))^2)/(2*$I$5)))+(0)-((ABS(I88)/MAX(((F34)+(H34)*(MAX($D$16,(E88)-(J34))))*(MAX($D$16,(E88)-(J34))),0.000001))^2)/(2*$I$5)</f>
        <v>635.5</v>
      </c>
      <c r="T88">
        <f>N88+((ABS(J88)/MAX(((G35)+(I35)*(MAX($D$16,(N88)-(K35))))*(MAX($D$16,(N88)-(K35))),0.000001))^2)/(2*$I$5)+((E35)*((((ABS(J88)*$D$6)/(MAX(((F35)+(H35)*(MAX($D$16,(E88)-(J35))))*(MAX($D$16,(E88)-(J35))),0.000001)*MAX(((((F35)+(H35)*(MAX($D$16,(E88)-(J35))))*(MAX($D$16,(E88)-(J35))))/MAX((F35)+2*(MAX($D$16,(E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E88)-(J35))))*(MAX($D$16,(E88)-(J35))),0.000001)),$D$9*((((ABS(J88)/MAX(((G35)+(I35)*(MAX($D$16,(N88)-(K35))))*(MAX($D$16,(N88)-(K35))),0.000001))^2)/(2*$I$5))-(((ABS(J88)/MAX(((F35)+(H35)*(MAX($D$16,(E88)-(J35))))*(MAX($D$16,(E88)-(J35))),0.000001))^2)/(2*$I$5))),$D$8*((((ABS(J88)/MAX(((F35)+(H35)*(MAX($D$16,(E88)-(J35))))*(MAX($D$16,(E88)-(J35))),0.000001))^2)/(2*$I$5))-(((ABS(J88)/MAX(((G35)+(I35)*(MAX($D$16,(N88)-(K35))))*(MAX($D$16,(N88)-(K35))),0.000001))^2)/(2*$I$5)))))+($D$10*(ABS((X35)-(W35))/90)*MAX(((ABS(J88)/MAX(((F35)+(H35)*(MAX($D$16,(E88)-(J35))))*(MAX($D$16,(E88)-(J35))),0.000001))^2)/(2*$I$5),((ABS(J88)/MAX(((G35)+(I35)*(MAX($D$16,(N88)-(K35))))*(MAX($D$16,(N88)-(K35))),0.000001))^2)/(2*$I$5)))+(($D$11*0.34699541*(ABS(I88)/MAX(ABS(G88),0.000001))^2*MAX(((ABS(J88)/MAX(((F35)+(H35)*(MAX($D$16,(E88)-(J35))))*(MAX($D$16,(E88)-(J35))),0.000001))^2)/(2*$I$5),((ABS(J88)/MAX(((G35)+(I35)*(MAX($D$16,(N88)-(K35))))*(MAX($D$16,(N88)-(K35))),0.000001))^2)/(2*$I$5))))-((ABS(J88)/MAX(((F35)+(H35)*(MAX($D$16,(E88)-(J35))))*(MAX($D$16,(E88)-(J35))),0.000001))^2)/(2*$I$5)</f>
        <v>22382.80587457701</v>
      </c>
      <c r="U88">
        <f>(((((F32)*(MAX($D$16,(D88)-(J32)))^2)/2+(H32)*(MAX($D$16,(D88)-(J32)))^3/3+(ABS(G88)^2)/($I$5*MAX(((F32)+(H32)*(MAX($D$16,(D88)-(J32))))*(MAX($D$16,(D88)-(J32))),0.000001)))*0.72785025)-((((F33)*(MAX($D$16,(D88)-(J33)))^2)/2+(H33)*(MAX($D$16,(D88)-(J33)))^3/3+(ABS(H88)^2)/($I$5*MAX(((F33)+(H33)*(MAX($D$16,(D88)-(J33))))*(MAX($D$16,(D88)-(J33))),0.000001)))*0.99999971))/MAX(((G31)*(MAX($D$16,(D88)-(K31)))^2)/2+(I31)*(MAX($D$16,(D88)-(K31)))^3/3+(ABS(F88)^2)/($I$5*MAX(((G31)+(I31)*(MAX($D$16,(D88)-(K31))))*(MAX($D$16,(D88)-(K31))),0.000001)),0.000001)</f>
        <v>-0.27214945999978923</v>
      </c>
      <c r="V88">
        <f>(((((F34)*(MAX($D$16,(E88)-(J34)))^2)/2+(H34)*(MAX($D$16,(E88)-(J34)))^3/3+(ABS(I88)^2)/($I$5*MAX(((F34)+(H34)*(MAX($D$16,(E88)-(J34))))*(MAX($D$16,(E88)-(J34))),0.000001)))*1)-((((F35)*(MAX($D$16,(E88)-(J35)))^2)/2+(H35)*(MAX($D$16,(E88)-(J35)))^3/3+(ABS(J88)^2)/($I$5*MAX(((F35)+(H35)*(MAX($D$16,(E88)-(J35))))*(MAX($D$16,(E88)-(J35))),0.000001)))*0.30600918))/MAX(((G32)*(MAX($D$16,(E88)-(K32)))^2)/2+(I32)*(MAX($D$16,(E88)-(K32)))^3/3+(ABS(G88)^2)/($I$5*MAX(((G32)+(I32)*(MAX($D$16,(E88)-(K32))))*(MAX($D$16,(E88)-(K32))),0.000001)),0.000001)</f>
        <v>-0.30598462674144999</v>
      </c>
      <c r="W88">
        <f>IF(N6="None",MAX(ABS(O88-D88),ABS(P88-D88)),MAX(ABS(O88-D88),ABS(P88-D88),ABS(Q88-D88)))</f>
        <v>38814.776194376718</v>
      </c>
      <c r="X88">
        <f>IF(AND(N7="None",N8="None"),ABS(R88-E88),IF(N8="None",MAX(ABS(R88-E88),ABS(S88-E88)),IF(N7="None",MAX(ABS(R88-E88),ABS(T88-E88)),MAX(ABS(R88-E88),ABS(S88-E88),ABS(T88-E88)))))</f>
        <v>38592.009128477774</v>
      </c>
      <c r="AA88">
        <f>D88+$D$13*(IF(N6="None",AVERAGE(O88:P88),AVERAGE(O88:Q88))-D88)</f>
        <v>39451.981767739242</v>
      </c>
      <c r="AB88">
        <f>E88+$D$13*(IF(AND(N7="None",N8="None"),R88,IF(N8="None",AVERAGE(R88:S88),IF(N7="None",AVERAGE(R88,T88),AVERAGE(R88:T88))))-E88)</f>
        <v>-7787.1092337435548</v>
      </c>
    </row>
    <row r="89" spans="1:28" x14ac:dyDescent="0.35">
      <c r="A89">
        <v>46</v>
      </c>
      <c r="B89">
        <f t="shared" si="8"/>
        <v>0</v>
      </c>
      <c r="C89">
        <f t="shared" si="9"/>
        <v>0</v>
      </c>
      <c r="D89">
        <f t="shared" si="10"/>
        <v>39451.981767739242</v>
      </c>
      <c r="E89">
        <f t="shared" si="11"/>
        <v>-7787.1092337435548</v>
      </c>
      <c r="F89">
        <f t="shared" si="7"/>
        <v>51</v>
      </c>
      <c r="G89">
        <f>IF(N6="None",F89,MAX(0,F89*B89))</f>
        <v>51</v>
      </c>
      <c r="H89">
        <f>IF(N6="None",0,MAX(0,F89-G89))</f>
        <v>0</v>
      </c>
      <c r="I89">
        <f>IF(AND(N7="None",N8="None"),0,IF(N8="None",G89,IF(N7="None",0,MAX(0,G89*C89))))</f>
        <v>0</v>
      </c>
      <c r="J89">
        <f>IF(AND(N7="None",N8="None"),0,IF(N8="None",0,IF(N7="None",G89,MAX(0,G89-I89))))</f>
        <v>51</v>
      </c>
      <c r="K89">
        <f>P5</f>
        <v>637</v>
      </c>
      <c r="L89">
        <f>P6</f>
        <v>637</v>
      </c>
      <c r="M89">
        <f>P7</f>
        <v>635.5</v>
      </c>
      <c r="N89">
        <f>P8</f>
        <v>631.54999999999995</v>
      </c>
      <c r="O89">
        <f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D89)-(K31))))*(MAX($D$16,(D89)-(K31))),0.000001)*MAX(((((G31)+(I31)*(MAX($D$16,(D89)-(K31))))*(MAX($D$16,(D89)-(K31))))/MAX((G31)+2*(MAX($D$16,(D89)-(K31)))*SQRT(1+(I31)^2),0.000001))^(2/3),0.000001)))^2))/2)+(IF((ABS(F89)/MAX(((G31)+(I31)*(MAX($D$16,(D89)-(K31))))*(MAX($D$16,(D89)-(K31))),0.000001))&gt;(ABS(F89)/MAX(((F31)+(H31)*(MAX($D$16,(K89)-(J31))))*(MAX($D$16,(K89)-(J31))),0.000001)),$D$9*((((ABS(F89)/MAX(((G31)+(I31)*(MAX($D$16,(D89)-(K31))))*(MAX($D$16,(D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D89)-(K31))))*(MAX($D$16,(D89)-(K31))),0.000001))^2)/(2*$I$5)))))+($D$10*(ABS((X31)-(W31))/90)*MAX(((ABS(F89)/MAX(((F31)+(H31)*(MAX($D$16,(K89)-(J31))))*(MAX($D$16,(K89)-(J31))),0.000001))^2)/(2*$I$5),((ABS(F89)/MAX(((G31)+(I31)*(MAX($D$16,(D89)-(K31))))*(MAX($D$16,(D89)-(K31))),0.000001))^2)/(2*$I$5)))+(0)-((ABS(F89)/MAX(((G31)+(I31)*(MAX($D$16,(D89)-(K31))))*(MAX($D$16,(D89)-(K31))),0.000001))^2)/(2*$I$5)</f>
        <v>637.65825100972802</v>
      </c>
      <c r="P89">
        <f>E89+((ABS(G89)/MAX(((G32)+(I32)*(MAX($D$16,(E89)-(K32))))*(MAX($D$16,(E89)-(K32))),0.000001))^2)/(2*$I$5)+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F32)+(H32)*(MAX($D$16,(D89)-(J32))))*(MAX($D$16,(D89)-(J32))),0.000001))^2)/(2*$I$5)</f>
        <v>78266.740341652228</v>
      </c>
      <c r="Q89">
        <f>L89+((ABS(H89)/MAX(((G33)+(I33)*(MAX($D$16,(L89)-(K33))))*(MAX($D$16,(L89)-(K33))),0.000001))^2)/(2*$I$5)+((E33)*((((ABS(H89)*$D$6)/(MAX(((F33)+(H33)*(MAX($D$16,(D89)-(J33))))*(MAX($D$16,(D89)-(J33))),0.000001)*MAX(((((F33)+(H33)*(MAX($D$16,(D89)-(J33))))*(MAX($D$16,(D89)-(J33))))/MAX((F33)+2*(MAX($D$16,(D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D89)-(J33))))*(MAX($D$16,(D89)-(J33))),0.000001)),$D$9*((((ABS(H89)/MAX(((G33)+(I33)*(MAX($D$16,(L89)-(K33))))*(MAX($D$16,(L89)-(K33))),0.000001))^2)/(2*$I$5))-(((ABS(H89)/MAX(((F33)+(H33)*(MAX($D$16,(D89)-(J33))))*(MAX($D$16,(D89)-(J33))),0.000001))^2)/(2*$I$5))),$D$8*((((ABS(H89)/MAX(((F33)+(H33)*(MAX($D$16,(D89)-(J33))))*(MAX($D$16,(D89)-(J33))),0.000001))^2)/(2*$I$5))-(((ABS(H89)/MAX(((G33)+(I33)*(MAX($D$16,(L89)-(K33))))*(MAX($D$16,(L89)-(K33))),0.000001))^2)/(2*$I$5)))))+($D$10*(ABS((X33)-(W33))/90)*MAX(((ABS(H89)/MAX(((F33)+(H33)*(MAX($D$16,(D89)-(J33))))*(MAX($D$16,(D89)-(J33))),0.000001))^2)/(2*$I$5),((ABS(H89)/MAX(((G33)+(I33)*(MAX($D$16,(L89)-(K33))))*(MAX($D$16,(L89)-(K33))),0.000001))^2)/(2*$I$5)))+(($D$11*0.00000015*(ABS(G89)/MAX(ABS(F89),0.000001))^2*MAX(((ABS(H89)/MAX(((F33)+(H33)*(MAX($D$16,(D89)-(J33))))*(MAX($D$16,(D89)-(J33))),0.000001))^2)/(2*$I$5),((ABS(H89)/MAX(((G33)+(I33)*(MAX($D$16,(L89)-(K33))))*(MAX($D$16,(L89)-(K33))),0.000001))^2)/(2*$I$5))))-((ABS(H89)/MAX(((F33)+(H33)*(MAX($D$16,(D89)-(J33))))*(MAX($D$16,(D89)-(J33))),0.000001))^2)/(2*$I$5)</f>
        <v>637</v>
      </c>
      <c r="R89">
        <f>D89+((ABS(G89)/MAX(((F32)+(H32)*(MAX($D$16,(D89)-(J32))))*(MAX($D$16,(D89)-(J32))),0.000001))^2)/(2*$I$5)-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G32)+(I32)*(MAX($D$16,(E89)-(K32))))*(MAX($D$16,(E89)-(K32))),0.000001))^2)/(2*$I$5)</f>
        <v>-46379.100741757597</v>
      </c>
      <c r="S89">
        <f>M89+((ABS(I89)/MAX(((G34)+(I34)*(MAX($D$16,(M89)-(K34))))*(MAX($D$16,(M89)-(K34))),0.000001))^2)/(2*$I$5)+((E34)*((((ABS(I89)*$D$6)/(MAX(((F34)+(H34)*(MAX($D$16,(E89)-(J34))))*(MAX($D$16,(E89)-(J34))),0.000001)*MAX(((((F34)+(H34)*(MAX($D$16,(E89)-(J34))))*(MAX($D$16,(E89)-(J34))))/MAX((F34)+2*(MAX($D$16,(E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E89)-(J34))))*(MAX($D$16,(E89)-(J34))),0.000001)),$D$9*((((ABS(I89)/MAX(((G34)+(I34)*(MAX($D$16,(M89)-(K34))))*(MAX($D$16,(M89)-(K34))),0.000001))^2)/(2*$I$5))-(((ABS(I89)/MAX(((F34)+(H34)*(MAX($D$16,(E89)-(J34))))*(MAX($D$16,(E89)-(J34))),0.000001))^2)/(2*$I$5))),$D$8*((((ABS(I89)/MAX(((F34)+(H34)*(MAX($D$16,(E89)-(J34))))*(MAX($D$16,(E89)-(J34))),0.000001))^2)/(2*$I$5))-(((ABS(I89)/MAX(((G34)+(I34)*(MAX($D$16,(M89)-(K34))))*(MAX($D$16,(M89)-(K34))),0.000001))^2)/(2*$I$5)))))+($D$10*(ABS((X34)-(W34))/90)*MAX(((ABS(I89)/MAX(((F34)+(H34)*(MAX($D$16,(E89)-(J34))))*(MAX($D$16,(E89)-(J34))),0.000001))^2)/(2*$I$5),((ABS(I89)/MAX(((G34)+(I34)*(MAX($D$16,(M89)-(K34))))*(MAX($D$16,(M89)-(K34))),0.000001))^2)/(2*$I$5)))+(0)-((ABS(I89)/MAX(((F34)+(H34)*(MAX($D$16,(E89)-(J34))))*(MAX($D$16,(E89)-(J34))),0.000001))^2)/(2*$I$5)</f>
        <v>635.5</v>
      </c>
      <c r="T89">
        <f>N89+((ABS(J89)/MAX(((G35)+(I35)*(MAX($D$16,(N89)-(K35))))*(MAX($D$16,(N89)-(K35))),0.000001))^2)/(2*$I$5)+((E35)*((((ABS(J89)*$D$6)/(MAX(((F35)+(H35)*(MAX($D$16,(E89)-(J35))))*(MAX($D$16,(E89)-(J35))),0.000001)*MAX(((((F35)+(H35)*(MAX($D$16,(E89)-(J35))))*(MAX($D$16,(E89)-(J35))))/MAX((F35)+2*(MAX($D$16,(E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E89)-(J35))))*(MAX($D$16,(E89)-(J35))),0.000001)),$D$9*((((ABS(J89)/MAX(((G35)+(I35)*(MAX($D$16,(N89)-(K35))))*(MAX($D$16,(N89)-(K35))),0.000001))^2)/(2*$I$5))-(((ABS(J89)/MAX(((F35)+(H35)*(MAX($D$16,(E89)-(J35))))*(MAX($D$16,(E89)-(J35))),0.000001))^2)/(2*$I$5))),$D$8*((((ABS(J89)/MAX(((F35)+(H35)*(MAX($D$16,(E89)-(J35))))*(MAX($D$16,(E89)-(J35))),0.000001))^2)/(2*$I$5))-(((ABS(J89)/MAX(((G35)+(I35)*(MAX($D$16,(N89)-(K35))))*(MAX($D$16,(N89)-(K35))),0.000001))^2)/(2*$I$5)))))+($D$10*(ABS((X35)-(W35))/90)*MAX(((ABS(J89)/MAX(((F35)+(H35)*(MAX($D$16,(E89)-(J35))))*(MAX($D$16,(E89)-(J35))),0.000001))^2)/(2*$I$5),((ABS(J89)/MAX(((G35)+(I35)*(MAX($D$16,(N89)-(K35))))*(MAX($D$16,(N89)-(K35))),0.000001))^2)/(2*$I$5)))+(($D$11*0.34699541*(ABS(I89)/MAX(ABS(G89),0.000001))^2*MAX(((ABS(J89)/MAX(((F35)+(H35)*(MAX($D$16,(E89)-(J35))))*(MAX($D$16,(E89)-(J35))),0.000001))^2)/(2*$I$5),((ABS(J89)/MAX(((G35)+(I35)*(MAX($D$16,(N89)-(K35))))*(MAX($D$16,(N89)-(K35))),0.000001))^2)/(2*$I$5))))-((ABS(J89)/MAX(((F35)+(H35)*(MAX($D$16,(E89)-(J35))))*(MAX($D$16,(E89)-(J35))),0.000001))^2)/(2*$I$5)</f>
        <v>22382.80587457701</v>
      </c>
      <c r="U89">
        <f>(((((F32)*(MAX($D$16,(D89)-(J32)))^2)/2+(H32)*(MAX($D$16,(D89)-(J32)))^3/3+(ABS(G89)^2)/($I$5*MAX(((F32)+(H32)*(MAX($D$16,(D89)-(J32))))*(MAX($D$16,(D89)-(J32))),0.000001)))*0.72785025)-((((F33)*(MAX($D$16,(D89)-(J33)))^2)/2+(H33)*(MAX($D$16,(D89)-(J33)))^3/3+(ABS(H89)^2)/($I$5*MAX(((F33)+(H33)*(MAX($D$16,(D89)-(J33))))*(MAX($D$16,(D89)-(J33))),0.000001)))*0.99999971))/MAX(((G31)*(MAX($D$16,(D89)-(K31)))^2)/2+(I31)*(MAX($D$16,(D89)-(K31)))^3/3+(ABS(F89)^2)/($I$5*MAX(((G31)+(I31)*(MAX($D$16,(D89)-(K31))))*(MAX($D$16,(D89)-(K31))),0.000001)),0.000001)</f>
        <v>-0.27214945999978912</v>
      </c>
      <c r="V89">
        <f>(((((F34)*(MAX($D$16,(E89)-(J34)))^2)/2+(H34)*(MAX($D$16,(E89)-(J34)))^3/3+(ABS(I89)^2)/($I$5*MAX(((F34)+(H34)*(MAX($D$16,(E89)-(J34))))*(MAX($D$16,(E89)-(J34))),0.000001)))*1)-((((F35)*(MAX($D$16,(E89)-(J35)))^2)/2+(H35)*(MAX($D$16,(E89)-(J35)))^3/3+(ABS(J89)^2)/($I$5*MAX(((F35)+(H35)*(MAX($D$16,(E89)-(J35))))*(MAX($D$16,(E89)-(J35))),0.000001)))*0.30600918))/MAX(((G32)*(MAX($D$16,(E89)-(K32)))^2)/2+(I32)*(MAX($D$16,(E89)-(K32)))^3/3+(ABS(G89)^2)/($I$5*MAX(((G32)+(I32)*(MAX($D$16,(E89)-(K32))))*(MAX($D$16,(E89)-(K32))),0.000001)),0.000001)</f>
        <v>-0.30598462674144999</v>
      </c>
      <c r="W89">
        <f>IF(N6="None",MAX(ABS(O89-D89),ABS(P89-D89)),MAX(ABS(O89-D89),ABS(P89-D89),ABS(Q89-D89)))</f>
        <v>38814.758573912986</v>
      </c>
      <c r="X89">
        <f>IF(AND(N7="None",N8="None"),ABS(R89-E89),IF(N8="None",MAX(ABS(R89-E89),ABS(S89-E89)),IF(N7="None",MAX(ABS(R89-E89),ABS(T89-E89)),MAX(ABS(R89-E89),ABS(S89-E89),ABS(T89-E89)))))</f>
        <v>38591.991508014042</v>
      </c>
      <c r="AA89">
        <f>D89+$D$13*(IF(N6="None",AVERAGE(O89:P89),AVERAGE(O89:Q89))-D89)</f>
        <v>39452.057902746346</v>
      </c>
      <c r="AB89">
        <f>E89+$D$13*(IF(AND(N7="None",N8="None"),R89,IF(N8="None",AVERAGE(R89:S89),IF(N7="None",AVERAGE(R89,T89),AVERAGE(R89:T89))))-E89)</f>
        <v>-7787.0470697710452</v>
      </c>
    </row>
    <row r="90" spans="1:28" x14ac:dyDescent="0.35">
      <c r="A90">
        <v>47</v>
      </c>
      <c r="B90">
        <f t="shared" si="8"/>
        <v>0</v>
      </c>
      <c r="C90">
        <f t="shared" si="9"/>
        <v>0</v>
      </c>
      <c r="D90">
        <f t="shared" si="10"/>
        <v>39452.057902746346</v>
      </c>
      <c r="E90">
        <f t="shared" si="11"/>
        <v>-7787.0470697710452</v>
      </c>
      <c r="F90">
        <f t="shared" si="7"/>
        <v>51</v>
      </c>
      <c r="G90">
        <f>IF(N6="None",F90,MAX(0,F90*B90))</f>
        <v>51</v>
      </c>
      <c r="H90">
        <f>IF(N6="None",0,MAX(0,F90-G90))</f>
        <v>0</v>
      </c>
      <c r="I90">
        <f>IF(AND(N7="None",N8="None"),0,IF(N8="None",G90,IF(N7="None",0,MAX(0,G90*C90))))</f>
        <v>0</v>
      </c>
      <c r="J90">
        <f>IF(AND(N7="None",N8="None"),0,IF(N8="None",0,IF(N7="None",G90,MAX(0,G90-I90))))</f>
        <v>51</v>
      </c>
      <c r="K90">
        <f>P5</f>
        <v>637</v>
      </c>
      <c r="L90">
        <f>P6</f>
        <v>637</v>
      </c>
      <c r="M90">
        <f>P7</f>
        <v>635.5</v>
      </c>
      <c r="N90">
        <f>P8</f>
        <v>631.54999999999995</v>
      </c>
      <c r="O90">
        <f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D90)-(K31))))*(MAX($D$16,(D90)-(K31))),0.000001)*MAX(((((G31)+(I31)*(MAX($D$16,(D90)-(K31))))*(MAX($D$16,(D90)-(K31))))/MAX((G31)+2*(MAX($D$16,(D90)-(K31)))*SQRT(1+(I31)^2),0.000001))^(2/3),0.000001)))^2))/2)+(IF((ABS(F90)/MAX(((G31)+(I31)*(MAX($D$16,(D90)-(K31))))*(MAX($D$16,(D90)-(K31))),0.000001))&gt;(ABS(F90)/MAX(((F31)+(H31)*(MAX($D$16,(K90)-(J31))))*(MAX($D$16,(K90)-(J31))),0.000001)),$D$9*((((ABS(F90)/MAX(((G31)+(I31)*(MAX($D$16,(D90)-(K31))))*(MAX($D$16,(D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D90)-(K31))))*(MAX($D$16,(D90)-(K31))),0.000001))^2)/(2*$I$5)))))+($D$10*(ABS((X31)-(W31))/90)*MAX(((ABS(F90)/MAX(((F31)+(H31)*(MAX($D$16,(K90)-(J31))))*(MAX($D$16,(K90)-(J31))),0.000001))^2)/(2*$I$5),((ABS(F90)/MAX(((G31)+(I31)*(MAX($D$16,(D90)-(K31))))*(MAX($D$16,(D90)-(K31))),0.000001))^2)/(2*$I$5)))+(0)-((ABS(F90)/MAX(((G31)+(I31)*(MAX($D$16,(D90)-(K31))))*(MAX($D$16,(D90)-(K31))),0.000001))^2)/(2*$I$5)</f>
        <v>637.65825100972802</v>
      </c>
      <c r="P90">
        <f>E90+((ABS(G90)/MAX(((G32)+(I32)*(MAX($D$16,(E90)-(K32))))*(MAX($D$16,(E90)-(K32))),0.000001))^2)/(2*$I$5)+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F32)+(H32)*(MAX($D$16,(D90)-(J32))))*(MAX($D$16,(D90)-(J32))),0.000001))^2)/(2*$I$5)</f>
        <v>78266.802505624728</v>
      </c>
      <c r="Q90">
        <f>L90+((ABS(H90)/MAX(((G33)+(I33)*(MAX($D$16,(L90)-(K33))))*(MAX($D$16,(L90)-(K33))),0.000001))^2)/(2*$I$5)+((E33)*((((ABS(H90)*$D$6)/(MAX(((F33)+(H33)*(MAX($D$16,(D90)-(J33))))*(MAX($D$16,(D90)-(J33))),0.000001)*MAX(((((F33)+(H33)*(MAX($D$16,(D90)-(J33))))*(MAX($D$16,(D90)-(J33))))/MAX((F33)+2*(MAX($D$16,(D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D90)-(J33))))*(MAX($D$16,(D90)-(J33))),0.000001)),$D$9*((((ABS(H90)/MAX(((G33)+(I33)*(MAX($D$16,(L90)-(K33))))*(MAX($D$16,(L90)-(K33))),0.000001))^2)/(2*$I$5))-(((ABS(H90)/MAX(((F33)+(H33)*(MAX($D$16,(D90)-(J33))))*(MAX($D$16,(D90)-(J33))),0.000001))^2)/(2*$I$5))),$D$8*((((ABS(H90)/MAX(((F33)+(H33)*(MAX($D$16,(D90)-(J33))))*(MAX($D$16,(D90)-(J33))),0.000001))^2)/(2*$I$5))-(((ABS(H90)/MAX(((G33)+(I33)*(MAX($D$16,(L90)-(K33))))*(MAX($D$16,(L90)-(K33))),0.000001))^2)/(2*$I$5)))))+($D$10*(ABS((X33)-(W33))/90)*MAX(((ABS(H90)/MAX(((F33)+(H33)*(MAX($D$16,(D90)-(J33))))*(MAX($D$16,(D90)-(J33))),0.000001))^2)/(2*$I$5),((ABS(H90)/MAX(((G33)+(I33)*(MAX($D$16,(L90)-(K33))))*(MAX($D$16,(L90)-(K33))),0.000001))^2)/(2*$I$5)))+(($D$11*0.00000015*(ABS(G90)/MAX(ABS(F90),0.000001))^2*MAX(((ABS(H90)/MAX(((F33)+(H33)*(MAX($D$16,(D90)-(J33))))*(MAX($D$16,(D90)-(J33))),0.000001))^2)/(2*$I$5),((ABS(H90)/MAX(((G33)+(I33)*(MAX($D$16,(L90)-(K33))))*(MAX($D$16,(L90)-(K33))),0.000001))^2)/(2*$I$5))))-((ABS(H90)/MAX(((F33)+(H33)*(MAX($D$16,(D90)-(J33))))*(MAX($D$16,(D90)-(J33))),0.000001))^2)/(2*$I$5)</f>
        <v>637</v>
      </c>
      <c r="R90">
        <f>D90+((ABS(G90)/MAX(((F32)+(H32)*(MAX($D$16,(D90)-(J32))))*(MAX($D$16,(D90)-(J32))),0.000001))^2)/(2*$I$5)-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G32)+(I32)*(MAX($D$16,(E90)-(K32))))*(MAX($D$16,(E90)-(K32))),0.000001))^2)/(2*$I$5)</f>
        <v>-46379.024606750492</v>
      </c>
      <c r="S90">
        <f>M90+((ABS(I90)/MAX(((G34)+(I34)*(MAX($D$16,(M90)-(K34))))*(MAX($D$16,(M90)-(K34))),0.000001))^2)/(2*$I$5)+((E34)*((((ABS(I90)*$D$6)/(MAX(((F34)+(H34)*(MAX($D$16,(E90)-(J34))))*(MAX($D$16,(E90)-(J34))),0.000001)*MAX(((((F34)+(H34)*(MAX($D$16,(E90)-(J34))))*(MAX($D$16,(E90)-(J34))))/MAX((F34)+2*(MAX($D$16,(E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E90)-(J34))))*(MAX($D$16,(E90)-(J34))),0.000001)),$D$9*((((ABS(I90)/MAX(((G34)+(I34)*(MAX($D$16,(M90)-(K34))))*(MAX($D$16,(M90)-(K34))),0.000001))^2)/(2*$I$5))-(((ABS(I90)/MAX(((F34)+(H34)*(MAX($D$16,(E90)-(J34))))*(MAX($D$16,(E90)-(J34))),0.000001))^2)/(2*$I$5))),$D$8*((((ABS(I90)/MAX(((F34)+(H34)*(MAX($D$16,(E90)-(J34))))*(MAX($D$16,(E90)-(J34))),0.000001))^2)/(2*$I$5))-(((ABS(I90)/MAX(((G34)+(I34)*(MAX($D$16,(M90)-(K34))))*(MAX($D$16,(M90)-(K34))),0.000001))^2)/(2*$I$5)))))+($D$10*(ABS((X34)-(W34))/90)*MAX(((ABS(I90)/MAX(((F34)+(H34)*(MAX($D$16,(E90)-(J34))))*(MAX($D$16,(E90)-(J34))),0.000001))^2)/(2*$I$5),((ABS(I90)/MAX(((G34)+(I34)*(MAX($D$16,(M90)-(K34))))*(MAX($D$16,(M90)-(K34))),0.000001))^2)/(2*$I$5)))+(0)-((ABS(I90)/MAX(((F34)+(H34)*(MAX($D$16,(E90)-(J34))))*(MAX($D$16,(E90)-(J34))),0.000001))^2)/(2*$I$5)</f>
        <v>635.5</v>
      </c>
      <c r="T90">
        <f>N90+((ABS(J90)/MAX(((G35)+(I35)*(MAX($D$16,(N90)-(K35))))*(MAX($D$16,(N90)-(K35))),0.000001))^2)/(2*$I$5)+((E35)*((((ABS(J90)*$D$6)/(MAX(((F35)+(H35)*(MAX($D$16,(E90)-(J35))))*(MAX($D$16,(E90)-(J35))),0.000001)*MAX(((((F35)+(H35)*(MAX($D$16,(E90)-(J35))))*(MAX($D$16,(E90)-(J35))))/MAX((F35)+2*(MAX($D$16,(E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E90)-(J35))))*(MAX($D$16,(E90)-(J35))),0.000001)),$D$9*((((ABS(J90)/MAX(((G35)+(I35)*(MAX($D$16,(N90)-(K35))))*(MAX($D$16,(N90)-(K35))),0.000001))^2)/(2*$I$5))-(((ABS(J90)/MAX(((F35)+(H35)*(MAX($D$16,(E90)-(J35))))*(MAX($D$16,(E90)-(J35))),0.000001))^2)/(2*$I$5))),$D$8*((((ABS(J90)/MAX(((F35)+(H35)*(MAX($D$16,(E90)-(J35))))*(MAX($D$16,(E90)-(J35))),0.000001))^2)/(2*$I$5))-(((ABS(J90)/MAX(((G35)+(I35)*(MAX($D$16,(N90)-(K35))))*(MAX($D$16,(N90)-(K35))),0.000001))^2)/(2*$I$5)))))+($D$10*(ABS((X35)-(W35))/90)*MAX(((ABS(J90)/MAX(((F35)+(H35)*(MAX($D$16,(E90)-(J35))))*(MAX($D$16,(E90)-(J35))),0.000001))^2)/(2*$I$5),((ABS(J90)/MAX(((G35)+(I35)*(MAX($D$16,(N90)-(K35))))*(MAX($D$16,(N90)-(K35))),0.000001))^2)/(2*$I$5)))+(($D$11*0.34699541*(ABS(I90)/MAX(ABS(G90),0.000001))^2*MAX(((ABS(J90)/MAX(((F35)+(H35)*(MAX($D$16,(E90)-(J35))))*(MAX($D$16,(E90)-(J35))),0.000001))^2)/(2*$I$5),((ABS(J90)/MAX(((G35)+(I35)*(MAX($D$16,(N90)-(K35))))*(MAX($D$16,(N90)-(K35))),0.000001))^2)/(2*$I$5))))-((ABS(J90)/MAX(((F35)+(H35)*(MAX($D$16,(E90)-(J35))))*(MAX($D$16,(E90)-(J35))),0.000001))^2)/(2*$I$5)</f>
        <v>22382.80587457701</v>
      </c>
      <c r="U90">
        <f>(((((F32)*(MAX($D$16,(D90)-(J32)))^2)/2+(H32)*(MAX($D$16,(D90)-(J32)))^3/3+(ABS(G90)^2)/($I$5*MAX(((F32)+(H32)*(MAX($D$16,(D90)-(J32))))*(MAX($D$16,(D90)-(J32))),0.000001)))*0.72785025)-((((F33)*(MAX($D$16,(D90)-(J33)))^2)/2+(H33)*(MAX($D$16,(D90)-(J33)))^3/3+(ABS(H90)^2)/($I$5*MAX(((F33)+(H33)*(MAX($D$16,(D90)-(J33))))*(MAX($D$16,(D90)-(J33))),0.000001)))*0.99999971))/MAX(((G31)*(MAX($D$16,(D90)-(K31)))^2)/2+(I31)*(MAX($D$16,(D90)-(K31)))^3/3+(ABS(F90)^2)/($I$5*MAX(((G31)+(I31)*(MAX($D$16,(D90)-(K31))))*(MAX($D$16,(D90)-(K31))),0.000001)),0.000001)</f>
        <v>-0.27214945999978923</v>
      </c>
      <c r="V90">
        <f>(((((F34)*(MAX($D$16,(E90)-(J34)))^2)/2+(H34)*(MAX($D$16,(E90)-(J34)))^3/3+(ABS(I90)^2)/($I$5*MAX(((F34)+(H34)*(MAX($D$16,(E90)-(J34))))*(MAX($D$16,(E90)-(J34))),0.000001)))*1)-((((F35)*(MAX($D$16,(E90)-(J35)))^2)/2+(H35)*(MAX($D$16,(E90)-(J35)))^3/3+(ABS(J90)^2)/($I$5*MAX(((F35)+(H35)*(MAX($D$16,(E90)-(J35))))*(MAX($D$16,(E90)-(J35))),0.000001)))*0.30600918))/MAX(((G32)*(MAX($D$16,(E90)-(K32)))^2)/2+(I32)*(MAX($D$16,(E90)-(K32)))^3/3+(ABS(G90)^2)/($I$5*MAX(((G32)+(I32)*(MAX($D$16,(E90)-(K32))))*(MAX($D$16,(E90)-(K32))),0.000001)),0.000001)</f>
        <v>-0.30598462674144999</v>
      </c>
      <c r="W90">
        <f>IF(N6="None",MAX(ABS(O90-D90),ABS(P90-D90)),MAX(ABS(O90-D90),ABS(P90-D90),ABS(Q90-D90)))</f>
        <v>38814.744602878382</v>
      </c>
      <c r="X90">
        <f>IF(AND(N7="None",N8="None"),ABS(R90-E90),IF(N8="None",MAX(ABS(R90-E90),ABS(S90-E90)),IF(N7="None",MAX(ABS(R90-E90),ABS(T90-E90)),MAX(ABS(R90-E90),ABS(S90-E90),ABS(T90-E90)))))</f>
        <v>38591.977536979444</v>
      </c>
      <c r="AA90">
        <f>D90+$D$13*(IF(N6="None",AVERAGE(O90:P90),AVERAGE(O90:Q90))-D90)</f>
        <v>39452.118269196151</v>
      </c>
      <c r="AB90">
        <f>E90+$D$13*(IF(AND(N7="None",N8="None"),R90,IF(N8="None",AVERAGE(R90:S90),IF(N7="None",AVERAGE(R90,T90),AVERAGE(R90:T90))))-E90)</f>
        <v>-7786.9977807714185</v>
      </c>
    </row>
    <row r="91" spans="1:28" x14ac:dyDescent="0.35">
      <c r="A91">
        <v>48</v>
      </c>
      <c r="B91">
        <f t="shared" si="8"/>
        <v>0</v>
      </c>
      <c r="C91">
        <f t="shared" si="9"/>
        <v>0</v>
      </c>
      <c r="D91">
        <f t="shared" si="10"/>
        <v>39452.118269196151</v>
      </c>
      <c r="E91">
        <f t="shared" si="11"/>
        <v>-7786.9977807714185</v>
      </c>
      <c r="F91">
        <f t="shared" si="7"/>
        <v>51</v>
      </c>
      <c r="G91">
        <f>IF(N6="None",F91,MAX(0,F91*B91))</f>
        <v>51</v>
      </c>
      <c r="H91">
        <f>IF(N6="None",0,MAX(0,F91-G91))</f>
        <v>0</v>
      </c>
      <c r="I91">
        <f>IF(AND(N7="None",N8="None"),0,IF(N8="None",G91,IF(N7="None",0,MAX(0,G91*C91))))</f>
        <v>0</v>
      </c>
      <c r="J91">
        <f>IF(AND(N7="None",N8="None"),0,IF(N8="None",0,IF(N7="None",G91,MAX(0,G91-I91))))</f>
        <v>51</v>
      </c>
      <c r="K91">
        <f>P5</f>
        <v>637</v>
      </c>
      <c r="L91">
        <f>P6</f>
        <v>637</v>
      </c>
      <c r="M91">
        <f>P7</f>
        <v>635.5</v>
      </c>
      <c r="N91">
        <f>P8</f>
        <v>631.54999999999995</v>
      </c>
      <c r="O91">
        <f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D91)-(K31))))*(MAX($D$16,(D91)-(K31))),0.000001)*MAX(((((G31)+(I31)*(MAX($D$16,(D91)-(K31))))*(MAX($D$16,(D91)-(K31))))/MAX((G31)+2*(MAX($D$16,(D91)-(K31)))*SQRT(1+(I31)^2),0.000001))^(2/3),0.000001)))^2))/2)+(IF((ABS(F91)/MAX(((G31)+(I31)*(MAX($D$16,(D91)-(K31))))*(MAX($D$16,(D91)-(K31))),0.000001))&gt;(ABS(F91)/MAX(((F31)+(H31)*(MAX($D$16,(K91)-(J31))))*(MAX($D$16,(K91)-(J31))),0.000001)),$D$9*((((ABS(F91)/MAX(((G31)+(I31)*(MAX($D$16,(D91)-(K31))))*(MAX($D$16,(D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D91)-(K31))))*(MAX($D$16,(D91)-(K31))),0.000001))^2)/(2*$I$5)))))+($D$10*(ABS((X31)-(W31))/90)*MAX(((ABS(F91)/MAX(((F31)+(H31)*(MAX($D$16,(K91)-(J31))))*(MAX($D$16,(K91)-(J31))),0.000001))^2)/(2*$I$5),((ABS(F91)/MAX(((G31)+(I31)*(MAX($D$16,(D91)-(K31))))*(MAX($D$16,(D91)-(K31))),0.000001))^2)/(2*$I$5)))+(0)-((ABS(F91)/MAX(((G31)+(I31)*(MAX($D$16,(D91)-(K31))))*(MAX($D$16,(D91)-(K31))),0.000001))^2)/(2*$I$5)</f>
        <v>637.65825100972802</v>
      </c>
      <c r="P91">
        <f>E91+((ABS(G91)/MAX(((G32)+(I32)*(MAX($D$16,(E91)-(K32))))*(MAX($D$16,(E91)-(K32))),0.000001))^2)/(2*$I$5)+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F32)+(H32)*(MAX($D$16,(D91)-(J32))))*(MAX($D$16,(D91)-(J32))),0.000001))^2)/(2*$I$5)</f>
        <v>78266.851794624352</v>
      </c>
      <c r="Q91">
        <f>L91+((ABS(H91)/MAX(((G33)+(I33)*(MAX($D$16,(L91)-(K33))))*(MAX($D$16,(L91)-(K33))),0.000001))^2)/(2*$I$5)+((E33)*((((ABS(H91)*$D$6)/(MAX(((F33)+(H33)*(MAX($D$16,(D91)-(J33))))*(MAX($D$16,(D91)-(J33))),0.000001)*MAX(((((F33)+(H33)*(MAX($D$16,(D91)-(J33))))*(MAX($D$16,(D91)-(J33))))/MAX((F33)+2*(MAX($D$16,(D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D91)-(J33))))*(MAX($D$16,(D91)-(J33))),0.000001)),$D$9*((((ABS(H91)/MAX(((G33)+(I33)*(MAX($D$16,(L91)-(K33))))*(MAX($D$16,(L91)-(K33))),0.000001))^2)/(2*$I$5))-(((ABS(H91)/MAX(((F33)+(H33)*(MAX($D$16,(D91)-(J33))))*(MAX($D$16,(D91)-(J33))),0.000001))^2)/(2*$I$5))),$D$8*((((ABS(H91)/MAX(((F33)+(H33)*(MAX($D$16,(D91)-(J33))))*(MAX($D$16,(D91)-(J33))),0.000001))^2)/(2*$I$5))-(((ABS(H91)/MAX(((G33)+(I33)*(MAX($D$16,(L91)-(K33))))*(MAX($D$16,(L91)-(K33))),0.000001))^2)/(2*$I$5)))))+($D$10*(ABS((X33)-(W33))/90)*MAX(((ABS(H91)/MAX(((F33)+(H33)*(MAX($D$16,(D91)-(J33))))*(MAX($D$16,(D91)-(J33))),0.000001))^2)/(2*$I$5),((ABS(H91)/MAX(((G33)+(I33)*(MAX($D$16,(L91)-(K33))))*(MAX($D$16,(L91)-(K33))),0.000001))^2)/(2*$I$5)))+(($D$11*0.00000015*(ABS(G91)/MAX(ABS(F91),0.000001))^2*MAX(((ABS(H91)/MAX(((F33)+(H33)*(MAX($D$16,(D91)-(J33))))*(MAX($D$16,(D91)-(J33))),0.000001))^2)/(2*$I$5),((ABS(H91)/MAX(((G33)+(I33)*(MAX($D$16,(L91)-(K33))))*(MAX($D$16,(L91)-(K33))),0.000001))^2)/(2*$I$5))))-((ABS(H91)/MAX(((F33)+(H33)*(MAX($D$16,(D91)-(J33))))*(MAX($D$16,(D91)-(J33))),0.000001))^2)/(2*$I$5)</f>
        <v>637</v>
      </c>
      <c r="R91">
        <f>D91+((ABS(G91)/MAX(((F32)+(H32)*(MAX($D$16,(D91)-(J32))))*(MAX($D$16,(D91)-(J32))),0.000001))^2)/(2*$I$5)-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G32)+(I32)*(MAX($D$16,(E91)-(K32))))*(MAX($D$16,(E91)-(K32))),0.000001))^2)/(2*$I$5)</f>
        <v>-46378.964240300687</v>
      </c>
      <c r="S91">
        <f>M91+((ABS(I91)/MAX(((G34)+(I34)*(MAX($D$16,(M91)-(K34))))*(MAX($D$16,(M91)-(K34))),0.000001))^2)/(2*$I$5)+((E34)*((((ABS(I91)*$D$6)/(MAX(((F34)+(H34)*(MAX($D$16,(E91)-(J34))))*(MAX($D$16,(E91)-(J34))),0.000001)*MAX(((((F34)+(H34)*(MAX($D$16,(E91)-(J34))))*(MAX($D$16,(E91)-(J34))))/MAX((F34)+2*(MAX($D$16,(E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E91)-(J34))))*(MAX($D$16,(E91)-(J34))),0.000001)),$D$9*((((ABS(I91)/MAX(((G34)+(I34)*(MAX($D$16,(M91)-(K34))))*(MAX($D$16,(M91)-(K34))),0.000001))^2)/(2*$I$5))-(((ABS(I91)/MAX(((F34)+(H34)*(MAX($D$16,(E91)-(J34))))*(MAX($D$16,(E91)-(J34))),0.000001))^2)/(2*$I$5))),$D$8*((((ABS(I91)/MAX(((F34)+(H34)*(MAX($D$16,(E91)-(J34))))*(MAX($D$16,(E91)-(J34))),0.000001))^2)/(2*$I$5))-(((ABS(I91)/MAX(((G34)+(I34)*(MAX($D$16,(M91)-(K34))))*(MAX($D$16,(M91)-(K34))),0.000001))^2)/(2*$I$5)))))+($D$10*(ABS((X34)-(W34))/90)*MAX(((ABS(I91)/MAX(((F34)+(H34)*(MAX($D$16,(E91)-(J34))))*(MAX($D$16,(E91)-(J34))),0.000001))^2)/(2*$I$5),((ABS(I91)/MAX(((G34)+(I34)*(MAX($D$16,(M91)-(K34))))*(MAX($D$16,(M91)-(K34))),0.000001))^2)/(2*$I$5)))+(0)-((ABS(I91)/MAX(((F34)+(H34)*(MAX($D$16,(E91)-(J34))))*(MAX($D$16,(E91)-(J34))),0.000001))^2)/(2*$I$5)</f>
        <v>635.5</v>
      </c>
      <c r="T91">
        <f>N91+((ABS(J91)/MAX(((G35)+(I35)*(MAX($D$16,(N91)-(K35))))*(MAX($D$16,(N91)-(K35))),0.000001))^2)/(2*$I$5)+((E35)*((((ABS(J91)*$D$6)/(MAX(((F35)+(H35)*(MAX($D$16,(E91)-(J35))))*(MAX($D$16,(E91)-(J35))),0.000001)*MAX(((((F35)+(H35)*(MAX($D$16,(E91)-(J35))))*(MAX($D$16,(E91)-(J35))))/MAX((F35)+2*(MAX($D$16,(E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E91)-(J35))))*(MAX($D$16,(E91)-(J35))),0.000001)),$D$9*((((ABS(J91)/MAX(((G35)+(I35)*(MAX($D$16,(N91)-(K35))))*(MAX($D$16,(N91)-(K35))),0.000001))^2)/(2*$I$5))-(((ABS(J91)/MAX(((F35)+(H35)*(MAX($D$16,(E91)-(J35))))*(MAX($D$16,(E91)-(J35))),0.000001))^2)/(2*$I$5))),$D$8*((((ABS(J91)/MAX(((F35)+(H35)*(MAX($D$16,(E91)-(J35))))*(MAX($D$16,(E91)-(J35))),0.000001))^2)/(2*$I$5))-(((ABS(J91)/MAX(((G35)+(I35)*(MAX($D$16,(N91)-(K35))))*(MAX($D$16,(N91)-(K35))),0.000001))^2)/(2*$I$5)))))+($D$10*(ABS((X35)-(W35))/90)*MAX(((ABS(J91)/MAX(((F35)+(H35)*(MAX($D$16,(E91)-(J35))))*(MAX($D$16,(E91)-(J35))),0.000001))^2)/(2*$I$5),((ABS(J91)/MAX(((G35)+(I35)*(MAX($D$16,(N91)-(K35))))*(MAX($D$16,(N91)-(K35))),0.000001))^2)/(2*$I$5)))+(($D$11*0.34699541*(ABS(I91)/MAX(ABS(G91),0.000001))^2*MAX(((ABS(J91)/MAX(((F35)+(H35)*(MAX($D$16,(E91)-(J35))))*(MAX($D$16,(E91)-(J35))),0.000001))^2)/(2*$I$5),((ABS(J91)/MAX(((G35)+(I35)*(MAX($D$16,(N91)-(K35))))*(MAX($D$16,(N91)-(K35))),0.000001))^2)/(2*$I$5))))-((ABS(J91)/MAX(((F35)+(H35)*(MAX($D$16,(E91)-(J35))))*(MAX($D$16,(E91)-(J35))),0.000001))^2)/(2*$I$5)</f>
        <v>22382.80587457701</v>
      </c>
      <c r="U91">
        <f>(((((F32)*(MAX($D$16,(D91)-(J32)))^2)/2+(H32)*(MAX($D$16,(D91)-(J32)))^3/3+(ABS(G91)^2)/($I$5*MAX(((F32)+(H32)*(MAX($D$16,(D91)-(J32))))*(MAX($D$16,(D91)-(J32))),0.000001)))*0.72785025)-((((F33)*(MAX($D$16,(D91)-(J33)))^2)/2+(H33)*(MAX($D$16,(D91)-(J33)))^3/3+(ABS(H91)^2)/($I$5*MAX(((F33)+(H33)*(MAX($D$16,(D91)-(J33))))*(MAX($D$16,(D91)-(J33))),0.000001)))*0.99999971))/MAX(((G31)*(MAX($D$16,(D91)-(K31)))^2)/2+(I31)*(MAX($D$16,(D91)-(K31)))^3/3+(ABS(F91)^2)/($I$5*MAX(((G31)+(I31)*(MAX($D$16,(D91)-(K31))))*(MAX($D$16,(D91)-(K31))),0.000001)),0.000001)</f>
        <v>-0.27214945999978923</v>
      </c>
      <c r="V91">
        <f>(((((F34)*(MAX($D$16,(E91)-(J34)))^2)/2+(H34)*(MAX($D$16,(E91)-(J34)))^3/3+(ABS(I91)^2)/($I$5*MAX(((F34)+(H34)*(MAX($D$16,(E91)-(J34))))*(MAX($D$16,(E91)-(J34))),0.000001)))*1)-((((F35)*(MAX($D$16,(E91)-(J35)))^2)/2+(H35)*(MAX($D$16,(E91)-(J35)))^3/3+(ABS(J91)^2)/($I$5*MAX(((F35)+(H35)*(MAX($D$16,(E91)-(J35))))*(MAX($D$16,(E91)-(J35))),0.000001)))*0.30600918))/MAX(((G32)*(MAX($D$16,(E91)-(K32)))^2)/2+(I32)*(MAX($D$16,(E91)-(K32)))^3/3+(ABS(G91)^2)/($I$5*MAX(((G32)+(I32)*(MAX($D$16,(E91)-(K32))))*(MAX($D$16,(E91)-(K32))),0.000001)),0.000001)</f>
        <v>-0.30598462674144999</v>
      </c>
      <c r="W91">
        <f>IF(N6="None",MAX(ABS(O91-D91),ABS(P91-D91)),MAX(ABS(O91-D91),ABS(P91-D91),ABS(Q91-D91)))</f>
        <v>38814.733525428201</v>
      </c>
      <c r="X91">
        <f>IF(AND(N7="None",N8="None"),ABS(R91-E91),IF(N8="None",MAX(ABS(R91-E91),ABS(S91-E91)),IF(N7="None",MAX(ABS(R91-E91),ABS(T91-E91)),MAX(ABS(R91-E91),ABS(S91-E91),ABS(T91-E91)))))</f>
        <v>38591.966459529271</v>
      </c>
      <c r="AA91">
        <f>D91+$D$13*(IF(N6="None",AVERAGE(O91:P91),AVERAGE(O91:Q91))-D91)</f>
        <v>39452.166132963459</v>
      </c>
      <c r="AB91">
        <f>E91+$D$13*(IF(AND(N7="None",N8="None"),R91,IF(N8="None",AVERAGE(R91:S91),IF(N7="None",AVERAGE(R91,T91),AVERAGE(R91:T91))))-E91)</f>
        <v>-7786.9587001691843</v>
      </c>
    </row>
    <row r="92" spans="1:28" x14ac:dyDescent="0.35">
      <c r="A92">
        <v>49</v>
      </c>
      <c r="B92">
        <f t="shared" si="8"/>
        <v>0</v>
      </c>
      <c r="C92">
        <f t="shared" si="9"/>
        <v>0</v>
      </c>
      <c r="D92">
        <f t="shared" si="10"/>
        <v>39452.166132963459</v>
      </c>
      <c r="E92">
        <f t="shared" si="11"/>
        <v>-7786.9587001691843</v>
      </c>
      <c r="F92">
        <f t="shared" si="7"/>
        <v>51</v>
      </c>
      <c r="G92">
        <f>IF(N6="None",F92,MAX(0,F92*B92))</f>
        <v>51</v>
      </c>
      <c r="H92">
        <f>IF(N6="None",0,MAX(0,F92-G92))</f>
        <v>0</v>
      </c>
      <c r="I92">
        <f>IF(AND(N7="None",N8="None"),0,IF(N8="None",G92,IF(N7="None",0,MAX(0,G92*C92))))</f>
        <v>0</v>
      </c>
      <c r="J92">
        <f>IF(AND(N7="None",N8="None"),0,IF(N8="None",0,IF(N7="None",G92,MAX(0,G92-I92))))</f>
        <v>51</v>
      </c>
      <c r="K92">
        <f>P5</f>
        <v>637</v>
      </c>
      <c r="L92">
        <f>P6</f>
        <v>637</v>
      </c>
      <c r="M92">
        <f>P7</f>
        <v>635.5</v>
      </c>
      <c r="N92">
        <f>P8</f>
        <v>631.54999999999995</v>
      </c>
      <c r="O92">
        <f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D92)-(K31))))*(MAX($D$16,(D92)-(K31))),0.000001)*MAX(((((G31)+(I31)*(MAX($D$16,(D92)-(K31))))*(MAX($D$16,(D92)-(K31))))/MAX((G31)+2*(MAX($D$16,(D92)-(K31)))*SQRT(1+(I31)^2),0.000001))^(2/3),0.000001)))^2))/2)+(IF((ABS(F92)/MAX(((G31)+(I31)*(MAX($D$16,(D92)-(K31))))*(MAX($D$16,(D92)-(K31))),0.000001))&gt;(ABS(F92)/MAX(((F31)+(H31)*(MAX($D$16,(K92)-(J31))))*(MAX($D$16,(K92)-(J31))),0.000001)),$D$9*((((ABS(F92)/MAX(((G31)+(I31)*(MAX($D$16,(D92)-(K31))))*(MAX($D$16,(D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D92)-(K31))))*(MAX($D$16,(D92)-(K31))),0.000001))^2)/(2*$I$5)))))+($D$10*(ABS((X31)-(W31))/90)*MAX(((ABS(F92)/MAX(((F31)+(H31)*(MAX($D$16,(K92)-(J31))))*(MAX($D$16,(K92)-(J31))),0.000001))^2)/(2*$I$5),((ABS(F92)/MAX(((G31)+(I31)*(MAX($D$16,(D92)-(K31))))*(MAX($D$16,(D92)-(K31))),0.000001))^2)/(2*$I$5)))+(0)-((ABS(F92)/MAX(((G31)+(I31)*(MAX($D$16,(D92)-(K31))))*(MAX($D$16,(D92)-(K31))),0.000001))^2)/(2*$I$5)</f>
        <v>637.65825100972802</v>
      </c>
      <c r="P92">
        <f>E92+((ABS(G92)/MAX(((G32)+(I32)*(MAX($D$16,(E92)-(K32))))*(MAX($D$16,(E92)-(K32))),0.000001))^2)/(2*$I$5)+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F32)+(H32)*(MAX($D$16,(D92)-(J32))))*(MAX($D$16,(D92)-(J32))),0.000001))^2)/(2*$I$5)</f>
        <v>78266.8908752266</v>
      </c>
      <c r="Q92">
        <f>L92+((ABS(H92)/MAX(((G33)+(I33)*(MAX($D$16,(L92)-(K33))))*(MAX($D$16,(L92)-(K33))),0.000001))^2)/(2*$I$5)+((E33)*((((ABS(H92)*$D$6)/(MAX(((F33)+(H33)*(MAX($D$16,(D92)-(J33))))*(MAX($D$16,(D92)-(J33))),0.000001)*MAX(((((F33)+(H33)*(MAX($D$16,(D92)-(J33))))*(MAX($D$16,(D92)-(J33))))/MAX((F33)+2*(MAX($D$16,(D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D92)-(J33))))*(MAX($D$16,(D92)-(J33))),0.000001)),$D$9*((((ABS(H92)/MAX(((G33)+(I33)*(MAX($D$16,(L92)-(K33))))*(MAX($D$16,(L92)-(K33))),0.000001))^2)/(2*$I$5))-(((ABS(H92)/MAX(((F33)+(H33)*(MAX($D$16,(D92)-(J33))))*(MAX($D$16,(D92)-(J33))),0.000001))^2)/(2*$I$5))),$D$8*((((ABS(H92)/MAX(((F33)+(H33)*(MAX($D$16,(D92)-(J33))))*(MAX($D$16,(D92)-(J33))),0.000001))^2)/(2*$I$5))-(((ABS(H92)/MAX(((G33)+(I33)*(MAX($D$16,(L92)-(K33))))*(MAX($D$16,(L92)-(K33))),0.000001))^2)/(2*$I$5)))))+($D$10*(ABS((X33)-(W33))/90)*MAX(((ABS(H92)/MAX(((F33)+(H33)*(MAX($D$16,(D92)-(J33))))*(MAX($D$16,(D92)-(J33))),0.000001))^2)/(2*$I$5),((ABS(H92)/MAX(((G33)+(I33)*(MAX($D$16,(L92)-(K33))))*(MAX($D$16,(L92)-(K33))),0.000001))^2)/(2*$I$5)))+(($D$11*0.00000015*(ABS(G92)/MAX(ABS(F92),0.000001))^2*MAX(((ABS(H92)/MAX(((F33)+(H33)*(MAX($D$16,(D92)-(J33))))*(MAX($D$16,(D92)-(J33))),0.000001))^2)/(2*$I$5),((ABS(H92)/MAX(((G33)+(I33)*(MAX($D$16,(L92)-(K33))))*(MAX($D$16,(L92)-(K33))),0.000001))^2)/(2*$I$5))))-((ABS(H92)/MAX(((F33)+(H33)*(MAX($D$16,(D92)-(J33))))*(MAX($D$16,(D92)-(J33))),0.000001))^2)/(2*$I$5)</f>
        <v>637</v>
      </c>
      <c r="R92">
        <f>D92+((ABS(G92)/MAX(((F32)+(H32)*(MAX($D$16,(D92)-(J32))))*(MAX($D$16,(D92)-(J32))),0.000001))^2)/(2*$I$5)-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G32)+(I32)*(MAX($D$16,(E92)-(K32))))*(MAX($D$16,(E92)-(K32))),0.000001))^2)/(2*$I$5)</f>
        <v>-46378.91637653338</v>
      </c>
      <c r="S92">
        <f>M92+((ABS(I92)/MAX(((G34)+(I34)*(MAX($D$16,(M92)-(K34))))*(MAX($D$16,(M92)-(K34))),0.000001))^2)/(2*$I$5)+((E34)*((((ABS(I92)*$D$6)/(MAX(((F34)+(H34)*(MAX($D$16,(E92)-(J34))))*(MAX($D$16,(E92)-(J34))),0.000001)*MAX(((((F34)+(H34)*(MAX($D$16,(E92)-(J34))))*(MAX($D$16,(E92)-(J34))))/MAX((F34)+2*(MAX($D$16,(E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E92)-(J34))))*(MAX($D$16,(E92)-(J34))),0.000001)),$D$9*((((ABS(I92)/MAX(((G34)+(I34)*(MAX($D$16,(M92)-(K34))))*(MAX($D$16,(M92)-(K34))),0.000001))^2)/(2*$I$5))-(((ABS(I92)/MAX(((F34)+(H34)*(MAX($D$16,(E92)-(J34))))*(MAX($D$16,(E92)-(J34))),0.000001))^2)/(2*$I$5))),$D$8*((((ABS(I92)/MAX(((F34)+(H34)*(MAX($D$16,(E92)-(J34))))*(MAX($D$16,(E92)-(J34))),0.000001))^2)/(2*$I$5))-(((ABS(I92)/MAX(((G34)+(I34)*(MAX($D$16,(M92)-(K34))))*(MAX($D$16,(M92)-(K34))),0.000001))^2)/(2*$I$5)))))+($D$10*(ABS((X34)-(W34))/90)*MAX(((ABS(I92)/MAX(((F34)+(H34)*(MAX($D$16,(E92)-(J34))))*(MAX($D$16,(E92)-(J34))),0.000001))^2)/(2*$I$5),((ABS(I92)/MAX(((G34)+(I34)*(MAX($D$16,(M92)-(K34))))*(MAX($D$16,(M92)-(K34))),0.000001))^2)/(2*$I$5)))+(0)-((ABS(I92)/MAX(((F34)+(H34)*(MAX($D$16,(E92)-(J34))))*(MAX($D$16,(E92)-(J34))),0.000001))^2)/(2*$I$5)</f>
        <v>635.5</v>
      </c>
      <c r="T92">
        <f>N92+((ABS(J92)/MAX(((G35)+(I35)*(MAX($D$16,(N92)-(K35))))*(MAX($D$16,(N92)-(K35))),0.000001))^2)/(2*$I$5)+((E35)*((((ABS(J92)*$D$6)/(MAX(((F35)+(H35)*(MAX($D$16,(E92)-(J35))))*(MAX($D$16,(E92)-(J35))),0.000001)*MAX(((((F35)+(H35)*(MAX($D$16,(E92)-(J35))))*(MAX($D$16,(E92)-(J35))))/MAX((F35)+2*(MAX($D$16,(E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E92)-(J35))))*(MAX($D$16,(E92)-(J35))),0.000001)),$D$9*((((ABS(J92)/MAX(((G35)+(I35)*(MAX($D$16,(N92)-(K35))))*(MAX($D$16,(N92)-(K35))),0.000001))^2)/(2*$I$5))-(((ABS(J92)/MAX(((F35)+(H35)*(MAX($D$16,(E92)-(J35))))*(MAX($D$16,(E92)-(J35))),0.000001))^2)/(2*$I$5))),$D$8*((((ABS(J92)/MAX(((F35)+(H35)*(MAX($D$16,(E92)-(J35))))*(MAX($D$16,(E92)-(J35))),0.000001))^2)/(2*$I$5))-(((ABS(J92)/MAX(((G35)+(I35)*(MAX($D$16,(N92)-(K35))))*(MAX($D$16,(N92)-(K35))),0.000001))^2)/(2*$I$5)))))+($D$10*(ABS((X35)-(W35))/90)*MAX(((ABS(J92)/MAX(((F35)+(H35)*(MAX($D$16,(E92)-(J35))))*(MAX($D$16,(E92)-(J35))),0.000001))^2)/(2*$I$5),((ABS(J92)/MAX(((G35)+(I35)*(MAX($D$16,(N92)-(K35))))*(MAX($D$16,(N92)-(K35))),0.000001))^2)/(2*$I$5)))+(($D$11*0.34699541*(ABS(I92)/MAX(ABS(G92),0.000001))^2*MAX(((ABS(J92)/MAX(((F35)+(H35)*(MAX($D$16,(E92)-(J35))))*(MAX($D$16,(E92)-(J35))),0.000001))^2)/(2*$I$5),((ABS(J92)/MAX(((G35)+(I35)*(MAX($D$16,(N92)-(K35))))*(MAX($D$16,(N92)-(K35))),0.000001))^2)/(2*$I$5))))-((ABS(J92)/MAX(((F35)+(H35)*(MAX($D$16,(E92)-(J35))))*(MAX($D$16,(E92)-(J35))),0.000001))^2)/(2*$I$5)</f>
        <v>22382.80587457701</v>
      </c>
      <c r="U92">
        <f>(((((F32)*(MAX($D$16,(D92)-(J32)))^2)/2+(H32)*(MAX($D$16,(D92)-(J32)))^3/3+(ABS(G92)^2)/($I$5*MAX(((F32)+(H32)*(MAX($D$16,(D92)-(J32))))*(MAX($D$16,(D92)-(J32))),0.000001)))*0.72785025)-((((F33)*(MAX($D$16,(D92)-(J33)))^2)/2+(H33)*(MAX($D$16,(D92)-(J33)))^3/3+(ABS(H92)^2)/($I$5*MAX(((F33)+(H33)*(MAX($D$16,(D92)-(J33))))*(MAX($D$16,(D92)-(J33))),0.000001)))*0.99999971))/MAX(((G31)*(MAX($D$16,(D92)-(K31)))^2)/2+(I31)*(MAX($D$16,(D92)-(K31)))^3/3+(ABS(F92)^2)/($I$5*MAX(((G31)+(I31)*(MAX($D$16,(D92)-(K31))))*(MAX($D$16,(D92)-(K31))),0.000001)),0.000001)</f>
        <v>-0.27214945999978923</v>
      </c>
      <c r="V92">
        <f>(((((F34)*(MAX($D$16,(E92)-(J34)))^2)/2+(H34)*(MAX($D$16,(E92)-(J34)))^3/3+(ABS(I92)^2)/($I$5*MAX(((F34)+(H34)*(MAX($D$16,(E92)-(J34))))*(MAX($D$16,(E92)-(J34))),0.000001)))*1)-((((F35)*(MAX($D$16,(E92)-(J35)))^2)/2+(H35)*(MAX($D$16,(E92)-(J35)))^3/3+(ABS(J92)^2)/($I$5*MAX(((F35)+(H35)*(MAX($D$16,(E92)-(J35))))*(MAX($D$16,(E92)-(J35))),0.000001)))*0.30600918))/MAX(((G32)*(MAX($D$16,(E92)-(K32)))^2)/2+(I32)*(MAX($D$16,(E92)-(K32)))^3/3+(ABS(G92)^2)/($I$5*MAX(((G32)+(I32)*(MAX($D$16,(E92)-(K32))))*(MAX($D$16,(E92)-(K32))),0.000001)),0.000001)</f>
        <v>-0.30598462674144999</v>
      </c>
      <c r="W92">
        <f>IF(N6="None",MAX(ABS(O92-D92),ABS(P92-D92)),MAX(ABS(O92-D92),ABS(P92-D92),ABS(Q92-D92)))</f>
        <v>38814.724742263141</v>
      </c>
      <c r="X92">
        <f>IF(AND(N7="None",N8="None"),ABS(R92-E92),IF(N8="None",MAX(ABS(R92-E92),ABS(S92-E92)),IF(N7="None",MAX(ABS(R92-E92),ABS(T92-E92)),MAX(ABS(R92-E92),ABS(S92-E92),ABS(T92-E92)))))</f>
        <v>38591.957676364196</v>
      </c>
      <c r="AA92">
        <f>D92+$D$13*(IF(N6="None",AVERAGE(O92:P92),AVERAGE(O92:Q92))-D92)</f>
        <v>39452.204083517601</v>
      </c>
      <c r="AB92">
        <f>E92+$D$13*(IF(AND(N7="None",N8="None"),R92,IF(N8="None",AVERAGE(R92:S92),IF(N7="None",AVERAGE(R92,T92),AVERAGE(R92:T92))))-E92)</f>
        <v>-7786.9277136715464</v>
      </c>
    </row>
    <row r="93" spans="1:28" x14ac:dyDescent="0.35">
      <c r="A93">
        <v>50</v>
      </c>
      <c r="B93">
        <f t="shared" si="8"/>
        <v>0</v>
      </c>
      <c r="C93">
        <f t="shared" si="9"/>
        <v>0</v>
      </c>
      <c r="D93">
        <f t="shared" si="10"/>
        <v>39452.204083517601</v>
      </c>
      <c r="E93">
        <f t="shared" si="11"/>
        <v>-7786.9277136715464</v>
      </c>
      <c r="F93">
        <f t="shared" si="7"/>
        <v>51</v>
      </c>
      <c r="G93">
        <f>IF(N6="None",F93,MAX(0,F93*B93))</f>
        <v>51</v>
      </c>
      <c r="H93">
        <f>IF(N6="None",0,MAX(0,F93-G93))</f>
        <v>0</v>
      </c>
      <c r="I93">
        <f>IF(AND(N7="None",N8="None"),0,IF(N8="None",G93,IF(N7="None",0,MAX(0,G93*C93))))</f>
        <v>0</v>
      </c>
      <c r="J93">
        <f>IF(AND(N7="None",N8="None"),0,IF(N8="None",0,IF(N7="None",G93,MAX(0,G93-I93))))</f>
        <v>51</v>
      </c>
      <c r="K93">
        <f>P5</f>
        <v>637</v>
      </c>
      <c r="L93">
        <f>P6</f>
        <v>637</v>
      </c>
      <c r="M93">
        <f>P7</f>
        <v>635.5</v>
      </c>
      <c r="N93">
        <f>P8</f>
        <v>631.54999999999995</v>
      </c>
      <c r="O93">
        <f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D93)-(K31))))*(MAX($D$16,(D93)-(K31))),0.000001)*MAX(((((G31)+(I31)*(MAX($D$16,(D93)-(K31))))*(MAX($D$16,(D93)-(K31))))/MAX((G31)+2*(MAX($D$16,(D93)-(K31)))*SQRT(1+(I31)^2),0.000001))^(2/3),0.000001)))^2))/2)+(IF((ABS(F93)/MAX(((G31)+(I31)*(MAX($D$16,(D93)-(K31))))*(MAX($D$16,(D93)-(K31))),0.000001))&gt;(ABS(F93)/MAX(((F31)+(H31)*(MAX($D$16,(K93)-(J31))))*(MAX($D$16,(K93)-(J31))),0.000001)),$D$9*((((ABS(F93)/MAX(((G31)+(I31)*(MAX($D$16,(D93)-(K31))))*(MAX($D$16,(D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D93)-(K31))))*(MAX($D$16,(D93)-(K31))),0.000001))^2)/(2*$I$5)))))+($D$10*(ABS((X31)-(W31))/90)*MAX(((ABS(F93)/MAX(((F31)+(H31)*(MAX($D$16,(K93)-(J31))))*(MAX($D$16,(K93)-(J31))),0.000001))^2)/(2*$I$5),((ABS(F93)/MAX(((G31)+(I31)*(MAX($D$16,(D93)-(K31))))*(MAX($D$16,(D93)-(K31))),0.000001))^2)/(2*$I$5)))+(0)-((ABS(F93)/MAX(((G31)+(I31)*(MAX($D$16,(D93)-(K31))))*(MAX($D$16,(D93)-(K31))),0.000001))^2)/(2*$I$5)</f>
        <v>637.65825100972802</v>
      </c>
      <c r="P93">
        <f>E93+((ABS(G93)/MAX(((G32)+(I32)*(MAX($D$16,(E93)-(K32))))*(MAX($D$16,(E93)-(K32))),0.000001))^2)/(2*$I$5)+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F32)+(H32)*(MAX($D$16,(D93)-(J32))))*(MAX($D$16,(D93)-(J32))),0.000001))^2)/(2*$I$5)</f>
        <v>78266.92186172423</v>
      </c>
      <c r="Q93">
        <f>L93+((ABS(H93)/MAX(((G33)+(I33)*(MAX($D$16,(L93)-(K33))))*(MAX($D$16,(L93)-(K33))),0.000001))^2)/(2*$I$5)+((E33)*((((ABS(H93)*$D$6)/(MAX(((F33)+(H33)*(MAX($D$16,(D93)-(J33))))*(MAX($D$16,(D93)-(J33))),0.000001)*MAX(((((F33)+(H33)*(MAX($D$16,(D93)-(J33))))*(MAX($D$16,(D93)-(J33))))/MAX((F33)+2*(MAX($D$16,(D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D93)-(J33))))*(MAX($D$16,(D93)-(J33))),0.000001)),$D$9*((((ABS(H93)/MAX(((G33)+(I33)*(MAX($D$16,(L93)-(K33))))*(MAX($D$16,(L93)-(K33))),0.000001))^2)/(2*$I$5))-(((ABS(H93)/MAX(((F33)+(H33)*(MAX($D$16,(D93)-(J33))))*(MAX($D$16,(D93)-(J33))),0.000001))^2)/(2*$I$5))),$D$8*((((ABS(H93)/MAX(((F33)+(H33)*(MAX($D$16,(D93)-(J33))))*(MAX($D$16,(D93)-(J33))),0.000001))^2)/(2*$I$5))-(((ABS(H93)/MAX(((G33)+(I33)*(MAX($D$16,(L93)-(K33))))*(MAX($D$16,(L93)-(K33))),0.000001))^2)/(2*$I$5)))))+($D$10*(ABS((X33)-(W33))/90)*MAX(((ABS(H93)/MAX(((F33)+(H33)*(MAX($D$16,(D93)-(J33))))*(MAX($D$16,(D93)-(J33))),0.000001))^2)/(2*$I$5),((ABS(H93)/MAX(((G33)+(I33)*(MAX($D$16,(L93)-(K33))))*(MAX($D$16,(L93)-(K33))),0.000001))^2)/(2*$I$5)))+(($D$11*0.00000015*(ABS(G93)/MAX(ABS(F93),0.000001))^2*MAX(((ABS(H93)/MAX(((F33)+(H33)*(MAX($D$16,(D93)-(J33))))*(MAX($D$16,(D93)-(J33))),0.000001))^2)/(2*$I$5),((ABS(H93)/MAX(((G33)+(I33)*(MAX($D$16,(L93)-(K33))))*(MAX($D$16,(L93)-(K33))),0.000001))^2)/(2*$I$5))))-((ABS(H93)/MAX(((F33)+(H33)*(MAX($D$16,(D93)-(J33))))*(MAX($D$16,(D93)-(J33))),0.000001))^2)/(2*$I$5)</f>
        <v>637</v>
      </c>
      <c r="R93">
        <f>D93+((ABS(G93)/MAX(((F32)+(H32)*(MAX($D$16,(D93)-(J32))))*(MAX($D$16,(D93)-(J32))),0.000001))^2)/(2*$I$5)-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G32)+(I32)*(MAX($D$16,(E93)-(K32))))*(MAX($D$16,(E93)-(K32))),0.000001))^2)/(2*$I$5)</f>
        <v>-46378.878425979237</v>
      </c>
      <c r="S93">
        <f>M93+((ABS(I93)/MAX(((G34)+(I34)*(MAX($D$16,(M93)-(K34))))*(MAX($D$16,(M93)-(K34))),0.000001))^2)/(2*$I$5)+((E34)*((((ABS(I93)*$D$6)/(MAX(((F34)+(H34)*(MAX($D$16,(E93)-(J34))))*(MAX($D$16,(E93)-(J34))),0.000001)*MAX(((((F34)+(H34)*(MAX($D$16,(E93)-(J34))))*(MAX($D$16,(E93)-(J34))))/MAX((F34)+2*(MAX($D$16,(E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E93)-(J34))))*(MAX($D$16,(E93)-(J34))),0.000001)),$D$9*((((ABS(I93)/MAX(((G34)+(I34)*(MAX($D$16,(M93)-(K34))))*(MAX($D$16,(M93)-(K34))),0.000001))^2)/(2*$I$5))-(((ABS(I93)/MAX(((F34)+(H34)*(MAX($D$16,(E93)-(J34))))*(MAX($D$16,(E93)-(J34))),0.000001))^2)/(2*$I$5))),$D$8*((((ABS(I93)/MAX(((F34)+(H34)*(MAX($D$16,(E93)-(J34))))*(MAX($D$16,(E93)-(J34))),0.000001))^2)/(2*$I$5))-(((ABS(I93)/MAX(((G34)+(I34)*(MAX($D$16,(M93)-(K34))))*(MAX($D$16,(M93)-(K34))),0.000001))^2)/(2*$I$5)))))+($D$10*(ABS((X34)-(W34))/90)*MAX(((ABS(I93)/MAX(((F34)+(H34)*(MAX($D$16,(E93)-(J34))))*(MAX($D$16,(E93)-(J34))),0.000001))^2)/(2*$I$5),((ABS(I93)/MAX(((G34)+(I34)*(MAX($D$16,(M93)-(K34))))*(MAX($D$16,(M93)-(K34))),0.000001))^2)/(2*$I$5)))+(0)-((ABS(I93)/MAX(((F34)+(H34)*(MAX($D$16,(E93)-(J34))))*(MAX($D$16,(E93)-(J34))),0.000001))^2)/(2*$I$5)</f>
        <v>635.5</v>
      </c>
      <c r="T93">
        <f>N93+((ABS(J93)/MAX(((G35)+(I35)*(MAX($D$16,(N93)-(K35))))*(MAX($D$16,(N93)-(K35))),0.000001))^2)/(2*$I$5)+((E35)*((((ABS(J93)*$D$6)/(MAX(((F35)+(H35)*(MAX($D$16,(E93)-(J35))))*(MAX($D$16,(E93)-(J35))),0.000001)*MAX(((((F35)+(H35)*(MAX($D$16,(E93)-(J35))))*(MAX($D$16,(E93)-(J35))))/MAX((F35)+2*(MAX($D$16,(E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E93)-(J35))))*(MAX($D$16,(E93)-(J35))),0.000001)),$D$9*((((ABS(J93)/MAX(((G35)+(I35)*(MAX($D$16,(N93)-(K35))))*(MAX($D$16,(N93)-(K35))),0.000001))^2)/(2*$I$5))-(((ABS(J93)/MAX(((F35)+(H35)*(MAX($D$16,(E93)-(J35))))*(MAX($D$16,(E93)-(J35))),0.000001))^2)/(2*$I$5))),$D$8*((((ABS(J93)/MAX(((F35)+(H35)*(MAX($D$16,(E93)-(J35))))*(MAX($D$16,(E93)-(J35))),0.000001))^2)/(2*$I$5))-(((ABS(J93)/MAX(((G35)+(I35)*(MAX($D$16,(N93)-(K35))))*(MAX($D$16,(N93)-(K35))),0.000001))^2)/(2*$I$5)))))+($D$10*(ABS((X35)-(W35))/90)*MAX(((ABS(J93)/MAX(((F35)+(H35)*(MAX($D$16,(E93)-(J35))))*(MAX($D$16,(E93)-(J35))),0.000001))^2)/(2*$I$5),((ABS(J93)/MAX(((G35)+(I35)*(MAX($D$16,(N93)-(K35))))*(MAX($D$16,(N93)-(K35))),0.000001))^2)/(2*$I$5)))+(($D$11*0.34699541*(ABS(I93)/MAX(ABS(G93),0.000001))^2*MAX(((ABS(J93)/MAX(((F35)+(H35)*(MAX($D$16,(E93)-(J35))))*(MAX($D$16,(E93)-(J35))),0.000001))^2)/(2*$I$5),((ABS(J93)/MAX(((G35)+(I35)*(MAX($D$16,(N93)-(K35))))*(MAX($D$16,(N93)-(K35))),0.000001))^2)/(2*$I$5))))-((ABS(J93)/MAX(((F35)+(H35)*(MAX($D$16,(E93)-(J35))))*(MAX($D$16,(E93)-(J35))),0.000001))^2)/(2*$I$5)</f>
        <v>22382.80587457701</v>
      </c>
      <c r="U93">
        <f>(((((F32)*(MAX($D$16,(D93)-(J32)))^2)/2+(H32)*(MAX($D$16,(D93)-(J32)))^3/3+(ABS(G93)^2)/($I$5*MAX(((F32)+(H32)*(MAX($D$16,(D93)-(J32))))*(MAX($D$16,(D93)-(J32))),0.000001)))*0.72785025)-((((F33)*(MAX($D$16,(D93)-(J33)))^2)/2+(H33)*(MAX($D$16,(D93)-(J33)))^3/3+(ABS(H93)^2)/($I$5*MAX(((F33)+(H33)*(MAX($D$16,(D93)-(J33))))*(MAX($D$16,(D93)-(J33))),0.000001)))*0.99999971))/MAX(((G31)*(MAX($D$16,(D93)-(K31)))^2)/2+(I31)*(MAX($D$16,(D93)-(K31)))^3/3+(ABS(F93)^2)/($I$5*MAX(((G31)+(I31)*(MAX($D$16,(D93)-(K31))))*(MAX($D$16,(D93)-(K31))),0.000001)),0.000001)</f>
        <v>-0.27214945999978923</v>
      </c>
      <c r="V93">
        <f>(((((F34)*(MAX($D$16,(E93)-(J34)))^2)/2+(H34)*(MAX($D$16,(E93)-(J34)))^3/3+(ABS(I93)^2)/($I$5*MAX(((F34)+(H34)*(MAX($D$16,(E93)-(J34))))*(MAX($D$16,(E93)-(J34))),0.000001)))*1)-((((F35)*(MAX($D$16,(E93)-(J35)))^2)/2+(H35)*(MAX($D$16,(E93)-(J35)))^3/3+(ABS(J93)^2)/($I$5*MAX(((F35)+(H35)*(MAX($D$16,(E93)-(J35))))*(MAX($D$16,(E93)-(J35))),0.000001)))*0.30600918))/MAX(((G32)*(MAX($D$16,(E93)-(K32)))^2)/2+(I32)*(MAX($D$16,(E93)-(K32)))^3/3+(ABS(G93)^2)/($I$5*MAX(((G32)+(I32)*(MAX($D$16,(E93)-(K32))))*(MAX($D$16,(E93)-(K32))),0.000001)),0.000001)</f>
        <v>-0.30598462674144999</v>
      </c>
      <c r="W93">
        <f>IF(N6="None",MAX(ABS(O93-D93),ABS(P93-D93)),MAX(ABS(O93-D93),ABS(P93-D93),ABS(Q93-D93)))</f>
        <v>38814.717778206628</v>
      </c>
      <c r="X93">
        <f>IF(AND(N7="None",N8="None"),ABS(R93-E93),IF(N8="None",MAX(ABS(R93-E93),ABS(S93-E93)),IF(N7="None",MAX(ABS(R93-E93),ABS(T93-E93)),MAX(ABS(R93-E93),ABS(S93-E93),ABS(T93-E93)))))</f>
        <v>38591.950712307691</v>
      </c>
      <c r="AA93">
        <f>D93+$D$13*(IF(N6="None",AVERAGE(O93:P93),AVERAGE(O93:Q93))-D93)</f>
        <v>39452.234174014884</v>
      </c>
      <c r="AB93">
        <f>E93+$D$13*(IF(AND(N7="None",N8="None"),R93,IF(N8="None",AVERAGE(R93:S93),IF(N7="None",AVERAGE(R93,T93),AVERAGE(R93:T93))))-E93)</f>
        <v>-7786.9031448834312</v>
      </c>
    </row>
    <row r="94" spans="1:28" x14ac:dyDescent="0.35">
      <c r="A94">
        <v>51</v>
      </c>
      <c r="B94">
        <f t="shared" si="8"/>
        <v>0</v>
      </c>
      <c r="C94">
        <f t="shared" si="9"/>
        <v>0</v>
      </c>
      <c r="D94">
        <f t="shared" si="10"/>
        <v>39452.234174014884</v>
      </c>
      <c r="E94">
        <f t="shared" si="11"/>
        <v>-7786.9031448834312</v>
      </c>
      <c r="F94">
        <f t="shared" si="7"/>
        <v>51</v>
      </c>
      <c r="G94">
        <f>IF(N6="None",F94,MAX(0,F94*B94))</f>
        <v>51</v>
      </c>
      <c r="H94">
        <f>IF(N6="None",0,MAX(0,F94-G94))</f>
        <v>0</v>
      </c>
      <c r="I94">
        <f>IF(AND(N7="None",N8="None"),0,IF(N8="None",G94,IF(N7="None",0,MAX(0,G94*C94))))</f>
        <v>0</v>
      </c>
      <c r="J94">
        <f>IF(AND(N7="None",N8="None"),0,IF(N8="None",0,IF(N7="None",G94,MAX(0,G94-I94))))</f>
        <v>51</v>
      </c>
      <c r="K94">
        <f>P5</f>
        <v>637</v>
      </c>
      <c r="L94">
        <f>P6</f>
        <v>637</v>
      </c>
      <c r="M94">
        <f>P7</f>
        <v>635.5</v>
      </c>
      <c r="N94">
        <f>P8</f>
        <v>631.54999999999995</v>
      </c>
      <c r="O94">
        <f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D94)-(K31))))*(MAX($D$16,(D94)-(K31))),0.000001)*MAX(((((G31)+(I31)*(MAX($D$16,(D94)-(K31))))*(MAX($D$16,(D94)-(K31))))/MAX((G31)+2*(MAX($D$16,(D94)-(K31)))*SQRT(1+(I31)^2),0.000001))^(2/3),0.000001)))^2))/2)+(IF((ABS(F94)/MAX(((G31)+(I31)*(MAX($D$16,(D94)-(K31))))*(MAX($D$16,(D94)-(K31))),0.000001))&gt;(ABS(F94)/MAX(((F31)+(H31)*(MAX($D$16,(K94)-(J31))))*(MAX($D$16,(K94)-(J31))),0.000001)),$D$9*((((ABS(F94)/MAX(((G31)+(I31)*(MAX($D$16,(D94)-(K31))))*(MAX($D$16,(D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D94)-(K31))))*(MAX($D$16,(D94)-(K31))),0.000001))^2)/(2*$I$5)))))+($D$10*(ABS((X31)-(W31))/90)*MAX(((ABS(F94)/MAX(((F31)+(H31)*(MAX($D$16,(K94)-(J31))))*(MAX($D$16,(K94)-(J31))),0.000001))^2)/(2*$I$5),((ABS(F94)/MAX(((G31)+(I31)*(MAX($D$16,(D94)-(K31))))*(MAX($D$16,(D94)-(K31))),0.000001))^2)/(2*$I$5)))+(0)-((ABS(F94)/MAX(((G31)+(I31)*(MAX($D$16,(D94)-(K31))))*(MAX($D$16,(D94)-(K31))),0.000001))^2)/(2*$I$5)</f>
        <v>637.65825100972802</v>
      </c>
      <c r="P94">
        <f>E94+((ABS(G94)/MAX(((G32)+(I32)*(MAX($D$16,(E94)-(K32))))*(MAX($D$16,(E94)-(K32))),0.000001))^2)/(2*$I$5)+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F32)+(H32)*(MAX($D$16,(D94)-(J32))))*(MAX($D$16,(D94)-(J32))),0.000001))^2)/(2*$I$5)</f>
        <v>78266.946430512355</v>
      </c>
      <c r="Q94">
        <f>L94+((ABS(H94)/MAX(((G33)+(I33)*(MAX($D$16,(L94)-(K33))))*(MAX($D$16,(L94)-(K33))),0.000001))^2)/(2*$I$5)+((E33)*((((ABS(H94)*$D$6)/(MAX(((F33)+(H33)*(MAX($D$16,(D94)-(J33))))*(MAX($D$16,(D94)-(J33))),0.000001)*MAX(((((F33)+(H33)*(MAX($D$16,(D94)-(J33))))*(MAX($D$16,(D94)-(J33))))/MAX((F33)+2*(MAX($D$16,(D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D94)-(J33))))*(MAX($D$16,(D94)-(J33))),0.000001)),$D$9*((((ABS(H94)/MAX(((G33)+(I33)*(MAX($D$16,(L94)-(K33))))*(MAX($D$16,(L94)-(K33))),0.000001))^2)/(2*$I$5))-(((ABS(H94)/MAX(((F33)+(H33)*(MAX($D$16,(D94)-(J33))))*(MAX($D$16,(D94)-(J33))),0.000001))^2)/(2*$I$5))),$D$8*((((ABS(H94)/MAX(((F33)+(H33)*(MAX($D$16,(D94)-(J33))))*(MAX($D$16,(D94)-(J33))),0.000001))^2)/(2*$I$5))-(((ABS(H94)/MAX(((G33)+(I33)*(MAX($D$16,(L94)-(K33))))*(MAX($D$16,(L94)-(K33))),0.000001))^2)/(2*$I$5)))))+($D$10*(ABS((X33)-(W33))/90)*MAX(((ABS(H94)/MAX(((F33)+(H33)*(MAX($D$16,(D94)-(J33))))*(MAX($D$16,(D94)-(J33))),0.000001))^2)/(2*$I$5),((ABS(H94)/MAX(((G33)+(I33)*(MAX($D$16,(L94)-(K33))))*(MAX($D$16,(L94)-(K33))),0.000001))^2)/(2*$I$5)))+(($D$11*0.00000015*(ABS(G94)/MAX(ABS(F94),0.000001))^2*MAX(((ABS(H94)/MAX(((F33)+(H33)*(MAX($D$16,(D94)-(J33))))*(MAX($D$16,(D94)-(J33))),0.000001))^2)/(2*$I$5),((ABS(H94)/MAX(((G33)+(I33)*(MAX($D$16,(L94)-(K33))))*(MAX($D$16,(L94)-(K33))),0.000001))^2)/(2*$I$5))))-((ABS(H94)/MAX(((F33)+(H33)*(MAX($D$16,(D94)-(J33))))*(MAX($D$16,(D94)-(J33))),0.000001))^2)/(2*$I$5)</f>
        <v>637</v>
      </c>
      <c r="R94">
        <f>D94+((ABS(G94)/MAX(((F32)+(H32)*(MAX($D$16,(D94)-(J32))))*(MAX($D$16,(D94)-(J32))),0.000001))^2)/(2*$I$5)-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G32)+(I32)*(MAX($D$16,(E94)-(K32))))*(MAX($D$16,(E94)-(K32))),0.000001))^2)/(2*$I$5)</f>
        <v>-46378.848335481955</v>
      </c>
      <c r="S94">
        <f>M94+((ABS(I94)/MAX(((G34)+(I34)*(MAX($D$16,(M94)-(K34))))*(MAX($D$16,(M94)-(K34))),0.000001))^2)/(2*$I$5)+((E34)*((((ABS(I94)*$D$6)/(MAX(((F34)+(H34)*(MAX($D$16,(E94)-(J34))))*(MAX($D$16,(E94)-(J34))),0.000001)*MAX(((((F34)+(H34)*(MAX($D$16,(E94)-(J34))))*(MAX($D$16,(E94)-(J34))))/MAX((F34)+2*(MAX($D$16,(E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E94)-(J34))))*(MAX($D$16,(E94)-(J34))),0.000001)),$D$9*((((ABS(I94)/MAX(((G34)+(I34)*(MAX($D$16,(M94)-(K34))))*(MAX($D$16,(M94)-(K34))),0.000001))^2)/(2*$I$5))-(((ABS(I94)/MAX(((F34)+(H34)*(MAX($D$16,(E94)-(J34))))*(MAX($D$16,(E94)-(J34))),0.000001))^2)/(2*$I$5))),$D$8*((((ABS(I94)/MAX(((F34)+(H34)*(MAX($D$16,(E94)-(J34))))*(MAX($D$16,(E94)-(J34))),0.000001))^2)/(2*$I$5))-(((ABS(I94)/MAX(((G34)+(I34)*(MAX($D$16,(M94)-(K34))))*(MAX($D$16,(M94)-(K34))),0.000001))^2)/(2*$I$5)))))+($D$10*(ABS((X34)-(W34))/90)*MAX(((ABS(I94)/MAX(((F34)+(H34)*(MAX($D$16,(E94)-(J34))))*(MAX($D$16,(E94)-(J34))),0.000001))^2)/(2*$I$5),((ABS(I94)/MAX(((G34)+(I34)*(MAX($D$16,(M94)-(K34))))*(MAX($D$16,(M94)-(K34))),0.000001))^2)/(2*$I$5)))+(0)-((ABS(I94)/MAX(((F34)+(H34)*(MAX($D$16,(E94)-(J34))))*(MAX($D$16,(E94)-(J34))),0.000001))^2)/(2*$I$5)</f>
        <v>635.5</v>
      </c>
      <c r="T94">
        <f>N94+((ABS(J94)/MAX(((G35)+(I35)*(MAX($D$16,(N94)-(K35))))*(MAX($D$16,(N94)-(K35))),0.000001))^2)/(2*$I$5)+((E35)*((((ABS(J94)*$D$6)/(MAX(((F35)+(H35)*(MAX($D$16,(E94)-(J35))))*(MAX($D$16,(E94)-(J35))),0.000001)*MAX(((((F35)+(H35)*(MAX($D$16,(E94)-(J35))))*(MAX($D$16,(E94)-(J35))))/MAX((F35)+2*(MAX($D$16,(E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E94)-(J35))))*(MAX($D$16,(E94)-(J35))),0.000001)),$D$9*((((ABS(J94)/MAX(((G35)+(I35)*(MAX($D$16,(N94)-(K35))))*(MAX($D$16,(N94)-(K35))),0.000001))^2)/(2*$I$5))-(((ABS(J94)/MAX(((F35)+(H35)*(MAX($D$16,(E94)-(J35))))*(MAX($D$16,(E94)-(J35))),0.000001))^2)/(2*$I$5))),$D$8*((((ABS(J94)/MAX(((F35)+(H35)*(MAX($D$16,(E94)-(J35))))*(MAX($D$16,(E94)-(J35))),0.000001))^2)/(2*$I$5))-(((ABS(J94)/MAX(((G35)+(I35)*(MAX($D$16,(N94)-(K35))))*(MAX($D$16,(N94)-(K35))),0.000001))^2)/(2*$I$5)))))+($D$10*(ABS((X35)-(W35))/90)*MAX(((ABS(J94)/MAX(((F35)+(H35)*(MAX($D$16,(E94)-(J35))))*(MAX($D$16,(E94)-(J35))),0.000001))^2)/(2*$I$5),((ABS(J94)/MAX(((G35)+(I35)*(MAX($D$16,(N94)-(K35))))*(MAX($D$16,(N94)-(K35))),0.000001))^2)/(2*$I$5)))+(($D$11*0.34699541*(ABS(I94)/MAX(ABS(G94),0.000001))^2*MAX(((ABS(J94)/MAX(((F35)+(H35)*(MAX($D$16,(E94)-(J35))))*(MAX($D$16,(E94)-(J35))),0.000001))^2)/(2*$I$5),((ABS(J94)/MAX(((G35)+(I35)*(MAX($D$16,(N94)-(K35))))*(MAX($D$16,(N94)-(K35))),0.000001))^2)/(2*$I$5))))-((ABS(J94)/MAX(((F35)+(H35)*(MAX($D$16,(E94)-(J35))))*(MAX($D$16,(E94)-(J35))),0.000001))^2)/(2*$I$5)</f>
        <v>22382.80587457701</v>
      </c>
      <c r="U94">
        <f>(((((F32)*(MAX($D$16,(D94)-(J32)))^2)/2+(H32)*(MAX($D$16,(D94)-(J32)))^3/3+(ABS(G94)^2)/($I$5*MAX(((F32)+(H32)*(MAX($D$16,(D94)-(J32))))*(MAX($D$16,(D94)-(J32))),0.000001)))*0.72785025)-((((F33)*(MAX($D$16,(D94)-(J33)))^2)/2+(H33)*(MAX($D$16,(D94)-(J33)))^3/3+(ABS(H94)^2)/($I$5*MAX(((F33)+(H33)*(MAX($D$16,(D94)-(J33))))*(MAX($D$16,(D94)-(J33))),0.000001)))*0.99999971))/MAX(((G31)*(MAX($D$16,(D94)-(K31)))^2)/2+(I31)*(MAX($D$16,(D94)-(K31)))^3/3+(ABS(F94)^2)/($I$5*MAX(((G31)+(I31)*(MAX($D$16,(D94)-(K31))))*(MAX($D$16,(D94)-(K31))),0.000001)),0.000001)</f>
        <v>-0.27214945999978929</v>
      </c>
      <c r="V94">
        <f>(((((F34)*(MAX($D$16,(E94)-(J34)))^2)/2+(H34)*(MAX($D$16,(E94)-(J34)))^3/3+(ABS(I94)^2)/($I$5*MAX(((F34)+(H34)*(MAX($D$16,(E94)-(J34))))*(MAX($D$16,(E94)-(J34))),0.000001)))*1)-((((F35)*(MAX($D$16,(E94)-(J35)))^2)/2+(H35)*(MAX($D$16,(E94)-(J35)))^3/3+(ABS(J94)^2)/($I$5*MAX(((F35)+(H35)*(MAX($D$16,(E94)-(J35))))*(MAX($D$16,(E94)-(J35))),0.000001)))*0.30600918))/MAX(((G32)*(MAX($D$16,(E94)-(K32)))^2)/2+(I32)*(MAX($D$16,(E94)-(K32)))^3/3+(ABS(G94)^2)/($I$5*MAX(((G32)+(I32)*(MAX($D$16,(E94)-(K32))))*(MAX($D$16,(E94)-(K32))),0.000001)),0.000001)</f>
        <v>-0.30598462674144999</v>
      </c>
      <c r="W94">
        <f>IF(N6="None",MAX(ABS(O94-D94),ABS(P94-D94)),MAX(ABS(O94-D94),ABS(P94-D94),ABS(Q94-D94)))</f>
        <v>38814.712256497471</v>
      </c>
      <c r="X94">
        <f>IF(AND(N7="None",N8="None"),ABS(R94-E94),IF(N8="None",MAX(ABS(R94-E94),ABS(S94-E94)),IF(N7="None",MAX(ABS(R94-E94),ABS(T94-E94)),MAX(ABS(R94-E94),ABS(S94-E94),ABS(T94-E94)))))</f>
        <v>38591.945190598526</v>
      </c>
      <c r="AA94">
        <f>D94+$D$13*(IF(N6="None",AVERAGE(O94:P94),AVERAGE(O94:Q94))-D94)</f>
        <v>39452.258032376041</v>
      </c>
      <c r="AB94">
        <f>E94+$D$13*(IF(AND(N7="None",N8="None"),R94,IF(N8="None",AVERAGE(R94:S94),IF(N7="None",AVERAGE(R94,T94),AVERAGE(R94:T94))))-E94)</f>
        <v>-7786.8836646131404</v>
      </c>
    </row>
    <row r="95" spans="1:28" x14ac:dyDescent="0.35">
      <c r="A95">
        <v>52</v>
      </c>
      <c r="B95">
        <f t="shared" si="8"/>
        <v>0</v>
      </c>
      <c r="C95">
        <f t="shared" si="9"/>
        <v>0</v>
      </c>
      <c r="D95">
        <f t="shared" si="10"/>
        <v>39452.258032376041</v>
      </c>
      <c r="E95">
        <f t="shared" si="11"/>
        <v>-7786.8836646131404</v>
      </c>
      <c r="F95">
        <f t="shared" si="7"/>
        <v>51</v>
      </c>
      <c r="G95">
        <f>IF(N6="None",F95,MAX(0,F95*B95))</f>
        <v>51</v>
      </c>
      <c r="H95">
        <f>IF(N6="None",0,MAX(0,F95-G95))</f>
        <v>0</v>
      </c>
      <c r="I95">
        <f>IF(AND(N7="None",N8="None"),0,IF(N8="None",G95,IF(N7="None",0,MAX(0,G95*C95))))</f>
        <v>0</v>
      </c>
      <c r="J95">
        <f>IF(AND(N7="None",N8="None"),0,IF(N8="None",0,IF(N7="None",G95,MAX(0,G95-I95))))</f>
        <v>51</v>
      </c>
      <c r="K95">
        <f>P5</f>
        <v>637</v>
      </c>
      <c r="L95">
        <f>P6</f>
        <v>637</v>
      </c>
      <c r="M95">
        <f>P7</f>
        <v>635.5</v>
      </c>
      <c r="N95">
        <f>P8</f>
        <v>631.54999999999995</v>
      </c>
      <c r="O95">
        <f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D95)-(K31))))*(MAX($D$16,(D95)-(K31))),0.000001)*MAX(((((G31)+(I31)*(MAX($D$16,(D95)-(K31))))*(MAX($D$16,(D95)-(K31))))/MAX((G31)+2*(MAX($D$16,(D95)-(K31)))*SQRT(1+(I31)^2),0.000001))^(2/3),0.000001)))^2))/2)+(IF((ABS(F95)/MAX(((G31)+(I31)*(MAX($D$16,(D95)-(K31))))*(MAX($D$16,(D95)-(K31))),0.000001))&gt;(ABS(F95)/MAX(((F31)+(H31)*(MAX($D$16,(K95)-(J31))))*(MAX($D$16,(K95)-(J31))),0.000001)),$D$9*((((ABS(F95)/MAX(((G31)+(I31)*(MAX($D$16,(D95)-(K31))))*(MAX($D$16,(D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D95)-(K31))))*(MAX($D$16,(D95)-(K31))),0.000001))^2)/(2*$I$5)))))+($D$10*(ABS((X31)-(W31))/90)*MAX(((ABS(F95)/MAX(((F31)+(H31)*(MAX($D$16,(K95)-(J31))))*(MAX($D$16,(K95)-(J31))),0.000001))^2)/(2*$I$5),((ABS(F95)/MAX(((G31)+(I31)*(MAX($D$16,(D95)-(K31))))*(MAX($D$16,(D95)-(K31))),0.000001))^2)/(2*$I$5)))+(0)-((ABS(F95)/MAX(((G31)+(I31)*(MAX($D$16,(D95)-(K31))))*(MAX($D$16,(D95)-(K31))),0.000001))^2)/(2*$I$5)</f>
        <v>637.65825100972802</v>
      </c>
      <c r="P95">
        <f>E95+((ABS(G95)/MAX(((G32)+(I32)*(MAX($D$16,(E95)-(K32))))*(MAX($D$16,(E95)-(K32))),0.000001))^2)/(2*$I$5)+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F32)+(H32)*(MAX($D$16,(D95)-(J32))))*(MAX($D$16,(D95)-(J32))),0.000001))^2)/(2*$I$5)</f>
        <v>78266.96591078263</v>
      </c>
      <c r="Q95">
        <f>L95+((ABS(H95)/MAX(((G33)+(I33)*(MAX($D$16,(L95)-(K33))))*(MAX($D$16,(L95)-(K33))),0.000001))^2)/(2*$I$5)+((E33)*((((ABS(H95)*$D$6)/(MAX(((F33)+(H33)*(MAX($D$16,(D95)-(J33))))*(MAX($D$16,(D95)-(J33))),0.000001)*MAX(((((F33)+(H33)*(MAX($D$16,(D95)-(J33))))*(MAX($D$16,(D95)-(J33))))/MAX((F33)+2*(MAX($D$16,(D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D95)-(J33))))*(MAX($D$16,(D95)-(J33))),0.000001)),$D$9*((((ABS(H95)/MAX(((G33)+(I33)*(MAX($D$16,(L95)-(K33))))*(MAX($D$16,(L95)-(K33))),0.000001))^2)/(2*$I$5))-(((ABS(H95)/MAX(((F33)+(H33)*(MAX($D$16,(D95)-(J33))))*(MAX($D$16,(D95)-(J33))),0.000001))^2)/(2*$I$5))),$D$8*((((ABS(H95)/MAX(((F33)+(H33)*(MAX($D$16,(D95)-(J33))))*(MAX($D$16,(D95)-(J33))),0.000001))^2)/(2*$I$5))-(((ABS(H95)/MAX(((G33)+(I33)*(MAX($D$16,(L95)-(K33))))*(MAX($D$16,(L95)-(K33))),0.000001))^2)/(2*$I$5)))))+($D$10*(ABS((X33)-(W33))/90)*MAX(((ABS(H95)/MAX(((F33)+(H33)*(MAX($D$16,(D95)-(J33))))*(MAX($D$16,(D95)-(J33))),0.000001))^2)/(2*$I$5),((ABS(H95)/MAX(((G33)+(I33)*(MAX($D$16,(L95)-(K33))))*(MAX($D$16,(L95)-(K33))),0.000001))^2)/(2*$I$5)))+(($D$11*0.00000015*(ABS(G95)/MAX(ABS(F95),0.000001))^2*MAX(((ABS(H95)/MAX(((F33)+(H33)*(MAX($D$16,(D95)-(J33))))*(MAX($D$16,(D95)-(J33))),0.000001))^2)/(2*$I$5),((ABS(H95)/MAX(((G33)+(I33)*(MAX($D$16,(L95)-(K33))))*(MAX($D$16,(L95)-(K33))),0.000001))^2)/(2*$I$5))))-((ABS(H95)/MAX(((F33)+(H33)*(MAX($D$16,(D95)-(J33))))*(MAX($D$16,(D95)-(J33))),0.000001))^2)/(2*$I$5)</f>
        <v>637</v>
      </c>
      <c r="R95">
        <f>D95+((ABS(G95)/MAX(((F32)+(H32)*(MAX($D$16,(D95)-(J32))))*(MAX($D$16,(D95)-(J32))),0.000001))^2)/(2*$I$5)-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G32)+(I32)*(MAX($D$16,(E95)-(K32))))*(MAX($D$16,(E95)-(K32))),0.000001))^2)/(2*$I$5)</f>
        <v>-46378.824477120797</v>
      </c>
      <c r="S95">
        <f>M95+((ABS(I95)/MAX(((G34)+(I34)*(MAX($D$16,(M95)-(K34))))*(MAX($D$16,(M95)-(K34))),0.000001))^2)/(2*$I$5)+((E34)*((((ABS(I95)*$D$6)/(MAX(((F34)+(H34)*(MAX($D$16,(E95)-(J34))))*(MAX($D$16,(E95)-(J34))),0.000001)*MAX(((((F34)+(H34)*(MAX($D$16,(E95)-(J34))))*(MAX($D$16,(E95)-(J34))))/MAX((F34)+2*(MAX($D$16,(E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E95)-(J34))))*(MAX($D$16,(E95)-(J34))),0.000001)),$D$9*((((ABS(I95)/MAX(((G34)+(I34)*(MAX($D$16,(M95)-(K34))))*(MAX($D$16,(M95)-(K34))),0.000001))^2)/(2*$I$5))-(((ABS(I95)/MAX(((F34)+(H34)*(MAX($D$16,(E95)-(J34))))*(MAX($D$16,(E95)-(J34))),0.000001))^2)/(2*$I$5))),$D$8*((((ABS(I95)/MAX(((F34)+(H34)*(MAX($D$16,(E95)-(J34))))*(MAX($D$16,(E95)-(J34))),0.000001))^2)/(2*$I$5))-(((ABS(I95)/MAX(((G34)+(I34)*(MAX($D$16,(M95)-(K34))))*(MAX($D$16,(M95)-(K34))),0.000001))^2)/(2*$I$5)))))+($D$10*(ABS((X34)-(W34))/90)*MAX(((ABS(I95)/MAX(((F34)+(H34)*(MAX($D$16,(E95)-(J34))))*(MAX($D$16,(E95)-(J34))),0.000001))^2)/(2*$I$5),((ABS(I95)/MAX(((G34)+(I34)*(MAX($D$16,(M95)-(K34))))*(MAX($D$16,(M95)-(K34))),0.000001))^2)/(2*$I$5)))+(0)-((ABS(I95)/MAX(((F34)+(H34)*(MAX($D$16,(E95)-(J34))))*(MAX($D$16,(E95)-(J34))),0.000001))^2)/(2*$I$5)</f>
        <v>635.5</v>
      </c>
      <c r="T95">
        <f>N95+((ABS(J95)/MAX(((G35)+(I35)*(MAX($D$16,(N95)-(K35))))*(MAX($D$16,(N95)-(K35))),0.000001))^2)/(2*$I$5)+((E35)*((((ABS(J95)*$D$6)/(MAX(((F35)+(H35)*(MAX($D$16,(E95)-(J35))))*(MAX($D$16,(E95)-(J35))),0.000001)*MAX(((((F35)+(H35)*(MAX($D$16,(E95)-(J35))))*(MAX($D$16,(E95)-(J35))))/MAX((F35)+2*(MAX($D$16,(E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E95)-(J35))))*(MAX($D$16,(E95)-(J35))),0.000001)),$D$9*((((ABS(J95)/MAX(((G35)+(I35)*(MAX($D$16,(N95)-(K35))))*(MAX($D$16,(N95)-(K35))),0.000001))^2)/(2*$I$5))-(((ABS(J95)/MAX(((F35)+(H35)*(MAX($D$16,(E95)-(J35))))*(MAX($D$16,(E95)-(J35))),0.000001))^2)/(2*$I$5))),$D$8*((((ABS(J95)/MAX(((F35)+(H35)*(MAX($D$16,(E95)-(J35))))*(MAX($D$16,(E95)-(J35))),0.000001))^2)/(2*$I$5))-(((ABS(J95)/MAX(((G35)+(I35)*(MAX($D$16,(N95)-(K35))))*(MAX($D$16,(N95)-(K35))),0.000001))^2)/(2*$I$5)))))+($D$10*(ABS((X35)-(W35))/90)*MAX(((ABS(J95)/MAX(((F35)+(H35)*(MAX($D$16,(E95)-(J35))))*(MAX($D$16,(E95)-(J35))),0.000001))^2)/(2*$I$5),((ABS(J95)/MAX(((G35)+(I35)*(MAX($D$16,(N95)-(K35))))*(MAX($D$16,(N95)-(K35))),0.000001))^2)/(2*$I$5)))+(($D$11*0.34699541*(ABS(I95)/MAX(ABS(G95),0.000001))^2*MAX(((ABS(J95)/MAX(((F35)+(H35)*(MAX($D$16,(E95)-(J35))))*(MAX($D$16,(E95)-(J35))),0.000001))^2)/(2*$I$5),((ABS(J95)/MAX(((G35)+(I35)*(MAX($D$16,(N95)-(K35))))*(MAX($D$16,(N95)-(K35))),0.000001))^2)/(2*$I$5))))-((ABS(J95)/MAX(((F35)+(H35)*(MAX($D$16,(E95)-(J35))))*(MAX($D$16,(E95)-(J35))),0.000001))^2)/(2*$I$5)</f>
        <v>22382.80587457701</v>
      </c>
      <c r="U95">
        <f>(((((F32)*(MAX($D$16,(D95)-(J32)))^2)/2+(H32)*(MAX($D$16,(D95)-(J32)))^3/3+(ABS(G95)^2)/($I$5*MAX(((F32)+(H32)*(MAX($D$16,(D95)-(J32))))*(MAX($D$16,(D95)-(J32))),0.000001)))*0.72785025)-((((F33)*(MAX($D$16,(D95)-(J33)))^2)/2+(H33)*(MAX($D$16,(D95)-(J33)))^3/3+(ABS(H95)^2)/($I$5*MAX(((F33)+(H33)*(MAX($D$16,(D95)-(J33))))*(MAX($D$16,(D95)-(J33))),0.000001)))*0.99999971))/MAX(((G31)*(MAX($D$16,(D95)-(K31)))^2)/2+(I31)*(MAX($D$16,(D95)-(K31)))^3/3+(ABS(F95)^2)/($I$5*MAX(((G31)+(I31)*(MAX($D$16,(D95)-(K31))))*(MAX($D$16,(D95)-(K31))),0.000001)),0.000001)</f>
        <v>-0.27214945999978929</v>
      </c>
      <c r="V95">
        <f>(((((F34)*(MAX($D$16,(E95)-(J34)))^2)/2+(H34)*(MAX($D$16,(E95)-(J34)))^3/3+(ABS(I95)^2)/($I$5*MAX(((F34)+(H34)*(MAX($D$16,(E95)-(J34))))*(MAX($D$16,(E95)-(J34))),0.000001)))*1)-((((F35)*(MAX($D$16,(E95)-(J35)))^2)/2+(H35)*(MAX($D$16,(E95)-(J35)))^3/3+(ABS(J95)^2)/($I$5*MAX(((F35)+(H35)*(MAX($D$16,(E95)-(J35))))*(MAX($D$16,(E95)-(J35))),0.000001)))*0.30600918))/MAX(((G32)*(MAX($D$16,(E95)-(K32)))^2)/2+(I32)*(MAX($D$16,(E95)-(K32)))^3/3+(ABS(G95)^2)/($I$5*MAX(((G32)+(I32)*(MAX($D$16,(E95)-(K32))))*(MAX($D$16,(E95)-(K32))),0.000001)),0.000001)</f>
        <v>-0.30598462674144999</v>
      </c>
      <c r="W95">
        <f>IF(N6="None",MAX(ABS(O95-D95),ABS(P95-D95)),MAX(ABS(O95-D95),ABS(P95-D95),ABS(Q95-D95)))</f>
        <v>38814.707878406589</v>
      </c>
      <c r="X95">
        <f>IF(AND(N7="None",N8="None"),ABS(R95-E95),IF(N8="None",MAX(ABS(R95-E95),ABS(S95-E95)),IF(N7="None",MAX(ABS(R95-E95),ABS(T95-E95)),MAX(ABS(R95-E95),ABS(S95-E95),ABS(T95-E95)))))</f>
        <v>38591.940812507659</v>
      </c>
      <c r="AA95">
        <f>D95+$D$13*(IF(N6="None",AVERAGE(O95:P95),AVERAGE(O95:Q95))-D95)</f>
        <v>39452.276949358085</v>
      </c>
      <c r="AB95">
        <f>E95+$D$13*(IF(AND(N7="None",N8="None"),R95,IF(N8="None",AVERAGE(R95:S95),IF(N7="None",AVERAGE(R95,T95),AVERAGE(R95:T95))))-E95)</f>
        <v>-7786.8682189619831</v>
      </c>
    </row>
    <row r="96" spans="1:28" x14ac:dyDescent="0.35">
      <c r="A96">
        <v>53</v>
      </c>
      <c r="B96">
        <f t="shared" si="8"/>
        <v>0</v>
      </c>
      <c r="C96">
        <f t="shared" si="9"/>
        <v>0</v>
      </c>
      <c r="D96">
        <f t="shared" si="10"/>
        <v>39452.276949358085</v>
      </c>
      <c r="E96">
        <f t="shared" si="11"/>
        <v>-7786.8682189619831</v>
      </c>
      <c r="F96">
        <f t="shared" si="7"/>
        <v>51</v>
      </c>
      <c r="G96">
        <f>IF(N6="None",F96,MAX(0,F96*B96))</f>
        <v>51</v>
      </c>
      <c r="H96">
        <f>IF(N6="None",0,MAX(0,F96-G96))</f>
        <v>0</v>
      </c>
      <c r="I96">
        <f>IF(AND(N7="None",N8="None"),0,IF(N8="None",G96,IF(N7="None",0,MAX(0,G96*C96))))</f>
        <v>0</v>
      </c>
      <c r="J96">
        <f>IF(AND(N7="None",N8="None"),0,IF(N8="None",0,IF(N7="None",G96,MAX(0,G96-I96))))</f>
        <v>51</v>
      </c>
      <c r="K96">
        <f>P5</f>
        <v>637</v>
      </c>
      <c r="L96">
        <f>P6</f>
        <v>637</v>
      </c>
      <c r="M96">
        <f>P7</f>
        <v>635.5</v>
      </c>
      <c r="N96">
        <f>P8</f>
        <v>631.54999999999995</v>
      </c>
      <c r="O96">
        <f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D96)-(K31))))*(MAX($D$16,(D96)-(K31))),0.000001)*MAX(((((G31)+(I31)*(MAX($D$16,(D96)-(K31))))*(MAX($D$16,(D96)-(K31))))/MAX((G31)+2*(MAX($D$16,(D96)-(K31)))*SQRT(1+(I31)^2),0.000001))^(2/3),0.000001)))^2))/2)+(IF((ABS(F96)/MAX(((G31)+(I31)*(MAX($D$16,(D96)-(K31))))*(MAX($D$16,(D96)-(K31))),0.000001))&gt;(ABS(F96)/MAX(((F31)+(H31)*(MAX($D$16,(K96)-(J31))))*(MAX($D$16,(K96)-(J31))),0.000001)),$D$9*((((ABS(F96)/MAX(((G31)+(I31)*(MAX($D$16,(D96)-(K31))))*(MAX($D$16,(D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D96)-(K31))))*(MAX($D$16,(D96)-(K31))),0.000001))^2)/(2*$I$5)))))+($D$10*(ABS((X31)-(W31))/90)*MAX(((ABS(F96)/MAX(((F31)+(H31)*(MAX($D$16,(K96)-(J31))))*(MAX($D$16,(K96)-(J31))),0.000001))^2)/(2*$I$5),((ABS(F96)/MAX(((G31)+(I31)*(MAX($D$16,(D96)-(K31))))*(MAX($D$16,(D96)-(K31))),0.000001))^2)/(2*$I$5)))+(0)-((ABS(F96)/MAX(((G31)+(I31)*(MAX($D$16,(D96)-(K31))))*(MAX($D$16,(D96)-(K31))),0.000001))^2)/(2*$I$5)</f>
        <v>637.65825100972802</v>
      </c>
      <c r="P96">
        <f>E96+((ABS(G96)/MAX(((G32)+(I32)*(MAX($D$16,(E96)-(K32))))*(MAX($D$16,(E96)-(K32))),0.000001))^2)/(2*$I$5)+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F32)+(H32)*(MAX($D$16,(D96)-(J32))))*(MAX($D$16,(D96)-(J32))),0.000001))^2)/(2*$I$5)</f>
        <v>78266.981356433796</v>
      </c>
      <c r="Q96">
        <f>L96+((ABS(H96)/MAX(((G33)+(I33)*(MAX($D$16,(L96)-(K33))))*(MAX($D$16,(L96)-(K33))),0.000001))^2)/(2*$I$5)+((E33)*((((ABS(H96)*$D$6)/(MAX(((F33)+(H33)*(MAX($D$16,(D96)-(J33))))*(MAX($D$16,(D96)-(J33))),0.000001)*MAX(((((F33)+(H33)*(MAX($D$16,(D96)-(J33))))*(MAX($D$16,(D96)-(J33))))/MAX((F33)+2*(MAX($D$16,(D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D96)-(J33))))*(MAX($D$16,(D96)-(J33))),0.000001)),$D$9*((((ABS(H96)/MAX(((G33)+(I33)*(MAX($D$16,(L96)-(K33))))*(MAX($D$16,(L96)-(K33))),0.000001))^2)/(2*$I$5))-(((ABS(H96)/MAX(((F33)+(H33)*(MAX($D$16,(D96)-(J33))))*(MAX($D$16,(D96)-(J33))),0.000001))^2)/(2*$I$5))),$D$8*((((ABS(H96)/MAX(((F33)+(H33)*(MAX($D$16,(D96)-(J33))))*(MAX($D$16,(D96)-(J33))),0.000001))^2)/(2*$I$5))-(((ABS(H96)/MAX(((G33)+(I33)*(MAX($D$16,(L96)-(K33))))*(MAX($D$16,(L96)-(K33))),0.000001))^2)/(2*$I$5)))))+($D$10*(ABS((X33)-(W33))/90)*MAX(((ABS(H96)/MAX(((F33)+(H33)*(MAX($D$16,(D96)-(J33))))*(MAX($D$16,(D96)-(J33))),0.000001))^2)/(2*$I$5),((ABS(H96)/MAX(((G33)+(I33)*(MAX($D$16,(L96)-(K33))))*(MAX($D$16,(L96)-(K33))),0.000001))^2)/(2*$I$5)))+(($D$11*0.00000015*(ABS(G96)/MAX(ABS(F96),0.000001))^2*MAX(((ABS(H96)/MAX(((F33)+(H33)*(MAX($D$16,(D96)-(J33))))*(MAX($D$16,(D96)-(J33))),0.000001))^2)/(2*$I$5),((ABS(H96)/MAX(((G33)+(I33)*(MAX($D$16,(L96)-(K33))))*(MAX($D$16,(L96)-(K33))),0.000001))^2)/(2*$I$5))))-((ABS(H96)/MAX(((F33)+(H33)*(MAX($D$16,(D96)-(J33))))*(MAX($D$16,(D96)-(J33))),0.000001))^2)/(2*$I$5)</f>
        <v>637</v>
      </c>
      <c r="R96">
        <f>D96+((ABS(G96)/MAX(((F32)+(H32)*(MAX($D$16,(D96)-(J32))))*(MAX($D$16,(D96)-(J32))),0.000001))^2)/(2*$I$5)-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G32)+(I32)*(MAX($D$16,(E96)-(K32))))*(MAX($D$16,(E96)-(K32))),0.000001))^2)/(2*$I$5)</f>
        <v>-46378.805560138753</v>
      </c>
      <c r="S96">
        <f>M96+((ABS(I96)/MAX(((G34)+(I34)*(MAX($D$16,(M96)-(K34))))*(MAX($D$16,(M96)-(K34))),0.000001))^2)/(2*$I$5)+((E34)*((((ABS(I96)*$D$6)/(MAX(((F34)+(H34)*(MAX($D$16,(E96)-(J34))))*(MAX($D$16,(E96)-(J34))),0.000001)*MAX(((((F34)+(H34)*(MAX($D$16,(E96)-(J34))))*(MAX($D$16,(E96)-(J34))))/MAX((F34)+2*(MAX($D$16,(E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E96)-(J34))))*(MAX($D$16,(E96)-(J34))),0.000001)),$D$9*((((ABS(I96)/MAX(((G34)+(I34)*(MAX($D$16,(M96)-(K34))))*(MAX($D$16,(M96)-(K34))),0.000001))^2)/(2*$I$5))-(((ABS(I96)/MAX(((F34)+(H34)*(MAX($D$16,(E96)-(J34))))*(MAX($D$16,(E96)-(J34))),0.000001))^2)/(2*$I$5))),$D$8*((((ABS(I96)/MAX(((F34)+(H34)*(MAX($D$16,(E96)-(J34))))*(MAX($D$16,(E96)-(J34))),0.000001))^2)/(2*$I$5))-(((ABS(I96)/MAX(((G34)+(I34)*(MAX($D$16,(M96)-(K34))))*(MAX($D$16,(M96)-(K34))),0.000001))^2)/(2*$I$5)))))+($D$10*(ABS((X34)-(W34))/90)*MAX(((ABS(I96)/MAX(((F34)+(H34)*(MAX($D$16,(E96)-(J34))))*(MAX($D$16,(E96)-(J34))),0.000001))^2)/(2*$I$5),((ABS(I96)/MAX(((G34)+(I34)*(MAX($D$16,(M96)-(K34))))*(MAX($D$16,(M96)-(K34))),0.000001))^2)/(2*$I$5)))+(0)-((ABS(I96)/MAX(((F34)+(H34)*(MAX($D$16,(E96)-(J34))))*(MAX($D$16,(E96)-(J34))),0.000001))^2)/(2*$I$5)</f>
        <v>635.5</v>
      </c>
      <c r="T96">
        <f>N96+((ABS(J96)/MAX(((G35)+(I35)*(MAX($D$16,(N96)-(K35))))*(MAX($D$16,(N96)-(K35))),0.000001))^2)/(2*$I$5)+((E35)*((((ABS(J96)*$D$6)/(MAX(((F35)+(H35)*(MAX($D$16,(E96)-(J35))))*(MAX($D$16,(E96)-(J35))),0.000001)*MAX(((((F35)+(H35)*(MAX($D$16,(E96)-(J35))))*(MAX($D$16,(E96)-(J35))))/MAX((F35)+2*(MAX($D$16,(E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E96)-(J35))))*(MAX($D$16,(E96)-(J35))),0.000001)),$D$9*((((ABS(J96)/MAX(((G35)+(I35)*(MAX($D$16,(N96)-(K35))))*(MAX($D$16,(N96)-(K35))),0.000001))^2)/(2*$I$5))-(((ABS(J96)/MAX(((F35)+(H35)*(MAX($D$16,(E96)-(J35))))*(MAX($D$16,(E96)-(J35))),0.000001))^2)/(2*$I$5))),$D$8*((((ABS(J96)/MAX(((F35)+(H35)*(MAX($D$16,(E96)-(J35))))*(MAX($D$16,(E96)-(J35))),0.000001))^2)/(2*$I$5))-(((ABS(J96)/MAX(((G35)+(I35)*(MAX($D$16,(N96)-(K35))))*(MAX($D$16,(N96)-(K35))),0.000001))^2)/(2*$I$5)))))+($D$10*(ABS((X35)-(W35))/90)*MAX(((ABS(J96)/MAX(((F35)+(H35)*(MAX($D$16,(E96)-(J35))))*(MAX($D$16,(E96)-(J35))),0.000001))^2)/(2*$I$5),((ABS(J96)/MAX(((G35)+(I35)*(MAX($D$16,(N96)-(K35))))*(MAX($D$16,(N96)-(K35))),0.000001))^2)/(2*$I$5)))+(($D$11*0.34699541*(ABS(I96)/MAX(ABS(G96),0.000001))^2*MAX(((ABS(J96)/MAX(((F35)+(H35)*(MAX($D$16,(E96)-(J35))))*(MAX($D$16,(E96)-(J35))),0.000001))^2)/(2*$I$5),((ABS(J96)/MAX(((G35)+(I35)*(MAX($D$16,(N96)-(K35))))*(MAX($D$16,(N96)-(K35))),0.000001))^2)/(2*$I$5))))-((ABS(J96)/MAX(((F35)+(H35)*(MAX($D$16,(E96)-(J35))))*(MAX($D$16,(E96)-(J35))),0.000001))^2)/(2*$I$5)</f>
        <v>22382.80587457701</v>
      </c>
      <c r="U96">
        <f>(((((F32)*(MAX($D$16,(D96)-(J32)))^2)/2+(H32)*(MAX($D$16,(D96)-(J32)))^3/3+(ABS(G96)^2)/($I$5*MAX(((F32)+(H32)*(MAX($D$16,(D96)-(J32))))*(MAX($D$16,(D96)-(J32))),0.000001)))*0.72785025)-((((F33)*(MAX($D$16,(D96)-(J33)))^2)/2+(H33)*(MAX($D$16,(D96)-(J33)))^3/3+(ABS(H96)^2)/($I$5*MAX(((F33)+(H33)*(MAX($D$16,(D96)-(J33))))*(MAX($D$16,(D96)-(J33))),0.000001)))*0.99999971))/MAX(((G31)*(MAX($D$16,(D96)-(K31)))^2)/2+(I31)*(MAX($D$16,(D96)-(K31)))^3/3+(ABS(F96)^2)/($I$5*MAX(((G31)+(I31)*(MAX($D$16,(D96)-(K31))))*(MAX($D$16,(D96)-(K31))),0.000001)),0.000001)</f>
        <v>-0.27214945999978912</v>
      </c>
      <c r="V96">
        <f>(((((F34)*(MAX($D$16,(E96)-(J34)))^2)/2+(H34)*(MAX($D$16,(E96)-(J34)))^3/3+(ABS(I96)^2)/($I$5*MAX(((F34)+(H34)*(MAX($D$16,(E96)-(J34))))*(MAX($D$16,(E96)-(J34))),0.000001)))*1)-((((F35)*(MAX($D$16,(E96)-(J35)))^2)/2+(H35)*(MAX($D$16,(E96)-(J35)))^3/3+(ABS(J96)^2)/($I$5*MAX(((F35)+(H35)*(MAX($D$16,(E96)-(J35))))*(MAX($D$16,(E96)-(J35))),0.000001)))*0.30600918))/MAX(((G32)*(MAX($D$16,(E96)-(K32)))^2)/2+(I32)*(MAX($D$16,(E96)-(K32)))^3/3+(ABS(G96)^2)/($I$5*MAX(((G32)+(I32)*(MAX($D$16,(E96)-(K32))))*(MAX($D$16,(E96)-(K32))),0.000001)),0.000001)</f>
        <v>-0.30598462674144999</v>
      </c>
      <c r="W96">
        <f>IF(N6="None",MAX(ABS(O96-D96),ABS(P96-D96)),MAX(ABS(O96-D96),ABS(P96-D96),ABS(Q96-D96)))</f>
        <v>38814.704407075711</v>
      </c>
      <c r="X96">
        <f>IF(AND(N7="None",N8="None"),ABS(R96-E96),IF(N8="None",MAX(ABS(R96-E96),ABS(S96-E96)),IF(N7="None",MAX(ABS(R96-E96),ABS(T96-E96)),MAX(ABS(R96-E96),ABS(S96-E96),ABS(T96-E96)))))</f>
        <v>38591.937341176774</v>
      </c>
      <c r="AA96">
        <f>D96+$D$13*(IF(N6="None",AVERAGE(O96:P96),AVERAGE(O96:Q96))-D96)</f>
        <v>39452.291948385369</v>
      </c>
      <c r="AB96">
        <f>E96+$D$13*(IF(AND(N7="None",N8="None"),R96,IF(N8="None",AVERAGE(R96:S96),IF(N7="None",AVERAGE(R96,T96),AVERAGE(R96:T96))))-E96)</f>
        <v>-7786.8559723074923</v>
      </c>
    </row>
    <row r="97" spans="1:28" x14ac:dyDescent="0.35">
      <c r="A97">
        <v>54</v>
      </c>
      <c r="B97">
        <f t="shared" si="8"/>
        <v>0</v>
      </c>
      <c r="C97">
        <f t="shared" si="9"/>
        <v>0</v>
      </c>
      <c r="D97">
        <f t="shared" si="10"/>
        <v>39452.291948385369</v>
      </c>
      <c r="E97">
        <f t="shared" si="11"/>
        <v>-7786.8559723074923</v>
      </c>
      <c r="F97">
        <f t="shared" si="7"/>
        <v>51</v>
      </c>
      <c r="G97">
        <f>IF(N6="None",F97,MAX(0,F97*B97))</f>
        <v>51</v>
      </c>
      <c r="H97">
        <f>IF(N6="None",0,MAX(0,F97-G97))</f>
        <v>0</v>
      </c>
      <c r="I97">
        <f>IF(AND(N7="None",N8="None"),0,IF(N8="None",G97,IF(N7="None",0,MAX(0,G97*C97))))</f>
        <v>0</v>
      </c>
      <c r="J97">
        <f>IF(AND(N7="None",N8="None"),0,IF(N8="None",0,IF(N7="None",G97,MAX(0,G97-I97))))</f>
        <v>51</v>
      </c>
      <c r="K97">
        <f>P5</f>
        <v>637</v>
      </c>
      <c r="L97">
        <f>P6</f>
        <v>637</v>
      </c>
      <c r="M97">
        <f>P7</f>
        <v>635.5</v>
      </c>
      <c r="N97">
        <f>P8</f>
        <v>631.54999999999995</v>
      </c>
      <c r="O97">
        <f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D97)-(K31))))*(MAX($D$16,(D97)-(K31))),0.000001)*MAX(((((G31)+(I31)*(MAX($D$16,(D97)-(K31))))*(MAX($D$16,(D97)-(K31))))/MAX((G31)+2*(MAX($D$16,(D97)-(K31)))*SQRT(1+(I31)^2),0.000001))^(2/3),0.000001)))^2))/2)+(IF((ABS(F97)/MAX(((G31)+(I31)*(MAX($D$16,(D97)-(K31))))*(MAX($D$16,(D97)-(K31))),0.000001))&gt;(ABS(F97)/MAX(((F31)+(H31)*(MAX($D$16,(K97)-(J31))))*(MAX($D$16,(K97)-(J31))),0.000001)),$D$9*((((ABS(F97)/MAX(((G31)+(I31)*(MAX($D$16,(D97)-(K31))))*(MAX($D$16,(D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D97)-(K31))))*(MAX($D$16,(D97)-(K31))),0.000001))^2)/(2*$I$5)))))+($D$10*(ABS((X31)-(W31))/90)*MAX(((ABS(F97)/MAX(((F31)+(H31)*(MAX($D$16,(K97)-(J31))))*(MAX($D$16,(K97)-(J31))),0.000001))^2)/(2*$I$5),((ABS(F97)/MAX(((G31)+(I31)*(MAX($D$16,(D97)-(K31))))*(MAX($D$16,(D97)-(K31))),0.000001))^2)/(2*$I$5)))+(0)-((ABS(F97)/MAX(((G31)+(I31)*(MAX($D$16,(D97)-(K31))))*(MAX($D$16,(D97)-(K31))),0.000001))^2)/(2*$I$5)</f>
        <v>637.65825100972802</v>
      </c>
      <c r="P97">
        <f>E97+((ABS(G97)/MAX(((G32)+(I32)*(MAX($D$16,(E97)-(K32))))*(MAX($D$16,(E97)-(K32))),0.000001))^2)/(2*$I$5)+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F32)+(H32)*(MAX($D$16,(D97)-(J32))))*(MAX($D$16,(D97)-(J32))),0.000001))^2)/(2*$I$5)</f>
        <v>78266.993603088282</v>
      </c>
      <c r="Q97">
        <f>L97+((ABS(H97)/MAX(((G33)+(I33)*(MAX($D$16,(L97)-(K33))))*(MAX($D$16,(L97)-(K33))),0.000001))^2)/(2*$I$5)+((E33)*((((ABS(H97)*$D$6)/(MAX(((F33)+(H33)*(MAX($D$16,(D97)-(J33))))*(MAX($D$16,(D97)-(J33))),0.000001)*MAX(((((F33)+(H33)*(MAX($D$16,(D97)-(J33))))*(MAX($D$16,(D97)-(J33))))/MAX((F33)+2*(MAX($D$16,(D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D97)-(J33))))*(MAX($D$16,(D97)-(J33))),0.000001)),$D$9*((((ABS(H97)/MAX(((G33)+(I33)*(MAX($D$16,(L97)-(K33))))*(MAX($D$16,(L97)-(K33))),0.000001))^2)/(2*$I$5))-(((ABS(H97)/MAX(((F33)+(H33)*(MAX($D$16,(D97)-(J33))))*(MAX($D$16,(D97)-(J33))),0.000001))^2)/(2*$I$5))),$D$8*((((ABS(H97)/MAX(((F33)+(H33)*(MAX($D$16,(D97)-(J33))))*(MAX($D$16,(D97)-(J33))),0.000001))^2)/(2*$I$5))-(((ABS(H97)/MAX(((G33)+(I33)*(MAX($D$16,(L97)-(K33))))*(MAX($D$16,(L97)-(K33))),0.000001))^2)/(2*$I$5)))))+($D$10*(ABS((X33)-(W33))/90)*MAX(((ABS(H97)/MAX(((F33)+(H33)*(MAX($D$16,(D97)-(J33))))*(MAX($D$16,(D97)-(J33))),0.000001))^2)/(2*$I$5),((ABS(H97)/MAX(((G33)+(I33)*(MAX($D$16,(L97)-(K33))))*(MAX($D$16,(L97)-(K33))),0.000001))^2)/(2*$I$5)))+(($D$11*0.00000015*(ABS(G97)/MAX(ABS(F97),0.000001))^2*MAX(((ABS(H97)/MAX(((F33)+(H33)*(MAX($D$16,(D97)-(J33))))*(MAX($D$16,(D97)-(J33))),0.000001))^2)/(2*$I$5),((ABS(H97)/MAX(((G33)+(I33)*(MAX($D$16,(L97)-(K33))))*(MAX($D$16,(L97)-(K33))),0.000001))^2)/(2*$I$5))))-((ABS(H97)/MAX(((F33)+(H33)*(MAX($D$16,(D97)-(J33))))*(MAX($D$16,(D97)-(J33))),0.000001))^2)/(2*$I$5)</f>
        <v>637</v>
      </c>
      <c r="R97">
        <f>D97+((ABS(G97)/MAX(((F32)+(H32)*(MAX($D$16,(D97)-(J32))))*(MAX($D$16,(D97)-(J32))),0.000001))^2)/(2*$I$5)-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G32)+(I32)*(MAX($D$16,(E97)-(K32))))*(MAX($D$16,(E97)-(K32))),0.000001))^2)/(2*$I$5)</f>
        <v>-46378.790561111469</v>
      </c>
      <c r="S97">
        <f>M97+((ABS(I97)/MAX(((G34)+(I34)*(MAX($D$16,(M97)-(K34))))*(MAX($D$16,(M97)-(K34))),0.000001))^2)/(2*$I$5)+((E34)*((((ABS(I97)*$D$6)/(MAX(((F34)+(H34)*(MAX($D$16,(E97)-(J34))))*(MAX($D$16,(E97)-(J34))),0.000001)*MAX(((((F34)+(H34)*(MAX($D$16,(E97)-(J34))))*(MAX($D$16,(E97)-(J34))))/MAX((F34)+2*(MAX($D$16,(E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E97)-(J34))))*(MAX($D$16,(E97)-(J34))),0.000001)),$D$9*((((ABS(I97)/MAX(((G34)+(I34)*(MAX($D$16,(M97)-(K34))))*(MAX($D$16,(M97)-(K34))),0.000001))^2)/(2*$I$5))-(((ABS(I97)/MAX(((F34)+(H34)*(MAX($D$16,(E97)-(J34))))*(MAX($D$16,(E97)-(J34))),0.000001))^2)/(2*$I$5))),$D$8*((((ABS(I97)/MAX(((F34)+(H34)*(MAX($D$16,(E97)-(J34))))*(MAX($D$16,(E97)-(J34))),0.000001))^2)/(2*$I$5))-(((ABS(I97)/MAX(((G34)+(I34)*(MAX($D$16,(M97)-(K34))))*(MAX($D$16,(M97)-(K34))),0.000001))^2)/(2*$I$5)))))+($D$10*(ABS((X34)-(W34))/90)*MAX(((ABS(I97)/MAX(((F34)+(H34)*(MAX($D$16,(E97)-(J34))))*(MAX($D$16,(E97)-(J34))),0.000001))^2)/(2*$I$5),((ABS(I97)/MAX(((G34)+(I34)*(MAX($D$16,(M97)-(K34))))*(MAX($D$16,(M97)-(K34))),0.000001))^2)/(2*$I$5)))+(0)-((ABS(I97)/MAX(((F34)+(H34)*(MAX($D$16,(E97)-(J34))))*(MAX($D$16,(E97)-(J34))),0.000001))^2)/(2*$I$5)</f>
        <v>635.5</v>
      </c>
      <c r="T97">
        <f>N97+((ABS(J97)/MAX(((G35)+(I35)*(MAX($D$16,(N97)-(K35))))*(MAX($D$16,(N97)-(K35))),0.000001))^2)/(2*$I$5)+((E35)*((((ABS(J97)*$D$6)/(MAX(((F35)+(H35)*(MAX($D$16,(E97)-(J35))))*(MAX($D$16,(E97)-(J35))),0.000001)*MAX(((((F35)+(H35)*(MAX($D$16,(E97)-(J35))))*(MAX($D$16,(E97)-(J35))))/MAX((F35)+2*(MAX($D$16,(E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E97)-(J35))))*(MAX($D$16,(E97)-(J35))),0.000001)),$D$9*((((ABS(J97)/MAX(((G35)+(I35)*(MAX($D$16,(N97)-(K35))))*(MAX($D$16,(N97)-(K35))),0.000001))^2)/(2*$I$5))-(((ABS(J97)/MAX(((F35)+(H35)*(MAX($D$16,(E97)-(J35))))*(MAX($D$16,(E97)-(J35))),0.000001))^2)/(2*$I$5))),$D$8*((((ABS(J97)/MAX(((F35)+(H35)*(MAX($D$16,(E97)-(J35))))*(MAX($D$16,(E97)-(J35))),0.000001))^2)/(2*$I$5))-(((ABS(J97)/MAX(((G35)+(I35)*(MAX($D$16,(N97)-(K35))))*(MAX($D$16,(N97)-(K35))),0.000001))^2)/(2*$I$5)))))+($D$10*(ABS((X35)-(W35))/90)*MAX(((ABS(J97)/MAX(((F35)+(H35)*(MAX($D$16,(E97)-(J35))))*(MAX($D$16,(E97)-(J35))),0.000001))^2)/(2*$I$5),((ABS(J97)/MAX(((G35)+(I35)*(MAX($D$16,(N97)-(K35))))*(MAX($D$16,(N97)-(K35))),0.000001))^2)/(2*$I$5)))+(($D$11*0.34699541*(ABS(I97)/MAX(ABS(G97),0.000001))^2*MAX(((ABS(J97)/MAX(((F35)+(H35)*(MAX($D$16,(E97)-(J35))))*(MAX($D$16,(E97)-(J35))),0.000001))^2)/(2*$I$5),((ABS(J97)/MAX(((G35)+(I35)*(MAX($D$16,(N97)-(K35))))*(MAX($D$16,(N97)-(K35))),0.000001))^2)/(2*$I$5))))-((ABS(J97)/MAX(((F35)+(H35)*(MAX($D$16,(E97)-(J35))))*(MAX($D$16,(E97)-(J35))),0.000001))^2)/(2*$I$5)</f>
        <v>22382.80587457701</v>
      </c>
      <c r="U97">
        <f>(((((F32)*(MAX($D$16,(D97)-(J32)))^2)/2+(H32)*(MAX($D$16,(D97)-(J32)))^3/3+(ABS(G97)^2)/($I$5*MAX(((F32)+(H32)*(MAX($D$16,(D97)-(J32))))*(MAX($D$16,(D97)-(J32))),0.000001)))*0.72785025)-((((F33)*(MAX($D$16,(D97)-(J33)))^2)/2+(H33)*(MAX($D$16,(D97)-(J33)))^3/3+(ABS(H97)^2)/($I$5*MAX(((F33)+(H33)*(MAX($D$16,(D97)-(J33))))*(MAX($D$16,(D97)-(J33))),0.000001)))*0.99999971))/MAX(((G31)*(MAX($D$16,(D97)-(K31)))^2)/2+(I31)*(MAX($D$16,(D97)-(K31)))^3/3+(ABS(F97)^2)/($I$5*MAX(((G31)+(I31)*(MAX($D$16,(D97)-(K31))))*(MAX($D$16,(D97)-(K31))),0.000001)),0.000001)</f>
        <v>-0.27214945999978912</v>
      </c>
      <c r="V97">
        <f>(((((F34)*(MAX($D$16,(E97)-(J34)))^2)/2+(H34)*(MAX($D$16,(E97)-(J34)))^3/3+(ABS(I97)^2)/($I$5*MAX(((F34)+(H34)*(MAX($D$16,(E97)-(J34))))*(MAX($D$16,(E97)-(J34))),0.000001)))*1)-((((F35)*(MAX($D$16,(E97)-(J35)))^2)/2+(H35)*(MAX($D$16,(E97)-(J35)))^3/3+(ABS(J97)^2)/($I$5*MAX(((F35)+(H35)*(MAX($D$16,(E97)-(J35))))*(MAX($D$16,(E97)-(J35))),0.000001)))*0.30600918))/MAX(((G32)*(MAX($D$16,(E97)-(K32)))^2)/2+(I32)*(MAX($D$16,(E97)-(K32)))^3/3+(ABS(G97)^2)/($I$5*MAX(((G32)+(I32)*(MAX($D$16,(E97)-(K32))))*(MAX($D$16,(E97)-(K32))),0.000001)),0.000001)</f>
        <v>-0.30598462674144999</v>
      </c>
      <c r="W97">
        <f>IF(N6="None",MAX(ABS(O97-D97),ABS(P97-D97)),MAX(ABS(O97-D97),ABS(P97-D97),ABS(Q97-D97)))</f>
        <v>38814.701654702912</v>
      </c>
      <c r="X97">
        <f>IF(AND(N7="None",N8="None"),ABS(R97-E97),IF(N8="None",MAX(ABS(R97-E97),ABS(S97-E97)),IF(N7="None",MAX(ABS(R97-E97),ABS(T97-E97)),MAX(ABS(R97-E97),ABS(S97-E97),ABS(T97-E97)))))</f>
        <v>38591.934588803975</v>
      </c>
      <c r="AA97">
        <f>D97+$D$13*(IF(N6="None",AVERAGE(O97:P97),AVERAGE(O97:Q97))-D97)</f>
        <v>39452.303840917637</v>
      </c>
      <c r="AB97">
        <f>E97+$D$13*(IF(AND(N7="None",N8="None"),R97,IF(N8="None",AVERAGE(R97:S97),IF(N7="None",AVERAGE(R97,T97),AVERAGE(R97:T97))))-E97)</f>
        <v>-7786.846262095557</v>
      </c>
    </row>
    <row r="98" spans="1:28" x14ac:dyDescent="0.35">
      <c r="A98">
        <v>55</v>
      </c>
      <c r="B98">
        <f t="shared" si="8"/>
        <v>0</v>
      </c>
      <c r="C98">
        <f t="shared" si="9"/>
        <v>0</v>
      </c>
      <c r="D98">
        <f t="shared" si="10"/>
        <v>39452.303840917637</v>
      </c>
      <c r="E98">
        <f t="shared" si="11"/>
        <v>-7786.846262095557</v>
      </c>
      <c r="F98">
        <f t="shared" si="7"/>
        <v>51</v>
      </c>
      <c r="G98">
        <f>IF(N6="None",F98,MAX(0,F98*B98))</f>
        <v>51</v>
      </c>
      <c r="H98">
        <f>IF(N6="None",0,MAX(0,F98-G98))</f>
        <v>0</v>
      </c>
      <c r="I98">
        <f>IF(AND(N7="None",N8="None"),0,IF(N8="None",G98,IF(N7="None",0,MAX(0,G98*C98))))</f>
        <v>0</v>
      </c>
      <c r="J98">
        <f>IF(AND(N7="None",N8="None"),0,IF(N8="None",0,IF(N7="None",G98,MAX(0,G98-I98))))</f>
        <v>51</v>
      </c>
      <c r="K98">
        <f>P5</f>
        <v>637</v>
      </c>
      <c r="L98">
        <f>P6</f>
        <v>637</v>
      </c>
      <c r="M98">
        <f>P7</f>
        <v>635.5</v>
      </c>
      <c r="N98">
        <f>P8</f>
        <v>631.54999999999995</v>
      </c>
      <c r="O98">
        <f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D98)-(K31))))*(MAX($D$16,(D98)-(K31))),0.000001)*MAX(((((G31)+(I31)*(MAX($D$16,(D98)-(K31))))*(MAX($D$16,(D98)-(K31))))/MAX((G31)+2*(MAX($D$16,(D98)-(K31)))*SQRT(1+(I31)^2),0.000001))^(2/3),0.000001)))^2))/2)+(IF((ABS(F98)/MAX(((G31)+(I31)*(MAX($D$16,(D98)-(K31))))*(MAX($D$16,(D98)-(K31))),0.000001))&gt;(ABS(F98)/MAX(((F31)+(H31)*(MAX($D$16,(K98)-(J31))))*(MAX($D$16,(K98)-(J31))),0.000001)),$D$9*((((ABS(F98)/MAX(((G31)+(I31)*(MAX($D$16,(D98)-(K31))))*(MAX($D$16,(D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D98)-(K31))))*(MAX($D$16,(D98)-(K31))),0.000001))^2)/(2*$I$5)))))+($D$10*(ABS((X31)-(W31))/90)*MAX(((ABS(F98)/MAX(((F31)+(H31)*(MAX($D$16,(K98)-(J31))))*(MAX($D$16,(K98)-(J31))),0.000001))^2)/(2*$I$5),((ABS(F98)/MAX(((G31)+(I31)*(MAX($D$16,(D98)-(K31))))*(MAX($D$16,(D98)-(K31))),0.000001))^2)/(2*$I$5)))+(0)-((ABS(F98)/MAX(((G31)+(I31)*(MAX($D$16,(D98)-(K31))))*(MAX($D$16,(D98)-(K31))),0.000001))^2)/(2*$I$5)</f>
        <v>637.65825100972802</v>
      </c>
      <c r="P98">
        <f>E98+((ABS(G98)/MAX(((G32)+(I32)*(MAX($D$16,(E98)-(K32))))*(MAX($D$16,(E98)-(K32))),0.000001))^2)/(2*$I$5)+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F32)+(H32)*(MAX($D$16,(D98)-(J32))))*(MAX($D$16,(D98)-(J32))),0.000001))^2)/(2*$I$5)</f>
        <v>78267.003313300229</v>
      </c>
      <c r="Q98">
        <f>L98+((ABS(H98)/MAX(((G33)+(I33)*(MAX($D$16,(L98)-(K33))))*(MAX($D$16,(L98)-(K33))),0.000001))^2)/(2*$I$5)+((E33)*((((ABS(H98)*$D$6)/(MAX(((F33)+(H33)*(MAX($D$16,(D98)-(J33))))*(MAX($D$16,(D98)-(J33))),0.000001)*MAX(((((F33)+(H33)*(MAX($D$16,(D98)-(J33))))*(MAX($D$16,(D98)-(J33))))/MAX((F33)+2*(MAX($D$16,(D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D98)-(J33))))*(MAX($D$16,(D98)-(J33))),0.000001)),$D$9*((((ABS(H98)/MAX(((G33)+(I33)*(MAX($D$16,(L98)-(K33))))*(MAX($D$16,(L98)-(K33))),0.000001))^2)/(2*$I$5))-(((ABS(H98)/MAX(((F33)+(H33)*(MAX($D$16,(D98)-(J33))))*(MAX($D$16,(D98)-(J33))),0.000001))^2)/(2*$I$5))),$D$8*((((ABS(H98)/MAX(((F33)+(H33)*(MAX($D$16,(D98)-(J33))))*(MAX($D$16,(D98)-(J33))),0.000001))^2)/(2*$I$5))-(((ABS(H98)/MAX(((G33)+(I33)*(MAX($D$16,(L98)-(K33))))*(MAX($D$16,(L98)-(K33))),0.000001))^2)/(2*$I$5)))))+($D$10*(ABS((X33)-(W33))/90)*MAX(((ABS(H98)/MAX(((F33)+(H33)*(MAX($D$16,(D98)-(J33))))*(MAX($D$16,(D98)-(J33))),0.000001))^2)/(2*$I$5),((ABS(H98)/MAX(((G33)+(I33)*(MAX($D$16,(L98)-(K33))))*(MAX($D$16,(L98)-(K33))),0.000001))^2)/(2*$I$5)))+(($D$11*0.00000015*(ABS(G98)/MAX(ABS(F98),0.000001))^2*MAX(((ABS(H98)/MAX(((F33)+(H33)*(MAX($D$16,(D98)-(J33))))*(MAX($D$16,(D98)-(J33))),0.000001))^2)/(2*$I$5),((ABS(H98)/MAX(((G33)+(I33)*(MAX($D$16,(L98)-(K33))))*(MAX($D$16,(L98)-(K33))),0.000001))^2)/(2*$I$5))))-((ABS(H98)/MAX(((F33)+(H33)*(MAX($D$16,(D98)-(J33))))*(MAX($D$16,(D98)-(J33))),0.000001))^2)/(2*$I$5)</f>
        <v>637</v>
      </c>
      <c r="R98">
        <f>D98+((ABS(G98)/MAX(((F32)+(H32)*(MAX($D$16,(D98)-(J32))))*(MAX($D$16,(D98)-(J32))),0.000001))^2)/(2*$I$5)-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G32)+(I32)*(MAX($D$16,(E98)-(K32))))*(MAX($D$16,(E98)-(K32))),0.000001))^2)/(2*$I$5)</f>
        <v>-46378.778668579202</v>
      </c>
      <c r="S98">
        <f>M98+((ABS(I98)/MAX(((G34)+(I34)*(MAX($D$16,(M98)-(K34))))*(MAX($D$16,(M98)-(K34))),0.000001))^2)/(2*$I$5)+((E34)*((((ABS(I98)*$D$6)/(MAX(((F34)+(H34)*(MAX($D$16,(E98)-(J34))))*(MAX($D$16,(E98)-(J34))),0.000001)*MAX(((((F34)+(H34)*(MAX($D$16,(E98)-(J34))))*(MAX($D$16,(E98)-(J34))))/MAX((F34)+2*(MAX($D$16,(E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E98)-(J34))))*(MAX($D$16,(E98)-(J34))),0.000001)),$D$9*((((ABS(I98)/MAX(((G34)+(I34)*(MAX($D$16,(M98)-(K34))))*(MAX($D$16,(M98)-(K34))),0.000001))^2)/(2*$I$5))-(((ABS(I98)/MAX(((F34)+(H34)*(MAX($D$16,(E98)-(J34))))*(MAX($D$16,(E98)-(J34))),0.000001))^2)/(2*$I$5))),$D$8*((((ABS(I98)/MAX(((F34)+(H34)*(MAX($D$16,(E98)-(J34))))*(MAX($D$16,(E98)-(J34))),0.000001))^2)/(2*$I$5))-(((ABS(I98)/MAX(((G34)+(I34)*(MAX($D$16,(M98)-(K34))))*(MAX($D$16,(M98)-(K34))),0.000001))^2)/(2*$I$5)))))+($D$10*(ABS((X34)-(W34))/90)*MAX(((ABS(I98)/MAX(((F34)+(H34)*(MAX($D$16,(E98)-(J34))))*(MAX($D$16,(E98)-(J34))),0.000001))^2)/(2*$I$5),((ABS(I98)/MAX(((G34)+(I34)*(MAX($D$16,(M98)-(K34))))*(MAX($D$16,(M98)-(K34))),0.000001))^2)/(2*$I$5)))+(0)-((ABS(I98)/MAX(((F34)+(H34)*(MAX($D$16,(E98)-(J34))))*(MAX($D$16,(E98)-(J34))),0.000001))^2)/(2*$I$5)</f>
        <v>635.5</v>
      </c>
      <c r="T98">
        <f>N98+((ABS(J98)/MAX(((G35)+(I35)*(MAX($D$16,(N98)-(K35))))*(MAX($D$16,(N98)-(K35))),0.000001))^2)/(2*$I$5)+((E35)*((((ABS(J98)*$D$6)/(MAX(((F35)+(H35)*(MAX($D$16,(E98)-(J35))))*(MAX($D$16,(E98)-(J35))),0.000001)*MAX(((((F35)+(H35)*(MAX($D$16,(E98)-(J35))))*(MAX($D$16,(E98)-(J35))))/MAX((F35)+2*(MAX($D$16,(E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E98)-(J35))))*(MAX($D$16,(E98)-(J35))),0.000001)),$D$9*((((ABS(J98)/MAX(((G35)+(I35)*(MAX($D$16,(N98)-(K35))))*(MAX($D$16,(N98)-(K35))),0.000001))^2)/(2*$I$5))-(((ABS(J98)/MAX(((F35)+(H35)*(MAX($D$16,(E98)-(J35))))*(MAX($D$16,(E98)-(J35))),0.000001))^2)/(2*$I$5))),$D$8*((((ABS(J98)/MAX(((F35)+(H35)*(MAX($D$16,(E98)-(J35))))*(MAX($D$16,(E98)-(J35))),0.000001))^2)/(2*$I$5))-(((ABS(J98)/MAX(((G35)+(I35)*(MAX($D$16,(N98)-(K35))))*(MAX($D$16,(N98)-(K35))),0.000001))^2)/(2*$I$5)))))+($D$10*(ABS((X35)-(W35))/90)*MAX(((ABS(J98)/MAX(((F35)+(H35)*(MAX($D$16,(E98)-(J35))))*(MAX($D$16,(E98)-(J35))),0.000001))^2)/(2*$I$5),((ABS(J98)/MAX(((G35)+(I35)*(MAX($D$16,(N98)-(K35))))*(MAX($D$16,(N98)-(K35))),0.000001))^2)/(2*$I$5)))+(($D$11*0.34699541*(ABS(I98)/MAX(ABS(G98),0.000001))^2*MAX(((ABS(J98)/MAX(((F35)+(H35)*(MAX($D$16,(E98)-(J35))))*(MAX($D$16,(E98)-(J35))),0.000001))^2)/(2*$I$5),((ABS(J98)/MAX(((G35)+(I35)*(MAX($D$16,(N98)-(K35))))*(MAX($D$16,(N98)-(K35))),0.000001))^2)/(2*$I$5))))-((ABS(J98)/MAX(((F35)+(H35)*(MAX($D$16,(E98)-(J35))))*(MAX($D$16,(E98)-(J35))),0.000001))^2)/(2*$I$5)</f>
        <v>22382.80587457701</v>
      </c>
      <c r="U98">
        <f>(((((F32)*(MAX($D$16,(D98)-(J32)))^2)/2+(H32)*(MAX($D$16,(D98)-(J32)))^3/3+(ABS(G98)^2)/($I$5*MAX(((F32)+(H32)*(MAX($D$16,(D98)-(J32))))*(MAX($D$16,(D98)-(J32))),0.000001)))*0.72785025)-((((F33)*(MAX($D$16,(D98)-(J33)))^2)/2+(H33)*(MAX($D$16,(D98)-(J33)))^3/3+(ABS(H98)^2)/($I$5*MAX(((F33)+(H33)*(MAX($D$16,(D98)-(J33))))*(MAX($D$16,(D98)-(J33))),0.000001)))*0.99999971))/MAX(((G31)*(MAX($D$16,(D98)-(K31)))^2)/2+(I31)*(MAX($D$16,(D98)-(K31)))^3/3+(ABS(F98)^2)/($I$5*MAX(((G31)+(I31)*(MAX($D$16,(D98)-(K31))))*(MAX($D$16,(D98)-(K31))),0.000001)),0.000001)</f>
        <v>-0.27214945999978923</v>
      </c>
      <c r="V98">
        <f>(((((F34)*(MAX($D$16,(E98)-(J34)))^2)/2+(H34)*(MAX($D$16,(E98)-(J34)))^3/3+(ABS(I98)^2)/($I$5*MAX(((F34)+(H34)*(MAX($D$16,(E98)-(J34))))*(MAX($D$16,(E98)-(J34))),0.000001)))*1)-((((F35)*(MAX($D$16,(E98)-(J35)))^2)/2+(H35)*(MAX($D$16,(E98)-(J35)))^3/3+(ABS(J98)^2)/($I$5*MAX(((F35)+(H35)*(MAX($D$16,(E98)-(J35))))*(MAX($D$16,(E98)-(J35))),0.000001)))*0.30600918))/MAX(((G32)*(MAX($D$16,(E98)-(K32)))^2)/2+(I32)*(MAX($D$16,(E98)-(K32)))^3/3+(ABS(G98)^2)/($I$5*MAX(((G32)+(I32)*(MAX($D$16,(E98)-(K32))))*(MAX($D$16,(E98)-(K32))),0.000001)),0.000001)</f>
        <v>-0.30598462674144999</v>
      </c>
      <c r="W98">
        <f>IF(N6="None",MAX(ABS(O98-D98),ABS(P98-D98)),MAX(ABS(O98-D98),ABS(P98-D98),ABS(Q98-D98)))</f>
        <v>38814.699472382592</v>
      </c>
      <c r="X98">
        <f>IF(AND(N7="None",N8="None"),ABS(R98-E98),IF(N8="None",MAX(ABS(R98-E98),ABS(S98-E98)),IF(N7="None",MAX(ABS(R98-E98),ABS(T98-E98)),MAX(ABS(R98-E98),ABS(S98-E98),ABS(T98-E98)))))</f>
        <v>38591.932406483647</v>
      </c>
      <c r="AA98">
        <f>D98+$D$13*(IF(N6="None",AVERAGE(O98:P98),AVERAGE(O98:Q98))-D98)</f>
        <v>39452.313270350707</v>
      </c>
      <c r="AB98">
        <f>E98+$D$13*(IF(AND(N7="None",N8="None"),R98,IF(N8="None",AVERAGE(R98:S98),IF(N7="None",AVERAGE(R98,T98),AVERAGE(R98:T98))))-E98)</f>
        <v>-7786.8385629957011</v>
      </c>
    </row>
    <row r="99" spans="1:28" x14ac:dyDescent="0.35">
      <c r="A99">
        <v>56</v>
      </c>
      <c r="B99">
        <f t="shared" si="8"/>
        <v>0</v>
      </c>
      <c r="C99">
        <f t="shared" si="9"/>
        <v>0</v>
      </c>
      <c r="D99">
        <f t="shared" si="10"/>
        <v>39452.313270350707</v>
      </c>
      <c r="E99">
        <f t="shared" si="11"/>
        <v>-7786.8385629957011</v>
      </c>
      <c r="F99">
        <f t="shared" si="7"/>
        <v>51</v>
      </c>
      <c r="G99">
        <f>IF(N6="None",F99,MAX(0,F99*B99))</f>
        <v>51</v>
      </c>
      <c r="H99">
        <f>IF(N6="None",0,MAX(0,F99-G99))</f>
        <v>0</v>
      </c>
      <c r="I99">
        <f>IF(AND(N7="None",N8="None"),0,IF(N8="None",G99,IF(N7="None",0,MAX(0,G99*C99))))</f>
        <v>0</v>
      </c>
      <c r="J99">
        <f>IF(AND(N7="None",N8="None"),0,IF(N8="None",0,IF(N7="None",G99,MAX(0,G99-I99))))</f>
        <v>51</v>
      </c>
      <c r="K99">
        <f>P5</f>
        <v>637</v>
      </c>
      <c r="L99">
        <f>P6</f>
        <v>637</v>
      </c>
      <c r="M99">
        <f>P7</f>
        <v>635.5</v>
      </c>
      <c r="N99">
        <f>P8</f>
        <v>631.54999999999995</v>
      </c>
      <c r="O99">
        <f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D99)-(K31))))*(MAX($D$16,(D99)-(K31))),0.000001)*MAX(((((G31)+(I31)*(MAX($D$16,(D99)-(K31))))*(MAX($D$16,(D99)-(K31))))/MAX((G31)+2*(MAX($D$16,(D99)-(K31)))*SQRT(1+(I31)^2),0.000001))^(2/3),0.000001)))^2))/2)+(IF((ABS(F99)/MAX(((G31)+(I31)*(MAX($D$16,(D99)-(K31))))*(MAX($D$16,(D99)-(K31))),0.000001))&gt;(ABS(F99)/MAX(((F31)+(H31)*(MAX($D$16,(K99)-(J31))))*(MAX($D$16,(K99)-(J31))),0.000001)),$D$9*((((ABS(F99)/MAX(((G31)+(I31)*(MAX($D$16,(D99)-(K31))))*(MAX($D$16,(D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D99)-(K31))))*(MAX($D$16,(D99)-(K31))),0.000001))^2)/(2*$I$5)))))+($D$10*(ABS((X31)-(W31))/90)*MAX(((ABS(F99)/MAX(((F31)+(H31)*(MAX($D$16,(K99)-(J31))))*(MAX($D$16,(K99)-(J31))),0.000001))^2)/(2*$I$5),((ABS(F99)/MAX(((G31)+(I31)*(MAX($D$16,(D99)-(K31))))*(MAX($D$16,(D99)-(K31))),0.000001))^2)/(2*$I$5)))+(0)-((ABS(F99)/MAX(((G31)+(I31)*(MAX($D$16,(D99)-(K31))))*(MAX($D$16,(D99)-(K31))),0.000001))^2)/(2*$I$5)</f>
        <v>637.65825100972802</v>
      </c>
      <c r="P99">
        <f>E99+((ABS(G99)/MAX(((G32)+(I32)*(MAX($D$16,(E99)-(K32))))*(MAX($D$16,(E99)-(K32))),0.000001))^2)/(2*$I$5)+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F32)+(H32)*(MAX($D$16,(D99)-(J32))))*(MAX($D$16,(D99)-(J32))),0.000001))^2)/(2*$I$5)</f>
        <v>78267.011012400078</v>
      </c>
      <c r="Q99">
        <f>L99+((ABS(H99)/MAX(((G33)+(I33)*(MAX($D$16,(L99)-(K33))))*(MAX($D$16,(L99)-(K33))),0.000001))^2)/(2*$I$5)+((E33)*((((ABS(H99)*$D$6)/(MAX(((F33)+(H33)*(MAX($D$16,(D99)-(J33))))*(MAX($D$16,(D99)-(J33))),0.000001)*MAX(((((F33)+(H33)*(MAX($D$16,(D99)-(J33))))*(MAX($D$16,(D99)-(J33))))/MAX((F33)+2*(MAX($D$16,(D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D99)-(J33))))*(MAX($D$16,(D99)-(J33))),0.000001)),$D$9*((((ABS(H99)/MAX(((G33)+(I33)*(MAX($D$16,(L99)-(K33))))*(MAX($D$16,(L99)-(K33))),0.000001))^2)/(2*$I$5))-(((ABS(H99)/MAX(((F33)+(H33)*(MAX($D$16,(D99)-(J33))))*(MAX($D$16,(D99)-(J33))),0.000001))^2)/(2*$I$5))),$D$8*((((ABS(H99)/MAX(((F33)+(H33)*(MAX($D$16,(D99)-(J33))))*(MAX($D$16,(D99)-(J33))),0.000001))^2)/(2*$I$5))-(((ABS(H99)/MAX(((G33)+(I33)*(MAX($D$16,(L99)-(K33))))*(MAX($D$16,(L99)-(K33))),0.000001))^2)/(2*$I$5)))))+($D$10*(ABS((X33)-(W33))/90)*MAX(((ABS(H99)/MAX(((F33)+(H33)*(MAX($D$16,(D99)-(J33))))*(MAX($D$16,(D99)-(J33))),0.000001))^2)/(2*$I$5),((ABS(H99)/MAX(((G33)+(I33)*(MAX($D$16,(L99)-(K33))))*(MAX($D$16,(L99)-(K33))),0.000001))^2)/(2*$I$5)))+(($D$11*0.00000015*(ABS(G99)/MAX(ABS(F99),0.000001))^2*MAX(((ABS(H99)/MAX(((F33)+(H33)*(MAX($D$16,(D99)-(J33))))*(MAX($D$16,(D99)-(J33))),0.000001))^2)/(2*$I$5),((ABS(H99)/MAX(((G33)+(I33)*(MAX($D$16,(L99)-(K33))))*(MAX($D$16,(L99)-(K33))),0.000001))^2)/(2*$I$5))))-((ABS(H99)/MAX(((F33)+(H33)*(MAX($D$16,(D99)-(J33))))*(MAX($D$16,(D99)-(J33))),0.000001))^2)/(2*$I$5)</f>
        <v>637</v>
      </c>
      <c r="R99">
        <f>D99+((ABS(G99)/MAX(((F32)+(H32)*(MAX($D$16,(D99)-(J32))))*(MAX($D$16,(D99)-(J32))),0.000001))^2)/(2*$I$5)-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G32)+(I32)*(MAX($D$16,(E99)-(K32))))*(MAX($D$16,(E99)-(K32))),0.000001))^2)/(2*$I$5)</f>
        <v>-46378.769239146131</v>
      </c>
      <c r="S99">
        <f>M99+((ABS(I99)/MAX(((G34)+(I34)*(MAX($D$16,(M99)-(K34))))*(MAX($D$16,(M99)-(K34))),0.000001))^2)/(2*$I$5)+((E34)*((((ABS(I99)*$D$6)/(MAX(((F34)+(H34)*(MAX($D$16,(E99)-(J34))))*(MAX($D$16,(E99)-(J34))),0.000001)*MAX(((((F34)+(H34)*(MAX($D$16,(E99)-(J34))))*(MAX($D$16,(E99)-(J34))))/MAX((F34)+2*(MAX($D$16,(E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E99)-(J34))))*(MAX($D$16,(E99)-(J34))),0.000001)),$D$9*((((ABS(I99)/MAX(((G34)+(I34)*(MAX($D$16,(M99)-(K34))))*(MAX($D$16,(M99)-(K34))),0.000001))^2)/(2*$I$5))-(((ABS(I99)/MAX(((F34)+(H34)*(MAX($D$16,(E99)-(J34))))*(MAX($D$16,(E99)-(J34))),0.000001))^2)/(2*$I$5))),$D$8*((((ABS(I99)/MAX(((F34)+(H34)*(MAX($D$16,(E99)-(J34))))*(MAX($D$16,(E99)-(J34))),0.000001))^2)/(2*$I$5))-(((ABS(I99)/MAX(((G34)+(I34)*(MAX($D$16,(M99)-(K34))))*(MAX($D$16,(M99)-(K34))),0.000001))^2)/(2*$I$5)))))+($D$10*(ABS((X34)-(W34))/90)*MAX(((ABS(I99)/MAX(((F34)+(H34)*(MAX($D$16,(E99)-(J34))))*(MAX($D$16,(E99)-(J34))),0.000001))^2)/(2*$I$5),((ABS(I99)/MAX(((G34)+(I34)*(MAX($D$16,(M99)-(K34))))*(MAX($D$16,(M99)-(K34))),0.000001))^2)/(2*$I$5)))+(0)-((ABS(I99)/MAX(((F34)+(H34)*(MAX($D$16,(E99)-(J34))))*(MAX($D$16,(E99)-(J34))),0.000001))^2)/(2*$I$5)</f>
        <v>635.5</v>
      </c>
      <c r="T99">
        <f>N99+((ABS(J99)/MAX(((G35)+(I35)*(MAX($D$16,(N99)-(K35))))*(MAX($D$16,(N99)-(K35))),0.000001))^2)/(2*$I$5)+((E35)*((((ABS(J99)*$D$6)/(MAX(((F35)+(H35)*(MAX($D$16,(E99)-(J35))))*(MAX($D$16,(E99)-(J35))),0.000001)*MAX(((((F35)+(H35)*(MAX($D$16,(E99)-(J35))))*(MAX($D$16,(E99)-(J35))))/MAX((F35)+2*(MAX($D$16,(E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E99)-(J35))))*(MAX($D$16,(E99)-(J35))),0.000001)),$D$9*((((ABS(J99)/MAX(((G35)+(I35)*(MAX($D$16,(N99)-(K35))))*(MAX($D$16,(N99)-(K35))),0.000001))^2)/(2*$I$5))-(((ABS(J99)/MAX(((F35)+(H35)*(MAX($D$16,(E99)-(J35))))*(MAX($D$16,(E99)-(J35))),0.000001))^2)/(2*$I$5))),$D$8*((((ABS(J99)/MAX(((F35)+(H35)*(MAX($D$16,(E99)-(J35))))*(MAX($D$16,(E99)-(J35))),0.000001))^2)/(2*$I$5))-(((ABS(J99)/MAX(((G35)+(I35)*(MAX($D$16,(N99)-(K35))))*(MAX($D$16,(N99)-(K35))),0.000001))^2)/(2*$I$5)))))+($D$10*(ABS((X35)-(W35))/90)*MAX(((ABS(J99)/MAX(((F35)+(H35)*(MAX($D$16,(E99)-(J35))))*(MAX($D$16,(E99)-(J35))),0.000001))^2)/(2*$I$5),((ABS(J99)/MAX(((G35)+(I35)*(MAX($D$16,(N99)-(K35))))*(MAX($D$16,(N99)-(K35))),0.000001))^2)/(2*$I$5)))+(($D$11*0.34699541*(ABS(I99)/MAX(ABS(G99),0.000001))^2*MAX(((ABS(J99)/MAX(((F35)+(H35)*(MAX($D$16,(E99)-(J35))))*(MAX($D$16,(E99)-(J35))),0.000001))^2)/(2*$I$5),((ABS(J99)/MAX(((G35)+(I35)*(MAX($D$16,(N99)-(K35))))*(MAX($D$16,(N99)-(K35))),0.000001))^2)/(2*$I$5))))-((ABS(J99)/MAX(((F35)+(H35)*(MAX($D$16,(E99)-(J35))))*(MAX($D$16,(E99)-(J35))),0.000001))^2)/(2*$I$5)</f>
        <v>22382.80587457701</v>
      </c>
      <c r="U99">
        <f>(((((F32)*(MAX($D$16,(D99)-(J32)))^2)/2+(H32)*(MAX($D$16,(D99)-(J32)))^3/3+(ABS(G99)^2)/($I$5*MAX(((F32)+(H32)*(MAX($D$16,(D99)-(J32))))*(MAX($D$16,(D99)-(J32))),0.000001)))*0.72785025)-((((F33)*(MAX($D$16,(D99)-(J33)))^2)/2+(H33)*(MAX($D$16,(D99)-(J33)))^3/3+(ABS(H99)^2)/($I$5*MAX(((F33)+(H33)*(MAX($D$16,(D99)-(J33))))*(MAX($D$16,(D99)-(J33))),0.000001)))*0.99999971))/MAX(((G31)*(MAX($D$16,(D99)-(K31)))^2)/2+(I31)*(MAX($D$16,(D99)-(K31)))^3/3+(ABS(F99)^2)/($I$5*MAX(((G31)+(I31)*(MAX($D$16,(D99)-(K31))))*(MAX($D$16,(D99)-(K31))),0.000001)),0.000001)</f>
        <v>-0.27214945999978923</v>
      </c>
      <c r="V99">
        <f>(((((F34)*(MAX($D$16,(E99)-(J34)))^2)/2+(H34)*(MAX($D$16,(E99)-(J34)))^3/3+(ABS(I99)^2)/($I$5*MAX(((F34)+(H34)*(MAX($D$16,(E99)-(J34))))*(MAX($D$16,(E99)-(J34))),0.000001)))*1)-((((F35)*(MAX($D$16,(E99)-(J35)))^2)/2+(H35)*(MAX($D$16,(E99)-(J35)))^3/3+(ABS(J99)^2)/($I$5*MAX(((F35)+(H35)*(MAX($D$16,(E99)-(J35))))*(MAX($D$16,(E99)-(J35))),0.000001)))*0.30600918))/MAX(((G32)*(MAX($D$16,(E99)-(K32)))^2)/2+(I32)*(MAX($D$16,(E99)-(K32)))^3/3+(ABS(G99)^2)/($I$5*MAX(((G32)+(I32)*(MAX($D$16,(E99)-(K32))))*(MAX($D$16,(E99)-(K32))),0.000001)),0.000001)</f>
        <v>-0.30598462674144999</v>
      </c>
      <c r="W99">
        <f>IF(N6="None",MAX(ABS(O99-D99),ABS(P99-D99)),MAX(ABS(O99-D99),ABS(P99-D99),ABS(Q99-D99)))</f>
        <v>38814.697742049371</v>
      </c>
      <c r="X99">
        <f>IF(AND(N7="None",N8="None"),ABS(R99-E99),IF(N8="None",MAX(ABS(R99-E99),ABS(S99-E99)),IF(N7="None",MAX(ABS(R99-E99),ABS(T99-E99)),MAX(ABS(R99-E99),ABS(S99-E99),ABS(T99-E99)))))</f>
        <v>38591.930676150427</v>
      </c>
      <c r="AA99">
        <f>D99+$D$13*(IF(N6="None",AVERAGE(O99:P99),AVERAGE(O99:Q99))-D99)</f>
        <v>39452.320746824676</v>
      </c>
      <c r="AB99">
        <f>E99+$D$13*(IF(AND(N7="None",N8="None"),R99,IF(N8="None",AVERAGE(R99:S99),IF(N7="None",AVERAGE(R99,T99),AVERAGE(R99:T99))))-E99)</f>
        <v>-7786.8324584802695</v>
      </c>
    </row>
    <row r="100" spans="1:28" x14ac:dyDescent="0.35">
      <c r="A100">
        <v>57</v>
      </c>
      <c r="B100">
        <f t="shared" si="8"/>
        <v>0</v>
      </c>
      <c r="C100">
        <f t="shared" si="9"/>
        <v>0</v>
      </c>
      <c r="D100">
        <f t="shared" si="10"/>
        <v>39452.320746824676</v>
      </c>
      <c r="E100">
        <f t="shared" si="11"/>
        <v>-7786.8324584802695</v>
      </c>
      <c r="F100">
        <f t="shared" si="7"/>
        <v>51</v>
      </c>
      <c r="G100">
        <f>IF(N6="None",F100,MAX(0,F100*B100))</f>
        <v>51</v>
      </c>
      <c r="H100">
        <f>IF(N6="None",0,MAX(0,F100-G100))</f>
        <v>0</v>
      </c>
      <c r="I100">
        <f>IF(AND(N7="None",N8="None"),0,IF(N8="None",G100,IF(N7="None",0,MAX(0,G100*C100))))</f>
        <v>0</v>
      </c>
      <c r="J100">
        <f>IF(AND(N7="None",N8="None"),0,IF(N8="None",0,IF(N7="None",G100,MAX(0,G100-I100))))</f>
        <v>51</v>
      </c>
      <c r="K100">
        <f>P5</f>
        <v>637</v>
      </c>
      <c r="L100">
        <f>P6</f>
        <v>637</v>
      </c>
      <c r="M100">
        <f>P7</f>
        <v>635.5</v>
      </c>
      <c r="N100">
        <f>P8</f>
        <v>631.54999999999995</v>
      </c>
      <c r="O100">
        <f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D100)-(K31))))*(MAX($D$16,(D100)-(K31))),0.000001)*MAX(((((G31)+(I31)*(MAX($D$16,(D100)-(K31))))*(MAX($D$16,(D100)-(K31))))/MAX((G31)+2*(MAX($D$16,(D100)-(K31)))*SQRT(1+(I31)^2),0.000001))^(2/3),0.000001)))^2))/2)+(IF((ABS(F100)/MAX(((G31)+(I31)*(MAX($D$16,(D100)-(K31))))*(MAX($D$16,(D100)-(K31))),0.000001))&gt;(ABS(F100)/MAX(((F31)+(H31)*(MAX($D$16,(K100)-(J31))))*(MAX($D$16,(K100)-(J31))),0.000001)),$D$9*((((ABS(F100)/MAX(((G31)+(I31)*(MAX($D$16,(D100)-(K31))))*(MAX($D$16,(D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D100)-(K31))))*(MAX($D$16,(D100)-(K31))),0.000001))^2)/(2*$I$5)))))+($D$10*(ABS((X31)-(W31))/90)*MAX(((ABS(F100)/MAX(((F31)+(H31)*(MAX($D$16,(K100)-(J31))))*(MAX($D$16,(K100)-(J31))),0.000001))^2)/(2*$I$5),((ABS(F100)/MAX(((G31)+(I31)*(MAX($D$16,(D100)-(K31))))*(MAX($D$16,(D100)-(K31))),0.000001))^2)/(2*$I$5)))+(0)-((ABS(F100)/MAX(((G31)+(I31)*(MAX($D$16,(D100)-(K31))))*(MAX($D$16,(D100)-(K31))),0.000001))^2)/(2*$I$5)</f>
        <v>637.65825100972802</v>
      </c>
      <c r="P100">
        <f>E100+((ABS(G100)/MAX(((G32)+(I32)*(MAX($D$16,(E100)-(K32))))*(MAX($D$16,(E100)-(K32))),0.000001))^2)/(2*$I$5)+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F32)+(H32)*(MAX($D$16,(D100)-(J32))))*(MAX($D$16,(D100)-(J32))),0.000001))^2)/(2*$I$5)</f>
        <v>78267.017116915507</v>
      </c>
      <c r="Q100">
        <f>L100+((ABS(H100)/MAX(((G33)+(I33)*(MAX($D$16,(L100)-(K33))))*(MAX($D$16,(L100)-(K33))),0.000001))^2)/(2*$I$5)+((E33)*((((ABS(H100)*$D$6)/(MAX(((F33)+(H33)*(MAX($D$16,(D100)-(J33))))*(MAX($D$16,(D100)-(J33))),0.000001)*MAX(((((F33)+(H33)*(MAX($D$16,(D100)-(J33))))*(MAX($D$16,(D100)-(J33))))/MAX((F33)+2*(MAX($D$16,(D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D100)-(J33))))*(MAX($D$16,(D100)-(J33))),0.000001)),$D$9*((((ABS(H100)/MAX(((G33)+(I33)*(MAX($D$16,(L100)-(K33))))*(MAX($D$16,(L100)-(K33))),0.000001))^2)/(2*$I$5))-(((ABS(H100)/MAX(((F33)+(H33)*(MAX($D$16,(D100)-(J33))))*(MAX($D$16,(D100)-(J33))),0.000001))^2)/(2*$I$5))),$D$8*((((ABS(H100)/MAX(((F33)+(H33)*(MAX($D$16,(D100)-(J33))))*(MAX($D$16,(D100)-(J33))),0.000001))^2)/(2*$I$5))-(((ABS(H100)/MAX(((G33)+(I33)*(MAX($D$16,(L100)-(K33))))*(MAX($D$16,(L100)-(K33))),0.000001))^2)/(2*$I$5)))))+($D$10*(ABS((X33)-(W33))/90)*MAX(((ABS(H100)/MAX(((F33)+(H33)*(MAX($D$16,(D100)-(J33))))*(MAX($D$16,(D100)-(J33))),0.000001))^2)/(2*$I$5),((ABS(H100)/MAX(((G33)+(I33)*(MAX($D$16,(L100)-(K33))))*(MAX($D$16,(L100)-(K33))),0.000001))^2)/(2*$I$5)))+(($D$11*0.00000015*(ABS(G100)/MAX(ABS(F100),0.000001))^2*MAX(((ABS(H100)/MAX(((F33)+(H33)*(MAX($D$16,(D100)-(J33))))*(MAX($D$16,(D100)-(J33))),0.000001))^2)/(2*$I$5),((ABS(H100)/MAX(((G33)+(I33)*(MAX($D$16,(L100)-(K33))))*(MAX($D$16,(L100)-(K33))),0.000001))^2)/(2*$I$5))))-((ABS(H100)/MAX(((F33)+(H33)*(MAX($D$16,(D100)-(J33))))*(MAX($D$16,(D100)-(J33))),0.000001))^2)/(2*$I$5)</f>
        <v>637</v>
      </c>
      <c r="R100">
        <f>D100+((ABS(G100)/MAX(((F32)+(H32)*(MAX($D$16,(D100)-(J32))))*(MAX($D$16,(D100)-(J32))),0.000001))^2)/(2*$I$5)-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G32)+(I32)*(MAX($D$16,(E100)-(K32))))*(MAX($D$16,(E100)-(K32))),0.000001))^2)/(2*$I$5)</f>
        <v>-46378.761762672162</v>
      </c>
      <c r="S100">
        <f>M100+((ABS(I100)/MAX(((G34)+(I34)*(MAX($D$16,(M100)-(K34))))*(MAX($D$16,(M100)-(K34))),0.000001))^2)/(2*$I$5)+((E34)*((((ABS(I100)*$D$6)/(MAX(((F34)+(H34)*(MAX($D$16,(E100)-(J34))))*(MAX($D$16,(E100)-(J34))),0.000001)*MAX(((((F34)+(H34)*(MAX($D$16,(E100)-(J34))))*(MAX($D$16,(E100)-(J34))))/MAX((F34)+2*(MAX($D$16,(E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E100)-(J34))))*(MAX($D$16,(E100)-(J34))),0.000001)),$D$9*((((ABS(I100)/MAX(((G34)+(I34)*(MAX($D$16,(M100)-(K34))))*(MAX($D$16,(M100)-(K34))),0.000001))^2)/(2*$I$5))-(((ABS(I100)/MAX(((F34)+(H34)*(MAX($D$16,(E100)-(J34))))*(MAX($D$16,(E100)-(J34))),0.000001))^2)/(2*$I$5))),$D$8*((((ABS(I100)/MAX(((F34)+(H34)*(MAX($D$16,(E100)-(J34))))*(MAX($D$16,(E100)-(J34))),0.000001))^2)/(2*$I$5))-(((ABS(I100)/MAX(((G34)+(I34)*(MAX($D$16,(M100)-(K34))))*(MAX($D$16,(M100)-(K34))),0.000001))^2)/(2*$I$5)))))+($D$10*(ABS((X34)-(W34))/90)*MAX(((ABS(I100)/MAX(((F34)+(H34)*(MAX($D$16,(E100)-(J34))))*(MAX($D$16,(E100)-(J34))),0.000001))^2)/(2*$I$5),((ABS(I100)/MAX(((G34)+(I34)*(MAX($D$16,(M100)-(K34))))*(MAX($D$16,(M100)-(K34))),0.000001))^2)/(2*$I$5)))+(0)-((ABS(I100)/MAX(((F34)+(H34)*(MAX($D$16,(E100)-(J34))))*(MAX($D$16,(E100)-(J34))),0.000001))^2)/(2*$I$5)</f>
        <v>635.5</v>
      </c>
      <c r="T100">
        <f>N100+((ABS(J100)/MAX(((G35)+(I35)*(MAX($D$16,(N100)-(K35))))*(MAX($D$16,(N100)-(K35))),0.000001))^2)/(2*$I$5)+((E35)*((((ABS(J100)*$D$6)/(MAX(((F35)+(H35)*(MAX($D$16,(E100)-(J35))))*(MAX($D$16,(E100)-(J35))),0.000001)*MAX(((((F35)+(H35)*(MAX($D$16,(E100)-(J35))))*(MAX($D$16,(E100)-(J35))))/MAX((F35)+2*(MAX($D$16,(E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E100)-(J35))))*(MAX($D$16,(E100)-(J35))),0.000001)),$D$9*((((ABS(J100)/MAX(((G35)+(I35)*(MAX($D$16,(N100)-(K35))))*(MAX($D$16,(N100)-(K35))),0.000001))^2)/(2*$I$5))-(((ABS(J100)/MAX(((F35)+(H35)*(MAX($D$16,(E100)-(J35))))*(MAX($D$16,(E100)-(J35))),0.000001))^2)/(2*$I$5))),$D$8*((((ABS(J100)/MAX(((F35)+(H35)*(MAX($D$16,(E100)-(J35))))*(MAX($D$16,(E100)-(J35))),0.000001))^2)/(2*$I$5))-(((ABS(J100)/MAX(((G35)+(I35)*(MAX($D$16,(N100)-(K35))))*(MAX($D$16,(N100)-(K35))),0.000001))^2)/(2*$I$5)))))+($D$10*(ABS((X35)-(W35))/90)*MAX(((ABS(J100)/MAX(((F35)+(H35)*(MAX($D$16,(E100)-(J35))))*(MAX($D$16,(E100)-(J35))),0.000001))^2)/(2*$I$5),((ABS(J100)/MAX(((G35)+(I35)*(MAX($D$16,(N100)-(K35))))*(MAX($D$16,(N100)-(K35))),0.000001))^2)/(2*$I$5)))+(($D$11*0.34699541*(ABS(I100)/MAX(ABS(G100),0.000001))^2*MAX(((ABS(J100)/MAX(((F35)+(H35)*(MAX($D$16,(E100)-(J35))))*(MAX($D$16,(E100)-(J35))),0.000001))^2)/(2*$I$5),((ABS(J100)/MAX(((G35)+(I35)*(MAX($D$16,(N100)-(K35))))*(MAX($D$16,(N100)-(K35))),0.000001))^2)/(2*$I$5))))-((ABS(J100)/MAX(((F35)+(H35)*(MAX($D$16,(E100)-(J35))))*(MAX($D$16,(E100)-(J35))),0.000001))^2)/(2*$I$5)</f>
        <v>22382.80587457701</v>
      </c>
      <c r="U100">
        <f>(((((F32)*(MAX($D$16,(D100)-(J32)))^2)/2+(H32)*(MAX($D$16,(D100)-(J32)))^3/3+(ABS(G100)^2)/($I$5*MAX(((F32)+(H32)*(MAX($D$16,(D100)-(J32))))*(MAX($D$16,(D100)-(J32))),0.000001)))*0.72785025)-((((F33)*(MAX($D$16,(D100)-(J33)))^2)/2+(H33)*(MAX($D$16,(D100)-(J33)))^3/3+(ABS(H100)^2)/($I$5*MAX(((F33)+(H33)*(MAX($D$16,(D100)-(J33))))*(MAX($D$16,(D100)-(J33))),0.000001)))*0.99999971))/MAX(((G31)*(MAX($D$16,(D100)-(K31)))^2)/2+(I31)*(MAX($D$16,(D100)-(K31)))^3/3+(ABS(F100)^2)/($I$5*MAX(((G31)+(I31)*(MAX($D$16,(D100)-(K31))))*(MAX($D$16,(D100)-(K31))),0.000001)),0.000001)</f>
        <v>-0.27214945999978923</v>
      </c>
      <c r="V100">
        <f>(((((F34)*(MAX($D$16,(E100)-(J34)))^2)/2+(H34)*(MAX($D$16,(E100)-(J34)))^3/3+(ABS(I100)^2)/($I$5*MAX(((F34)+(H34)*(MAX($D$16,(E100)-(J34))))*(MAX($D$16,(E100)-(J34))),0.000001)))*1)-((((F35)*(MAX($D$16,(E100)-(J35)))^2)/2+(H35)*(MAX($D$16,(E100)-(J35)))^3/3+(ABS(J100)^2)/($I$5*MAX(((F35)+(H35)*(MAX($D$16,(E100)-(J35))))*(MAX($D$16,(E100)-(J35))),0.000001)))*0.30600918))/MAX(((G32)*(MAX($D$16,(E100)-(K32)))^2)/2+(I32)*(MAX($D$16,(E100)-(K32)))^3/3+(ABS(G100)^2)/($I$5*MAX(((G32)+(I32)*(MAX($D$16,(E100)-(K32))))*(MAX($D$16,(E100)-(K32))),0.000001)),0.000001)</f>
        <v>-0.30598462674144999</v>
      </c>
      <c r="W100">
        <f>IF(N6="None",MAX(ABS(O100-D100),ABS(P100-D100)),MAX(ABS(O100-D100),ABS(P100-D100),ABS(Q100-D100)))</f>
        <v>38814.696370090831</v>
      </c>
      <c r="X100">
        <f>IF(AND(N7="None",N8="None"),ABS(R100-E100),IF(N8="None",MAX(ABS(R100-E100),ABS(S100-E100)),IF(N7="None",MAX(ABS(R100-E100),ABS(T100-E100)),MAX(ABS(R100-E100),ABS(S100-E100),ABS(T100-E100)))))</f>
        <v>38591.929304191894</v>
      </c>
      <c r="AA100">
        <f>D100+$D$13*(IF(N6="None",AVERAGE(O100:P100),AVERAGE(O100:Q100))-D100)</f>
        <v>39452.326674822958</v>
      </c>
      <c r="AB100">
        <f>E100+$D$13*(IF(AND(N7="None",N8="None"),R100,IF(N8="None",AVERAGE(R100:S100),IF(N7="None",AVERAGE(R100,T100),AVERAGE(R100:T100))))-E100)</f>
        <v>-7786.8276182899426</v>
      </c>
    </row>
    <row r="101" spans="1:28" x14ac:dyDescent="0.35">
      <c r="A101">
        <v>58</v>
      </c>
      <c r="B101">
        <f t="shared" si="8"/>
        <v>0</v>
      </c>
      <c r="C101">
        <f t="shared" si="9"/>
        <v>0</v>
      </c>
      <c r="D101">
        <f t="shared" si="10"/>
        <v>39452.326674822958</v>
      </c>
      <c r="E101">
        <f t="shared" si="11"/>
        <v>-7786.8276182899426</v>
      </c>
      <c r="F101">
        <f t="shared" si="7"/>
        <v>51</v>
      </c>
      <c r="G101">
        <f>IF(N6="None",F101,MAX(0,F101*B101))</f>
        <v>51</v>
      </c>
      <c r="H101">
        <f>IF(N6="None",0,MAX(0,F101-G101))</f>
        <v>0</v>
      </c>
      <c r="I101">
        <f>IF(AND(N7="None",N8="None"),0,IF(N8="None",G101,IF(N7="None",0,MAX(0,G101*C101))))</f>
        <v>0</v>
      </c>
      <c r="J101">
        <f>IF(AND(N7="None",N8="None"),0,IF(N8="None",0,IF(N7="None",G101,MAX(0,G101-I101))))</f>
        <v>51</v>
      </c>
      <c r="K101">
        <f>P5</f>
        <v>637</v>
      </c>
      <c r="L101">
        <f>P6</f>
        <v>637</v>
      </c>
      <c r="M101">
        <f>P7</f>
        <v>635.5</v>
      </c>
      <c r="N101">
        <f>P8</f>
        <v>631.54999999999995</v>
      </c>
      <c r="O101">
        <f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D101)-(K31))))*(MAX($D$16,(D101)-(K31))),0.000001)*MAX(((((G31)+(I31)*(MAX($D$16,(D101)-(K31))))*(MAX($D$16,(D101)-(K31))))/MAX((G31)+2*(MAX($D$16,(D101)-(K31)))*SQRT(1+(I31)^2),0.000001))^(2/3),0.000001)))^2))/2)+(IF((ABS(F101)/MAX(((G31)+(I31)*(MAX($D$16,(D101)-(K31))))*(MAX($D$16,(D101)-(K31))),0.000001))&gt;(ABS(F101)/MAX(((F31)+(H31)*(MAX($D$16,(K101)-(J31))))*(MAX($D$16,(K101)-(J31))),0.000001)),$D$9*((((ABS(F101)/MAX(((G31)+(I31)*(MAX($D$16,(D101)-(K31))))*(MAX($D$16,(D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D101)-(K31))))*(MAX($D$16,(D101)-(K31))),0.000001))^2)/(2*$I$5)))))+($D$10*(ABS((X31)-(W31))/90)*MAX(((ABS(F101)/MAX(((F31)+(H31)*(MAX($D$16,(K101)-(J31))))*(MAX($D$16,(K101)-(J31))),0.000001))^2)/(2*$I$5),((ABS(F101)/MAX(((G31)+(I31)*(MAX($D$16,(D101)-(K31))))*(MAX($D$16,(D101)-(K31))),0.000001))^2)/(2*$I$5)))+(0)-((ABS(F101)/MAX(((G31)+(I31)*(MAX($D$16,(D101)-(K31))))*(MAX($D$16,(D101)-(K31))),0.000001))^2)/(2*$I$5)</f>
        <v>637.65825100972802</v>
      </c>
      <c r="P101">
        <f>E101+((ABS(G101)/MAX(((G32)+(I32)*(MAX($D$16,(E101)-(K32))))*(MAX($D$16,(E101)-(K32))),0.000001))^2)/(2*$I$5)+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F32)+(H32)*(MAX($D$16,(D101)-(J32))))*(MAX($D$16,(D101)-(J32))),0.000001))^2)/(2*$I$5)</f>
        <v>78267.021957105841</v>
      </c>
      <c r="Q101">
        <f>L101+((ABS(H101)/MAX(((G33)+(I33)*(MAX($D$16,(L101)-(K33))))*(MAX($D$16,(L101)-(K33))),0.000001))^2)/(2*$I$5)+((E33)*((((ABS(H101)*$D$6)/(MAX(((F33)+(H33)*(MAX($D$16,(D101)-(J33))))*(MAX($D$16,(D101)-(J33))),0.000001)*MAX(((((F33)+(H33)*(MAX($D$16,(D101)-(J33))))*(MAX($D$16,(D101)-(J33))))/MAX((F33)+2*(MAX($D$16,(D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D101)-(J33))))*(MAX($D$16,(D101)-(J33))),0.000001)),$D$9*((((ABS(H101)/MAX(((G33)+(I33)*(MAX($D$16,(L101)-(K33))))*(MAX($D$16,(L101)-(K33))),0.000001))^2)/(2*$I$5))-(((ABS(H101)/MAX(((F33)+(H33)*(MAX($D$16,(D101)-(J33))))*(MAX($D$16,(D101)-(J33))),0.000001))^2)/(2*$I$5))),$D$8*((((ABS(H101)/MAX(((F33)+(H33)*(MAX($D$16,(D101)-(J33))))*(MAX($D$16,(D101)-(J33))),0.000001))^2)/(2*$I$5))-(((ABS(H101)/MAX(((G33)+(I33)*(MAX($D$16,(L101)-(K33))))*(MAX($D$16,(L101)-(K33))),0.000001))^2)/(2*$I$5)))))+($D$10*(ABS((X33)-(W33))/90)*MAX(((ABS(H101)/MAX(((F33)+(H33)*(MAX($D$16,(D101)-(J33))))*(MAX($D$16,(D101)-(J33))),0.000001))^2)/(2*$I$5),((ABS(H101)/MAX(((G33)+(I33)*(MAX($D$16,(L101)-(K33))))*(MAX($D$16,(L101)-(K33))),0.000001))^2)/(2*$I$5)))+(($D$11*0.00000015*(ABS(G101)/MAX(ABS(F101),0.000001))^2*MAX(((ABS(H101)/MAX(((F33)+(H33)*(MAX($D$16,(D101)-(J33))))*(MAX($D$16,(D101)-(J33))),0.000001))^2)/(2*$I$5),((ABS(H101)/MAX(((G33)+(I33)*(MAX($D$16,(L101)-(K33))))*(MAX($D$16,(L101)-(K33))),0.000001))^2)/(2*$I$5))))-((ABS(H101)/MAX(((F33)+(H33)*(MAX($D$16,(D101)-(J33))))*(MAX($D$16,(D101)-(J33))),0.000001))^2)/(2*$I$5)</f>
        <v>637</v>
      </c>
      <c r="R101">
        <f>D101+((ABS(G101)/MAX(((F32)+(H32)*(MAX($D$16,(D101)-(J32))))*(MAX($D$16,(D101)-(J32))),0.000001))^2)/(2*$I$5)-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G32)+(I32)*(MAX($D$16,(E101)-(K32))))*(MAX($D$16,(E101)-(K32))),0.000001))^2)/(2*$I$5)</f>
        <v>-46378.755834673881</v>
      </c>
      <c r="S101">
        <f>M101+((ABS(I101)/MAX(((G34)+(I34)*(MAX($D$16,(M101)-(K34))))*(MAX($D$16,(M101)-(K34))),0.000001))^2)/(2*$I$5)+((E34)*((((ABS(I101)*$D$6)/(MAX(((F34)+(H34)*(MAX($D$16,(E101)-(J34))))*(MAX($D$16,(E101)-(J34))),0.000001)*MAX(((((F34)+(H34)*(MAX($D$16,(E101)-(J34))))*(MAX($D$16,(E101)-(J34))))/MAX((F34)+2*(MAX($D$16,(E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E101)-(J34))))*(MAX($D$16,(E101)-(J34))),0.000001)),$D$9*((((ABS(I101)/MAX(((G34)+(I34)*(MAX($D$16,(M101)-(K34))))*(MAX($D$16,(M101)-(K34))),0.000001))^2)/(2*$I$5))-(((ABS(I101)/MAX(((F34)+(H34)*(MAX($D$16,(E101)-(J34))))*(MAX($D$16,(E101)-(J34))),0.000001))^2)/(2*$I$5))),$D$8*((((ABS(I101)/MAX(((F34)+(H34)*(MAX($D$16,(E101)-(J34))))*(MAX($D$16,(E101)-(J34))),0.000001))^2)/(2*$I$5))-(((ABS(I101)/MAX(((G34)+(I34)*(MAX($D$16,(M101)-(K34))))*(MAX($D$16,(M101)-(K34))),0.000001))^2)/(2*$I$5)))))+($D$10*(ABS((X34)-(W34))/90)*MAX(((ABS(I101)/MAX(((F34)+(H34)*(MAX($D$16,(E101)-(J34))))*(MAX($D$16,(E101)-(J34))),0.000001))^2)/(2*$I$5),((ABS(I101)/MAX(((G34)+(I34)*(MAX($D$16,(M101)-(K34))))*(MAX($D$16,(M101)-(K34))),0.000001))^2)/(2*$I$5)))+(0)-((ABS(I101)/MAX(((F34)+(H34)*(MAX($D$16,(E101)-(J34))))*(MAX($D$16,(E101)-(J34))),0.000001))^2)/(2*$I$5)</f>
        <v>635.5</v>
      </c>
      <c r="T101">
        <f>N101+((ABS(J101)/MAX(((G35)+(I35)*(MAX($D$16,(N101)-(K35))))*(MAX($D$16,(N101)-(K35))),0.000001))^2)/(2*$I$5)+((E35)*((((ABS(J101)*$D$6)/(MAX(((F35)+(H35)*(MAX($D$16,(E101)-(J35))))*(MAX($D$16,(E101)-(J35))),0.000001)*MAX(((((F35)+(H35)*(MAX($D$16,(E101)-(J35))))*(MAX($D$16,(E101)-(J35))))/MAX((F35)+2*(MAX($D$16,(E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E101)-(J35))))*(MAX($D$16,(E101)-(J35))),0.000001)),$D$9*((((ABS(J101)/MAX(((G35)+(I35)*(MAX($D$16,(N101)-(K35))))*(MAX($D$16,(N101)-(K35))),0.000001))^2)/(2*$I$5))-(((ABS(J101)/MAX(((F35)+(H35)*(MAX($D$16,(E101)-(J35))))*(MAX($D$16,(E101)-(J35))),0.000001))^2)/(2*$I$5))),$D$8*((((ABS(J101)/MAX(((F35)+(H35)*(MAX($D$16,(E101)-(J35))))*(MAX($D$16,(E101)-(J35))),0.000001))^2)/(2*$I$5))-(((ABS(J101)/MAX(((G35)+(I35)*(MAX($D$16,(N101)-(K35))))*(MAX($D$16,(N101)-(K35))),0.000001))^2)/(2*$I$5)))))+($D$10*(ABS((X35)-(W35))/90)*MAX(((ABS(J101)/MAX(((F35)+(H35)*(MAX($D$16,(E101)-(J35))))*(MAX($D$16,(E101)-(J35))),0.000001))^2)/(2*$I$5),((ABS(J101)/MAX(((G35)+(I35)*(MAX($D$16,(N101)-(K35))))*(MAX($D$16,(N101)-(K35))),0.000001))^2)/(2*$I$5)))+(($D$11*0.34699541*(ABS(I101)/MAX(ABS(G101),0.000001))^2*MAX(((ABS(J101)/MAX(((F35)+(H35)*(MAX($D$16,(E101)-(J35))))*(MAX($D$16,(E101)-(J35))),0.000001))^2)/(2*$I$5),((ABS(J101)/MAX(((G35)+(I35)*(MAX($D$16,(N101)-(K35))))*(MAX($D$16,(N101)-(K35))),0.000001))^2)/(2*$I$5))))-((ABS(J101)/MAX(((F35)+(H35)*(MAX($D$16,(E101)-(J35))))*(MAX($D$16,(E101)-(J35))),0.000001))^2)/(2*$I$5)</f>
        <v>22382.80587457701</v>
      </c>
      <c r="U101">
        <f>(((((F32)*(MAX($D$16,(D101)-(J32)))^2)/2+(H32)*(MAX($D$16,(D101)-(J32)))^3/3+(ABS(G101)^2)/($I$5*MAX(((F32)+(H32)*(MAX($D$16,(D101)-(J32))))*(MAX($D$16,(D101)-(J32))),0.000001)))*0.72785025)-((((F33)*(MAX($D$16,(D101)-(J33)))^2)/2+(H33)*(MAX($D$16,(D101)-(J33)))^3/3+(ABS(H101)^2)/($I$5*MAX(((F33)+(H33)*(MAX($D$16,(D101)-(J33))))*(MAX($D$16,(D101)-(J33))),0.000001)))*0.99999971))/MAX(((G31)*(MAX($D$16,(D101)-(K31)))^2)/2+(I31)*(MAX($D$16,(D101)-(K31)))^3/3+(ABS(F101)^2)/($I$5*MAX(((G31)+(I31)*(MAX($D$16,(D101)-(K31))))*(MAX($D$16,(D101)-(K31))),0.000001)),0.000001)</f>
        <v>-0.27214945999978923</v>
      </c>
      <c r="V101">
        <f>(((((F34)*(MAX($D$16,(E101)-(J34)))^2)/2+(H34)*(MAX($D$16,(E101)-(J34)))^3/3+(ABS(I101)^2)/($I$5*MAX(((F34)+(H34)*(MAX($D$16,(E101)-(J34))))*(MAX($D$16,(E101)-(J34))),0.000001)))*1)-((((F35)*(MAX($D$16,(E101)-(J35)))^2)/2+(H35)*(MAX($D$16,(E101)-(J35)))^3/3+(ABS(J101)^2)/($I$5*MAX(((F35)+(H35)*(MAX($D$16,(E101)-(J35))))*(MAX($D$16,(E101)-(J35))),0.000001)))*0.30600918))/MAX(((G32)*(MAX($D$16,(E101)-(K32)))^2)/2+(I32)*(MAX($D$16,(E101)-(K32)))^3/3+(ABS(G101)^2)/($I$5*MAX(((G32)+(I32)*(MAX($D$16,(E101)-(K32))))*(MAX($D$16,(E101)-(K32))),0.000001)),0.000001)</f>
        <v>-0.30598462674144999</v>
      </c>
      <c r="W101">
        <f>IF(N6="None",MAX(ABS(O101-D101),ABS(P101-D101)),MAX(ABS(O101-D101),ABS(P101-D101),ABS(Q101-D101)))</f>
        <v>38814.695282282883</v>
      </c>
      <c r="X101">
        <f>IF(AND(N7="None",N8="None"),ABS(R101-E101),IF(N8="None",MAX(ABS(R101-E101),ABS(S101-E101)),IF(N7="None",MAX(ABS(R101-E101),ABS(T101-E101)),MAX(ABS(R101-E101),ABS(S101-E101),ABS(T101-E101)))))</f>
        <v>38591.928216383938</v>
      </c>
      <c r="AA101">
        <f>D101+$D$13*(IF(N6="None",AVERAGE(O101:P101),AVERAGE(O101:Q101))-D101)</f>
        <v>39452.331375055146</v>
      </c>
      <c r="AB101">
        <f>E101+$D$13*(IF(AND(N7="None",N8="None"),R101,IF(N8="None",AVERAGE(R101:S101),IF(N7="None",AVERAGE(R101,T101),AVERAGE(R101:T101))))-E101)</f>
        <v>-7786.8237805664312</v>
      </c>
    </row>
    <row r="102" spans="1:28" x14ac:dyDescent="0.35">
      <c r="A102">
        <v>59</v>
      </c>
      <c r="B102">
        <f t="shared" si="8"/>
        <v>0</v>
      </c>
      <c r="C102">
        <f t="shared" si="9"/>
        <v>0</v>
      </c>
      <c r="D102">
        <f t="shared" si="10"/>
        <v>39452.331375055146</v>
      </c>
      <c r="E102">
        <f t="shared" si="11"/>
        <v>-7786.8237805664312</v>
      </c>
      <c r="F102">
        <f t="shared" si="7"/>
        <v>51</v>
      </c>
      <c r="G102">
        <f>IF(N6="None",F102,MAX(0,F102*B102))</f>
        <v>51</v>
      </c>
      <c r="H102">
        <f>IF(N6="None",0,MAX(0,F102-G102))</f>
        <v>0</v>
      </c>
      <c r="I102">
        <f>IF(AND(N7="None",N8="None"),0,IF(N8="None",G102,IF(N7="None",0,MAX(0,G102*C102))))</f>
        <v>0</v>
      </c>
      <c r="J102">
        <f>IF(AND(N7="None",N8="None"),0,IF(N8="None",0,IF(N7="None",G102,MAX(0,G102-I102))))</f>
        <v>51</v>
      </c>
      <c r="K102">
        <f>P5</f>
        <v>637</v>
      </c>
      <c r="L102">
        <f>P6</f>
        <v>637</v>
      </c>
      <c r="M102">
        <f>P7</f>
        <v>635.5</v>
      </c>
      <c r="N102">
        <f>P8</f>
        <v>631.54999999999995</v>
      </c>
      <c r="O102">
        <f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D102)-(K31))))*(MAX($D$16,(D102)-(K31))),0.000001)*MAX(((((G31)+(I31)*(MAX($D$16,(D102)-(K31))))*(MAX($D$16,(D102)-(K31))))/MAX((G31)+2*(MAX($D$16,(D102)-(K31)))*SQRT(1+(I31)^2),0.000001))^(2/3),0.000001)))^2))/2)+(IF((ABS(F102)/MAX(((G31)+(I31)*(MAX($D$16,(D102)-(K31))))*(MAX($D$16,(D102)-(K31))),0.000001))&gt;(ABS(F102)/MAX(((F31)+(H31)*(MAX($D$16,(K102)-(J31))))*(MAX($D$16,(K102)-(J31))),0.000001)),$D$9*((((ABS(F102)/MAX(((G31)+(I31)*(MAX($D$16,(D102)-(K31))))*(MAX($D$16,(D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D102)-(K31))))*(MAX($D$16,(D102)-(K31))),0.000001))^2)/(2*$I$5)))))+($D$10*(ABS((X31)-(W31))/90)*MAX(((ABS(F102)/MAX(((F31)+(H31)*(MAX($D$16,(K102)-(J31))))*(MAX($D$16,(K102)-(J31))),0.000001))^2)/(2*$I$5),((ABS(F102)/MAX(((G31)+(I31)*(MAX($D$16,(D102)-(K31))))*(MAX($D$16,(D102)-(K31))),0.000001))^2)/(2*$I$5)))+(0)-((ABS(F102)/MAX(((G31)+(I31)*(MAX($D$16,(D102)-(K31))))*(MAX($D$16,(D102)-(K31))),0.000001))^2)/(2*$I$5)</f>
        <v>637.65825100972802</v>
      </c>
      <c r="P102">
        <f>E102+((ABS(G102)/MAX(((G32)+(I32)*(MAX($D$16,(E102)-(K32))))*(MAX($D$16,(E102)-(K32))),0.000001))^2)/(2*$I$5)+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F32)+(H32)*(MAX($D$16,(D102)-(J32))))*(MAX($D$16,(D102)-(J32))),0.000001))^2)/(2*$I$5)</f>
        <v>78267.025794829344</v>
      </c>
      <c r="Q102">
        <f>L102+((ABS(H102)/MAX(((G33)+(I33)*(MAX($D$16,(L102)-(K33))))*(MAX($D$16,(L102)-(K33))),0.000001))^2)/(2*$I$5)+((E33)*((((ABS(H102)*$D$6)/(MAX(((F33)+(H33)*(MAX($D$16,(D102)-(J33))))*(MAX($D$16,(D102)-(J33))),0.000001)*MAX(((((F33)+(H33)*(MAX($D$16,(D102)-(J33))))*(MAX($D$16,(D102)-(J33))))/MAX((F33)+2*(MAX($D$16,(D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D102)-(J33))))*(MAX($D$16,(D102)-(J33))),0.000001)),$D$9*((((ABS(H102)/MAX(((G33)+(I33)*(MAX($D$16,(L102)-(K33))))*(MAX($D$16,(L102)-(K33))),0.000001))^2)/(2*$I$5))-(((ABS(H102)/MAX(((F33)+(H33)*(MAX($D$16,(D102)-(J33))))*(MAX($D$16,(D102)-(J33))),0.000001))^2)/(2*$I$5))),$D$8*((((ABS(H102)/MAX(((F33)+(H33)*(MAX($D$16,(D102)-(J33))))*(MAX($D$16,(D102)-(J33))),0.000001))^2)/(2*$I$5))-(((ABS(H102)/MAX(((G33)+(I33)*(MAX($D$16,(L102)-(K33))))*(MAX($D$16,(L102)-(K33))),0.000001))^2)/(2*$I$5)))))+($D$10*(ABS((X33)-(W33))/90)*MAX(((ABS(H102)/MAX(((F33)+(H33)*(MAX($D$16,(D102)-(J33))))*(MAX($D$16,(D102)-(J33))),0.000001))^2)/(2*$I$5),((ABS(H102)/MAX(((G33)+(I33)*(MAX($D$16,(L102)-(K33))))*(MAX($D$16,(L102)-(K33))),0.000001))^2)/(2*$I$5)))+(($D$11*0.00000015*(ABS(G102)/MAX(ABS(F102),0.000001))^2*MAX(((ABS(H102)/MAX(((F33)+(H33)*(MAX($D$16,(D102)-(J33))))*(MAX($D$16,(D102)-(J33))),0.000001))^2)/(2*$I$5),((ABS(H102)/MAX(((G33)+(I33)*(MAX($D$16,(L102)-(K33))))*(MAX($D$16,(L102)-(K33))),0.000001))^2)/(2*$I$5))))-((ABS(H102)/MAX(((F33)+(H33)*(MAX($D$16,(D102)-(J33))))*(MAX($D$16,(D102)-(J33))),0.000001))^2)/(2*$I$5)</f>
        <v>637</v>
      </c>
      <c r="R102">
        <f>D102+((ABS(G102)/MAX(((F32)+(H32)*(MAX($D$16,(D102)-(J32))))*(MAX($D$16,(D102)-(J32))),0.000001))^2)/(2*$I$5)-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G32)+(I32)*(MAX($D$16,(E102)-(K32))))*(MAX($D$16,(E102)-(K32))),0.000001))^2)/(2*$I$5)</f>
        <v>-46378.751134441693</v>
      </c>
      <c r="S102">
        <f>M102+((ABS(I102)/MAX(((G34)+(I34)*(MAX($D$16,(M102)-(K34))))*(MAX($D$16,(M102)-(K34))),0.000001))^2)/(2*$I$5)+((E34)*((((ABS(I102)*$D$6)/(MAX(((F34)+(H34)*(MAX($D$16,(E102)-(J34))))*(MAX($D$16,(E102)-(J34))),0.000001)*MAX(((((F34)+(H34)*(MAX($D$16,(E102)-(J34))))*(MAX($D$16,(E102)-(J34))))/MAX((F34)+2*(MAX($D$16,(E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E102)-(J34))))*(MAX($D$16,(E102)-(J34))),0.000001)),$D$9*((((ABS(I102)/MAX(((G34)+(I34)*(MAX($D$16,(M102)-(K34))))*(MAX($D$16,(M102)-(K34))),0.000001))^2)/(2*$I$5))-(((ABS(I102)/MAX(((F34)+(H34)*(MAX($D$16,(E102)-(J34))))*(MAX($D$16,(E102)-(J34))),0.000001))^2)/(2*$I$5))),$D$8*((((ABS(I102)/MAX(((F34)+(H34)*(MAX($D$16,(E102)-(J34))))*(MAX($D$16,(E102)-(J34))),0.000001))^2)/(2*$I$5))-(((ABS(I102)/MAX(((G34)+(I34)*(MAX($D$16,(M102)-(K34))))*(MAX($D$16,(M102)-(K34))),0.000001))^2)/(2*$I$5)))))+($D$10*(ABS((X34)-(W34))/90)*MAX(((ABS(I102)/MAX(((F34)+(H34)*(MAX($D$16,(E102)-(J34))))*(MAX($D$16,(E102)-(J34))),0.000001))^2)/(2*$I$5),((ABS(I102)/MAX(((G34)+(I34)*(MAX($D$16,(M102)-(K34))))*(MAX($D$16,(M102)-(K34))),0.000001))^2)/(2*$I$5)))+(0)-((ABS(I102)/MAX(((F34)+(H34)*(MAX($D$16,(E102)-(J34))))*(MAX($D$16,(E102)-(J34))),0.000001))^2)/(2*$I$5)</f>
        <v>635.5</v>
      </c>
      <c r="T102">
        <f>N102+((ABS(J102)/MAX(((G35)+(I35)*(MAX($D$16,(N102)-(K35))))*(MAX($D$16,(N102)-(K35))),0.000001))^2)/(2*$I$5)+((E35)*((((ABS(J102)*$D$6)/(MAX(((F35)+(H35)*(MAX($D$16,(E102)-(J35))))*(MAX($D$16,(E102)-(J35))),0.000001)*MAX(((((F35)+(H35)*(MAX($D$16,(E102)-(J35))))*(MAX($D$16,(E102)-(J35))))/MAX((F35)+2*(MAX($D$16,(E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E102)-(J35))))*(MAX($D$16,(E102)-(J35))),0.000001)),$D$9*((((ABS(J102)/MAX(((G35)+(I35)*(MAX($D$16,(N102)-(K35))))*(MAX($D$16,(N102)-(K35))),0.000001))^2)/(2*$I$5))-(((ABS(J102)/MAX(((F35)+(H35)*(MAX($D$16,(E102)-(J35))))*(MAX($D$16,(E102)-(J35))),0.000001))^2)/(2*$I$5))),$D$8*((((ABS(J102)/MAX(((F35)+(H35)*(MAX($D$16,(E102)-(J35))))*(MAX($D$16,(E102)-(J35))),0.000001))^2)/(2*$I$5))-(((ABS(J102)/MAX(((G35)+(I35)*(MAX($D$16,(N102)-(K35))))*(MAX($D$16,(N102)-(K35))),0.000001))^2)/(2*$I$5)))))+($D$10*(ABS((X35)-(W35))/90)*MAX(((ABS(J102)/MAX(((F35)+(H35)*(MAX($D$16,(E102)-(J35))))*(MAX($D$16,(E102)-(J35))),0.000001))^2)/(2*$I$5),((ABS(J102)/MAX(((G35)+(I35)*(MAX($D$16,(N102)-(K35))))*(MAX($D$16,(N102)-(K35))),0.000001))^2)/(2*$I$5)))+(($D$11*0.34699541*(ABS(I102)/MAX(ABS(G102),0.000001))^2*MAX(((ABS(J102)/MAX(((F35)+(H35)*(MAX($D$16,(E102)-(J35))))*(MAX($D$16,(E102)-(J35))),0.000001))^2)/(2*$I$5),((ABS(J102)/MAX(((G35)+(I35)*(MAX($D$16,(N102)-(K35))))*(MAX($D$16,(N102)-(K35))),0.000001))^2)/(2*$I$5))))-((ABS(J102)/MAX(((F35)+(H35)*(MAX($D$16,(E102)-(J35))))*(MAX($D$16,(E102)-(J35))),0.000001))^2)/(2*$I$5)</f>
        <v>22382.80587457701</v>
      </c>
      <c r="U102">
        <f>(((((F32)*(MAX($D$16,(D102)-(J32)))^2)/2+(H32)*(MAX($D$16,(D102)-(J32)))^3/3+(ABS(G102)^2)/($I$5*MAX(((F32)+(H32)*(MAX($D$16,(D102)-(J32))))*(MAX($D$16,(D102)-(J32))),0.000001)))*0.72785025)-((((F33)*(MAX($D$16,(D102)-(J33)))^2)/2+(H33)*(MAX($D$16,(D102)-(J33)))^3/3+(ABS(H102)^2)/($I$5*MAX(((F33)+(H33)*(MAX($D$16,(D102)-(J33))))*(MAX($D$16,(D102)-(J33))),0.000001)))*0.99999971))/MAX(((G31)*(MAX($D$16,(D102)-(K31)))^2)/2+(I31)*(MAX($D$16,(D102)-(K31)))^3/3+(ABS(F102)^2)/($I$5*MAX(((G31)+(I31)*(MAX($D$16,(D102)-(K31))))*(MAX($D$16,(D102)-(K31))),0.000001)),0.000001)</f>
        <v>-0.27214945999978918</v>
      </c>
      <c r="V102">
        <f>(((((F34)*(MAX($D$16,(E102)-(J34)))^2)/2+(H34)*(MAX($D$16,(E102)-(J34)))^3/3+(ABS(I102)^2)/($I$5*MAX(((F34)+(H34)*(MAX($D$16,(E102)-(J34))))*(MAX($D$16,(E102)-(J34))),0.000001)))*1)-((((F35)*(MAX($D$16,(E102)-(J35)))^2)/2+(H35)*(MAX($D$16,(E102)-(J35)))^3/3+(ABS(J102)^2)/($I$5*MAX(((F35)+(H35)*(MAX($D$16,(E102)-(J35))))*(MAX($D$16,(E102)-(J35))),0.000001)))*0.30600918))/MAX(((G32)*(MAX($D$16,(E102)-(K32)))^2)/2+(I32)*(MAX($D$16,(E102)-(K32)))^3/3+(ABS(G102)^2)/($I$5*MAX(((G32)+(I32)*(MAX($D$16,(E102)-(K32))))*(MAX($D$16,(E102)-(K32))),0.000001)),0.000001)</f>
        <v>-0.30598462674144999</v>
      </c>
      <c r="W102">
        <f>IF(N6="None",MAX(ABS(O102-D102),ABS(P102-D102)),MAX(ABS(O102-D102),ABS(P102-D102),ABS(Q102-D102)))</f>
        <v>38814.694419774198</v>
      </c>
      <c r="X102">
        <f>IF(AND(N7="None",N8="None"),ABS(R102-E102),IF(N8="None",MAX(ABS(R102-E102),ABS(S102-E102)),IF(N7="None",MAX(ABS(R102-E102),ABS(T102-E102)),MAX(ABS(R102-E102),ABS(S102-E102),ABS(T102-E102)))))</f>
        <v>38591.92735387526</v>
      </c>
      <c r="AA102">
        <f>D102+$D$13*(IF(N6="None",AVERAGE(O102:P102),AVERAGE(O102:Q102))-D102)</f>
        <v>39452.335101807679</v>
      </c>
      <c r="AB102">
        <f>E102+$D$13*(IF(AND(N7="None",N8="None"),R102,IF(N8="None",AVERAGE(R102:S102),IF(N7="None",AVERAGE(R102,T102),AVERAGE(R102:T102))))-E102)</f>
        <v>-7786.8207376857263</v>
      </c>
    </row>
    <row r="103" spans="1:28" x14ac:dyDescent="0.35">
      <c r="A103">
        <v>60</v>
      </c>
      <c r="B103">
        <f t="shared" si="8"/>
        <v>0</v>
      </c>
      <c r="C103">
        <f t="shared" si="9"/>
        <v>0</v>
      </c>
      <c r="D103">
        <f t="shared" si="10"/>
        <v>39452.335101807679</v>
      </c>
      <c r="E103">
        <f t="shared" si="11"/>
        <v>-7786.8207376857263</v>
      </c>
      <c r="F103">
        <f t="shared" si="7"/>
        <v>51</v>
      </c>
      <c r="G103">
        <f>IF(N6="None",F103,MAX(0,F103*B103))</f>
        <v>51</v>
      </c>
      <c r="H103">
        <f>IF(N6="None",0,MAX(0,F103-G103))</f>
        <v>0</v>
      </c>
      <c r="I103">
        <f>IF(AND(N7="None",N8="None"),0,IF(N8="None",G103,IF(N7="None",0,MAX(0,G103*C103))))</f>
        <v>0</v>
      </c>
      <c r="J103">
        <f>IF(AND(N7="None",N8="None"),0,IF(N8="None",0,IF(N7="None",G103,MAX(0,G103-I103))))</f>
        <v>51</v>
      </c>
      <c r="K103">
        <f>P5</f>
        <v>637</v>
      </c>
      <c r="L103">
        <f>P6</f>
        <v>637</v>
      </c>
      <c r="M103">
        <f>P7</f>
        <v>635.5</v>
      </c>
      <c r="N103">
        <f>P8</f>
        <v>631.54999999999995</v>
      </c>
      <c r="O103">
        <f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D103)-(K31))))*(MAX($D$16,(D103)-(K31))),0.000001)*MAX(((((G31)+(I31)*(MAX($D$16,(D103)-(K31))))*(MAX($D$16,(D103)-(K31))))/MAX((G31)+2*(MAX($D$16,(D103)-(K31)))*SQRT(1+(I31)^2),0.000001))^(2/3),0.000001)))^2))/2)+(IF((ABS(F103)/MAX(((G31)+(I31)*(MAX($D$16,(D103)-(K31))))*(MAX($D$16,(D103)-(K31))),0.000001))&gt;(ABS(F103)/MAX(((F31)+(H31)*(MAX($D$16,(K103)-(J31))))*(MAX($D$16,(K103)-(J31))),0.000001)),$D$9*((((ABS(F103)/MAX(((G31)+(I31)*(MAX($D$16,(D103)-(K31))))*(MAX($D$16,(D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D103)-(K31))))*(MAX($D$16,(D103)-(K31))),0.000001))^2)/(2*$I$5)))))+($D$10*(ABS((X31)-(W31))/90)*MAX(((ABS(F103)/MAX(((F31)+(H31)*(MAX($D$16,(K103)-(J31))))*(MAX($D$16,(K103)-(J31))),0.000001))^2)/(2*$I$5),((ABS(F103)/MAX(((G31)+(I31)*(MAX($D$16,(D103)-(K31))))*(MAX($D$16,(D103)-(K31))),0.000001))^2)/(2*$I$5)))+(0)-((ABS(F103)/MAX(((G31)+(I31)*(MAX($D$16,(D103)-(K31))))*(MAX($D$16,(D103)-(K31))),0.000001))^2)/(2*$I$5)</f>
        <v>637.65825100972802</v>
      </c>
      <c r="P103">
        <f>E103+((ABS(G103)/MAX(((G32)+(I32)*(MAX($D$16,(E103)-(K32))))*(MAX($D$16,(E103)-(K32))),0.000001))^2)/(2*$I$5)+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F32)+(H32)*(MAX($D$16,(D103)-(J32))))*(MAX($D$16,(D103)-(J32))),0.000001))^2)/(2*$I$5)</f>
        <v>78267.028837710051</v>
      </c>
      <c r="Q103">
        <f>L103+((ABS(H103)/MAX(((G33)+(I33)*(MAX($D$16,(L103)-(K33))))*(MAX($D$16,(L103)-(K33))),0.000001))^2)/(2*$I$5)+((E33)*((((ABS(H103)*$D$6)/(MAX(((F33)+(H33)*(MAX($D$16,(D103)-(J33))))*(MAX($D$16,(D103)-(J33))),0.000001)*MAX(((((F33)+(H33)*(MAX($D$16,(D103)-(J33))))*(MAX($D$16,(D103)-(J33))))/MAX((F33)+2*(MAX($D$16,(D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D103)-(J33))))*(MAX($D$16,(D103)-(J33))),0.000001)),$D$9*((((ABS(H103)/MAX(((G33)+(I33)*(MAX($D$16,(L103)-(K33))))*(MAX($D$16,(L103)-(K33))),0.000001))^2)/(2*$I$5))-(((ABS(H103)/MAX(((F33)+(H33)*(MAX($D$16,(D103)-(J33))))*(MAX($D$16,(D103)-(J33))),0.000001))^2)/(2*$I$5))),$D$8*((((ABS(H103)/MAX(((F33)+(H33)*(MAX($D$16,(D103)-(J33))))*(MAX($D$16,(D103)-(J33))),0.000001))^2)/(2*$I$5))-(((ABS(H103)/MAX(((G33)+(I33)*(MAX($D$16,(L103)-(K33))))*(MAX($D$16,(L103)-(K33))),0.000001))^2)/(2*$I$5)))))+($D$10*(ABS((X33)-(W33))/90)*MAX(((ABS(H103)/MAX(((F33)+(H33)*(MAX($D$16,(D103)-(J33))))*(MAX($D$16,(D103)-(J33))),0.000001))^2)/(2*$I$5),((ABS(H103)/MAX(((G33)+(I33)*(MAX($D$16,(L103)-(K33))))*(MAX($D$16,(L103)-(K33))),0.000001))^2)/(2*$I$5)))+(($D$11*0.00000015*(ABS(G103)/MAX(ABS(F103),0.000001))^2*MAX(((ABS(H103)/MAX(((F33)+(H33)*(MAX($D$16,(D103)-(J33))))*(MAX($D$16,(D103)-(J33))),0.000001))^2)/(2*$I$5),((ABS(H103)/MAX(((G33)+(I33)*(MAX($D$16,(L103)-(K33))))*(MAX($D$16,(L103)-(K33))),0.000001))^2)/(2*$I$5))))-((ABS(H103)/MAX(((F33)+(H33)*(MAX($D$16,(D103)-(J33))))*(MAX($D$16,(D103)-(J33))),0.000001))^2)/(2*$I$5)</f>
        <v>637</v>
      </c>
      <c r="R103">
        <f>D103+((ABS(G103)/MAX(((F32)+(H32)*(MAX($D$16,(D103)-(J32))))*(MAX($D$16,(D103)-(J32))),0.000001))^2)/(2*$I$5)-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G32)+(I32)*(MAX($D$16,(E103)-(K32))))*(MAX($D$16,(E103)-(K32))),0.000001))^2)/(2*$I$5)</f>
        <v>-46378.747407689159</v>
      </c>
      <c r="S103">
        <f>M103+((ABS(I103)/MAX(((G34)+(I34)*(MAX($D$16,(M103)-(K34))))*(MAX($D$16,(M103)-(K34))),0.000001))^2)/(2*$I$5)+((E34)*((((ABS(I103)*$D$6)/(MAX(((F34)+(H34)*(MAX($D$16,(E103)-(J34))))*(MAX($D$16,(E103)-(J34))),0.000001)*MAX(((((F34)+(H34)*(MAX($D$16,(E103)-(J34))))*(MAX($D$16,(E103)-(J34))))/MAX((F34)+2*(MAX($D$16,(E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E103)-(J34))))*(MAX($D$16,(E103)-(J34))),0.000001)),$D$9*((((ABS(I103)/MAX(((G34)+(I34)*(MAX($D$16,(M103)-(K34))))*(MAX($D$16,(M103)-(K34))),0.000001))^2)/(2*$I$5))-(((ABS(I103)/MAX(((F34)+(H34)*(MAX($D$16,(E103)-(J34))))*(MAX($D$16,(E103)-(J34))),0.000001))^2)/(2*$I$5))),$D$8*((((ABS(I103)/MAX(((F34)+(H34)*(MAX($D$16,(E103)-(J34))))*(MAX($D$16,(E103)-(J34))),0.000001))^2)/(2*$I$5))-(((ABS(I103)/MAX(((G34)+(I34)*(MAX($D$16,(M103)-(K34))))*(MAX($D$16,(M103)-(K34))),0.000001))^2)/(2*$I$5)))))+($D$10*(ABS((X34)-(W34))/90)*MAX(((ABS(I103)/MAX(((F34)+(H34)*(MAX($D$16,(E103)-(J34))))*(MAX($D$16,(E103)-(J34))),0.000001))^2)/(2*$I$5),((ABS(I103)/MAX(((G34)+(I34)*(MAX($D$16,(M103)-(K34))))*(MAX($D$16,(M103)-(K34))),0.000001))^2)/(2*$I$5)))+(0)-((ABS(I103)/MAX(((F34)+(H34)*(MAX($D$16,(E103)-(J34))))*(MAX($D$16,(E103)-(J34))),0.000001))^2)/(2*$I$5)</f>
        <v>635.5</v>
      </c>
      <c r="T103">
        <f>N103+((ABS(J103)/MAX(((G35)+(I35)*(MAX($D$16,(N103)-(K35))))*(MAX($D$16,(N103)-(K35))),0.000001))^2)/(2*$I$5)+((E35)*((((ABS(J103)*$D$6)/(MAX(((F35)+(H35)*(MAX($D$16,(E103)-(J35))))*(MAX($D$16,(E103)-(J35))),0.000001)*MAX(((((F35)+(H35)*(MAX($D$16,(E103)-(J35))))*(MAX($D$16,(E103)-(J35))))/MAX((F35)+2*(MAX($D$16,(E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E103)-(J35))))*(MAX($D$16,(E103)-(J35))),0.000001)),$D$9*((((ABS(J103)/MAX(((G35)+(I35)*(MAX($D$16,(N103)-(K35))))*(MAX($D$16,(N103)-(K35))),0.000001))^2)/(2*$I$5))-(((ABS(J103)/MAX(((F35)+(H35)*(MAX($D$16,(E103)-(J35))))*(MAX($D$16,(E103)-(J35))),0.000001))^2)/(2*$I$5))),$D$8*((((ABS(J103)/MAX(((F35)+(H35)*(MAX($D$16,(E103)-(J35))))*(MAX($D$16,(E103)-(J35))),0.000001))^2)/(2*$I$5))-(((ABS(J103)/MAX(((G35)+(I35)*(MAX($D$16,(N103)-(K35))))*(MAX($D$16,(N103)-(K35))),0.000001))^2)/(2*$I$5)))))+($D$10*(ABS((X35)-(W35))/90)*MAX(((ABS(J103)/MAX(((F35)+(H35)*(MAX($D$16,(E103)-(J35))))*(MAX($D$16,(E103)-(J35))),0.000001))^2)/(2*$I$5),((ABS(J103)/MAX(((G35)+(I35)*(MAX($D$16,(N103)-(K35))))*(MAX($D$16,(N103)-(K35))),0.000001))^2)/(2*$I$5)))+(($D$11*0.34699541*(ABS(I103)/MAX(ABS(G103),0.000001))^2*MAX(((ABS(J103)/MAX(((F35)+(H35)*(MAX($D$16,(E103)-(J35))))*(MAX($D$16,(E103)-(J35))),0.000001))^2)/(2*$I$5),((ABS(J103)/MAX(((G35)+(I35)*(MAX($D$16,(N103)-(K35))))*(MAX($D$16,(N103)-(K35))),0.000001))^2)/(2*$I$5))))-((ABS(J103)/MAX(((F35)+(H35)*(MAX($D$16,(E103)-(J35))))*(MAX($D$16,(E103)-(J35))),0.000001))^2)/(2*$I$5)</f>
        <v>22382.80587457701</v>
      </c>
      <c r="U103">
        <f>(((((F32)*(MAX($D$16,(D103)-(J32)))^2)/2+(H32)*(MAX($D$16,(D103)-(J32)))^3/3+(ABS(G103)^2)/($I$5*MAX(((F32)+(H32)*(MAX($D$16,(D103)-(J32))))*(MAX($D$16,(D103)-(J32))),0.000001)))*0.72785025)-((((F33)*(MAX($D$16,(D103)-(J33)))^2)/2+(H33)*(MAX($D$16,(D103)-(J33)))^3/3+(ABS(H103)^2)/($I$5*MAX(((F33)+(H33)*(MAX($D$16,(D103)-(J33))))*(MAX($D$16,(D103)-(J33))),0.000001)))*0.99999971))/MAX(((G31)*(MAX($D$16,(D103)-(K31)))^2)/2+(I31)*(MAX($D$16,(D103)-(K31)))^3/3+(ABS(F103)^2)/($I$5*MAX(((G31)+(I31)*(MAX($D$16,(D103)-(K31))))*(MAX($D$16,(D103)-(K31))),0.000001)),0.000001)</f>
        <v>-0.27214945999978923</v>
      </c>
      <c r="V103">
        <f>(((((F34)*(MAX($D$16,(E103)-(J34)))^2)/2+(H34)*(MAX($D$16,(E103)-(J34)))^3/3+(ABS(I103)^2)/($I$5*MAX(((F34)+(H34)*(MAX($D$16,(E103)-(J34))))*(MAX($D$16,(E103)-(J34))),0.000001)))*1)-((((F35)*(MAX($D$16,(E103)-(J35)))^2)/2+(H35)*(MAX($D$16,(E103)-(J35)))^3/3+(ABS(J103)^2)/($I$5*MAX(((F35)+(H35)*(MAX($D$16,(E103)-(J35))))*(MAX($D$16,(E103)-(J35))),0.000001)))*0.30600918))/MAX(((G32)*(MAX($D$16,(E103)-(K32)))^2)/2+(I32)*(MAX($D$16,(E103)-(K32)))^3/3+(ABS(G103)^2)/($I$5*MAX(((G32)+(I32)*(MAX($D$16,(E103)-(K32))))*(MAX($D$16,(E103)-(K32))),0.000001)),0.000001)</f>
        <v>-0.30598462674144999</v>
      </c>
      <c r="W103">
        <f>IF(N6="None",MAX(ABS(O103-D103),ABS(P103-D103)),MAX(ABS(O103-D103),ABS(P103-D103),ABS(Q103-D103)))</f>
        <v>38814.693735902372</v>
      </c>
      <c r="X103">
        <f>IF(AND(N7="None",N8="None"),ABS(R103-E103),IF(N8="None",MAX(ABS(R103-E103),ABS(S103-E103)),IF(N7="None",MAX(ABS(R103-E103),ABS(T103-E103)),MAX(ABS(R103-E103),ABS(S103-E103),ABS(T103-E103)))))</f>
        <v>38591.926670003435</v>
      </c>
      <c r="AA103">
        <f>D103+$D$13*(IF(N6="None",AVERAGE(O103:P103),AVERAGE(O103:Q103))-D103)</f>
        <v>39452.338056700952</v>
      </c>
      <c r="AB103">
        <f>E103+$D$13*(IF(AND(N7="None",N8="None"),R103,IF(N8="None",AVERAGE(R103:S103),IF(N7="None",AVERAGE(R103,T103),AVERAGE(R103:T103))))-E103)</f>
        <v>-7786.8183250254733</v>
      </c>
    </row>
    <row r="104" spans="1:28" x14ac:dyDescent="0.35">
      <c r="A104">
        <v>61</v>
      </c>
      <c r="B104">
        <f t="shared" si="8"/>
        <v>0</v>
      </c>
      <c r="C104">
        <f t="shared" si="9"/>
        <v>0</v>
      </c>
      <c r="D104">
        <f t="shared" si="10"/>
        <v>39452.338056700952</v>
      </c>
      <c r="E104">
        <f t="shared" si="11"/>
        <v>-7786.8183250254733</v>
      </c>
      <c r="F104">
        <f t="shared" si="7"/>
        <v>51</v>
      </c>
      <c r="G104">
        <f>IF(N6="None",F104,MAX(0,F104*B104))</f>
        <v>51</v>
      </c>
      <c r="H104">
        <f>IF(N6="None",0,MAX(0,F104-G104))</f>
        <v>0</v>
      </c>
      <c r="I104">
        <f>IF(AND(N7="None",N8="None"),0,IF(N8="None",G104,IF(N7="None",0,MAX(0,G104*C104))))</f>
        <v>0</v>
      </c>
      <c r="J104">
        <f>IF(AND(N7="None",N8="None"),0,IF(N8="None",0,IF(N7="None",G104,MAX(0,G104-I104))))</f>
        <v>51</v>
      </c>
      <c r="K104">
        <f>P5</f>
        <v>637</v>
      </c>
      <c r="L104">
        <f>P6</f>
        <v>637</v>
      </c>
      <c r="M104">
        <f>P7</f>
        <v>635.5</v>
      </c>
      <c r="N104">
        <f>P8</f>
        <v>631.54999999999995</v>
      </c>
      <c r="O104">
        <f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D104)-(K31))))*(MAX($D$16,(D104)-(K31))),0.000001)*MAX(((((G31)+(I31)*(MAX($D$16,(D104)-(K31))))*(MAX($D$16,(D104)-(K31))))/MAX((G31)+2*(MAX($D$16,(D104)-(K31)))*SQRT(1+(I31)^2),0.000001))^(2/3),0.000001)))^2))/2)+(IF((ABS(F104)/MAX(((G31)+(I31)*(MAX($D$16,(D104)-(K31))))*(MAX($D$16,(D104)-(K31))),0.000001))&gt;(ABS(F104)/MAX(((F31)+(H31)*(MAX($D$16,(K104)-(J31))))*(MAX($D$16,(K104)-(J31))),0.000001)),$D$9*((((ABS(F104)/MAX(((G31)+(I31)*(MAX($D$16,(D104)-(K31))))*(MAX($D$16,(D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D104)-(K31))))*(MAX($D$16,(D104)-(K31))),0.000001))^2)/(2*$I$5)))))+($D$10*(ABS((X31)-(W31))/90)*MAX(((ABS(F104)/MAX(((F31)+(H31)*(MAX($D$16,(K104)-(J31))))*(MAX($D$16,(K104)-(J31))),0.000001))^2)/(2*$I$5),((ABS(F104)/MAX(((G31)+(I31)*(MAX($D$16,(D104)-(K31))))*(MAX($D$16,(D104)-(K31))),0.000001))^2)/(2*$I$5)))+(0)-((ABS(F104)/MAX(((G31)+(I31)*(MAX($D$16,(D104)-(K31))))*(MAX($D$16,(D104)-(K31))),0.000001))^2)/(2*$I$5)</f>
        <v>637.65825100972802</v>
      </c>
      <c r="P104">
        <f>E104+((ABS(G104)/MAX(((G32)+(I32)*(MAX($D$16,(E104)-(K32))))*(MAX($D$16,(E104)-(K32))),0.000001))^2)/(2*$I$5)+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F32)+(H32)*(MAX($D$16,(D104)-(J32))))*(MAX($D$16,(D104)-(J32))),0.000001))^2)/(2*$I$5)</f>
        <v>78267.031250370303</v>
      </c>
      <c r="Q104">
        <f>L104+((ABS(H104)/MAX(((G33)+(I33)*(MAX($D$16,(L104)-(K33))))*(MAX($D$16,(L104)-(K33))),0.000001))^2)/(2*$I$5)+((E33)*((((ABS(H104)*$D$6)/(MAX(((F33)+(H33)*(MAX($D$16,(D104)-(J33))))*(MAX($D$16,(D104)-(J33))),0.000001)*MAX(((((F33)+(H33)*(MAX($D$16,(D104)-(J33))))*(MAX($D$16,(D104)-(J33))))/MAX((F33)+2*(MAX($D$16,(D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D104)-(J33))))*(MAX($D$16,(D104)-(J33))),0.000001)),$D$9*((((ABS(H104)/MAX(((G33)+(I33)*(MAX($D$16,(L104)-(K33))))*(MAX($D$16,(L104)-(K33))),0.000001))^2)/(2*$I$5))-(((ABS(H104)/MAX(((F33)+(H33)*(MAX($D$16,(D104)-(J33))))*(MAX($D$16,(D104)-(J33))),0.000001))^2)/(2*$I$5))),$D$8*((((ABS(H104)/MAX(((F33)+(H33)*(MAX($D$16,(D104)-(J33))))*(MAX($D$16,(D104)-(J33))),0.000001))^2)/(2*$I$5))-(((ABS(H104)/MAX(((G33)+(I33)*(MAX($D$16,(L104)-(K33))))*(MAX($D$16,(L104)-(K33))),0.000001))^2)/(2*$I$5)))))+($D$10*(ABS((X33)-(W33))/90)*MAX(((ABS(H104)/MAX(((F33)+(H33)*(MAX($D$16,(D104)-(J33))))*(MAX($D$16,(D104)-(J33))),0.000001))^2)/(2*$I$5),((ABS(H104)/MAX(((G33)+(I33)*(MAX($D$16,(L104)-(K33))))*(MAX($D$16,(L104)-(K33))),0.000001))^2)/(2*$I$5)))+(($D$11*0.00000015*(ABS(G104)/MAX(ABS(F104),0.000001))^2*MAX(((ABS(H104)/MAX(((F33)+(H33)*(MAX($D$16,(D104)-(J33))))*(MAX($D$16,(D104)-(J33))),0.000001))^2)/(2*$I$5),((ABS(H104)/MAX(((G33)+(I33)*(MAX($D$16,(L104)-(K33))))*(MAX($D$16,(L104)-(K33))),0.000001))^2)/(2*$I$5))))-((ABS(H104)/MAX(((F33)+(H33)*(MAX($D$16,(D104)-(J33))))*(MAX($D$16,(D104)-(J33))),0.000001))^2)/(2*$I$5)</f>
        <v>637</v>
      </c>
      <c r="R104">
        <f>D104+((ABS(G104)/MAX(((F32)+(H32)*(MAX($D$16,(D104)-(J32))))*(MAX($D$16,(D104)-(J32))),0.000001))^2)/(2*$I$5)-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G32)+(I32)*(MAX($D$16,(E104)-(K32))))*(MAX($D$16,(E104)-(K32))),0.000001))^2)/(2*$I$5)</f>
        <v>-46378.744452795887</v>
      </c>
      <c r="S104">
        <f>M104+((ABS(I104)/MAX(((G34)+(I34)*(MAX($D$16,(M104)-(K34))))*(MAX($D$16,(M104)-(K34))),0.000001))^2)/(2*$I$5)+((E34)*((((ABS(I104)*$D$6)/(MAX(((F34)+(H34)*(MAX($D$16,(E104)-(J34))))*(MAX($D$16,(E104)-(J34))),0.000001)*MAX(((((F34)+(H34)*(MAX($D$16,(E104)-(J34))))*(MAX($D$16,(E104)-(J34))))/MAX((F34)+2*(MAX($D$16,(E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E104)-(J34))))*(MAX($D$16,(E104)-(J34))),0.000001)),$D$9*((((ABS(I104)/MAX(((G34)+(I34)*(MAX($D$16,(M104)-(K34))))*(MAX($D$16,(M104)-(K34))),0.000001))^2)/(2*$I$5))-(((ABS(I104)/MAX(((F34)+(H34)*(MAX($D$16,(E104)-(J34))))*(MAX($D$16,(E104)-(J34))),0.000001))^2)/(2*$I$5))),$D$8*((((ABS(I104)/MAX(((F34)+(H34)*(MAX($D$16,(E104)-(J34))))*(MAX($D$16,(E104)-(J34))),0.000001))^2)/(2*$I$5))-(((ABS(I104)/MAX(((G34)+(I34)*(MAX($D$16,(M104)-(K34))))*(MAX($D$16,(M104)-(K34))),0.000001))^2)/(2*$I$5)))))+($D$10*(ABS((X34)-(W34))/90)*MAX(((ABS(I104)/MAX(((F34)+(H34)*(MAX($D$16,(E104)-(J34))))*(MAX($D$16,(E104)-(J34))),0.000001))^2)/(2*$I$5),((ABS(I104)/MAX(((G34)+(I34)*(MAX($D$16,(M104)-(K34))))*(MAX($D$16,(M104)-(K34))),0.000001))^2)/(2*$I$5)))+(0)-((ABS(I104)/MAX(((F34)+(H34)*(MAX($D$16,(E104)-(J34))))*(MAX($D$16,(E104)-(J34))),0.000001))^2)/(2*$I$5)</f>
        <v>635.5</v>
      </c>
      <c r="T104">
        <f>N104+((ABS(J104)/MAX(((G35)+(I35)*(MAX($D$16,(N104)-(K35))))*(MAX($D$16,(N104)-(K35))),0.000001))^2)/(2*$I$5)+((E35)*((((ABS(J104)*$D$6)/(MAX(((F35)+(H35)*(MAX($D$16,(E104)-(J35))))*(MAX($D$16,(E104)-(J35))),0.000001)*MAX(((((F35)+(H35)*(MAX($D$16,(E104)-(J35))))*(MAX($D$16,(E104)-(J35))))/MAX((F35)+2*(MAX($D$16,(E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E104)-(J35))))*(MAX($D$16,(E104)-(J35))),0.000001)),$D$9*((((ABS(J104)/MAX(((G35)+(I35)*(MAX($D$16,(N104)-(K35))))*(MAX($D$16,(N104)-(K35))),0.000001))^2)/(2*$I$5))-(((ABS(J104)/MAX(((F35)+(H35)*(MAX($D$16,(E104)-(J35))))*(MAX($D$16,(E104)-(J35))),0.000001))^2)/(2*$I$5))),$D$8*((((ABS(J104)/MAX(((F35)+(H35)*(MAX($D$16,(E104)-(J35))))*(MAX($D$16,(E104)-(J35))),0.000001))^2)/(2*$I$5))-(((ABS(J104)/MAX(((G35)+(I35)*(MAX($D$16,(N104)-(K35))))*(MAX($D$16,(N104)-(K35))),0.000001))^2)/(2*$I$5)))))+($D$10*(ABS((X35)-(W35))/90)*MAX(((ABS(J104)/MAX(((F35)+(H35)*(MAX($D$16,(E104)-(J35))))*(MAX($D$16,(E104)-(J35))),0.000001))^2)/(2*$I$5),((ABS(J104)/MAX(((G35)+(I35)*(MAX($D$16,(N104)-(K35))))*(MAX($D$16,(N104)-(K35))),0.000001))^2)/(2*$I$5)))+(($D$11*0.34699541*(ABS(I104)/MAX(ABS(G104),0.000001))^2*MAX(((ABS(J104)/MAX(((F35)+(H35)*(MAX($D$16,(E104)-(J35))))*(MAX($D$16,(E104)-(J35))),0.000001))^2)/(2*$I$5),((ABS(J104)/MAX(((G35)+(I35)*(MAX($D$16,(N104)-(K35))))*(MAX($D$16,(N104)-(K35))),0.000001))^2)/(2*$I$5))))-((ABS(J104)/MAX(((F35)+(H35)*(MAX($D$16,(E104)-(J35))))*(MAX($D$16,(E104)-(J35))),0.000001))^2)/(2*$I$5)</f>
        <v>22382.80587457701</v>
      </c>
      <c r="U104">
        <f>(((((F32)*(MAX($D$16,(D104)-(J32)))^2)/2+(H32)*(MAX($D$16,(D104)-(J32)))^3/3+(ABS(G104)^2)/($I$5*MAX(((F32)+(H32)*(MAX($D$16,(D104)-(J32))))*(MAX($D$16,(D104)-(J32))),0.000001)))*0.72785025)-((((F33)*(MAX($D$16,(D104)-(J33)))^2)/2+(H33)*(MAX($D$16,(D104)-(J33)))^3/3+(ABS(H104)^2)/($I$5*MAX(((F33)+(H33)*(MAX($D$16,(D104)-(J33))))*(MAX($D$16,(D104)-(J33))),0.000001)))*0.99999971))/MAX(((G31)*(MAX($D$16,(D104)-(K31)))^2)/2+(I31)*(MAX($D$16,(D104)-(K31)))^3/3+(ABS(F104)^2)/($I$5*MAX(((G31)+(I31)*(MAX($D$16,(D104)-(K31))))*(MAX($D$16,(D104)-(K31))),0.000001)),0.000001)</f>
        <v>-0.27214945999978918</v>
      </c>
      <c r="V104">
        <f>(((((F34)*(MAX($D$16,(E104)-(J34)))^2)/2+(H34)*(MAX($D$16,(E104)-(J34)))^3/3+(ABS(I104)^2)/($I$5*MAX(((F34)+(H34)*(MAX($D$16,(E104)-(J34))))*(MAX($D$16,(E104)-(J34))),0.000001)))*1)-((((F35)*(MAX($D$16,(E104)-(J35)))^2)/2+(H35)*(MAX($D$16,(E104)-(J35)))^3/3+(ABS(J104)^2)/($I$5*MAX(((F35)+(H35)*(MAX($D$16,(E104)-(J35))))*(MAX($D$16,(E104)-(J35))),0.000001)))*0.30600918))/MAX(((G32)*(MAX($D$16,(E104)-(K32)))^2)/2+(I32)*(MAX($D$16,(E104)-(K32)))^3/3+(ABS(G104)^2)/($I$5*MAX(((G32)+(I32)*(MAX($D$16,(E104)-(K32))))*(MAX($D$16,(E104)-(K32))),0.000001)),0.000001)</f>
        <v>-0.30598462674144999</v>
      </c>
      <c r="W104">
        <f>IF(N6="None",MAX(ABS(O104-D104),ABS(P104-D104)),MAX(ABS(O104-D104),ABS(P104-D104),ABS(Q104-D104)))</f>
        <v>38814.693193669351</v>
      </c>
      <c r="X104">
        <f>IF(AND(N7="None",N8="None"),ABS(R104-E104),IF(N8="None",MAX(ABS(R104-E104),ABS(S104-E104)),IF(N7="None",MAX(ABS(R104-E104),ABS(T104-E104)),MAX(ABS(R104-E104),ABS(S104-E104),ABS(T104-E104)))))</f>
        <v>38591.926127770414</v>
      </c>
      <c r="AA104">
        <f>D104+$D$13*(IF(N6="None",AVERAGE(O104:P104),AVERAGE(O104:Q104))-D104)</f>
        <v>39452.340399597124</v>
      </c>
      <c r="AB104">
        <f>E104+$D$13*(IF(AND(N7="None",N8="None"),R104,IF(N8="None",AVERAGE(R104:S104),IF(N7="None",AVERAGE(R104,T104),AVERAGE(R104:T104))))-E104)</f>
        <v>-7786.8164120587599</v>
      </c>
    </row>
    <row r="105" spans="1:28" x14ac:dyDescent="0.35">
      <c r="A105">
        <v>62</v>
      </c>
      <c r="B105">
        <f t="shared" si="8"/>
        <v>0</v>
      </c>
      <c r="C105">
        <f t="shared" si="9"/>
        <v>0</v>
      </c>
      <c r="D105">
        <f t="shared" si="10"/>
        <v>39452.340399597124</v>
      </c>
      <c r="E105">
        <f t="shared" si="11"/>
        <v>-7786.8164120587599</v>
      </c>
      <c r="F105">
        <f t="shared" si="7"/>
        <v>51</v>
      </c>
      <c r="G105">
        <f>IF(N6="None",F105,MAX(0,F105*B105))</f>
        <v>51</v>
      </c>
      <c r="H105">
        <f>IF(N6="None",0,MAX(0,F105-G105))</f>
        <v>0</v>
      </c>
      <c r="I105">
        <f>IF(AND(N7="None",N8="None"),0,IF(N8="None",G105,IF(N7="None",0,MAX(0,G105*C105))))</f>
        <v>0</v>
      </c>
      <c r="J105">
        <f>IF(AND(N7="None",N8="None"),0,IF(N8="None",0,IF(N7="None",G105,MAX(0,G105-I105))))</f>
        <v>51</v>
      </c>
      <c r="K105">
        <f>P5</f>
        <v>637</v>
      </c>
      <c r="L105">
        <f>P6</f>
        <v>637</v>
      </c>
      <c r="M105">
        <f>P7</f>
        <v>635.5</v>
      </c>
      <c r="N105">
        <f>P8</f>
        <v>631.54999999999995</v>
      </c>
      <c r="O105">
        <f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D105)-(K31))))*(MAX($D$16,(D105)-(K31))),0.000001)*MAX(((((G31)+(I31)*(MAX($D$16,(D105)-(K31))))*(MAX($D$16,(D105)-(K31))))/MAX((G31)+2*(MAX($D$16,(D105)-(K31)))*SQRT(1+(I31)^2),0.000001))^(2/3),0.000001)))^2))/2)+(IF((ABS(F105)/MAX(((G31)+(I31)*(MAX($D$16,(D105)-(K31))))*(MAX($D$16,(D105)-(K31))),0.000001))&gt;(ABS(F105)/MAX(((F31)+(H31)*(MAX($D$16,(K105)-(J31))))*(MAX($D$16,(K105)-(J31))),0.000001)),$D$9*((((ABS(F105)/MAX(((G31)+(I31)*(MAX($D$16,(D105)-(K31))))*(MAX($D$16,(D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D105)-(K31))))*(MAX($D$16,(D105)-(K31))),0.000001))^2)/(2*$I$5)))))+($D$10*(ABS((X31)-(W31))/90)*MAX(((ABS(F105)/MAX(((F31)+(H31)*(MAX($D$16,(K105)-(J31))))*(MAX($D$16,(K105)-(J31))),0.000001))^2)/(2*$I$5),((ABS(F105)/MAX(((G31)+(I31)*(MAX($D$16,(D105)-(K31))))*(MAX($D$16,(D105)-(K31))),0.000001))^2)/(2*$I$5)))+(0)-((ABS(F105)/MAX(((G31)+(I31)*(MAX($D$16,(D105)-(K31))))*(MAX($D$16,(D105)-(K31))),0.000001))^2)/(2*$I$5)</f>
        <v>637.65825100972802</v>
      </c>
      <c r="P105">
        <f>E105+((ABS(G105)/MAX(((G32)+(I32)*(MAX($D$16,(E105)-(K32))))*(MAX($D$16,(E105)-(K32))),0.000001))^2)/(2*$I$5)+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F32)+(H32)*(MAX($D$16,(D105)-(J32))))*(MAX($D$16,(D105)-(J32))),0.000001))^2)/(2*$I$5)</f>
        <v>78267.033163337022</v>
      </c>
      <c r="Q105">
        <f>L105+((ABS(H105)/MAX(((G33)+(I33)*(MAX($D$16,(L105)-(K33))))*(MAX($D$16,(L105)-(K33))),0.000001))^2)/(2*$I$5)+((E33)*((((ABS(H105)*$D$6)/(MAX(((F33)+(H33)*(MAX($D$16,(D105)-(J33))))*(MAX($D$16,(D105)-(J33))),0.000001)*MAX(((((F33)+(H33)*(MAX($D$16,(D105)-(J33))))*(MAX($D$16,(D105)-(J33))))/MAX((F33)+2*(MAX($D$16,(D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D105)-(J33))))*(MAX($D$16,(D105)-(J33))),0.000001)),$D$9*((((ABS(H105)/MAX(((G33)+(I33)*(MAX($D$16,(L105)-(K33))))*(MAX($D$16,(L105)-(K33))),0.000001))^2)/(2*$I$5))-(((ABS(H105)/MAX(((F33)+(H33)*(MAX($D$16,(D105)-(J33))))*(MAX($D$16,(D105)-(J33))),0.000001))^2)/(2*$I$5))),$D$8*((((ABS(H105)/MAX(((F33)+(H33)*(MAX($D$16,(D105)-(J33))))*(MAX($D$16,(D105)-(J33))),0.000001))^2)/(2*$I$5))-(((ABS(H105)/MAX(((G33)+(I33)*(MAX($D$16,(L105)-(K33))))*(MAX($D$16,(L105)-(K33))),0.000001))^2)/(2*$I$5)))))+($D$10*(ABS((X33)-(W33))/90)*MAX(((ABS(H105)/MAX(((F33)+(H33)*(MAX($D$16,(D105)-(J33))))*(MAX($D$16,(D105)-(J33))),0.000001))^2)/(2*$I$5),((ABS(H105)/MAX(((G33)+(I33)*(MAX($D$16,(L105)-(K33))))*(MAX($D$16,(L105)-(K33))),0.000001))^2)/(2*$I$5)))+(($D$11*0.00000015*(ABS(G105)/MAX(ABS(F105),0.000001))^2*MAX(((ABS(H105)/MAX(((F33)+(H33)*(MAX($D$16,(D105)-(J33))))*(MAX($D$16,(D105)-(J33))),0.000001))^2)/(2*$I$5),((ABS(H105)/MAX(((G33)+(I33)*(MAX($D$16,(L105)-(K33))))*(MAX($D$16,(L105)-(K33))),0.000001))^2)/(2*$I$5))))-((ABS(H105)/MAX(((F33)+(H33)*(MAX($D$16,(D105)-(J33))))*(MAX($D$16,(D105)-(J33))),0.000001))^2)/(2*$I$5)</f>
        <v>637</v>
      </c>
      <c r="R105">
        <f>D105+((ABS(G105)/MAX(((F32)+(H32)*(MAX($D$16,(D105)-(J32))))*(MAX($D$16,(D105)-(J32))),0.000001))^2)/(2*$I$5)-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G32)+(I32)*(MAX($D$16,(E105)-(K32))))*(MAX($D$16,(E105)-(K32))),0.000001))^2)/(2*$I$5)</f>
        <v>-46378.742109899715</v>
      </c>
      <c r="S105">
        <f>M105+((ABS(I105)/MAX(((G34)+(I34)*(MAX($D$16,(M105)-(K34))))*(MAX($D$16,(M105)-(K34))),0.000001))^2)/(2*$I$5)+((E34)*((((ABS(I105)*$D$6)/(MAX(((F34)+(H34)*(MAX($D$16,(E105)-(J34))))*(MAX($D$16,(E105)-(J34))),0.000001)*MAX(((((F34)+(H34)*(MAX($D$16,(E105)-(J34))))*(MAX($D$16,(E105)-(J34))))/MAX((F34)+2*(MAX($D$16,(E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E105)-(J34))))*(MAX($D$16,(E105)-(J34))),0.000001)),$D$9*((((ABS(I105)/MAX(((G34)+(I34)*(MAX($D$16,(M105)-(K34))))*(MAX($D$16,(M105)-(K34))),0.000001))^2)/(2*$I$5))-(((ABS(I105)/MAX(((F34)+(H34)*(MAX($D$16,(E105)-(J34))))*(MAX($D$16,(E105)-(J34))),0.000001))^2)/(2*$I$5))),$D$8*((((ABS(I105)/MAX(((F34)+(H34)*(MAX($D$16,(E105)-(J34))))*(MAX($D$16,(E105)-(J34))),0.000001))^2)/(2*$I$5))-(((ABS(I105)/MAX(((G34)+(I34)*(MAX($D$16,(M105)-(K34))))*(MAX($D$16,(M105)-(K34))),0.000001))^2)/(2*$I$5)))))+($D$10*(ABS((X34)-(W34))/90)*MAX(((ABS(I105)/MAX(((F34)+(H34)*(MAX($D$16,(E105)-(J34))))*(MAX($D$16,(E105)-(J34))),0.000001))^2)/(2*$I$5),((ABS(I105)/MAX(((G34)+(I34)*(MAX($D$16,(M105)-(K34))))*(MAX($D$16,(M105)-(K34))),0.000001))^2)/(2*$I$5)))+(0)-((ABS(I105)/MAX(((F34)+(H34)*(MAX($D$16,(E105)-(J34))))*(MAX($D$16,(E105)-(J34))),0.000001))^2)/(2*$I$5)</f>
        <v>635.5</v>
      </c>
      <c r="T105">
        <f>N105+((ABS(J105)/MAX(((G35)+(I35)*(MAX($D$16,(N105)-(K35))))*(MAX($D$16,(N105)-(K35))),0.000001))^2)/(2*$I$5)+((E35)*((((ABS(J105)*$D$6)/(MAX(((F35)+(H35)*(MAX($D$16,(E105)-(J35))))*(MAX($D$16,(E105)-(J35))),0.000001)*MAX(((((F35)+(H35)*(MAX($D$16,(E105)-(J35))))*(MAX($D$16,(E105)-(J35))))/MAX((F35)+2*(MAX($D$16,(E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E105)-(J35))))*(MAX($D$16,(E105)-(J35))),0.000001)),$D$9*((((ABS(J105)/MAX(((G35)+(I35)*(MAX($D$16,(N105)-(K35))))*(MAX($D$16,(N105)-(K35))),0.000001))^2)/(2*$I$5))-(((ABS(J105)/MAX(((F35)+(H35)*(MAX($D$16,(E105)-(J35))))*(MAX($D$16,(E105)-(J35))),0.000001))^2)/(2*$I$5))),$D$8*((((ABS(J105)/MAX(((F35)+(H35)*(MAX($D$16,(E105)-(J35))))*(MAX($D$16,(E105)-(J35))),0.000001))^2)/(2*$I$5))-(((ABS(J105)/MAX(((G35)+(I35)*(MAX($D$16,(N105)-(K35))))*(MAX($D$16,(N105)-(K35))),0.000001))^2)/(2*$I$5)))))+($D$10*(ABS((X35)-(W35))/90)*MAX(((ABS(J105)/MAX(((F35)+(H35)*(MAX($D$16,(E105)-(J35))))*(MAX($D$16,(E105)-(J35))),0.000001))^2)/(2*$I$5),((ABS(J105)/MAX(((G35)+(I35)*(MAX($D$16,(N105)-(K35))))*(MAX($D$16,(N105)-(K35))),0.000001))^2)/(2*$I$5)))+(($D$11*0.34699541*(ABS(I105)/MAX(ABS(G105),0.000001))^2*MAX(((ABS(J105)/MAX(((F35)+(H35)*(MAX($D$16,(E105)-(J35))))*(MAX($D$16,(E105)-(J35))),0.000001))^2)/(2*$I$5),((ABS(J105)/MAX(((G35)+(I35)*(MAX($D$16,(N105)-(K35))))*(MAX($D$16,(N105)-(K35))),0.000001))^2)/(2*$I$5))))-((ABS(J105)/MAX(((F35)+(H35)*(MAX($D$16,(E105)-(J35))))*(MAX($D$16,(E105)-(J35))),0.000001))^2)/(2*$I$5)</f>
        <v>22382.80587457701</v>
      </c>
      <c r="U105">
        <f>(((((F32)*(MAX($D$16,(D105)-(J32)))^2)/2+(H32)*(MAX($D$16,(D105)-(J32)))^3/3+(ABS(G105)^2)/($I$5*MAX(((F32)+(H32)*(MAX($D$16,(D105)-(J32))))*(MAX($D$16,(D105)-(J32))),0.000001)))*0.72785025)-((((F33)*(MAX($D$16,(D105)-(J33)))^2)/2+(H33)*(MAX($D$16,(D105)-(J33)))^3/3+(ABS(H105)^2)/($I$5*MAX(((F33)+(H33)*(MAX($D$16,(D105)-(J33))))*(MAX($D$16,(D105)-(J33))),0.000001)))*0.99999971))/MAX(((G31)*(MAX($D$16,(D105)-(K31)))^2)/2+(I31)*(MAX($D$16,(D105)-(K31)))^3/3+(ABS(F105)^2)/($I$5*MAX(((G31)+(I31)*(MAX($D$16,(D105)-(K31))))*(MAX($D$16,(D105)-(K31))),0.000001)),0.000001)</f>
        <v>-0.27214945999978923</v>
      </c>
      <c r="V105">
        <f>(((((F34)*(MAX($D$16,(E105)-(J34)))^2)/2+(H34)*(MAX($D$16,(E105)-(J34)))^3/3+(ABS(I105)^2)/($I$5*MAX(((F34)+(H34)*(MAX($D$16,(E105)-(J34))))*(MAX($D$16,(E105)-(J34))),0.000001)))*1)-((((F35)*(MAX($D$16,(E105)-(J35)))^2)/2+(H35)*(MAX($D$16,(E105)-(J35)))^3/3+(ABS(J105)^2)/($I$5*MAX(((F35)+(H35)*(MAX($D$16,(E105)-(J35))))*(MAX($D$16,(E105)-(J35))),0.000001)))*0.30600918))/MAX(((G32)*(MAX($D$16,(E105)-(K32)))^2)/2+(I32)*(MAX($D$16,(E105)-(K32)))^3/3+(ABS(G105)^2)/($I$5*MAX(((G32)+(I32)*(MAX($D$16,(E105)-(K32))))*(MAX($D$16,(E105)-(K32))),0.000001)),0.000001)</f>
        <v>-0.30598462674144999</v>
      </c>
      <c r="W105">
        <f>IF(N6="None",MAX(ABS(O105-D105),ABS(P105-D105)),MAX(ABS(O105-D105),ABS(P105-D105),ABS(Q105-D105)))</f>
        <v>38814.692763739899</v>
      </c>
      <c r="X105">
        <f>IF(AND(N7="None",N8="None"),ABS(R105-E105),IF(N8="None",MAX(ABS(R105-E105),ABS(S105-E105)),IF(N7="None",MAX(ABS(R105-E105),ABS(T105-E105)),MAX(ABS(R105-E105),ABS(S105-E105),ABS(T105-E105)))))</f>
        <v>38591.925697840954</v>
      </c>
      <c r="AA105">
        <f>D105+$D$13*(IF(N6="None",AVERAGE(O105:P105),AVERAGE(O105:Q105))-D105)</f>
        <v>39452.342257248813</v>
      </c>
      <c r="AB105">
        <f>E105+$D$13*(IF(AND(N7="None",N8="None"),R105,IF(N8="None",AVERAGE(R105:S105),IF(N7="None",AVERAGE(R105,T105),AVERAGE(R105:T105))))-E105)</f>
        <v>-7786.8148952925094</v>
      </c>
    </row>
    <row r="106" spans="1:28" x14ac:dyDescent="0.35">
      <c r="A106">
        <v>63</v>
      </c>
      <c r="B106">
        <f t="shared" si="8"/>
        <v>0</v>
      </c>
      <c r="C106">
        <f t="shared" si="9"/>
        <v>0</v>
      </c>
      <c r="D106">
        <f t="shared" si="10"/>
        <v>39452.342257248813</v>
      </c>
      <c r="E106">
        <f t="shared" si="11"/>
        <v>-7786.8148952925094</v>
      </c>
      <c r="F106">
        <f t="shared" si="7"/>
        <v>51</v>
      </c>
      <c r="G106">
        <f>IF(N6="None",F106,MAX(0,F106*B106))</f>
        <v>51</v>
      </c>
      <c r="H106">
        <f>IF(N6="None",0,MAX(0,F106-G106))</f>
        <v>0</v>
      </c>
      <c r="I106">
        <f>IF(AND(N7="None",N8="None"),0,IF(N8="None",G106,IF(N7="None",0,MAX(0,G106*C106))))</f>
        <v>0</v>
      </c>
      <c r="J106">
        <f>IF(AND(N7="None",N8="None"),0,IF(N8="None",0,IF(N7="None",G106,MAX(0,G106-I106))))</f>
        <v>51</v>
      </c>
      <c r="K106">
        <f>P5</f>
        <v>637</v>
      </c>
      <c r="L106">
        <f>P6</f>
        <v>637</v>
      </c>
      <c r="M106">
        <f>P7</f>
        <v>635.5</v>
      </c>
      <c r="N106">
        <f>P8</f>
        <v>631.54999999999995</v>
      </c>
      <c r="O106">
        <f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D106)-(K31))))*(MAX($D$16,(D106)-(K31))),0.000001)*MAX(((((G31)+(I31)*(MAX($D$16,(D106)-(K31))))*(MAX($D$16,(D106)-(K31))))/MAX((G31)+2*(MAX($D$16,(D106)-(K31)))*SQRT(1+(I31)^2),0.000001))^(2/3),0.000001)))^2))/2)+(IF((ABS(F106)/MAX(((G31)+(I31)*(MAX($D$16,(D106)-(K31))))*(MAX($D$16,(D106)-(K31))),0.000001))&gt;(ABS(F106)/MAX(((F31)+(H31)*(MAX($D$16,(K106)-(J31))))*(MAX($D$16,(K106)-(J31))),0.000001)),$D$9*((((ABS(F106)/MAX(((G31)+(I31)*(MAX($D$16,(D106)-(K31))))*(MAX($D$16,(D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D106)-(K31))))*(MAX($D$16,(D106)-(K31))),0.000001))^2)/(2*$I$5)))))+($D$10*(ABS((X31)-(W31))/90)*MAX(((ABS(F106)/MAX(((F31)+(H31)*(MAX($D$16,(K106)-(J31))))*(MAX($D$16,(K106)-(J31))),0.000001))^2)/(2*$I$5),((ABS(F106)/MAX(((G31)+(I31)*(MAX($D$16,(D106)-(K31))))*(MAX($D$16,(D106)-(K31))),0.000001))^2)/(2*$I$5)))+(0)-((ABS(F106)/MAX(((G31)+(I31)*(MAX($D$16,(D106)-(K31))))*(MAX($D$16,(D106)-(K31))),0.000001))^2)/(2*$I$5)</f>
        <v>637.65825100972802</v>
      </c>
      <c r="P106">
        <f>E106+((ABS(G106)/MAX(((G32)+(I32)*(MAX($D$16,(E106)-(K32))))*(MAX($D$16,(E106)-(K32))),0.000001))^2)/(2*$I$5)+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F32)+(H32)*(MAX($D$16,(D106)-(J32))))*(MAX($D$16,(D106)-(J32))),0.000001))^2)/(2*$I$5)</f>
        <v>78267.034680103272</v>
      </c>
      <c r="Q106">
        <f>L106+((ABS(H106)/MAX(((G33)+(I33)*(MAX($D$16,(L106)-(K33))))*(MAX($D$16,(L106)-(K33))),0.000001))^2)/(2*$I$5)+((E33)*((((ABS(H106)*$D$6)/(MAX(((F33)+(H33)*(MAX($D$16,(D106)-(J33))))*(MAX($D$16,(D106)-(J33))),0.000001)*MAX(((((F33)+(H33)*(MAX($D$16,(D106)-(J33))))*(MAX($D$16,(D106)-(J33))))/MAX((F33)+2*(MAX($D$16,(D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D106)-(J33))))*(MAX($D$16,(D106)-(J33))),0.000001)),$D$9*((((ABS(H106)/MAX(((G33)+(I33)*(MAX($D$16,(L106)-(K33))))*(MAX($D$16,(L106)-(K33))),0.000001))^2)/(2*$I$5))-(((ABS(H106)/MAX(((F33)+(H33)*(MAX($D$16,(D106)-(J33))))*(MAX($D$16,(D106)-(J33))),0.000001))^2)/(2*$I$5))),$D$8*((((ABS(H106)/MAX(((F33)+(H33)*(MAX($D$16,(D106)-(J33))))*(MAX($D$16,(D106)-(J33))),0.000001))^2)/(2*$I$5))-(((ABS(H106)/MAX(((G33)+(I33)*(MAX($D$16,(L106)-(K33))))*(MAX($D$16,(L106)-(K33))),0.000001))^2)/(2*$I$5)))))+($D$10*(ABS((X33)-(W33))/90)*MAX(((ABS(H106)/MAX(((F33)+(H33)*(MAX($D$16,(D106)-(J33))))*(MAX($D$16,(D106)-(J33))),0.000001))^2)/(2*$I$5),((ABS(H106)/MAX(((G33)+(I33)*(MAX($D$16,(L106)-(K33))))*(MAX($D$16,(L106)-(K33))),0.000001))^2)/(2*$I$5)))+(($D$11*0.00000015*(ABS(G106)/MAX(ABS(F106),0.000001))^2*MAX(((ABS(H106)/MAX(((F33)+(H33)*(MAX($D$16,(D106)-(J33))))*(MAX($D$16,(D106)-(J33))),0.000001))^2)/(2*$I$5),((ABS(H106)/MAX(((G33)+(I33)*(MAX($D$16,(L106)-(K33))))*(MAX($D$16,(L106)-(K33))),0.000001))^2)/(2*$I$5))))-((ABS(H106)/MAX(((F33)+(H33)*(MAX($D$16,(D106)-(J33))))*(MAX($D$16,(D106)-(J33))),0.000001))^2)/(2*$I$5)</f>
        <v>637</v>
      </c>
      <c r="R106">
        <f>D106+((ABS(G106)/MAX(((F32)+(H32)*(MAX($D$16,(D106)-(J32))))*(MAX($D$16,(D106)-(J32))),0.000001))^2)/(2*$I$5)-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G32)+(I32)*(MAX($D$16,(E106)-(K32))))*(MAX($D$16,(E106)-(K32))),0.000001))^2)/(2*$I$5)</f>
        <v>-46378.740252248026</v>
      </c>
      <c r="S106">
        <f>M106+((ABS(I106)/MAX(((G34)+(I34)*(MAX($D$16,(M106)-(K34))))*(MAX($D$16,(M106)-(K34))),0.000001))^2)/(2*$I$5)+((E34)*((((ABS(I106)*$D$6)/(MAX(((F34)+(H34)*(MAX($D$16,(E106)-(J34))))*(MAX($D$16,(E106)-(J34))),0.000001)*MAX(((((F34)+(H34)*(MAX($D$16,(E106)-(J34))))*(MAX($D$16,(E106)-(J34))))/MAX((F34)+2*(MAX($D$16,(E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E106)-(J34))))*(MAX($D$16,(E106)-(J34))),0.000001)),$D$9*((((ABS(I106)/MAX(((G34)+(I34)*(MAX($D$16,(M106)-(K34))))*(MAX($D$16,(M106)-(K34))),0.000001))^2)/(2*$I$5))-(((ABS(I106)/MAX(((F34)+(H34)*(MAX($D$16,(E106)-(J34))))*(MAX($D$16,(E106)-(J34))),0.000001))^2)/(2*$I$5))),$D$8*((((ABS(I106)/MAX(((F34)+(H34)*(MAX($D$16,(E106)-(J34))))*(MAX($D$16,(E106)-(J34))),0.000001))^2)/(2*$I$5))-(((ABS(I106)/MAX(((G34)+(I34)*(MAX($D$16,(M106)-(K34))))*(MAX($D$16,(M106)-(K34))),0.000001))^2)/(2*$I$5)))))+($D$10*(ABS((X34)-(W34))/90)*MAX(((ABS(I106)/MAX(((F34)+(H34)*(MAX($D$16,(E106)-(J34))))*(MAX($D$16,(E106)-(J34))),0.000001))^2)/(2*$I$5),((ABS(I106)/MAX(((G34)+(I34)*(MAX($D$16,(M106)-(K34))))*(MAX($D$16,(M106)-(K34))),0.000001))^2)/(2*$I$5)))+(0)-((ABS(I106)/MAX(((F34)+(H34)*(MAX($D$16,(E106)-(J34))))*(MAX($D$16,(E106)-(J34))),0.000001))^2)/(2*$I$5)</f>
        <v>635.5</v>
      </c>
      <c r="T106">
        <f>N106+((ABS(J106)/MAX(((G35)+(I35)*(MAX($D$16,(N106)-(K35))))*(MAX($D$16,(N106)-(K35))),0.000001))^2)/(2*$I$5)+((E35)*((((ABS(J106)*$D$6)/(MAX(((F35)+(H35)*(MAX($D$16,(E106)-(J35))))*(MAX($D$16,(E106)-(J35))),0.000001)*MAX(((((F35)+(H35)*(MAX($D$16,(E106)-(J35))))*(MAX($D$16,(E106)-(J35))))/MAX((F35)+2*(MAX($D$16,(E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E106)-(J35))))*(MAX($D$16,(E106)-(J35))),0.000001)),$D$9*((((ABS(J106)/MAX(((G35)+(I35)*(MAX($D$16,(N106)-(K35))))*(MAX($D$16,(N106)-(K35))),0.000001))^2)/(2*$I$5))-(((ABS(J106)/MAX(((F35)+(H35)*(MAX($D$16,(E106)-(J35))))*(MAX($D$16,(E106)-(J35))),0.000001))^2)/(2*$I$5))),$D$8*((((ABS(J106)/MAX(((F35)+(H35)*(MAX($D$16,(E106)-(J35))))*(MAX($D$16,(E106)-(J35))),0.000001))^2)/(2*$I$5))-(((ABS(J106)/MAX(((G35)+(I35)*(MAX($D$16,(N106)-(K35))))*(MAX($D$16,(N106)-(K35))),0.000001))^2)/(2*$I$5)))))+($D$10*(ABS((X35)-(W35))/90)*MAX(((ABS(J106)/MAX(((F35)+(H35)*(MAX($D$16,(E106)-(J35))))*(MAX($D$16,(E106)-(J35))),0.000001))^2)/(2*$I$5),((ABS(J106)/MAX(((G35)+(I35)*(MAX($D$16,(N106)-(K35))))*(MAX($D$16,(N106)-(K35))),0.000001))^2)/(2*$I$5)))+(($D$11*0.34699541*(ABS(I106)/MAX(ABS(G106),0.000001))^2*MAX(((ABS(J106)/MAX(((F35)+(H35)*(MAX($D$16,(E106)-(J35))))*(MAX($D$16,(E106)-(J35))),0.000001))^2)/(2*$I$5),((ABS(J106)/MAX(((G35)+(I35)*(MAX($D$16,(N106)-(K35))))*(MAX($D$16,(N106)-(K35))),0.000001))^2)/(2*$I$5))))-((ABS(J106)/MAX(((F35)+(H35)*(MAX($D$16,(E106)-(J35))))*(MAX($D$16,(E106)-(J35))),0.000001))^2)/(2*$I$5)</f>
        <v>22382.80587457701</v>
      </c>
      <c r="U106">
        <f>(((((F32)*(MAX($D$16,(D106)-(J32)))^2)/2+(H32)*(MAX($D$16,(D106)-(J32)))^3/3+(ABS(G106)^2)/($I$5*MAX(((F32)+(H32)*(MAX($D$16,(D106)-(J32))))*(MAX($D$16,(D106)-(J32))),0.000001)))*0.72785025)-((((F33)*(MAX($D$16,(D106)-(J33)))^2)/2+(H33)*(MAX($D$16,(D106)-(J33)))^3/3+(ABS(H106)^2)/($I$5*MAX(((F33)+(H33)*(MAX($D$16,(D106)-(J33))))*(MAX($D$16,(D106)-(J33))),0.000001)))*0.99999971))/MAX(((G31)*(MAX($D$16,(D106)-(K31)))^2)/2+(I31)*(MAX($D$16,(D106)-(K31)))^3/3+(ABS(F106)^2)/($I$5*MAX(((G31)+(I31)*(MAX($D$16,(D106)-(K31))))*(MAX($D$16,(D106)-(K31))),0.000001)),0.000001)</f>
        <v>-0.27214945999978923</v>
      </c>
      <c r="V106">
        <f>(((((F34)*(MAX($D$16,(E106)-(J34)))^2)/2+(H34)*(MAX($D$16,(E106)-(J34)))^3/3+(ABS(I106)^2)/($I$5*MAX(((F34)+(H34)*(MAX($D$16,(E106)-(J34))))*(MAX($D$16,(E106)-(J34))),0.000001)))*1)-((((F35)*(MAX($D$16,(E106)-(J35)))^2)/2+(H35)*(MAX($D$16,(E106)-(J35)))^3/3+(ABS(J106)^2)/($I$5*MAX(((F35)+(H35)*(MAX($D$16,(E106)-(J35))))*(MAX($D$16,(E106)-(J35))),0.000001)))*0.30600918))/MAX(((G32)*(MAX($D$16,(E106)-(K32)))^2)/2+(I32)*(MAX($D$16,(E106)-(K32)))^3/3+(ABS(G106)^2)/($I$5*MAX(((G32)+(I32)*(MAX($D$16,(E106)-(K32))))*(MAX($D$16,(E106)-(K32))),0.000001)),0.000001)</f>
        <v>-0.30598462674144999</v>
      </c>
      <c r="W106">
        <f>IF(N6="None",MAX(ABS(O106-D106),ABS(P106-D106)),MAX(ABS(O106-D106),ABS(P106-D106),ABS(Q106-D106)))</f>
        <v>38814.692422854459</v>
      </c>
      <c r="X106">
        <f>IF(AND(N7="None",N8="None"),ABS(R106-E106),IF(N8="None",MAX(ABS(R106-E106),ABS(S106-E106)),IF(N7="None",MAX(ABS(R106-E106),ABS(T106-E106)),MAX(ABS(R106-E106),ABS(S106-E106),ABS(T106-E106)))))</f>
        <v>38591.925356955515</v>
      </c>
      <c r="AA106">
        <f>D106+$D$13*(IF(N6="None",AVERAGE(O106:P106),AVERAGE(O106:Q106))-D106)</f>
        <v>39452.343730156499</v>
      </c>
      <c r="AB106">
        <f>E106+$D$13*(IF(AND(N7="None",N8="None"),R106,IF(N8="None",AVERAGE(R106:S106),IF(N7="None",AVERAGE(R106,T106),AVERAGE(R106:T106))))-E106)</f>
        <v>-7786.8136926684165</v>
      </c>
    </row>
    <row r="107" spans="1:28" x14ac:dyDescent="0.35">
      <c r="A107">
        <v>64</v>
      </c>
      <c r="B107">
        <f t="shared" si="8"/>
        <v>0</v>
      </c>
      <c r="C107">
        <f t="shared" si="9"/>
        <v>0</v>
      </c>
      <c r="D107">
        <f t="shared" si="10"/>
        <v>39452.343730156499</v>
      </c>
      <c r="E107">
        <f t="shared" si="11"/>
        <v>-7786.8136926684165</v>
      </c>
      <c r="F107">
        <f t="shared" ref="F107:F122" si="12">$D$5</f>
        <v>51</v>
      </c>
      <c r="G107">
        <f>IF(N6="None",F107,MAX(0,F107*B107))</f>
        <v>51</v>
      </c>
      <c r="H107">
        <f>IF(N6="None",0,MAX(0,F107-G107))</f>
        <v>0</v>
      </c>
      <c r="I107">
        <f>IF(AND(N7="None",N8="None"),0,IF(N8="None",G107,IF(N7="None",0,MAX(0,G107*C107))))</f>
        <v>0</v>
      </c>
      <c r="J107">
        <f>IF(AND(N7="None",N8="None"),0,IF(N8="None",0,IF(N7="None",G107,MAX(0,G107-I107))))</f>
        <v>51</v>
      </c>
      <c r="K107">
        <f>P5</f>
        <v>637</v>
      </c>
      <c r="L107">
        <f>P6</f>
        <v>637</v>
      </c>
      <c r="M107">
        <f>P7</f>
        <v>635.5</v>
      </c>
      <c r="N107">
        <f>P8</f>
        <v>631.54999999999995</v>
      </c>
      <c r="O107">
        <f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D107)-(K31))))*(MAX($D$16,(D107)-(K31))),0.000001)*MAX(((((G31)+(I31)*(MAX($D$16,(D107)-(K31))))*(MAX($D$16,(D107)-(K31))))/MAX((G31)+2*(MAX($D$16,(D107)-(K31)))*SQRT(1+(I31)^2),0.000001))^(2/3),0.000001)))^2))/2)+(IF((ABS(F107)/MAX(((G31)+(I31)*(MAX($D$16,(D107)-(K31))))*(MAX($D$16,(D107)-(K31))),0.000001))&gt;(ABS(F107)/MAX(((F31)+(H31)*(MAX($D$16,(K107)-(J31))))*(MAX($D$16,(K107)-(J31))),0.000001)),$D$9*((((ABS(F107)/MAX(((G31)+(I31)*(MAX($D$16,(D107)-(K31))))*(MAX($D$16,(D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D107)-(K31))))*(MAX($D$16,(D107)-(K31))),0.000001))^2)/(2*$I$5)))))+($D$10*(ABS((X31)-(W31))/90)*MAX(((ABS(F107)/MAX(((F31)+(H31)*(MAX($D$16,(K107)-(J31))))*(MAX($D$16,(K107)-(J31))),0.000001))^2)/(2*$I$5),((ABS(F107)/MAX(((G31)+(I31)*(MAX($D$16,(D107)-(K31))))*(MAX($D$16,(D107)-(K31))),0.000001))^2)/(2*$I$5)))+(0)-((ABS(F107)/MAX(((G31)+(I31)*(MAX($D$16,(D107)-(K31))))*(MAX($D$16,(D107)-(K31))),0.000001))^2)/(2*$I$5)</f>
        <v>637.65825100972802</v>
      </c>
      <c r="P107">
        <f>E107+((ABS(G107)/MAX(((G32)+(I32)*(MAX($D$16,(E107)-(K32))))*(MAX($D$16,(E107)-(K32))),0.000001))^2)/(2*$I$5)+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F32)+(H32)*(MAX($D$16,(D107)-(J32))))*(MAX($D$16,(D107)-(J32))),0.000001))^2)/(2*$I$5)</f>
        <v>78267.035882727359</v>
      </c>
      <c r="Q107">
        <f>L107+((ABS(H107)/MAX(((G33)+(I33)*(MAX($D$16,(L107)-(K33))))*(MAX($D$16,(L107)-(K33))),0.000001))^2)/(2*$I$5)+((E33)*((((ABS(H107)*$D$6)/(MAX(((F33)+(H33)*(MAX($D$16,(D107)-(J33))))*(MAX($D$16,(D107)-(J33))),0.000001)*MAX(((((F33)+(H33)*(MAX($D$16,(D107)-(J33))))*(MAX($D$16,(D107)-(J33))))/MAX((F33)+2*(MAX($D$16,(D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D107)-(J33))))*(MAX($D$16,(D107)-(J33))),0.000001)),$D$9*((((ABS(H107)/MAX(((G33)+(I33)*(MAX($D$16,(L107)-(K33))))*(MAX($D$16,(L107)-(K33))),0.000001))^2)/(2*$I$5))-(((ABS(H107)/MAX(((F33)+(H33)*(MAX($D$16,(D107)-(J33))))*(MAX($D$16,(D107)-(J33))),0.000001))^2)/(2*$I$5))),$D$8*((((ABS(H107)/MAX(((F33)+(H33)*(MAX($D$16,(D107)-(J33))))*(MAX($D$16,(D107)-(J33))),0.000001))^2)/(2*$I$5))-(((ABS(H107)/MAX(((G33)+(I33)*(MAX($D$16,(L107)-(K33))))*(MAX($D$16,(L107)-(K33))),0.000001))^2)/(2*$I$5)))))+($D$10*(ABS((X33)-(W33))/90)*MAX(((ABS(H107)/MAX(((F33)+(H33)*(MAX($D$16,(D107)-(J33))))*(MAX($D$16,(D107)-(J33))),0.000001))^2)/(2*$I$5),((ABS(H107)/MAX(((G33)+(I33)*(MAX($D$16,(L107)-(K33))))*(MAX($D$16,(L107)-(K33))),0.000001))^2)/(2*$I$5)))+(($D$11*0.00000015*(ABS(G107)/MAX(ABS(F107),0.000001))^2*MAX(((ABS(H107)/MAX(((F33)+(H33)*(MAX($D$16,(D107)-(J33))))*(MAX($D$16,(D107)-(J33))),0.000001))^2)/(2*$I$5),((ABS(H107)/MAX(((G33)+(I33)*(MAX($D$16,(L107)-(K33))))*(MAX($D$16,(L107)-(K33))),0.000001))^2)/(2*$I$5))))-((ABS(H107)/MAX(((F33)+(H33)*(MAX($D$16,(D107)-(J33))))*(MAX($D$16,(D107)-(J33))),0.000001))^2)/(2*$I$5)</f>
        <v>637</v>
      </c>
      <c r="R107">
        <f>D107+((ABS(G107)/MAX(((F32)+(H32)*(MAX($D$16,(D107)-(J32))))*(MAX($D$16,(D107)-(J32))),0.000001))^2)/(2*$I$5)-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G32)+(I32)*(MAX($D$16,(E107)-(K32))))*(MAX($D$16,(E107)-(K32))),0.000001))^2)/(2*$I$5)</f>
        <v>-46378.73877934034</v>
      </c>
      <c r="S107">
        <f>M107+((ABS(I107)/MAX(((G34)+(I34)*(MAX($D$16,(M107)-(K34))))*(MAX($D$16,(M107)-(K34))),0.000001))^2)/(2*$I$5)+((E34)*((((ABS(I107)*$D$6)/(MAX(((F34)+(H34)*(MAX($D$16,(E107)-(J34))))*(MAX($D$16,(E107)-(J34))),0.000001)*MAX(((((F34)+(H34)*(MAX($D$16,(E107)-(J34))))*(MAX($D$16,(E107)-(J34))))/MAX((F34)+2*(MAX($D$16,(E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E107)-(J34))))*(MAX($D$16,(E107)-(J34))),0.000001)),$D$9*((((ABS(I107)/MAX(((G34)+(I34)*(MAX($D$16,(M107)-(K34))))*(MAX($D$16,(M107)-(K34))),0.000001))^2)/(2*$I$5))-(((ABS(I107)/MAX(((F34)+(H34)*(MAX($D$16,(E107)-(J34))))*(MAX($D$16,(E107)-(J34))),0.000001))^2)/(2*$I$5))),$D$8*((((ABS(I107)/MAX(((F34)+(H34)*(MAX($D$16,(E107)-(J34))))*(MAX($D$16,(E107)-(J34))),0.000001))^2)/(2*$I$5))-(((ABS(I107)/MAX(((G34)+(I34)*(MAX($D$16,(M107)-(K34))))*(MAX($D$16,(M107)-(K34))),0.000001))^2)/(2*$I$5)))))+($D$10*(ABS((X34)-(W34))/90)*MAX(((ABS(I107)/MAX(((F34)+(H34)*(MAX($D$16,(E107)-(J34))))*(MAX($D$16,(E107)-(J34))),0.000001))^2)/(2*$I$5),((ABS(I107)/MAX(((G34)+(I34)*(MAX($D$16,(M107)-(K34))))*(MAX($D$16,(M107)-(K34))),0.000001))^2)/(2*$I$5)))+(0)-((ABS(I107)/MAX(((F34)+(H34)*(MAX($D$16,(E107)-(J34))))*(MAX($D$16,(E107)-(J34))),0.000001))^2)/(2*$I$5)</f>
        <v>635.5</v>
      </c>
      <c r="T107">
        <f>N107+((ABS(J107)/MAX(((G35)+(I35)*(MAX($D$16,(N107)-(K35))))*(MAX($D$16,(N107)-(K35))),0.000001))^2)/(2*$I$5)+((E35)*((((ABS(J107)*$D$6)/(MAX(((F35)+(H35)*(MAX($D$16,(E107)-(J35))))*(MAX($D$16,(E107)-(J35))),0.000001)*MAX(((((F35)+(H35)*(MAX($D$16,(E107)-(J35))))*(MAX($D$16,(E107)-(J35))))/MAX((F35)+2*(MAX($D$16,(E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E107)-(J35))))*(MAX($D$16,(E107)-(J35))),0.000001)),$D$9*((((ABS(J107)/MAX(((G35)+(I35)*(MAX($D$16,(N107)-(K35))))*(MAX($D$16,(N107)-(K35))),0.000001))^2)/(2*$I$5))-(((ABS(J107)/MAX(((F35)+(H35)*(MAX($D$16,(E107)-(J35))))*(MAX($D$16,(E107)-(J35))),0.000001))^2)/(2*$I$5))),$D$8*((((ABS(J107)/MAX(((F35)+(H35)*(MAX($D$16,(E107)-(J35))))*(MAX($D$16,(E107)-(J35))),0.000001))^2)/(2*$I$5))-(((ABS(J107)/MAX(((G35)+(I35)*(MAX($D$16,(N107)-(K35))))*(MAX($D$16,(N107)-(K35))),0.000001))^2)/(2*$I$5)))))+($D$10*(ABS((X35)-(W35))/90)*MAX(((ABS(J107)/MAX(((F35)+(H35)*(MAX($D$16,(E107)-(J35))))*(MAX($D$16,(E107)-(J35))),0.000001))^2)/(2*$I$5),((ABS(J107)/MAX(((G35)+(I35)*(MAX($D$16,(N107)-(K35))))*(MAX($D$16,(N107)-(K35))),0.000001))^2)/(2*$I$5)))+(($D$11*0.34699541*(ABS(I107)/MAX(ABS(G107),0.000001))^2*MAX(((ABS(J107)/MAX(((F35)+(H35)*(MAX($D$16,(E107)-(J35))))*(MAX($D$16,(E107)-(J35))),0.000001))^2)/(2*$I$5),((ABS(J107)/MAX(((G35)+(I35)*(MAX($D$16,(N107)-(K35))))*(MAX($D$16,(N107)-(K35))),0.000001))^2)/(2*$I$5))))-((ABS(J107)/MAX(((F35)+(H35)*(MAX($D$16,(E107)-(J35))))*(MAX($D$16,(E107)-(J35))),0.000001))^2)/(2*$I$5)</f>
        <v>22382.80587457701</v>
      </c>
      <c r="U107">
        <f>(((((F32)*(MAX($D$16,(D107)-(J32)))^2)/2+(H32)*(MAX($D$16,(D107)-(J32)))^3/3+(ABS(G107)^2)/($I$5*MAX(((F32)+(H32)*(MAX($D$16,(D107)-(J32))))*(MAX($D$16,(D107)-(J32))),0.000001)))*0.72785025)-((((F33)*(MAX($D$16,(D107)-(J33)))^2)/2+(H33)*(MAX($D$16,(D107)-(J33)))^3/3+(ABS(H107)^2)/($I$5*MAX(((F33)+(H33)*(MAX($D$16,(D107)-(J33))))*(MAX($D$16,(D107)-(J33))),0.000001)))*0.99999971))/MAX(((G31)*(MAX($D$16,(D107)-(K31)))^2)/2+(I31)*(MAX($D$16,(D107)-(K31)))^3/3+(ABS(F107)^2)/($I$5*MAX(((G31)+(I31)*(MAX($D$16,(D107)-(K31))))*(MAX($D$16,(D107)-(K31))),0.000001)),0.000001)</f>
        <v>-0.27214945999978923</v>
      </c>
      <c r="V107">
        <f>(((((F34)*(MAX($D$16,(E107)-(J34)))^2)/2+(H34)*(MAX($D$16,(E107)-(J34)))^3/3+(ABS(I107)^2)/($I$5*MAX(((F34)+(H34)*(MAX($D$16,(E107)-(J34))))*(MAX($D$16,(E107)-(J34))),0.000001)))*1)-((((F35)*(MAX($D$16,(E107)-(J35)))^2)/2+(H35)*(MAX($D$16,(E107)-(J35)))^3/3+(ABS(J107)^2)/($I$5*MAX(((F35)+(H35)*(MAX($D$16,(E107)-(J35))))*(MAX($D$16,(E107)-(J35))),0.000001)))*0.30600918))/MAX(((G32)*(MAX($D$16,(E107)-(K32)))^2)/2+(I32)*(MAX($D$16,(E107)-(K32)))^3/3+(ABS(G107)^2)/($I$5*MAX(((G32)+(I32)*(MAX($D$16,(E107)-(K32))))*(MAX($D$16,(E107)-(K32))),0.000001)),0.000001)</f>
        <v>-0.30598462674144999</v>
      </c>
      <c r="W107">
        <f>IF(N6="None",MAX(ABS(O107-D107),ABS(P107-D107)),MAX(ABS(O107-D107),ABS(P107-D107),ABS(Q107-D107)))</f>
        <v>38814.69215257086</v>
      </c>
      <c r="X107">
        <f>IF(AND(N7="None",N8="None"),ABS(R107-E107),IF(N8="None",MAX(ABS(R107-E107),ABS(S107-E107)),IF(N7="None",MAX(ABS(R107-E107),ABS(T107-E107)),MAX(ABS(R107-E107),ABS(S107-E107),ABS(T107-E107)))))</f>
        <v>38591.925086671923</v>
      </c>
      <c r="AA107">
        <f>D107+$D$13*(IF(N6="None",AVERAGE(O107:P107),AVERAGE(O107:Q107))-D107)</f>
        <v>39452.344898005715</v>
      </c>
      <c r="AB107">
        <f>E107+$D$13*(IF(AND(N7="None",N8="None"),R107,IF(N8="None",AVERAGE(R107:S107),IF(N7="None",AVERAGE(R107,T107),AVERAGE(R107:T107))))-E107)</f>
        <v>-7786.8127391235257</v>
      </c>
    </row>
    <row r="108" spans="1:28" x14ac:dyDescent="0.35">
      <c r="A108">
        <v>65</v>
      </c>
      <c r="B108">
        <f t="shared" ref="B108:B122" si="13">Y107</f>
        <v>0</v>
      </c>
      <c r="C108">
        <f t="shared" ref="C108:C122" si="14">Z107</f>
        <v>0</v>
      </c>
      <c r="D108">
        <f t="shared" ref="D108:D122" si="15">AA107</f>
        <v>39452.344898005715</v>
      </c>
      <c r="E108">
        <f t="shared" ref="E108:E122" si="16">AB107</f>
        <v>-7786.8127391235257</v>
      </c>
      <c r="F108">
        <f t="shared" si="12"/>
        <v>51</v>
      </c>
      <c r="G108">
        <f>IF(N6="None",F108,MAX(0,F108*B108))</f>
        <v>51</v>
      </c>
      <c r="H108">
        <f>IF(N6="None",0,MAX(0,F108-G108))</f>
        <v>0</v>
      </c>
      <c r="I108">
        <f>IF(AND(N7="None",N8="None"),0,IF(N8="None",G108,IF(N7="None",0,MAX(0,G108*C108))))</f>
        <v>0</v>
      </c>
      <c r="J108">
        <f>IF(AND(N7="None",N8="None"),0,IF(N8="None",0,IF(N7="None",G108,MAX(0,G108-I108))))</f>
        <v>51</v>
      </c>
      <c r="K108">
        <f>P5</f>
        <v>637</v>
      </c>
      <c r="L108">
        <f>P6</f>
        <v>637</v>
      </c>
      <c r="M108">
        <f>P7</f>
        <v>635.5</v>
      </c>
      <c r="N108">
        <f>P8</f>
        <v>631.54999999999995</v>
      </c>
      <c r="O108">
        <f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D108)-(K31))))*(MAX($D$16,(D108)-(K31))),0.000001)*MAX(((((G31)+(I31)*(MAX($D$16,(D108)-(K31))))*(MAX($D$16,(D108)-(K31))))/MAX((G31)+2*(MAX($D$16,(D108)-(K31)))*SQRT(1+(I31)^2),0.000001))^(2/3),0.000001)))^2))/2)+(IF((ABS(F108)/MAX(((G31)+(I31)*(MAX($D$16,(D108)-(K31))))*(MAX($D$16,(D108)-(K31))),0.000001))&gt;(ABS(F108)/MAX(((F31)+(H31)*(MAX($D$16,(K108)-(J31))))*(MAX($D$16,(K108)-(J31))),0.000001)),$D$9*((((ABS(F108)/MAX(((G31)+(I31)*(MAX($D$16,(D108)-(K31))))*(MAX($D$16,(D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D108)-(K31))))*(MAX($D$16,(D108)-(K31))),0.000001))^2)/(2*$I$5)))))+($D$10*(ABS((X31)-(W31))/90)*MAX(((ABS(F108)/MAX(((F31)+(H31)*(MAX($D$16,(K108)-(J31))))*(MAX($D$16,(K108)-(J31))),0.000001))^2)/(2*$I$5),((ABS(F108)/MAX(((G31)+(I31)*(MAX($D$16,(D108)-(K31))))*(MAX($D$16,(D108)-(K31))),0.000001))^2)/(2*$I$5)))+(0)-((ABS(F108)/MAX(((G31)+(I31)*(MAX($D$16,(D108)-(K31))))*(MAX($D$16,(D108)-(K31))),0.000001))^2)/(2*$I$5)</f>
        <v>637.65825100972802</v>
      </c>
      <c r="P108">
        <f>E108+((ABS(G108)/MAX(((G32)+(I32)*(MAX($D$16,(E108)-(K32))))*(MAX($D$16,(E108)-(K32))),0.000001))^2)/(2*$I$5)+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F32)+(H32)*(MAX($D$16,(D108)-(J32))))*(MAX($D$16,(D108)-(J32))),0.000001))^2)/(2*$I$5)</f>
        <v>78267.036836272251</v>
      </c>
      <c r="Q108">
        <f>L108+((ABS(H108)/MAX(((G33)+(I33)*(MAX($D$16,(L108)-(K33))))*(MAX($D$16,(L108)-(K33))),0.000001))^2)/(2*$I$5)+((E33)*((((ABS(H108)*$D$6)/(MAX(((F33)+(H33)*(MAX($D$16,(D108)-(J33))))*(MAX($D$16,(D108)-(J33))),0.000001)*MAX(((((F33)+(H33)*(MAX($D$16,(D108)-(J33))))*(MAX($D$16,(D108)-(J33))))/MAX((F33)+2*(MAX($D$16,(D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D108)-(J33))))*(MAX($D$16,(D108)-(J33))),0.000001)),$D$9*((((ABS(H108)/MAX(((G33)+(I33)*(MAX($D$16,(L108)-(K33))))*(MAX($D$16,(L108)-(K33))),0.000001))^2)/(2*$I$5))-(((ABS(H108)/MAX(((F33)+(H33)*(MAX($D$16,(D108)-(J33))))*(MAX($D$16,(D108)-(J33))),0.000001))^2)/(2*$I$5))),$D$8*((((ABS(H108)/MAX(((F33)+(H33)*(MAX($D$16,(D108)-(J33))))*(MAX($D$16,(D108)-(J33))),0.000001))^2)/(2*$I$5))-(((ABS(H108)/MAX(((G33)+(I33)*(MAX($D$16,(L108)-(K33))))*(MAX($D$16,(L108)-(K33))),0.000001))^2)/(2*$I$5)))))+($D$10*(ABS((X33)-(W33))/90)*MAX(((ABS(H108)/MAX(((F33)+(H33)*(MAX($D$16,(D108)-(J33))))*(MAX($D$16,(D108)-(J33))),0.000001))^2)/(2*$I$5),((ABS(H108)/MAX(((G33)+(I33)*(MAX($D$16,(L108)-(K33))))*(MAX($D$16,(L108)-(K33))),0.000001))^2)/(2*$I$5)))+(($D$11*0.00000015*(ABS(G108)/MAX(ABS(F108),0.000001))^2*MAX(((ABS(H108)/MAX(((F33)+(H33)*(MAX($D$16,(D108)-(J33))))*(MAX($D$16,(D108)-(J33))),0.000001))^2)/(2*$I$5),((ABS(H108)/MAX(((G33)+(I33)*(MAX($D$16,(L108)-(K33))))*(MAX($D$16,(L108)-(K33))),0.000001))^2)/(2*$I$5))))-((ABS(H108)/MAX(((F33)+(H33)*(MAX($D$16,(D108)-(J33))))*(MAX($D$16,(D108)-(J33))),0.000001))^2)/(2*$I$5)</f>
        <v>637</v>
      </c>
      <c r="R108">
        <f>D108+((ABS(G108)/MAX(((F32)+(H32)*(MAX($D$16,(D108)-(J32))))*(MAX($D$16,(D108)-(J32))),0.000001))^2)/(2*$I$5)-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G32)+(I32)*(MAX($D$16,(E108)-(K32))))*(MAX($D$16,(E108)-(K32))),0.000001))^2)/(2*$I$5)</f>
        <v>-46378.737611491124</v>
      </c>
      <c r="S108">
        <f>M108+((ABS(I108)/MAX(((G34)+(I34)*(MAX($D$16,(M108)-(K34))))*(MAX($D$16,(M108)-(K34))),0.000001))^2)/(2*$I$5)+((E34)*((((ABS(I108)*$D$6)/(MAX(((F34)+(H34)*(MAX($D$16,(E108)-(J34))))*(MAX($D$16,(E108)-(J34))),0.000001)*MAX(((((F34)+(H34)*(MAX($D$16,(E108)-(J34))))*(MAX($D$16,(E108)-(J34))))/MAX((F34)+2*(MAX($D$16,(E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E108)-(J34))))*(MAX($D$16,(E108)-(J34))),0.000001)),$D$9*((((ABS(I108)/MAX(((G34)+(I34)*(MAX($D$16,(M108)-(K34))))*(MAX($D$16,(M108)-(K34))),0.000001))^2)/(2*$I$5))-(((ABS(I108)/MAX(((F34)+(H34)*(MAX($D$16,(E108)-(J34))))*(MAX($D$16,(E108)-(J34))),0.000001))^2)/(2*$I$5))),$D$8*((((ABS(I108)/MAX(((F34)+(H34)*(MAX($D$16,(E108)-(J34))))*(MAX($D$16,(E108)-(J34))),0.000001))^2)/(2*$I$5))-(((ABS(I108)/MAX(((G34)+(I34)*(MAX($D$16,(M108)-(K34))))*(MAX($D$16,(M108)-(K34))),0.000001))^2)/(2*$I$5)))))+($D$10*(ABS((X34)-(W34))/90)*MAX(((ABS(I108)/MAX(((F34)+(H34)*(MAX($D$16,(E108)-(J34))))*(MAX($D$16,(E108)-(J34))),0.000001))^2)/(2*$I$5),((ABS(I108)/MAX(((G34)+(I34)*(MAX($D$16,(M108)-(K34))))*(MAX($D$16,(M108)-(K34))),0.000001))^2)/(2*$I$5)))+(0)-((ABS(I108)/MAX(((F34)+(H34)*(MAX($D$16,(E108)-(J34))))*(MAX($D$16,(E108)-(J34))),0.000001))^2)/(2*$I$5)</f>
        <v>635.5</v>
      </c>
      <c r="T108">
        <f>N108+((ABS(J108)/MAX(((G35)+(I35)*(MAX($D$16,(N108)-(K35))))*(MAX($D$16,(N108)-(K35))),0.000001))^2)/(2*$I$5)+((E35)*((((ABS(J108)*$D$6)/(MAX(((F35)+(H35)*(MAX($D$16,(E108)-(J35))))*(MAX($D$16,(E108)-(J35))),0.000001)*MAX(((((F35)+(H35)*(MAX($D$16,(E108)-(J35))))*(MAX($D$16,(E108)-(J35))))/MAX((F35)+2*(MAX($D$16,(E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E108)-(J35))))*(MAX($D$16,(E108)-(J35))),0.000001)),$D$9*((((ABS(J108)/MAX(((G35)+(I35)*(MAX($D$16,(N108)-(K35))))*(MAX($D$16,(N108)-(K35))),0.000001))^2)/(2*$I$5))-(((ABS(J108)/MAX(((F35)+(H35)*(MAX($D$16,(E108)-(J35))))*(MAX($D$16,(E108)-(J35))),0.000001))^2)/(2*$I$5))),$D$8*((((ABS(J108)/MAX(((F35)+(H35)*(MAX($D$16,(E108)-(J35))))*(MAX($D$16,(E108)-(J35))),0.000001))^2)/(2*$I$5))-(((ABS(J108)/MAX(((G35)+(I35)*(MAX($D$16,(N108)-(K35))))*(MAX($D$16,(N108)-(K35))),0.000001))^2)/(2*$I$5)))))+($D$10*(ABS((X35)-(W35))/90)*MAX(((ABS(J108)/MAX(((F35)+(H35)*(MAX($D$16,(E108)-(J35))))*(MAX($D$16,(E108)-(J35))),0.000001))^2)/(2*$I$5),((ABS(J108)/MAX(((G35)+(I35)*(MAX($D$16,(N108)-(K35))))*(MAX($D$16,(N108)-(K35))),0.000001))^2)/(2*$I$5)))+(($D$11*0.34699541*(ABS(I108)/MAX(ABS(G108),0.000001))^2*MAX(((ABS(J108)/MAX(((F35)+(H35)*(MAX($D$16,(E108)-(J35))))*(MAX($D$16,(E108)-(J35))),0.000001))^2)/(2*$I$5),((ABS(J108)/MAX(((G35)+(I35)*(MAX($D$16,(N108)-(K35))))*(MAX($D$16,(N108)-(K35))),0.000001))^2)/(2*$I$5))))-((ABS(J108)/MAX(((F35)+(H35)*(MAX($D$16,(E108)-(J35))))*(MAX($D$16,(E108)-(J35))),0.000001))^2)/(2*$I$5)</f>
        <v>22382.80587457701</v>
      </c>
      <c r="U108">
        <f>(((((F32)*(MAX($D$16,(D108)-(J32)))^2)/2+(H32)*(MAX($D$16,(D108)-(J32)))^3/3+(ABS(G108)^2)/($I$5*MAX(((F32)+(H32)*(MAX($D$16,(D108)-(J32))))*(MAX($D$16,(D108)-(J32))),0.000001)))*0.72785025)-((((F33)*(MAX($D$16,(D108)-(J33)))^2)/2+(H33)*(MAX($D$16,(D108)-(J33)))^3/3+(ABS(H108)^2)/($I$5*MAX(((F33)+(H33)*(MAX($D$16,(D108)-(J33))))*(MAX($D$16,(D108)-(J33))),0.000001)))*0.99999971))/MAX(((G31)*(MAX($D$16,(D108)-(K31)))^2)/2+(I31)*(MAX($D$16,(D108)-(K31)))^3/3+(ABS(F108)^2)/($I$5*MAX(((G31)+(I31)*(MAX($D$16,(D108)-(K31))))*(MAX($D$16,(D108)-(K31))),0.000001)),0.000001)</f>
        <v>-0.27214945999978912</v>
      </c>
      <c r="V108">
        <f>(((((F34)*(MAX($D$16,(E108)-(J34)))^2)/2+(H34)*(MAX($D$16,(E108)-(J34)))^3/3+(ABS(I108)^2)/($I$5*MAX(((F34)+(H34)*(MAX($D$16,(E108)-(J34))))*(MAX($D$16,(E108)-(J34))),0.000001)))*1)-((((F35)*(MAX($D$16,(E108)-(J35)))^2)/2+(H35)*(MAX($D$16,(E108)-(J35)))^3/3+(ABS(J108)^2)/($I$5*MAX(((F35)+(H35)*(MAX($D$16,(E108)-(J35))))*(MAX($D$16,(E108)-(J35))),0.000001)))*0.30600918))/MAX(((G32)*(MAX($D$16,(E108)-(K32)))^2)/2+(I32)*(MAX($D$16,(E108)-(K32)))^3/3+(ABS(G108)^2)/($I$5*MAX(((G32)+(I32)*(MAX($D$16,(E108)-(K32))))*(MAX($D$16,(E108)-(K32))),0.000001)),0.000001)</f>
        <v>-0.30598462674144999</v>
      </c>
      <c r="W108">
        <f>IF(N6="None",MAX(ABS(O108-D108),ABS(P108-D108)),MAX(ABS(O108-D108),ABS(P108-D108),ABS(Q108-D108)))</f>
        <v>38814.691938266536</v>
      </c>
      <c r="X108">
        <f>IF(AND(N7="None",N8="None"),ABS(R108-E108),IF(N8="None",MAX(ABS(R108-E108),ABS(S108-E108)),IF(N7="None",MAX(ABS(R108-E108),ABS(T108-E108)),MAX(ABS(R108-E108),ABS(S108-E108),ABS(T108-E108)))))</f>
        <v>38591.924872367599</v>
      </c>
      <c r="AA108">
        <f>D108+$D$13*(IF(N6="None",AVERAGE(O108:P108),AVERAGE(O108:Q108))-D108)</f>
        <v>39452.345823978059</v>
      </c>
      <c r="AB108">
        <f>E108+$D$13*(IF(AND(N7="None",N8="None"),R108,IF(N8="None",AVERAGE(R108:S108),IF(N7="None",AVERAGE(R108,T108),AVERAGE(R108:T108))))-E108)</f>
        <v>-7786.8119830702717</v>
      </c>
    </row>
    <row r="109" spans="1:28" x14ac:dyDescent="0.35">
      <c r="A109">
        <v>66</v>
      </c>
      <c r="B109">
        <f t="shared" si="13"/>
        <v>0</v>
      </c>
      <c r="C109">
        <f t="shared" si="14"/>
        <v>0</v>
      </c>
      <c r="D109">
        <f t="shared" si="15"/>
        <v>39452.345823978059</v>
      </c>
      <c r="E109">
        <f t="shared" si="16"/>
        <v>-7786.8119830702717</v>
      </c>
      <c r="F109">
        <f t="shared" si="12"/>
        <v>51</v>
      </c>
      <c r="G109">
        <f>IF(N6="None",F109,MAX(0,F109*B109))</f>
        <v>51</v>
      </c>
      <c r="H109">
        <f>IF(N6="None",0,MAX(0,F109-G109))</f>
        <v>0</v>
      </c>
      <c r="I109">
        <f>IF(AND(N7="None",N8="None"),0,IF(N8="None",G109,IF(N7="None",0,MAX(0,G109*C109))))</f>
        <v>0</v>
      </c>
      <c r="J109">
        <f>IF(AND(N7="None",N8="None"),0,IF(N8="None",0,IF(N7="None",G109,MAX(0,G109-I109))))</f>
        <v>51</v>
      </c>
      <c r="K109">
        <f>P5</f>
        <v>637</v>
      </c>
      <c r="L109">
        <f>P6</f>
        <v>637</v>
      </c>
      <c r="M109">
        <f>P7</f>
        <v>635.5</v>
      </c>
      <c r="N109">
        <f>P8</f>
        <v>631.54999999999995</v>
      </c>
      <c r="O109">
        <f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D109)-(K31))))*(MAX($D$16,(D109)-(K31))),0.000001)*MAX(((((G31)+(I31)*(MAX($D$16,(D109)-(K31))))*(MAX($D$16,(D109)-(K31))))/MAX((G31)+2*(MAX($D$16,(D109)-(K31)))*SQRT(1+(I31)^2),0.000001))^(2/3),0.000001)))^2))/2)+(IF((ABS(F109)/MAX(((G31)+(I31)*(MAX($D$16,(D109)-(K31))))*(MAX($D$16,(D109)-(K31))),0.000001))&gt;(ABS(F109)/MAX(((F31)+(H31)*(MAX($D$16,(K109)-(J31))))*(MAX($D$16,(K109)-(J31))),0.000001)),$D$9*((((ABS(F109)/MAX(((G31)+(I31)*(MAX($D$16,(D109)-(K31))))*(MAX($D$16,(D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D109)-(K31))))*(MAX($D$16,(D109)-(K31))),0.000001))^2)/(2*$I$5)))))+($D$10*(ABS((X31)-(W31))/90)*MAX(((ABS(F109)/MAX(((F31)+(H31)*(MAX($D$16,(K109)-(J31))))*(MAX($D$16,(K109)-(J31))),0.000001))^2)/(2*$I$5),((ABS(F109)/MAX(((G31)+(I31)*(MAX($D$16,(D109)-(K31))))*(MAX($D$16,(D109)-(K31))),0.000001))^2)/(2*$I$5)))+(0)-((ABS(F109)/MAX(((G31)+(I31)*(MAX($D$16,(D109)-(K31))))*(MAX($D$16,(D109)-(K31))),0.000001))^2)/(2*$I$5)</f>
        <v>637.65825100972802</v>
      </c>
      <c r="P109">
        <f>E109+((ABS(G109)/MAX(((G32)+(I32)*(MAX($D$16,(E109)-(K32))))*(MAX($D$16,(E109)-(K32))),0.000001))^2)/(2*$I$5)+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F32)+(H32)*(MAX($D$16,(D109)-(J32))))*(MAX($D$16,(D109)-(J32))),0.000001))^2)/(2*$I$5)</f>
        <v>78267.037592325505</v>
      </c>
      <c r="Q109">
        <f>L109+((ABS(H109)/MAX(((G33)+(I33)*(MAX($D$16,(L109)-(K33))))*(MAX($D$16,(L109)-(K33))),0.000001))^2)/(2*$I$5)+((E33)*((((ABS(H109)*$D$6)/(MAX(((F33)+(H33)*(MAX($D$16,(D109)-(J33))))*(MAX($D$16,(D109)-(J33))),0.000001)*MAX(((((F33)+(H33)*(MAX($D$16,(D109)-(J33))))*(MAX($D$16,(D109)-(J33))))/MAX((F33)+2*(MAX($D$16,(D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D109)-(J33))))*(MAX($D$16,(D109)-(J33))),0.000001)),$D$9*((((ABS(H109)/MAX(((G33)+(I33)*(MAX($D$16,(L109)-(K33))))*(MAX($D$16,(L109)-(K33))),0.000001))^2)/(2*$I$5))-(((ABS(H109)/MAX(((F33)+(H33)*(MAX($D$16,(D109)-(J33))))*(MAX($D$16,(D109)-(J33))),0.000001))^2)/(2*$I$5))),$D$8*((((ABS(H109)/MAX(((F33)+(H33)*(MAX($D$16,(D109)-(J33))))*(MAX($D$16,(D109)-(J33))),0.000001))^2)/(2*$I$5))-(((ABS(H109)/MAX(((G33)+(I33)*(MAX($D$16,(L109)-(K33))))*(MAX($D$16,(L109)-(K33))),0.000001))^2)/(2*$I$5)))))+($D$10*(ABS((X33)-(W33))/90)*MAX(((ABS(H109)/MAX(((F33)+(H33)*(MAX($D$16,(D109)-(J33))))*(MAX($D$16,(D109)-(J33))),0.000001))^2)/(2*$I$5),((ABS(H109)/MAX(((G33)+(I33)*(MAX($D$16,(L109)-(K33))))*(MAX($D$16,(L109)-(K33))),0.000001))^2)/(2*$I$5)))+(($D$11*0.00000015*(ABS(G109)/MAX(ABS(F109),0.000001))^2*MAX(((ABS(H109)/MAX(((F33)+(H33)*(MAX($D$16,(D109)-(J33))))*(MAX($D$16,(D109)-(J33))),0.000001))^2)/(2*$I$5),((ABS(H109)/MAX(((G33)+(I33)*(MAX($D$16,(L109)-(K33))))*(MAX($D$16,(L109)-(K33))),0.000001))^2)/(2*$I$5))))-((ABS(H109)/MAX(((F33)+(H33)*(MAX($D$16,(D109)-(J33))))*(MAX($D$16,(D109)-(J33))),0.000001))^2)/(2*$I$5)</f>
        <v>637</v>
      </c>
      <c r="R109">
        <f>D109+((ABS(G109)/MAX(((F32)+(H32)*(MAX($D$16,(D109)-(J32))))*(MAX($D$16,(D109)-(J32))),0.000001))^2)/(2*$I$5)-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G32)+(I32)*(MAX($D$16,(E109)-(K32))))*(MAX($D$16,(E109)-(K32))),0.000001))^2)/(2*$I$5)</f>
        <v>-46378.736685518779</v>
      </c>
      <c r="S109">
        <f>M109+((ABS(I109)/MAX(((G34)+(I34)*(MAX($D$16,(M109)-(K34))))*(MAX($D$16,(M109)-(K34))),0.000001))^2)/(2*$I$5)+((E34)*((((ABS(I109)*$D$6)/(MAX(((F34)+(H34)*(MAX($D$16,(E109)-(J34))))*(MAX($D$16,(E109)-(J34))),0.000001)*MAX(((((F34)+(H34)*(MAX($D$16,(E109)-(J34))))*(MAX($D$16,(E109)-(J34))))/MAX((F34)+2*(MAX($D$16,(E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E109)-(J34))))*(MAX($D$16,(E109)-(J34))),0.000001)),$D$9*((((ABS(I109)/MAX(((G34)+(I34)*(MAX($D$16,(M109)-(K34))))*(MAX($D$16,(M109)-(K34))),0.000001))^2)/(2*$I$5))-(((ABS(I109)/MAX(((F34)+(H34)*(MAX($D$16,(E109)-(J34))))*(MAX($D$16,(E109)-(J34))),0.000001))^2)/(2*$I$5))),$D$8*((((ABS(I109)/MAX(((F34)+(H34)*(MAX($D$16,(E109)-(J34))))*(MAX($D$16,(E109)-(J34))),0.000001))^2)/(2*$I$5))-(((ABS(I109)/MAX(((G34)+(I34)*(MAX($D$16,(M109)-(K34))))*(MAX($D$16,(M109)-(K34))),0.000001))^2)/(2*$I$5)))))+($D$10*(ABS((X34)-(W34))/90)*MAX(((ABS(I109)/MAX(((F34)+(H34)*(MAX($D$16,(E109)-(J34))))*(MAX($D$16,(E109)-(J34))),0.000001))^2)/(2*$I$5),((ABS(I109)/MAX(((G34)+(I34)*(MAX($D$16,(M109)-(K34))))*(MAX($D$16,(M109)-(K34))),0.000001))^2)/(2*$I$5)))+(0)-((ABS(I109)/MAX(((F34)+(H34)*(MAX($D$16,(E109)-(J34))))*(MAX($D$16,(E109)-(J34))),0.000001))^2)/(2*$I$5)</f>
        <v>635.5</v>
      </c>
      <c r="T109">
        <f>N109+((ABS(J109)/MAX(((G35)+(I35)*(MAX($D$16,(N109)-(K35))))*(MAX($D$16,(N109)-(K35))),0.000001))^2)/(2*$I$5)+((E35)*((((ABS(J109)*$D$6)/(MAX(((F35)+(H35)*(MAX($D$16,(E109)-(J35))))*(MAX($D$16,(E109)-(J35))),0.000001)*MAX(((((F35)+(H35)*(MAX($D$16,(E109)-(J35))))*(MAX($D$16,(E109)-(J35))))/MAX((F35)+2*(MAX($D$16,(E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E109)-(J35))))*(MAX($D$16,(E109)-(J35))),0.000001)),$D$9*((((ABS(J109)/MAX(((G35)+(I35)*(MAX($D$16,(N109)-(K35))))*(MAX($D$16,(N109)-(K35))),0.000001))^2)/(2*$I$5))-(((ABS(J109)/MAX(((F35)+(H35)*(MAX($D$16,(E109)-(J35))))*(MAX($D$16,(E109)-(J35))),0.000001))^2)/(2*$I$5))),$D$8*((((ABS(J109)/MAX(((F35)+(H35)*(MAX($D$16,(E109)-(J35))))*(MAX($D$16,(E109)-(J35))),0.000001))^2)/(2*$I$5))-(((ABS(J109)/MAX(((G35)+(I35)*(MAX($D$16,(N109)-(K35))))*(MAX($D$16,(N109)-(K35))),0.000001))^2)/(2*$I$5)))))+($D$10*(ABS((X35)-(W35))/90)*MAX(((ABS(J109)/MAX(((F35)+(H35)*(MAX($D$16,(E109)-(J35))))*(MAX($D$16,(E109)-(J35))),0.000001))^2)/(2*$I$5),((ABS(J109)/MAX(((G35)+(I35)*(MAX($D$16,(N109)-(K35))))*(MAX($D$16,(N109)-(K35))),0.000001))^2)/(2*$I$5)))+(($D$11*0.34699541*(ABS(I109)/MAX(ABS(G109),0.000001))^2*MAX(((ABS(J109)/MAX(((F35)+(H35)*(MAX($D$16,(E109)-(J35))))*(MAX($D$16,(E109)-(J35))),0.000001))^2)/(2*$I$5),((ABS(J109)/MAX(((G35)+(I35)*(MAX($D$16,(N109)-(K35))))*(MAX($D$16,(N109)-(K35))),0.000001))^2)/(2*$I$5))))-((ABS(J109)/MAX(((F35)+(H35)*(MAX($D$16,(E109)-(J35))))*(MAX($D$16,(E109)-(J35))),0.000001))^2)/(2*$I$5)</f>
        <v>22382.80587457701</v>
      </c>
      <c r="U109">
        <f>(((((F32)*(MAX($D$16,(D109)-(J32)))^2)/2+(H32)*(MAX($D$16,(D109)-(J32)))^3/3+(ABS(G109)^2)/($I$5*MAX(((F32)+(H32)*(MAX($D$16,(D109)-(J32))))*(MAX($D$16,(D109)-(J32))),0.000001)))*0.72785025)-((((F33)*(MAX($D$16,(D109)-(J33)))^2)/2+(H33)*(MAX($D$16,(D109)-(J33)))^3/3+(ABS(H109)^2)/($I$5*MAX(((F33)+(H33)*(MAX($D$16,(D109)-(J33))))*(MAX($D$16,(D109)-(J33))),0.000001)))*0.99999971))/MAX(((G31)*(MAX($D$16,(D109)-(K31)))^2)/2+(I31)*(MAX($D$16,(D109)-(K31)))^3/3+(ABS(F109)^2)/($I$5*MAX(((G31)+(I31)*(MAX($D$16,(D109)-(K31))))*(MAX($D$16,(D109)-(K31))),0.000001)),0.000001)</f>
        <v>-0.27214945999978929</v>
      </c>
      <c r="V109">
        <f>(((((F34)*(MAX($D$16,(E109)-(J34)))^2)/2+(H34)*(MAX($D$16,(E109)-(J34)))^3/3+(ABS(I109)^2)/($I$5*MAX(((F34)+(H34)*(MAX($D$16,(E109)-(J34))))*(MAX($D$16,(E109)-(J34))),0.000001)))*1)-((((F35)*(MAX($D$16,(E109)-(J35)))^2)/2+(H35)*(MAX($D$16,(E109)-(J35)))^3/3+(ABS(J109)^2)/($I$5*MAX(((F35)+(H35)*(MAX($D$16,(E109)-(J35))))*(MAX($D$16,(E109)-(J35))),0.000001)))*0.30600918))/MAX(((G32)*(MAX($D$16,(E109)-(K32)))^2)/2+(I32)*(MAX($D$16,(E109)-(K32)))^3/3+(ABS(G109)^2)/($I$5*MAX(((G32)+(I32)*(MAX($D$16,(E109)-(K32))))*(MAX($D$16,(E109)-(K32))),0.000001)),0.000001)</f>
        <v>-0.30598462674144999</v>
      </c>
      <c r="W109">
        <f>IF(N6="None",MAX(ABS(O109-D109),ABS(P109-D109)),MAX(ABS(O109-D109),ABS(P109-D109),ABS(Q109-D109)))</f>
        <v>38814.691768347446</v>
      </c>
      <c r="X109">
        <f>IF(AND(N7="None",N8="None"),ABS(R109-E109),IF(N8="None",MAX(ABS(R109-E109),ABS(S109-E109)),IF(N7="None",MAX(ABS(R109-E109),ABS(T109-E109)),MAX(ABS(R109-E109),ABS(S109-E109),ABS(T109-E109)))))</f>
        <v>38591.924702448508</v>
      </c>
      <c r="AA109">
        <f>D109+$D$13*(IF(N6="None",AVERAGE(O109:P109),AVERAGE(O109:Q109))-D109)</f>
        <v>39452.346558169404</v>
      </c>
      <c r="AB109">
        <f>E109+$D$13*(IF(AND(N7="None",N8="None"),R109,IF(N8="None",AVERAGE(R109:S109),IF(N7="None",AVERAGE(R109,T109),AVERAGE(R109:T109))))-E109)</f>
        <v>-7786.81138360555</v>
      </c>
    </row>
    <row r="110" spans="1:28" x14ac:dyDescent="0.35">
      <c r="A110">
        <v>67</v>
      </c>
      <c r="B110">
        <f t="shared" si="13"/>
        <v>0</v>
      </c>
      <c r="C110">
        <f t="shared" si="14"/>
        <v>0</v>
      </c>
      <c r="D110">
        <f t="shared" si="15"/>
        <v>39452.346558169404</v>
      </c>
      <c r="E110">
        <f t="shared" si="16"/>
        <v>-7786.81138360555</v>
      </c>
      <c r="F110">
        <f t="shared" si="12"/>
        <v>51</v>
      </c>
      <c r="G110">
        <f>IF(N6="None",F110,MAX(0,F110*B110))</f>
        <v>51</v>
      </c>
      <c r="H110">
        <f>IF(N6="None",0,MAX(0,F110-G110))</f>
        <v>0</v>
      </c>
      <c r="I110">
        <f>IF(AND(N7="None",N8="None"),0,IF(N8="None",G110,IF(N7="None",0,MAX(0,G110*C110))))</f>
        <v>0</v>
      </c>
      <c r="J110">
        <f>IF(AND(N7="None",N8="None"),0,IF(N8="None",0,IF(N7="None",G110,MAX(0,G110-I110))))</f>
        <v>51</v>
      </c>
      <c r="K110">
        <f>P5</f>
        <v>637</v>
      </c>
      <c r="L110">
        <f>P6</f>
        <v>637</v>
      </c>
      <c r="M110">
        <f>P7</f>
        <v>635.5</v>
      </c>
      <c r="N110">
        <f>P8</f>
        <v>631.54999999999995</v>
      </c>
      <c r="O110">
        <f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D110)-(K31))))*(MAX($D$16,(D110)-(K31))),0.000001)*MAX(((((G31)+(I31)*(MAX($D$16,(D110)-(K31))))*(MAX($D$16,(D110)-(K31))))/MAX((G31)+2*(MAX($D$16,(D110)-(K31)))*SQRT(1+(I31)^2),0.000001))^(2/3),0.000001)))^2))/2)+(IF((ABS(F110)/MAX(((G31)+(I31)*(MAX($D$16,(D110)-(K31))))*(MAX($D$16,(D110)-(K31))),0.000001))&gt;(ABS(F110)/MAX(((F31)+(H31)*(MAX($D$16,(K110)-(J31))))*(MAX($D$16,(K110)-(J31))),0.000001)),$D$9*((((ABS(F110)/MAX(((G31)+(I31)*(MAX($D$16,(D110)-(K31))))*(MAX($D$16,(D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D110)-(K31))))*(MAX($D$16,(D110)-(K31))),0.000001))^2)/(2*$I$5)))))+($D$10*(ABS((X31)-(W31))/90)*MAX(((ABS(F110)/MAX(((F31)+(H31)*(MAX($D$16,(K110)-(J31))))*(MAX($D$16,(K110)-(J31))),0.000001))^2)/(2*$I$5),((ABS(F110)/MAX(((G31)+(I31)*(MAX($D$16,(D110)-(K31))))*(MAX($D$16,(D110)-(K31))),0.000001))^2)/(2*$I$5)))+(0)-((ABS(F110)/MAX(((G31)+(I31)*(MAX($D$16,(D110)-(K31))))*(MAX($D$16,(D110)-(K31))),0.000001))^2)/(2*$I$5)</f>
        <v>637.65825100972802</v>
      </c>
      <c r="P110">
        <f>E110+((ABS(G110)/MAX(((G32)+(I32)*(MAX($D$16,(E110)-(K32))))*(MAX($D$16,(E110)-(K32))),0.000001))^2)/(2*$I$5)+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F32)+(H32)*(MAX($D$16,(D110)-(J32))))*(MAX($D$16,(D110)-(J32))),0.000001))^2)/(2*$I$5)</f>
        <v>78267.038191790227</v>
      </c>
      <c r="Q110">
        <f>L110+((ABS(H110)/MAX(((G33)+(I33)*(MAX($D$16,(L110)-(K33))))*(MAX($D$16,(L110)-(K33))),0.000001))^2)/(2*$I$5)+((E33)*((((ABS(H110)*$D$6)/(MAX(((F33)+(H33)*(MAX($D$16,(D110)-(J33))))*(MAX($D$16,(D110)-(J33))),0.000001)*MAX(((((F33)+(H33)*(MAX($D$16,(D110)-(J33))))*(MAX($D$16,(D110)-(J33))))/MAX((F33)+2*(MAX($D$16,(D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D110)-(J33))))*(MAX($D$16,(D110)-(J33))),0.000001)),$D$9*((((ABS(H110)/MAX(((G33)+(I33)*(MAX($D$16,(L110)-(K33))))*(MAX($D$16,(L110)-(K33))),0.000001))^2)/(2*$I$5))-(((ABS(H110)/MAX(((F33)+(H33)*(MAX($D$16,(D110)-(J33))))*(MAX($D$16,(D110)-(J33))),0.000001))^2)/(2*$I$5))),$D$8*((((ABS(H110)/MAX(((F33)+(H33)*(MAX($D$16,(D110)-(J33))))*(MAX($D$16,(D110)-(J33))),0.000001))^2)/(2*$I$5))-(((ABS(H110)/MAX(((G33)+(I33)*(MAX($D$16,(L110)-(K33))))*(MAX($D$16,(L110)-(K33))),0.000001))^2)/(2*$I$5)))))+($D$10*(ABS((X33)-(W33))/90)*MAX(((ABS(H110)/MAX(((F33)+(H33)*(MAX($D$16,(D110)-(J33))))*(MAX($D$16,(D110)-(J33))),0.000001))^2)/(2*$I$5),((ABS(H110)/MAX(((G33)+(I33)*(MAX($D$16,(L110)-(K33))))*(MAX($D$16,(L110)-(K33))),0.000001))^2)/(2*$I$5)))+(($D$11*0.00000015*(ABS(G110)/MAX(ABS(F110),0.000001))^2*MAX(((ABS(H110)/MAX(((F33)+(H33)*(MAX($D$16,(D110)-(J33))))*(MAX($D$16,(D110)-(J33))),0.000001))^2)/(2*$I$5),((ABS(H110)/MAX(((G33)+(I33)*(MAX($D$16,(L110)-(K33))))*(MAX($D$16,(L110)-(K33))),0.000001))^2)/(2*$I$5))))-((ABS(H110)/MAX(((F33)+(H33)*(MAX($D$16,(D110)-(J33))))*(MAX($D$16,(D110)-(J33))),0.000001))^2)/(2*$I$5)</f>
        <v>637</v>
      </c>
      <c r="R110">
        <f>D110+((ABS(G110)/MAX(((F32)+(H32)*(MAX($D$16,(D110)-(J32))))*(MAX($D$16,(D110)-(J32))),0.000001))^2)/(2*$I$5)-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G32)+(I32)*(MAX($D$16,(E110)-(K32))))*(MAX($D$16,(E110)-(K32))),0.000001))^2)/(2*$I$5)</f>
        <v>-46378.735951327435</v>
      </c>
      <c r="S110">
        <f>M110+((ABS(I110)/MAX(((G34)+(I34)*(MAX($D$16,(M110)-(K34))))*(MAX($D$16,(M110)-(K34))),0.000001))^2)/(2*$I$5)+((E34)*((((ABS(I110)*$D$6)/(MAX(((F34)+(H34)*(MAX($D$16,(E110)-(J34))))*(MAX($D$16,(E110)-(J34))),0.000001)*MAX(((((F34)+(H34)*(MAX($D$16,(E110)-(J34))))*(MAX($D$16,(E110)-(J34))))/MAX((F34)+2*(MAX($D$16,(E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E110)-(J34))))*(MAX($D$16,(E110)-(J34))),0.000001)),$D$9*((((ABS(I110)/MAX(((G34)+(I34)*(MAX($D$16,(M110)-(K34))))*(MAX($D$16,(M110)-(K34))),0.000001))^2)/(2*$I$5))-(((ABS(I110)/MAX(((F34)+(H34)*(MAX($D$16,(E110)-(J34))))*(MAX($D$16,(E110)-(J34))),0.000001))^2)/(2*$I$5))),$D$8*((((ABS(I110)/MAX(((F34)+(H34)*(MAX($D$16,(E110)-(J34))))*(MAX($D$16,(E110)-(J34))),0.000001))^2)/(2*$I$5))-(((ABS(I110)/MAX(((G34)+(I34)*(MAX($D$16,(M110)-(K34))))*(MAX($D$16,(M110)-(K34))),0.000001))^2)/(2*$I$5)))))+($D$10*(ABS((X34)-(W34))/90)*MAX(((ABS(I110)/MAX(((F34)+(H34)*(MAX($D$16,(E110)-(J34))))*(MAX($D$16,(E110)-(J34))),0.000001))^2)/(2*$I$5),((ABS(I110)/MAX(((G34)+(I34)*(MAX($D$16,(M110)-(K34))))*(MAX($D$16,(M110)-(K34))),0.000001))^2)/(2*$I$5)))+(0)-((ABS(I110)/MAX(((F34)+(H34)*(MAX($D$16,(E110)-(J34))))*(MAX($D$16,(E110)-(J34))),0.000001))^2)/(2*$I$5)</f>
        <v>635.5</v>
      </c>
      <c r="T110">
        <f>N110+((ABS(J110)/MAX(((G35)+(I35)*(MAX($D$16,(N110)-(K35))))*(MAX($D$16,(N110)-(K35))),0.000001))^2)/(2*$I$5)+((E35)*((((ABS(J110)*$D$6)/(MAX(((F35)+(H35)*(MAX($D$16,(E110)-(J35))))*(MAX($D$16,(E110)-(J35))),0.000001)*MAX(((((F35)+(H35)*(MAX($D$16,(E110)-(J35))))*(MAX($D$16,(E110)-(J35))))/MAX((F35)+2*(MAX($D$16,(E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E110)-(J35))))*(MAX($D$16,(E110)-(J35))),0.000001)),$D$9*((((ABS(J110)/MAX(((G35)+(I35)*(MAX($D$16,(N110)-(K35))))*(MAX($D$16,(N110)-(K35))),0.000001))^2)/(2*$I$5))-(((ABS(J110)/MAX(((F35)+(H35)*(MAX($D$16,(E110)-(J35))))*(MAX($D$16,(E110)-(J35))),0.000001))^2)/(2*$I$5))),$D$8*((((ABS(J110)/MAX(((F35)+(H35)*(MAX($D$16,(E110)-(J35))))*(MAX($D$16,(E110)-(J35))),0.000001))^2)/(2*$I$5))-(((ABS(J110)/MAX(((G35)+(I35)*(MAX($D$16,(N110)-(K35))))*(MAX($D$16,(N110)-(K35))),0.000001))^2)/(2*$I$5)))))+($D$10*(ABS((X35)-(W35))/90)*MAX(((ABS(J110)/MAX(((F35)+(H35)*(MAX($D$16,(E110)-(J35))))*(MAX($D$16,(E110)-(J35))),0.000001))^2)/(2*$I$5),((ABS(J110)/MAX(((G35)+(I35)*(MAX($D$16,(N110)-(K35))))*(MAX($D$16,(N110)-(K35))),0.000001))^2)/(2*$I$5)))+(($D$11*0.34699541*(ABS(I110)/MAX(ABS(G110),0.000001))^2*MAX(((ABS(J110)/MAX(((F35)+(H35)*(MAX($D$16,(E110)-(J35))))*(MAX($D$16,(E110)-(J35))),0.000001))^2)/(2*$I$5),((ABS(J110)/MAX(((G35)+(I35)*(MAX($D$16,(N110)-(K35))))*(MAX($D$16,(N110)-(K35))),0.000001))^2)/(2*$I$5))))-((ABS(J110)/MAX(((F35)+(H35)*(MAX($D$16,(E110)-(J35))))*(MAX($D$16,(E110)-(J35))),0.000001))^2)/(2*$I$5)</f>
        <v>22382.80587457701</v>
      </c>
      <c r="U110">
        <f>(((((F32)*(MAX($D$16,(D110)-(J32)))^2)/2+(H32)*(MAX($D$16,(D110)-(J32)))^3/3+(ABS(G110)^2)/($I$5*MAX(((F32)+(H32)*(MAX($D$16,(D110)-(J32))))*(MAX($D$16,(D110)-(J32))),0.000001)))*0.72785025)-((((F33)*(MAX($D$16,(D110)-(J33)))^2)/2+(H33)*(MAX($D$16,(D110)-(J33)))^3/3+(ABS(H110)^2)/($I$5*MAX(((F33)+(H33)*(MAX($D$16,(D110)-(J33))))*(MAX($D$16,(D110)-(J33))),0.000001)))*0.99999971))/MAX(((G31)*(MAX($D$16,(D110)-(K31)))^2)/2+(I31)*(MAX($D$16,(D110)-(K31)))^3/3+(ABS(F110)^2)/($I$5*MAX(((G31)+(I31)*(MAX($D$16,(D110)-(K31))))*(MAX($D$16,(D110)-(K31))),0.000001)),0.000001)</f>
        <v>-0.27214945999978923</v>
      </c>
      <c r="V110">
        <f>(((((F34)*(MAX($D$16,(E110)-(J34)))^2)/2+(H34)*(MAX($D$16,(E110)-(J34)))^3/3+(ABS(I110)^2)/($I$5*MAX(((F34)+(H34)*(MAX($D$16,(E110)-(J34))))*(MAX($D$16,(E110)-(J34))),0.000001)))*1)-((((F35)*(MAX($D$16,(E110)-(J35)))^2)/2+(H35)*(MAX($D$16,(E110)-(J35)))^3/3+(ABS(J110)^2)/($I$5*MAX(((F35)+(H35)*(MAX($D$16,(E110)-(J35))))*(MAX($D$16,(E110)-(J35))),0.000001)))*0.30600918))/MAX(((G32)*(MAX($D$16,(E110)-(K32)))^2)/2+(I32)*(MAX($D$16,(E110)-(K32)))^3/3+(ABS(G110)^2)/($I$5*MAX(((G32)+(I32)*(MAX($D$16,(E110)-(K32))))*(MAX($D$16,(E110)-(K32))),0.000001)),0.000001)</f>
        <v>-0.30598462674144999</v>
      </c>
      <c r="W110">
        <f>IF(N6="None",MAX(ABS(O110-D110),ABS(P110-D110)),MAX(ABS(O110-D110),ABS(P110-D110),ABS(Q110-D110)))</f>
        <v>38814.691633620823</v>
      </c>
      <c r="X110">
        <f>IF(AND(N7="None",N8="None"),ABS(R110-E110),IF(N8="None",MAX(ABS(R110-E110),ABS(S110-E110)),IF(N7="None",MAX(ABS(R110-E110),ABS(T110-E110)),MAX(ABS(R110-E110),ABS(S110-E110),ABS(T110-E110)))))</f>
        <v>38591.924567721886</v>
      </c>
      <c r="AA110">
        <f>D110+$D$13*(IF(N6="None",AVERAGE(O110:P110),AVERAGE(O110:Q110))-D110)</f>
        <v>39452.347140300102</v>
      </c>
      <c r="AB110">
        <f>E110+$D$13*(IF(AND(N7="None",N8="None"),R110,IF(N8="None",AVERAGE(R110:S110),IF(N7="None",AVERAGE(R110,T110),AVERAGE(R110:T110))))-E110)</f>
        <v>-7786.8109082978235</v>
      </c>
    </row>
    <row r="111" spans="1:28" x14ac:dyDescent="0.35">
      <c r="A111">
        <v>68</v>
      </c>
      <c r="B111">
        <f t="shared" si="13"/>
        <v>0</v>
      </c>
      <c r="C111">
        <f t="shared" si="14"/>
        <v>0</v>
      </c>
      <c r="D111">
        <f t="shared" si="15"/>
        <v>39452.347140300102</v>
      </c>
      <c r="E111">
        <f t="shared" si="16"/>
        <v>-7786.8109082978235</v>
      </c>
      <c r="F111">
        <f t="shared" si="12"/>
        <v>51</v>
      </c>
      <c r="G111">
        <f>IF(N6="None",F111,MAX(0,F111*B111))</f>
        <v>51</v>
      </c>
      <c r="H111">
        <f>IF(N6="None",0,MAX(0,F111-G111))</f>
        <v>0</v>
      </c>
      <c r="I111">
        <f>IF(AND(N7="None",N8="None"),0,IF(N8="None",G111,IF(N7="None",0,MAX(0,G111*C111))))</f>
        <v>0</v>
      </c>
      <c r="J111">
        <f>IF(AND(N7="None",N8="None"),0,IF(N8="None",0,IF(N7="None",G111,MAX(0,G111-I111))))</f>
        <v>51</v>
      </c>
      <c r="K111">
        <f>P5</f>
        <v>637</v>
      </c>
      <c r="L111">
        <f>P6</f>
        <v>637</v>
      </c>
      <c r="M111">
        <f>P7</f>
        <v>635.5</v>
      </c>
      <c r="N111">
        <f>P8</f>
        <v>631.54999999999995</v>
      </c>
      <c r="O111">
        <f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D111)-(K31))))*(MAX($D$16,(D111)-(K31))),0.000001)*MAX(((((G31)+(I31)*(MAX($D$16,(D111)-(K31))))*(MAX($D$16,(D111)-(K31))))/MAX((G31)+2*(MAX($D$16,(D111)-(K31)))*SQRT(1+(I31)^2),0.000001))^(2/3),0.000001)))^2))/2)+(IF((ABS(F111)/MAX(((G31)+(I31)*(MAX($D$16,(D111)-(K31))))*(MAX($D$16,(D111)-(K31))),0.000001))&gt;(ABS(F111)/MAX(((F31)+(H31)*(MAX($D$16,(K111)-(J31))))*(MAX($D$16,(K111)-(J31))),0.000001)),$D$9*((((ABS(F111)/MAX(((G31)+(I31)*(MAX($D$16,(D111)-(K31))))*(MAX($D$16,(D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D111)-(K31))))*(MAX($D$16,(D111)-(K31))),0.000001))^2)/(2*$I$5)))))+($D$10*(ABS((X31)-(W31))/90)*MAX(((ABS(F111)/MAX(((F31)+(H31)*(MAX($D$16,(K111)-(J31))))*(MAX($D$16,(K111)-(J31))),0.000001))^2)/(2*$I$5),((ABS(F111)/MAX(((G31)+(I31)*(MAX($D$16,(D111)-(K31))))*(MAX($D$16,(D111)-(K31))),0.000001))^2)/(2*$I$5)))+(0)-((ABS(F111)/MAX(((G31)+(I31)*(MAX($D$16,(D111)-(K31))))*(MAX($D$16,(D111)-(K31))),0.000001))^2)/(2*$I$5)</f>
        <v>637.65825100972802</v>
      </c>
      <c r="P111">
        <f>E111+((ABS(G111)/MAX(((G32)+(I32)*(MAX($D$16,(E111)-(K32))))*(MAX($D$16,(E111)-(K32))),0.000001))^2)/(2*$I$5)+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F32)+(H32)*(MAX($D$16,(D111)-(J32))))*(MAX($D$16,(D111)-(J32))),0.000001))^2)/(2*$I$5)</f>
        <v>78267.03866709795</v>
      </c>
      <c r="Q111">
        <f>L111+((ABS(H111)/MAX(((G33)+(I33)*(MAX($D$16,(L111)-(K33))))*(MAX($D$16,(L111)-(K33))),0.000001))^2)/(2*$I$5)+((E33)*((((ABS(H111)*$D$6)/(MAX(((F33)+(H33)*(MAX($D$16,(D111)-(J33))))*(MAX($D$16,(D111)-(J33))),0.000001)*MAX(((((F33)+(H33)*(MAX($D$16,(D111)-(J33))))*(MAX($D$16,(D111)-(J33))))/MAX((F33)+2*(MAX($D$16,(D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D111)-(J33))))*(MAX($D$16,(D111)-(J33))),0.000001)),$D$9*((((ABS(H111)/MAX(((G33)+(I33)*(MAX($D$16,(L111)-(K33))))*(MAX($D$16,(L111)-(K33))),0.000001))^2)/(2*$I$5))-(((ABS(H111)/MAX(((F33)+(H33)*(MAX($D$16,(D111)-(J33))))*(MAX($D$16,(D111)-(J33))),0.000001))^2)/(2*$I$5))),$D$8*((((ABS(H111)/MAX(((F33)+(H33)*(MAX($D$16,(D111)-(J33))))*(MAX($D$16,(D111)-(J33))),0.000001))^2)/(2*$I$5))-(((ABS(H111)/MAX(((G33)+(I33)*(MAX($D$16,(L111)-(K33))))*(MAX($D$16,(L111)-(K33))),0.000001))^2)/(2*$I$5)))))+($D$10*(ABS((X33)-(W33))/90)*MAX(((ABS(H111)/MAX(((F33)+(H33)*(MAX($D$16,(D111)-(J33))))*(MAX($D$16,(D111)-(J33))),0.000001))^2)/(2*$I$5),((ABS(H111)/MAX(((G33)+(I33)*(MAX($D$16,(L111)-(K33))))*(MAX($D$16,(L111)-(K33))),0.000001))^2)/(2*$I$5)))+(($D$11*0.00000015*(ABS(G111)/MAX(ABS(F111),0.000001))^2*MAX(((ABS(H111)/MAX(((F33)+(H33)*(MAX($D$16,(D111)-(J33))))*(MAX($D$16,(D111)-(J33))),0.000001))^2)/(2*$I$5),((ABS(H111)/MAX(((G33)+(I33)*(MAX($D$16,(L111)-(K33))))*(MAX($D$16,(L111)-(K33))),0.000001))^2)/(2*$I$5))))-((ABS(H111)/MAX(((F33)+(H33)*(MAX($D$16,(D111)-(J33))))*(MAX($D$16,(D111)-(J33))),0.000001))^2)/(2*$I$5)</f>
        <v>637</v>
      </c>
      <c r="R111">
        <f>D111+((ABS(G111)/MAX(((F32)+(H32)*(MAX($D$16,(D111)-(J32))))*(MAX($D$16,(D111)-(J32))),0.000001))^2)/(2*$I$5)-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G32)+(I32)*(MAX($D$16,(E111)-(K32))))*(MAX($D$16,(E111)-(K32))),0.000001))^2)/(2*$I$5)</f>
        <v>-46378.735369196736</v>
      </c>
      <c r="S111">
        <f>M111+((ABS(I111)/MAX(((G34)+(I34)*(MAX($D$16,(M111)-(K34))))*(MAX($D$16,(M111)-(K34))),0.000001))^2)/(2*$I$5)+((E34)*((((ABS(I111)*$D$6)/(MAX(((F34)+(H34)*(MAX($D$16,(E111)-(J34))))*(MAX($D$16,(E111)-(J34))),0.000001)*MAX(((((F34)+(H34)*(MAX($D$16,(E111)-(J34))))*(MAX($D$16,(E111)-(J34))))/MAX((F34)+2*(MAX($D$16,(E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E111)-(J34))))*(MAX($D$16,(E111)-(J34))),0.000001)),$D$9*((((ABS(I111)/MAX(((G34)+(I34)*(MAX($D$16,(M111)-(K34))))*(MAX($D$16,(M111)-(K34))),0.000001))^2)/(2*$I$5))-(((ABS(I111)/MAX(((F34)+(H34)*(MAX($D$16,(E111)-(J34))))*(MAX($D$16,(E111)-(J34))),0.000001))^2)/(2*$I$5))),$D$8*((((ABS(I111)/MAX(((F34)+(H34)*(MAX($D$16,(E111)-(J34))))*(MAX($D$16,(E111)-(J34))),0.000001))^2)/(2*$I$5))-(((ABS(I111)/MAX(((G34)+(I34)*(MAX($D$16,(M111)-(K34))))*(MAX($D$16,(M111)-(K34))),0.000001))^2)/(2*$I$5)))))+($D$10*(ABS((X34)-(W34))/90)*MAX(((ABS(I111)/MAX(((F34)+(H34)*(MAX($D$16,(E111)-(J34))))*(MAX($D$16,(E111)-(J34))),0.000001))^2)/(2*$I$5),((ABS(I111)/MAX(((G34)+(I34)*(MAX($D$16,(M111)-(K34))))*(MAX($D$16,(M111)-(K34))),0.000001))^2)/(2*$I$5)))+(0)-((ABS(I111)/MAX(((F34)+(H34)*(MAX($D$16,(E111)-(J34))))*(MAX($D$16,(E111)-(J34))),0.000001))^2)/(2*$I$5)</f>
        <v>635.5</v>
      </c>
      <c r="T111">
        <f>N111+((ABS(J111)/MAX(((G35)+(I35)*(MAX($D$16,(N111)-(K35))))*(MAX($D$16,(N111)-(K35))),0.000001))^2)/(2*$I$5)+((E35)*((((ABS(J111)*$D$6)/(MAX(((F35)+(H35)*(MAX($D$16,(E111)-(J35))))*(MAX($D$16,(E111)-(J35))),0.000001)*MAX(((((F35)+(H35)*(MAX($D$16,(E111)-(J35))))*(MAX($D$16,(E111)-(J35))))/MAX((F35)+2*(MAX($D$16,(E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E111)-(J35))))*(MAX($D$16,(E111)-(J35))),0.000001)),$D$9*((((ABS(J111)/MAX(((G35)+(I35)*(MAX($D$16,(N111)-(K35))))*(MAX($D$16,(N111)-(K35))),0.000001))^2)/(2*$I$5))-(((ABS(J111)/MAX(((F35)+(H35)*(MAX($D$16,(E111)-(J35))))*(MAX($D$16,(E111)-(J35))),0.000001))^2)/(2*$I$5))),$D$8*((((ABS(J111)/MAX(((F35)+(H35)*(MAX($D$16,(E111)-(J35))))*(MAX($D$16,(E111)-(J35))),0.000001))^2)/(2*$I$5))-(((ABS(J111)/MAX(((G35)+(I35)*(MAX($D$16,(N111)-(K35))))*(MAX($D$16,(N111)-(K35))),0.000001))^2)/(2*$I$5)))))+($D$10*(ABS((X35)-(W35))/90)*MAX(((ABS(J111)/MAX(((F35)+(H35)*(MAX($D$16,(E111)-(J35))))*(MAX($D$16,(E111)-(J35))),0.000001))^2)/(2*$I$5),((ABS(J111)/MAX(((G35)+(I35)*(MAX($D$16,(N111)-(K35))))*(MAX($D$16,(N111)-(K35))),0.000001))^2)/(2*$I$5)))+(($D$11*0.34699541*(ABS(I111)/MAX(ABS(G111),0.000001))^2*MAX(((ABS(J111)/MAX(((F35)+(H35)*(MAX($D$16,(E111)-(J35))))*(MAX($D$16,(E111)-(J35))),0.000001))^2)/(2*$I$5),((ABS(J111)/MAX(((G35)+(I35)*(MAX($D$16,(N111)-(K35))))*(MAX($D$16,(N111)-(K35))),0.000001))^2)/(2*$I$5))))-((ABS(J111)/MAX(((F35)+(H35)*(MAX($D$16,(E111)-(J35))))*(MAX($D$16,(E111)-(J35))),0.000001))^2)/(2*$I$5)</f>
        <v>22382.80587457701</v>
      </c>
      <c r="U111">
        <f>(((((F32)*(MAX($D$16,(D111)-(J32)))^2)/2+(H32)*(MAX($D$16,(D111)-(J32)))^3/3+(ABS(G111)^2)/($I$5*MAX(((F32)+(H32)*(MAX($D$16,(D111)-(J32))))*(MAX($D$16,(D111)-(J32))),0.000001)))*0.72785025)-((((F33)*(MAX($D$16,(D111)-(J33)))^2)/2+(H33)*(MAX($D$16,(D111)-(J33)))^3/3+(ABS(H111)^2)/($I$5*MAX(((F33)+(H33)*(MAX($D$16,(D111)-(J33))))*(MAX($D$16,(D111)-(J33))),0.000001)))*0.99999971))/MAX(((G31)*(MAX($D$16,(D111)-(K31)))^2)/2+(I31)*(MAX($D$16,(D111)-(K31)))^3/3+(ABS(F111)^2)/($I$5*MAX(((G31)+(I31)*(MAX($D$16,(D111)-(K31))))*(MAX($D$16,(D111)-(K31))),0.000001)),0.000001)</f>
        <v>-0.27214945999978923</v>
      </c>
      <c r="V111">
        <f>(((((F34)*(MAX($D$16,(E111)-(J34)))^2)/2+(H34)*(MAX($D$16,(E111)-(J34)))^3/3+(ABS(I111)^2)/($I$5*MAX(((F34)+(H34)*(MAX($D$16,(E111)-(J34))))*(MAX($D$16,(E111)-(J34))),0.000001)))*1)-((((F35)*(MAX($D$16,(E111)-(J35)))^2)/2+(H35)*(MAX($D$16,(E111)-(J35)))^3/3+(ABS(J111)^2)/($I$5*MAX(((F35)+(H35)*(MAX($D$16,(E111)-(J35))))*(MAX($D$16,(E111)-(J35))),0.000001)))*0.30600918))/MAX(((G32)*(MAX($D$16,(E111)-(K32)))^2)/2+(I32)*(MAX($D$16,(E111)-(K32)))^3/3+(ABS(G111)^2)/($I$5*MAX(((G32)+(I32)*(MAX($D$16,(E111)-(K32))))*(MAX($D$16,(E111)-(K32))),0.000001)),0.000001)</f>
        <v>-0.30598462674144999</v>
      </c>
      <c r="W111">
        <f>IF(N6="None",MAX(ABS(O111-D111),ABS(P111-D111)),MAX(ABS(O111-D111),ABS(P111-D111),ABS(Q111-D111)))</f>
        <v>38814.691526797847</v>
      </c>
      <c r="X111">
        <f>IF(AND(N7="None",N8="None"),ABS(R111-E111),IF(N8="None",MAX(ABS(R111-E111),ABS(S111-E111)),IF(N7="None",MAX(ABS(R111-E111),ABS(T111-E111)),MAX(ABS(R111-E111),ABS(S111-E111),ABS(T111-E111)))))</f>
        <v>38591.92446089891</v>
      </c>
      <c r="AA111">
        <f>D111+$D$13*(IF(N6="None",AVERAGE(O111:P111),AVERAGE(O111:Q111))-D111)</f>
        <v>39452.347601863912</v>
      </c>
      <c r="AB111">
        <f>E111+$D$13*(IF(AND(N7="None",N8="None"),R111,IF(N8="None",AVERAGE(R111:S111),IF(N7="None",AVERAGE(R111,T111),AVERAGE(R111:T111))))-E111)</f>
        <v>-7786.810531432553</v>
      </c>
    </row>
    <row r="112" spans="1:28" x14ac:dyDescent="0.35">
      <c r="A112">
        <v>69</v>
      </c>
      <c r="B112">
        <f t="shared" si="13"/>
        <v>0</v>
      </c>
      <c r="C112">
        <f t="shared" si="14"/>
        <v>0</v>
      </c>
      <c r="D112">
        <f t="shared" si="15"/>
        <v>39452.347601863912</v>
      </c>
      <c r="E112">
        <f t="shared" si="16"/>
        <v>-7786.810531432553</v>
      </c>
      <c r="F112">
        <f t="shared" si="12"/>
        <v>51</v>
      </c>
      <c r="G112">
        <f>IF(N6="None",F112,MAX(0,F112*B112))</f>
        <v>51</v>
      </c>
      <c r="H112">
        <f>IF(N6="None",0,MAX(0,F112-G112))</f>
        <v>0</v>
      </c>
      <c r="I112">
        <f>IF(AND(N7="None",N8="None"),0,IF(N8="None",G112,IF(N7="None",0,MAX(0,G112*C112))))</f>
        <v>0</v>
      </c>
      <c r="J112">
        <f>IF(AND(N7="None",N8="None"),0,IF(N8="None",0,IF(N7="None",G112,MAX(0,G112-I112))))</f>
        <v>51</v>
      </c>
      <c r="K112">
        <f>P5</f>
        <v>637</v>
      </c>
      <c r="L112">
        <f>P6</f>
        <v>637</v>
      </c>
      <c r="M112">
        <f>P7</f>
        <v>635.5</v>
      </c>
      <c r="N112">
        <f>P8</f>
        <v>631.54999999999995</v>
      </c>
      <c r="O112">
        <f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D112)-(K31))))*(MAX($D$16,(D112)-(K31))),0.000001)*MAX(((((G31)+(I31)*(MAX($D$16,(D112)-(K31))))*(MAX($D$16,(D112)-(K31))))/MAX((G31)+2*(MAX($D$16,(D112)-(K31)))*SQRT(1+(I31)^2),0.000001))^(2/3),0.000001)))^2))/2)+(IF((ABS(F112)/MAX(((G31)+(I31)*(MAX($D$16,(D112)-(K31))))*(MAX($D$16,(D112)-(K31))),0.000001))&gt;(ABS(F112)/MAX(((F31)+(H31)*(MAX($D$16,(K112)-(J31))))*(MAX($D$16,(K112)-(J31))),0.000001)),$D$9*((((ABS(F112)/MAX(((G31)+(I31)*(MAX($D$16,(D112)-(K31))))*(MAX($D$16,(D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D112)-(K31))))*(MAX($D$16,(D112)-(K31))),0.000001))^2)/(2*$I$5)))))+($D$10*(ABS((X31)-(W31))/90)*MAX(((ABS(F112)/MAX(((F31)+(H31)*(MAX($D$16,(K112)-(J31))))*(MAX($D$16,(K112)-(J31))),0.000001))^2)/(2*$I$5),((ABS(F112)/MAX(((G31)+(I31)*(MAX($D$16,(D112)-(K31))))*(MAX($D$16,(D112)-(K31))),0.000001))^2)/(2*$I$5)))+(0)-((ABS(F112)/MAX(((G31)+(I31)*(MAX($D$16,(D112)-(K31))))*(MAX($D$16,(D112)-(K31))),0.000001))^2)/(2*$I$5)</f>
        <v>637.65825100972802</v>
      </c>
      <c r="P112">
        <f>E112+((ABS(G112)/MAX(((G32)+(I32)*(MAX($D$16,(E112)-(K32))))*(MAX($D$16,(E112)-(K32))),0.000001))^2)/(2*$I$5)+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F32)+(H32)*(MAX($D$16,(D112)-(J32))))*(MAX($D$16,(D112)-(J32))),0.000001))^2)/(2*$I$5)</f>
        <v>78267.039043963217</v>
      </c>
      <c r="Q112">
        <f>L112+((ABS(H112)/MAX(((G33)+(I33)*(MAX($D$16,(L112)-(K33))))*(MAX($D$16,(L112)-(K33))),0.000001))^2)/(2*$I$5)+((E33)*((((ABS(H112)*$D$6)/(MAX(((F33)+(H33)*(MAX($D$16,(D112)-(J33))))*(MAX($D$16,(D112)-(J33))),0.000001)*MAX(((((F33)+(H33)*(MAX($D$16,(D112)-(J33))))*(MAX($D$16,(D112)-(J33))))/MAX((F33)+2*(MAX($D$16,(D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D112)-(J33))))*(MAX($D$16,(D112)-(J33))),0.000001)),$D$9*((((ABS(H112)/MAX(((G33)+(I33)*(MAX($D$16,(L112)-(K33))))*(MAX($D$16,(L112)-(K33))),0.000001))^2)/(2*$I$5))-(((ABS(H112)/MAX(((F33)+(H33)*(MAX($D$16,(D112)-(J33))))*(MAX($D$16,(D112)-(J33))),0.000001))^2)/(2*$I$5))),$D$8*((((ABS(H112)/MAX(((F33)+(H33)*(MAX($D$16,(D112)-(J33))))*(MAX($D$16,(D112)-(J33))),0.000001))^2)/(2*$I$5))-(((ABS(H112)/MAX(((G33)+(I33)*(MAX($D$16,(L112)-(K33))))*(MAX($D$16,(L112)-(K33))),0.000001))^2)/(2*$I$5)))))+($D$10*(ABS((X33)-(W33))/90)*MAX(((ABS(H112)/MAX(((F33)+(H33)*(MAX($D$16,(D112)-(J33))))*(MAX($D$16,(D112)-(J33))),0.000001))^2)/(2*$I$5),((ABS(H112)/MAX(((G33)+(I33)*(MAX($D$16,(L112)-(K33))))*(MAX($D$16,(L112)-(K33))),0.000001))^2)/(2*$I$5)))+(($D$11*0.00000015*(ABS(G112)/MAX(ABS(F112),0.000001))^2*MAX(((ABS(H112)/MAX(((F33)+(H33)*(MAX($D$16,(D112)-(J33))))*(MAX($D$16,(D112)-(J33))),0.000001))^2)/(2*$I$5),((ABS(H112)/MAX(((G33)+(I33)*(MAX($D$16,(L112)-(K33))))*(MAX($D$16,(L112)-(K33))),0.000001))^2)/(2*$I$5))))-((ABS(H112)/MAX(((F33)+(H33)*(MAX($D$16,(D112)-(J33))))*(MAX($D$16,(D112)-(J33))),0.000001))^2)/(2*$I$5)</f>
        <v>637</v>
      </c>
      <c r="R112">
        <f>D112+((ABS(G112)/MAX(((F32)+(H32)*(MAX($D$16,(D112)-(J32))))*(MAX($D$16,(D112)-(J32))),0.000001))^2)/(2*$I$5)-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G32)+(I32)*(MAX($D$16,(E112)-(K32))))*(MAX($D$16,(E112)-(K32))),0.000001))^2)/(2*$I$5)</f>
        <v>-46378.734907632926</v>
      </c>
      <c r="S112">
        <f>M112+((ABS(I112)/MAX(((G34)+(I34)*(MAX($D$16,(M112)-(K34))))*(MAX($D$16,(M112)-(K34))),0.000001))^2)/(2*$I$5)+((E34)*((((ABS(I112)*$D$6)/(MAX(((F34)+(H34)*(MAX($D$16,(E112)-(J34))))*(MAX($D$16,(E112)-(J34))),0.000001)*MAX(((((F34)+(H34)*(MAX($D$16,(E112)-(J34))))*(MAX($D$16,(E112)-(J34))))/MAX((F34)+2*(MAX($D$16,(E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E112)-(J34))))*(MAX($D$16,(E112)-(J34))),0.000001)),$D$9*((((ABS(I112)/MAX(((G34)+(I34)*(MAX($D$16,(M112)-(K34))))*(MAX($D$16,(M112)-(K34))),0.000001))^2)/(2*$I$5))-(((ABS(I112)/MAX(((F34)+(H34)*(MAX($D$16,(E112)-(J34))))*(MAX($D$16,(E112)-(J34))),0.000001))^2)/(2*$I$5))),$D$8*((((ABS(I112)/MAX(((F34)+(H34)*(MAX($D$16,(E112)-(J34))))*(MAX($D$16,(E112)-(J34))),0.000001))^2)/(2*$I$5))-(((ABS(I112)/MAX(((G34)+(I34)*(MAX($D$16,(M112)-(K34))))*(MAX($D$16,(M112)-(K34))),0.000001))^2)/(2*$I$5)))))+($D$10*(ABS((X34)-(W34))/90)*MAX(((ABS(I112)/MAX(((F34)+(H34)*(MAX($D$16,(E112)-(J34))))*(MAX($D$16,(E112)-(J34))),0.000001))^2)/(2*$I$5),((ABS(I112)/MAX(((G34)+(I34)*(MAX($D$16,(M112)-(K34))))*(MAX($D$16,(M112)-(K34))),0.000001))^2)/(2*$I$5)))+(0)-((ABS(I112)/MAX(((F34)+(H34)*(MAX($D$16,(E112)-(J34))))*(MAX($D$16,(E112)-(J34))),0.000001))^2)/(2*$I$5)</f>
        <v>635.5</v>
      </c>
      <c r="T112">
        <f>N112+((ABS(J112)/MAX(((G35)+(I35)*(MAX($D$16,(N112)-(K35))))*(MAX($D$16,(N112)-(K35))),0.000001))^2)/(2*$I$5)+((E35)*((((ABS(J112)*$D$6)/(MAX(((F35)+(H35)*(MAX($D$16,(E112)-(J35))))*(MAX($D$16,(E112)-(J35))),0.000001)*MAX(((((F35)+(H35)*(MAX($D$16,(E112)-(J35))))*(MAX($D$16,(E112)-(J35))))/MAX((F35)+2*(MAX($D$16,(E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E112)-(J35))))*(MAX($D$16,(E112)-(J35))),0.000001)),$D$9*((((ABS(J112)/MAX(((G35)+(I35)*(MAX($D$16,(N112)-(K35))))*(MAX($D$16,(N112)-(K35))),0.000001))^2)/(2*$I$5))-(((ABS(J112)/MAX(((F35)+(H35)*(MAX($D$16,(E112)-(J35))))*(MAX($D$16,(E112)-(J35))),0.000001))^2)/(2*$I$5))),$D$8*((((ABS(J112)/MAX(((F35)+(H35)*(MAX($D$16,(E112)-(J35))))*(MAX($D$16,(E112)-(J35))),0.000001))^2)/(2*$I$5))-(((ABS(J112)/MAX(((G35)+(I35)*(MAX($D$16,(N112)-(K35))))*(MAX($D$16,(N112)-(K35))),0.000001))^2)/(2*$I$5)))))+($D$10*(ABS((X35)-(W35))/90)*MAX(((ABS(J112)/MAX(((F35)+(H35)*(MAX($D$16,(E112)-(J35))))*(MAX($D$16,(E112)-(J35))),0.000001))^2)/(2*$I$5),((ABS(J112)/MAX(((G35)+(I35)*(MAX($D$16,(N112)-(K35))))*(MAX($D$16,(N112)-(K35))),0.000001))^2)/(2*$I$5)))+(($D$11*0.34699541*(ABS(I112)/MAX(ABS(G112),0.000001))^2*MAX(((ABS(J112)/MAX(((F35)+(H35)*(MAX($D$16,(E112)-(J35))))*(MAX($D$16,(E112)-(J35))),0.000001))^2)/(2*$I$5),((ABS(J112)/MAX(((G35)+(I35)*(MAX($D$16,(N112)-(K35))))*(MAX($D$16,(N112)-(K35))),0.000001))^2)/(2*$I$5))))-((ABS(J112)/MAX(((F35)+(H35)*(MAX($D$16,(E112)-(J35))))*(MAX($D$16,(E112)-(J35))),0.000001))^2)/(2*$I$5)</f>
        <v>22382.80587457701</v>
      </c>
      <c r="U112">
        <f>(((((F32)*(MAX($D$16,(D112)-(J32)))^2)/2+(H32)*(MAX($D$16,(D112)-(J32)))^3/3+(ABS(G112)^2)/($I$5*MAX(((F32)+(H32)*(MAX($D$16,(D112)-(J32))))*(MAX($D$16,(D112)-(J32))),0.000001)))*0.72785025)-((((F33)*(MAX($D$16,(D112)-(J33)))^2)/2+(H33)*(MAX($D$16,(D112)-(J33)))^3/3+(ABS(H112)^2)/($I$5*MAX(((F33)+(H33)*(MAX($D$16,(D112)-(J33))))*(MAX($D$16,(D112)-(J33))),0.000001)))*0.99999971))/MAX(((G31)*(MAX($D$16,(D112)-(K31)))^2)/2+(I31)*(MAX($D$16,(D112)-(K31)))^3/3+(ABS(F112)^2)/($I$5*MAX(((G31)+(I31)*(MAX($D$16,(D112)-(K31))))*(MAX($D$16,(D112)-(K31))),0.000001)),0.000001)</f>
        <v>-0.27214945999978912</v>
      </c>
      <c r="V112">
        <f>(((((F34)*(MAX($D$16,(E112)-(J34)))^2)/2+(H34)*(MAX($D$16,(E112)-(J34)))^3/3+(ABS(I112)^2)/($I$5*MAX(((F34)+(H34)*(MAX($D$16,(E112)-(J34))))*(MAX($D$16,(E112)-(J34))),0.000001)))*1)-((((F35)*(MAX($D$16,(E112)-(J35)))^2)/2+(H35)*(MAX($D$16,(E112)-(J35)))^3/3+(ABS(J112)^2)/($I$5*MAX(((F35)+(H35)*(MAX($D$16,(E112)-(J35))))*(MAX($D$16,(E112)-(J35))),0.000001)))*0.30600918))/MAX(((G32)*(MAX($D$16,(E112)-(K32)))^2)/2+(I32)*(MAX($D$16,(E112)-(K32)))^3/3+(ABS(G112)^2)/($I$5*MAX(((G32)+(I32)*(MAX($D$16,(E112)-(K32))))*(MAX($D$16,(E112)-(K32))),0.000001)),0.000001)</f>
        <v>-0.30598462674144999</v>
      </c>
      <c r="W112">
        <f>IF(N6="None",MAX(ABS(O112-D112),ABS(P112-D112)),MAX(ABS(O112-D112),ABS(P112-D112),ABS(Q112-D112)))</f>
        <v>38814.691442099305</v>
      </c>
      <c r="X112">
        <f>IF(AND(N7="None",N8="None"),ABS(R112-E112),IF(N8="None",MAX(ABS(R112-E112),ABS(S112-E112)),IF(N7="None",MAX(ABS(R112-E112),ABS(T112-E112)),MAX(ABS(R112-E112),ABS(S112-E112),ABS(T112-E112)))))</f>
        <v>38591.924376200375</v>
      </c>
      <c r="AA112">
        <f>D112+$D$13*(IF(N6="None",AVERAGE(O112:P112),AVERAGE(O112:Q112))-D112)</f>
        <v>39452.347967831811</v>
      </c>
      <c r="AB112">
        <f>E112+$D$13*(IF(AND(N7="None",N8="None"),R112,IF(N8="None",AVERAGE(R112:S112),IF(N7="None",AVERAGE(R112,T112),AVERAGE(R112:T112))))-E112)</f>
        <v>-7786.8102326210164</v>
      </c>
    </row>
    <row r="113" spans="1:28" x14ac:dyDescent="0.35">
      <c r="A113">
        <v>70</v>
      </c>
      <c r="B113">
        <f t="shared" si="13"/>
        <v>0</v>
      </c>
      <c r="C113">
        <f t="shared" si="14"/>
        <v>0</v>
      </c>
      <c r="D113">
        <f t="shared" si="15"/>
        <v>39452.347967831811</v>
      </c>
      <c r="E113">
        <f t="shared" si="16"/>
        <v>-7786.8102326210164</v>
      </c>
      <c r="F113">
        <f t="shared" si="12"/>
        <v>51</v>
      </c>
      <c r="G113">
        <f>IF(N6="None",F113,MAX(0,F113*B113))</f>
        <v>51</v>
      </c>
      <c r="H113">
        <f>IF(N6="None",0,MAX(0,F113-G113))</f>
        <v>0</v>
      </c>
      <c r="I113">
        <f>IF(AND(N7="None",N8="None"),0,IF(N8="None",G113,IF(N7="None",0,MAX(0,G113*C113))))</f>
        <v>0</v>
      </c>
      <c r="J113">
        <f>IF(AND(N7="None",N8="None"),0,IF(N8="None",0,IF(N7="None",G113,MAX(0,G113-I113))))</f>
        <v>51</v>
      </c>
      <c r="K113">
        <f>P5</f>
        <v>637</v>
      </c>
      <c r="L113">
        <f>P6</f>
        <v>637</v>
      </c>
      <c r="M113">
        <f>P7</f>
        <v>635.5</v>
      </c>
      <c r="N113">
        <f>P8</f>
        <v>631.54999999999995</v>
      </c>
      <c r="O113">
        <f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D113)-(K31))))*(MAX($D$16,(D113)-(K31))),0.000001)*MAX(((((G31)+(I31)*(MAX($D$16,(D113)-(K31))))*(MAX($D$16,(D113)-(K31))))/MAX((G31)+2*(MAX($D$16,(D113)-(K31)))*SQRT(1+(I31)^2),0.000001))^(2/3),0.000001)))^2))/2)+(IF((ABS(F113)/MAX(((G31)+(I31)*(MAX($D$16,(D113)-(K31))))*(MAX($D$16,(D113)-(K31))),0.000001))&gt;(ABS(F113)/MAX(((F31)+(H31)*(MAX($D$16,(K113)-(J31))))*(MAX($D$16,(K113)-(J31))),0.000001)),$D$9*((((ABS(F113)/MAX(((G31)+(I31)*(MAX($D$16,(D113)-(K31))))*(MAX($D$16,(D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D113)-(K31))))*(MAX($D$16,(D113)-(K31))),0.000001))^2)/(2*$I$5)))))+($D$10*(ABS((X31)-(W31))/90)*MAX(((ABS(F113)/MAX(((F31)+(H31)*(MAX($D$16,(K113)-(J31))))*(MAX($D$16,(K113)-(J31))),0.000001))^2)/(2*$I$5),((ABS(F113)/MAX(((G31)+(I31)*(MAX($D$16,(D113)-(K31))))*(MAX($D$16,(D113)-(K31))),0.000001))^2)/(2*$I$5)))+(0)-((ABS(F113)/MAX(((G31)+(I31)*(MAX($D$16,(D113)-(K31))))*(MAX($D$16,(D113)-(K31))),0.000001))^2)/(2*$I$5)</f>
        <v>637.65825100972802</v>
      </c>
      <c r="P113">
        <f>E113+((ABS(G113)/MAX(((G32)+(I32)*(MAX($D$16,(E113)-(K32))))*(MAX($D$16,(E113)-(K32))),0.000001))^2)/(2*$I$5)+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F32)+(H32)*(MAX($D$16,(D113)-(J32))))*(MAX($D$16,(D113)-(J32))),0.000001))^2)/(2*$I$5)</f>
        <v>78267.039342774762</v>
      </c>
      <c r="Q113">
        <f>L113+((ABS(H113)/MAX(((G33)+(I33)*(MAX($D$16,(L113)-(K33))))*(MAX($D$16,(L113)-(K33))),0.000001))^2)/(2*$I$5)+((E33)*((((ABS(H113)*$D$6)/(MAX(((F33)+(H33)*(MAX($D$16,(D113)-(J33))))*(MAX($D$16,(D113)-(J33))),0.000001)*MAX(((((F33)+(H33)*(MAX($D$16,(D113)-(J33))))*(MAX($D$16,(D113)-(J33))))/MAX((F33)+2*(MAX($D$16,(D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D113)-(J33))))*(MAX($D$16,(D113)-(J33))),0.000001)),$D$9*((((ABS(H113)/MAX(((G33)+(I33)*(MAX($D$16,(L113)-(K33))))*(MAX($D$16,(L113)-(K33))),0.000001))^2)/(2*$I$5))-(((ABS(H113)/MAX(((F33)+(H33)*(MAX($D$16,(D113)-(J33))))*(MAX($D$16,(D113)-(J33))),0.000001))^2)/(2*$I$5))),$D$8*((((ABS(H113)/MAX(((F33)+(H33)*(MAX($D$16,(D113)-(J33))))*(MAX($D$16,(D113)-(J33))),0.000001))^2)/(2*$I$5))-(((ABS(H113)/MAX(((G33)+(I33)*(MAX($D$16,(L113)-(K33))))*(MAX($D$16,(L113)-(K33))),0.000001))^2)/(2*$I$5)))))+($D$10*(ABS((X33)-(W33))/90)*MAX(((ABS(H113)/MAX(((F33)+(H33)*(MAX($D$16,(D113)-(J33))))*(MAX($D$16,(D113)-(J33))),0.000001))^2)/(2*$I$5),((ABS(H113)/MAX(((G33)+(I33)*(MAX($D$16,(L113)-(K33))))*(MAX($D$16,(L113)-(K33))),0.000001))^2)/(2*$I$5)))+(($D$11*0.00000015*(ABS(G113)/MAX(ABS(F113),0.000001))^2*MAX(((ABS(H113)/MAX(((F33)+(H33)*(MAX($D$16,(D113)-(J33))))*(MAX($D$16,(D113)-(J33))),0.000001))^2)/(2*$I$5),((ABS(H113)/MAX(((G33)+(I33)*(MAX($D$16,(L113)-(K33))))*(MAX($D$16,(L113)-(K33))),0.000001))^2)/(2*$I$5))))-((ABS(H113)/MAX(((F33)+(H33)*(MAX($D$16,(D113)-(J33))))*(MAX($D$16,(D113)-(J33))),0.000001))^2)/(2*$I$5)</f>
        <v>637</v>
      </c>
      <c r="R113">
        <f>D113+((ABS(G113)/MAX(((F32)+(H32)*(MAX($D$16,(D113)-(J32))))*(MAX($D$16,(D113)-(J32))),0.000001))^2)/(2*$I$5)-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G32)+(I32)*(MAX($D$16,(E113)-(K32))))*(MAX($D$16,(E113)-(K32))),0.000001))^2)/(2*$I$5)</f>
        <v>-46378.734541665028</v>
      </c>
      <c r="S113">
        <f>M113+((ABS(I113)/MAX(((G34)+(I34)*(MAX($D$16,(M113)-(K34))))*(MAX($D$16,(M113)-(K34))),0.000001))^2)/(2*$I$5)+((E34)*((((ABS(I113)*$D$6)/(MAX(((F34)+(H34)*(MAX($D$16,(E113)-(J34))))*(MAX($D$16,(E113)-(J34))),0.000001)*MAX(((((F34)+(H34)*(MAX($D$16,(E113)-(J34))))*(MAX($D$16,(E113)-(J34))))/MAX((F34)+2*(MAX($D$16,(E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E113)-(J34))))*(MAX($D$16,(E113)-(J34))),0.000001)),$D$9*((((ABS(I113)/MAX(((G34)+(I34)*(MAX($D$16,(M113)-(K34))))*(MAX($D$16,(M113)-(K34))),0.000001))^2)/(2*$I$5))-(((ABS(I113)/MAX(((F34)+(H34)*(MAX($D$16,(E113)-(J34))))*(MAX($D$16,(E113)-(J34))),0.000001))^2)/(2*$I$5))),$D$8*((((ABS(I113)/MAX(((F34)+(H34)*(MAX($D$16,(E113)-(J34))))*(MAX($D$16,(E113)-(J34))),0.000001))^2)/(2*$I$5))-(((ABS(I113)/MAX(((G34)+(I34)*(MAX($D$16,(M113)-(K34))))*(MAX($D$16,(M113)-(K34))),0.000001))^2)/(2*$I$5)))))+($D$10*(ABS((X34)-(W34))/90)*MAX(((ABS(I113)/MAX(((F34)+(H34)*(MAX($D$16,(E113)-(J34))))*(MAX($D$16,(E113)-(J34))),0.000001))^2)/(2*$I$5),((ABS(I113)/MAX(((G34)+(I34)*(MAX($D$16,(M113)-(K34))))*(MAX($D$16,(M113)-(K34))),0.000001))^2)/(2*$I$5)))+(0)-((ABS(I113)/MAX(((F34)+(H34)*(MAX($D$16,(E113)-(J34))))*(MAX($D$16,(E113)-(J34))),0.000001))^2)/(2*$I$5)</f>
        <v>635.5</v>
      </c>
      <c r="T113">
        <f>N113+((ABS(J113)/MAX(((G35)+(I35)*(MAX($D$16,(N113)-(K35))))*(MAX($D$16,(N113)-(K35))),0.000001))^2)/(2*$I$5)+((E35)*((((ABS(J113)*$D$6)/(MAX(((F35)+(H35)*(MAX($D$16,(E113)-(J35))))*(MAX($D$16,(E113)-(J35))),0.000001)*MAX(((((F35)+(H35)*(MAX($D$16,(E113)-(J35))))*(MAX($D$16,(E113)-(J35))))/MAX((F35)+2*(MAX($D$16,(E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E113)-(J35))))*(MAX($D$16,(E113)-(J35))),0.000001)),$D$9*((((ABS(J113)/MAX(((G35)+(I35)*(MAX($D$16,(N113)-(K35))))*(MAX($D$16,(N113)-(K35))),0.000001))^2)/(2*$I$5))-(((ABS(J113)/MAX(((F35)+(H35)*(MAX($D$16,(E113)-(J35))))*(MAX($D$16,(E113)-(J35))),0.000001))^2)/(2*$I$5))),$D$8*((((ABS(J113)/MAX(((F35)+(H35)*(MAX($D$16,(E113)-(J35))))*(MAX($D$16,(E113)-(J35))),0.000001))^2)/(2*$I$5))-(((ABS(J113)/MAX(((G35)+(I35)*(MAX($D$16,(N113)-(K35))))*(MAX($D$16,(N113)-(K35))),0.000001))^2)/(2*$I$5)))))+($D$10*(ABS((X35)-(W35))/90)*MAX(((ABS(J113)/MAX(((F35)+(H35)*(MAX($D$16,(E113)-(J35))))*(MAX($D$16,(E113)-(J35))),0.000001))^2)/(2*$I$5),((ABS(J113)/MAX(((G35)+(I35)*(MAX($D$16,(N113)-(K35))))*(MAX($D$16,(N113)-(K35))),0.000001))^2)/(2*$I$5)))+(($D$11*0.34699541*(ABS(I113)/MAX(ABS(G113),0.000001))^2*MAX(((ABS(J113)/MAX(((F35)+(H35)*(MAX($D$16,(E113)-(J35))))*(MAX($D$16,(E113)-(J35))),0.000001))^2)/(2*$I$5),((ABS(J113)/MAX(((G35)+(I35)*(MAX($D$16,(N113)-(K35))))*(MAX($D$16,(N113)-(K35))),0.000001))^2)/(2*$I$5))))-((ABS(J113)/MAX(((F35)+(H35)*(MAX($D$16,(E113)-(J35))))*(MAX($D$16,(E113)-(J35))),0.000001))^2)/(2*$I$5)</f>
        <v>22382.80587457701</v>
      </c>
      <c r="U113">
        <f>(((((F32)*(MAX($D$16,(D113)-(J32)))^2)/2+(H32)*(MAX($D$16,(D113)-(J32)))^3/3+(ABS(G113)^2)/($I$5*MAX(((F32)+(H32)*(MAX($D$16,(D113)-(J32))))*(MAX($D$16,(D113)-(J32))),0.000001)))*0.72785025)-((((F33)*(MAX($D$16,(D113)-(J33)))^2)/2+(H33)*(MAX($D$16,(D113)-(J33)))^3/3+(ABS(H113)^2)/($I$5*MAX(((F33)+(H33)*(MAX($D$16,(D113)-(J33))))*(MAX($D$16,(D113)-(J33))),0.000001)))*0.99999971))/MAX(((G31)*(MAX($D$16,(D113)-(K31)))^2)/2+(I31)*(MAX($D$16,(D113)-(K31)))^3/3+(ABS(F113)^2)/($I$5*MAX(((G31)+(I31)*(MAX($D$16,(D113)-(K31))))*(MAX($D$16,(D113)-(K31))),0.000001)),0.000001)</f>
        <v>-0.27214945999978918</v>
      </c>
      <c r="V113">
        <f>(((((F34)*(MAX($D$16,(E113)-(J34)))^2)/2+(H34)*(MAX($D$16,(E113)-(J34)))^3/3+(ABS(I113)^2)/($I$5*MAX(((F34)+(H34)*(MAX($D$16,(E113)-(J34))))*(MAX($D$16,(E113)-(J34))),0.000001)))*1)-((((F35)*(MAX($D$16,(E113)-(J35)))^2)/2+(H35)*(MAX($D$16,(E113)-(J35)))^3/3+(ABS(J113)^2)/($I$5*MAX(((F35)+(H35)*(MAX($D$16,(E113)-(J35))))*(MAX($D$16,(E113)-(J35))),0.000001)))*0.30600918))/MAX(((G32)*(MAX($D$16,(E113)-(K32)))^2)/2+(I32)*(MAX($D$16,(E113)-(K32)))^3/3+(ABS(G113)^2)/($I$5*MAX(((G32)+(I32)*(MAX($D$16,(E113)-(K32))))*(MAX($D$16,(E113)-(K32))),0.000001)),0.000001)</f>
        <v>-0.30598462674144999</v>
      </c>
      <c r="W113">
        <f>IF(N6="None",MAX(ABS(O113-D113),ABS(P113-D113)),MAX(ABS(O113-D113),ABS(P113-D113),ABS(Q113-D113)))</f>
        <v>38814.691374942951</v>
      </c>
      <c r="X113">
        <f>IF(AND(N7="None",N8="None"),ABS(R113-E113),IF(N8="None",MAX(ABS(R113-E113),ABS(S113-E113)),IF(N7="None",MAX(ABS(R113-E113),ABS(T113-E113)),MAX(ABS(R113-E113),ABS(S113-E113),ABS(T113-E113)))))</f>
        <v>38591.924309044014</v>
      </c>
      <c r="AA113">
        <f>D113+$D$13*(IF(N6="None",AVERAGE(O113:P113),AVERAGE(O113:Q113))-D113)</f>
        <v>39452.348258002959</v>
      </c>
      <c r="AB113">
        <f>E113+$D$13*(IF(AND(N7="None",N8="None"),R113,IF(N8="None",AVERAGE(R113:S113),IF(N7="None",AVERAGE(R113,T113),AVERAGE(R113:T113))))-E113)</f>
        <v>-7786.8099956972628</v>
      </c>
    </row>
    <row r="114" spans="1:28" x14ac:dyDescent="0.35">
      <c r="A114">
        <v>71</v>
      </c>
      <c r="B114">
        <f t="shared" si="13"/>
        <v>0</v>
      </c>
      <c r="C114">
        <f t="shared" si="14"/>
        <v>0</v>
      </c>
      <c r="D114">
        <f t="shared" si="15"/>
        <v>39452.348258002959</v>
      </c>
      <c r="E114">
        <f t="shared" si="16"/>
        <v>-7786.8099956972628</v>
      </c>
      <c r="F114">
        <f t="shared" si="12"/>
        <v>51</v>
      </c>
      <c r="G114">
        <f>IF(N6="None",F114,MAX(0,F114*B114))</f>
        <v>51</v>
      </c>
      <c r="H114">
        <f>IF(N6="None",0,MAX(0,F114-G114))</f>
        <v>0</v>
      </c>
      <c r="I114">
        <f>IF(AND(N7="None",N8="None"),0,IF(N8="None",G114,IF(N7="None",0,MAX(0,G114*C114))))</f>
        <v>0</v>
      </c>
      <c r="J114">
        <f>IF(AND(N7="None",N8="None"),0,IF(N8="None",0,IF(N7="None",G114,MAX(0,G114-I114))))</f>
        <v>51</v>
      </c>
      <c r="K114">
        <f>P5</f>
        <v>637</v>
      </c>
      <c r="L114">
        <f>P6</f>
        <v>637</v>
      </c>
      <c r="M114">
        <f>P7</f>
        <v>635.5</v>
      </c>
      <c r="N114">
        <f>P8</f>
        <v>631.54999999999995</v>
      </c>
      <c r="O114">
        <f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D114)-(K31))))*(MAX($D$16,(D114)-(K31))),0.000001)*MAX(((((G31)+(I31)*(MAX($D$16,(D114)-(K31))))*(MAX($D$16,(D114)-(K31))))/MAX((G31)+2*(MAX($D$16,(D114)-(K31)))*SQRT(1+(I31)^2),0.000001))^(2/3),0.000001)))^2))/2)+(IF((ABS(F114)/MAX(((G31)+(I31)*(MAX($D$16,(D114)-(K31))))*(MAX($D$16,(D114)-(K31))),0.000001))&gt;(ABS(F114)/MAX(((F31)+(H31)*(MAX($D$16,(K114)-(J31))))*(MAX($D$16,(K114)-(J31))),0.000001)),$D$9*((((ABS(F114)/MAX(((G31)+(I31)*(MAX($D$16,(D114)-(K31))))*(MAX($D$16,(D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D114)-(K31))))*(MAX($D$16,(D114)-(K31))),0.000001))^2)/(2*$I$5)))))+($D$10*(ABS((X31)-(W31))/90)*MAX(((ABS(F114)/MAX(((F31)+(H31)*(MAX($D$16,(K114)-(J31))))*(MAX($D$16,(K114)-(J31))),0.000001))^2)/(2*$I$5),((ABS(F114)/MAX(((G31)+(I31)*(MAX($D$16,(D114)-(K31))))*(MAX($D$16,(D114)-(K31))),0.000001))^2)/(2*$I$5)))+(0)-((ABS(F114)/MAX(((G31)+(I31)*(MAX($D$16,(D114)-(K31))))*(MAX($D$16,(D114)-(K31))),0.000001))^2)/(2*$I$5)</f>
        <v>637.65825100972802</v>
      </c>
      <c r="P114">
        <f>E114+((ABS(G114)/MAX(((G32)+(I32)*(MAX($D$16,(E114)-(K32))))*(MAX($D$16,(E114)-(K32))),0.000001))^2)/(2*$I$5)+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F32)+(H32)*(MAX($D$16,(D114)-(J32))))*(MAX($D$16,(D114)-(J32))),0.000001))^2)/(2*$I$5)</f>
        <v>78267.03957969851</v>
      </c>
      <c r="Q114">
        <f>L114+((ABS(H114)/MAX(((G33)+(I33)*(MAX($D$16,(L114)-(K33))))*(MAX($D$16,(L114)-(K33))),0.000001))^2)/(2*$I$5)+((E33)*((((ABS(H114)*$D$6)/(MAX(((F33)+(H33)*(MAX($D$16,(D114)-(J33))))*(MAX($D$16,(D114)-(J33))),0.000001)*MAX(((((F33)+(H33)*(MAX($D$16,(D114)-(J33))))*(MAX($D$16,(D114)-(J33))))/MAX((F33)+2*(MAX($D$16,(D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D114)-(J33))))*(MAX($D$16,(D114)-(J33))),0.000001)),$D$9*((((ABS(H114)/MAX(((G33)+(I33)*(MAX($D$16,(L114)-(K33))))*(MAX($D$16,(L114)-(K33))),0.000001))^2)/(2*$I$5))-(((ABS(H114)/MAX(((F33)+(H33)*(MAX($D$16,(D114)-(J33))))*(MAX($D$16,(D114)-(J33))),0.000001))^2)/(2*$I$5))),$D$8*((((ABS(H114)/MAX(((F33)+(H33)*(MAX($D$16,(D114)-(J33))))*(MAX($D$16,(D114)-(J33))),0.000001))^2)/(2*$I$5))-(((ABS(H114)/MAX(((G33)+(I33)*(MAX($D$16,(L114)-(K33))))*(MAX($D$16,(L114)-(K33))),0.000001))^2)/(2*$I$5)))))+($D$10*(ABS((X33)-(W33))/90)*MAX(((ABS(H114)/MAX(((F33)+(H33)*(MAX($D$16,(D114)-(J33))))*(MAX($D$16,(D114)-(J33))),0.000001))^2)/(2*$I$5),((ABS(H114)/MAX(((G33)+(I33)*(MAX($D$16,(L114)-(K33))))*(MAX($D$16,(L114)-(K33))),0.000001))^2)/(2*$I$5)))+(($D$11*0.00000015*(ABS(G114)/MAX(ABS(F114),0.000001))^2*MAX(((ABS(H114)/MAX(((F33)+(H33)*(MAX($D$16,(D114)-(J33))))*(MAX($D$16,(D114)-(J33))),0.000001))^2)/(2*$I$5),((ABS(H114)/MAX(((G33)+(I33)*(MAX($D$16,(L114)-(K33))))*(MAX($D$16,(L114)-(K33))),0.000001))^2)/(2*$I$5))))-((ABS(H114)/MAX(((F33)+(H33)*(MAX($D$16,(D114)-(J33))))*(MAX($D$16,(D114)-(J33))),0.000001))^2)/(2*$I$5)</f>
        <v>637</v>
      </c>
      <c r="R114">
        <f>D114+((ABS(G114)/MAX(((F32)+(H32)*(MAX($D$16,(D114)-(J32))))*(MAX($D$16,(D114)-(J32))),0.000001))^2)/(2*$I$5)-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G32)+(I32)*(MAX($D$16,(E114)-(K32))))*(MAX($D$16,(E114)-(K32))),0.000001))^2)/(2*$I$5)</f>
        <v>-46378.734251493879</v>
      </c>
      <c r="S114">
        <f>M114+((ABS(I114)/MAX(((G34)+(I34)*(MAX($D$16,(M114)-(K34))))*(MAX($D$16,(M114)-(K34))),0.000001))^2)/(2*$I$5)+((E34)*((((ABS(I114)*$D$6)/(MAX(((F34)+(H34)*(MAX($D$16,(E114)-(J34))))*(MAX($D$16,(E114)-(J34))),0.000001)*MAX(((((F34)+(H34)*(MAX($D$16,(E114)-(J34))))*(MAX($D$16,(E114)-(J34))))/MAX((F34)+2*(MAX($D$16,(E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E114)-(J34))))*(MAX($D$16,(E114)-(J34))),0.000001)),$D$9*((((ABS(I114)/MAX(((G34)+(I34)*(MAX($D$16,(M114)-(K34))))*(MAX($D$16,(M114)-(K34))),0.000001))^2)/(2*$I$5))-(((ABS(I114)/MAX(((F34)+(H34)*(MAX($D$16,(E114)-(J34))))*(MAX($D$16,(E114)-(J34))),0.000001))^2)/(2*$I$5))),$D$8*((((ABS(I114)/MAX(((F34)+(H34)*(MAX($D$16,(E114)-(J34))))*(MAX($D$16,(E114)-(J34))),0.000001))^2)/(2*$I$5))-(((ABS(I114)/MAX(((G34)+(I34)*(MAX($D$16,(M114)-(K34))))*(MAX($D$16,(M114)-(K34))),0.000001))^2)/(2*$I$5)))))+($D$10*(ABS((X34)-(W34))/90)*MAX(((ABS(I114)/MAX(((F34)+(H34)*(MAX($D$16,(E114)-(J34))))*(MAX($D$16,(E114)-(J34))),0.000001))^2)/(2*$I$5),((ABS(I114)/MAX(((G34)+(I34)*(MAX($D$16,(M114)-(K34))))*(MAX($D$16,(M114)-(K34))),0.000001))^2)/(2*$I$5)))+(0)-((ABS(I114)/MAX(((F34)+(H34)*(MAX($D$16,(E114)-(J34))))*(MAX($D$16,(E114)-(J34))),0.000001))^2)/(2*$I$5)</f>
        <v>635.5</v>
      </c>
      <c r="T114">
        <f>N114+((ABS(J114)/MAX(((G35)+(I35)*(MAX($D$16,(N114)-(K35))))*(MAX($D$16,(N114)-(K35))),0.000001))^2)/(2*$I$5)+((E35)*((((ABS(J114)*$D$6)/(MAX(((F35)+(H35)*(MAX($D$16,(E114)-(J35))))*(MAX($D$16,(E114)-(J35))),0.000001)*MAX(((((F35)+(H35)*(MAX($D$16,(E114)-(J35))))*(MAX($D$16,(E114)-(J35))))/MAX((F35)+2*(MAX($D$16,(E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E114)-(J35))))*(MAX($D$16,(E114)-(J35))),0.000001)),$D$9*((((ABS(J114)/MAX(((G35)+(I35)*(MAX($D$16,(N114)-(K35))))*(MAX($D$16,(N114)-(K35))),0.000001))^2)/(2*$I$5))-(((ABS(J114)/MAX(((F35)+(H35)*(MAX($D$16,(E114)-(J35))))*(MAX($D$16,(E114)-(J35))),0.000001))^2)/(2*$I$5))),$D$8*((((ABS(J114)/MAX(((F35)+(H35)*(MAX($D$16,(E114)-(J35))))*(MAX($D$16,(E114)-(J35))),0.000001))^2)/(2*$I$5))-(((ABS(J114)/MAX(((G35)+(I35)*(MAX($D$16,(N114)-(K35))))*(MAX($D$16,(N114)-(K35))),0.000001))^2)/(2*$I$5)))))+($D$10*(ABS((X35)-(W35))/90)*MAX(((ABS(J114)/MAX(((F35)+(H35)*(MAX($D$16,(E114)-(J35))))*(MAX($D$16,(E114)-(J35))),0.000001))^2)/(2*$I$5),((ABS(J114)/MAX(((G35)+(I35)*(MAX($D$16,(N114)-(K35))))*(MAX($D$16,(N114)-(K35))),0.000001))^2)/(2*$I$5)))+(($D$11*0.34699541*(ABS(I114)/MAX(ABS(G114),0.000001))^2*MAX(((ABS(J114)/MAX(((F35)+(H35)*(MAX($D$16,(E114)-(J35))))*(MAX($D$16,(E114)-(J35))),0.000001))^2)/(2*$I$5),((ABS(J114)/MAX(((G35)+(I35)*(MAX($D$16,(N114)-(K35))))*(MAX($D$16,(N114)-(K35))),0.000001))^2)/(2*$I$5))))-((ABS(J114)/MAX(((F35)+(H35)*(MAX($D$16,(E114)-(J35))))*(MAX($D$16,(E114)-(J35))),0.000001))^2)/(2*$I$5)</f>
        <v>22382.80587457701</v>
      </c>
      <c r="U114">
        <f>(((((F32)*(MAX($D$16,(D114)-(J32)))^2)/2+(H32)*(MAX($D$16,(D114)-(J32)))^3/3+(ABS(G114)^2)/($I$5*MAX(((F32)+(H32)*(MAX($D$16,(D114)-(J32))))*(MAX($D$16,(D114)-(J32))),0.000001)))*0.72785025)-((((F33)*(MAX($D$16,(D114)-(J33)))^2)/2+(H33)*(MAX($D$16,(D114)-(J33)))^3/3+(ABS(H114)^2)/($I$5*MAX(((F33)+(H33)*(MAX($D$16,(D114)-(J33))))*(MAX($D$16,(D114)-(J33))),0.000001)))*0.99999971))/MAX(((G31)*(MAX($D$16,(D114)-(K31)))^2)/2+(I31)*(MAX($D$16,(D114)-(K31)))^3/3+(ABS(F114)^2)/($I$5*MAX(((G31)+(I31)*(MAX($D$16,(D114)-(K31))))*(MAX($D$16,(D114)-(K31))),0.000001)),0.000001)</f>
        <v>-0.27214945999978918</v>
      </c>
      <c r="V114">
        <f>(((((F34)*(MAX($D$16,(E114)-(J34)))^2)/2+(H34)*(MAX($D$16,(E114)-(J34)))^3/3+(ABS(I114)^2)/($I$5*MAX(((F34)+(H34)*(MAX($D$16,(E114)-(J34))))*(MAX($D$16,(E114)-(J34))),0.000001)))*1)-((((F35)*(MAX($D$16,(E114)-(J35)))^2)/2+(H35)*(MAX($D$16,(E114)-(J35)))^3/3+(ABS(J114)^2)/($I$5*MAX(((F35)+(H35)*(MAX($D$16,(E114)-(J35))))*(MAX($D$16,(E114)-(J35))),0.000001)))*0.30600918))/MAX(((G32)*(MAX($D$16,(E114)-(K32)))^2)/2+(I32)*(MAX($D$16,(E114)-(K32)))^3/3+(ABS(G114)^2)/($I$5*MAX(((G32)+(I32)*(MAX($D$16,(E114)-(K32))))*(MAX($D$16,(E114)-(K32))),0.000001)),0.000001)</f>
        <v>-0.30598462674144999</v>
      </c>
      <c r="W114">
        <f>IF(N6="None",MAX(ABS(O114-D114),ABS(P114-D114)),MAX(ABS(O114-D114),ABS(P114-D114),ABS(Q114-D114)))</f>
        <v>38814.691321695551</v>
      </c>
      <c r="X114">
        <f>IF(AND(N7="None",N8="None"),ABS(R114-E114),IF(N8="None",MAX(ABS(R114-E114),ABS(S114-E114)),IF(N7="None",MAX(ABS(R114-E114),ABS(T114-E114)),MAX(ABS(R114-E114),ABS(S114-E114),ABS(T114-E114)))))</f>
        <v>38591.924255796614</v>
      </c>
      <c r="AA114">
        <f>D114+$D$13*(IF(N6="None",AVERAGE(O114:P114),AVERAGE(O114:Q114))-D114)</f>
        <v>39452.348488075862</v>
      </c>
      <c r="AB114">
        <f>E114+$D$13*(IF(AND(N7="None",N8="None"),R114,IF(N8="None",AVERAGE(R114:S114),IF(N7="None",AVERAGE(R114,T114),AVERAGE(R114:T114))))-E114)</f>
        <v>-7786.8098078435223</v>
      </c>
    </row>
    <row r="115" spans="1:28" x14ac:dyDescent="0.35">
      <c r="A115">
        <v>72</v>
      </c>
      <c r="B115">
        <f t="shared" si="13"/>
        <v>0</v>
      </c>
      <c r="C115">
        <f t="shared" si="14"/>
        <v>0</v>
      </c>
      <c r="D115">
        <f t="shared" si="15"/>
        <v>39452.348488075862</v>
      </c>
      <c r="E115">
        <f t="shared" si="16"/>
        <v>-7786.8098078435223</v>
      </c>
      <c r="F115">
        <f t="shared" si="12"/>
        <v>51</v>
      </c>
      <c r="G115">
        <f>IF(N6="None",F115,MAX(0,F115*B115))</f>
        <v>51</v>
      </c>
      <c r="H115">
        <f>IF(N6="None",0,MAX(0,F115-G115))</f>
        <v>0</v>
      </c>
      <c r="I115">
        <f>IF(AND(N7="None",N8="None"),0,IF(N8="None",G115,IF(N7="None",0,MAX(0,G115*C115))))</f>
        <v>0</v>
      </c>
      <c r="J115">
        <f>IF(AND(N7="None",N8="None"),0,IF(N8="None",0,IF(N7="None",G115,MAX(0,G115-I115))))</f>
        <v>51</v>
      </c>
      <c r="K115">
        <f>P5</f>
        <v>637</v>
      </c>
      <c r="L115">
        <f>P6</f>
        <v>637</v>
      </c>
      <c r="M115">
        <f>P7</f>
        <v>635.5</v>
      </c>
      <c r="N115">
        <f>P8</f>
        <v>631.54999999999995</v>
      </c>
      <c r="O115">
        <f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D115)-(K31))))*(MAX($D$16,(D115)-(K31))),0.000001)*MAX(((((G31)+(I31)*(MAX($D$16,(D115)-(K31))))*(MAX($D$16,(D115)-(K31))))/MAX((G31)+2*(MAX($D$16,(D115)-(K31)))*SQRT(1+(I31)^2),0.000001))^(2/3),0.000001)))^2))/2)+(IF((ABS(F115)/MAX(((G31)+(I31)*(MAX($D$16,(D115)-(K31))))*(MAX($D$16,(D115)-(K31))),0.000001))&gt;(ABS(F115)/MAX(((F31)+(H31)*(MAX($D$16,(K115)-(J31))))*(MAX($D$16,(K115)-(J31))),0.000001)),$D$9*((((ABS(F115)/MAX(((G31)+(I31)*(MAX($D$16,(D115)-(K31))))*(MAX($D$16,(D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D115)-(K31))))*(MAX($D$16,(D115)-(K31))),0.000001))^2)/(2*$I$5)))))+($D$10*(ABS((X31)-(W31))/90)*MAX(((ABS(F115)/MAX(((F31)+(H31)*(MAX($D$16,(K115)-(J31))))*(MAX($D$16,(K115)-(J31))),0.000001))^2)/(2*$I$5),((ABS(F115)/MAX(((G31)+(I31)*(MAX($D$16,(D115)-(K31))))*(MAX($D$16,(D115)-(K31))),0.000001))^2)/(2*$I$5)))+(0)-((ABS(F115)/MAX(((G31)+(I31)*(MAX($D$16,(D115)-(K31))))*(MAX($D$16,(D115)-(K31))),0.000001))^2)/(2*$I$5)</f>
        <v>637.65825100972802</v>
      </c>
      <c r="P115">
        <f>E115+((ABS(G115)/MAX(((G32)+(I32)*(MAX($D$16,(E115)-(K32))))*(MAX($D$16,(E115)-(K32))),0.000001))^2)/(2*$I$5)+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F32)+(H32)*(MAX($D$16,(D115)-(J32))))*(MAX($D$16,(D115)-(J32))),0.000001))^2)/(2*$I$5)</f>
        <v>78267.039767552254</v>
      </c>
      <c r="Q115">
        <f>L115+((ABS(H115)/MAX(((G33)+(I33)*(MAX($D$16,(L115)-(K33))))*(MAX($D$16,(L115)-(K33))),0.000001))^2)/(2*$I$5)+((E33)*((((ABS(H115)*$D$6)/(MAX(((F33)+(H33)*(MAX($D$16,(D115)-(J33))))*(MAX($D$16,(D115)-(J33))),0.000001)*MAX(((((F33)+(H33)*(MAX($D$16,(D115)-(J33))))*(MAX($D$16,(D115)-(J33))))/MAX((F33)+2*(MAX($D$16,(D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D115)-(J33))))*(MAX($D$16,(D115)-(J33))),0.000001)),$D$9*((((ABS(H115)/MAX(((G33)+(I33)*(MAX($D$16,(L115)-(K33))))*(MAX($D$16,(L115)-(K33))),0.000001))^2)/(2*$I$5))-(((ABS(H115)/MAX(((F33)+(H33)*(MAX($D$16,(D115)-(J33))))*(MAX($D$16,(D115)-(J33))),0.000001))^2)/(2*$I$5))),$D$8*((((ABS(H115)/MAX(((F33)+(H33)*(MAX($D$16,(D115)-(J33))))*(MAX($D$16,(D115)-(J33))),0.000001))^2)/(2*$I$5))-(((ABS(H115)/MAX(((G33)+(I33)*(MAX($D$16,(L115)-(K33))))*(MAX($D$16,(L115)-(K33))),0.000001))^2)/(2*$I$5)))))+($D$10*(ABS((X33)-(W33))/90)*MAX(((ABS(H115)/MAX(((F33)+(H33)*(MAX($D$16,(D115)-(J33))))*(MAX($D$16,(D115)-(J33))),0.000001))^2)/(2*$I$5),((ABS(H115)/MAX(((G33)+(I33)*(MAX($D$16,(L115)-(K33))))*(MAX($D$16,(L115)-(K33))),0.000001))^2)/(2*$I$5)))+(($D$11*0.00000015*(ABS(G115)/MAX(ABS(F115),0.000001))^2*MAX(((ABS(H115)/MAX(((F33)+(H33)*(MAX($D$16,(D115)-(J33))))*(MAX($D$16,(D115)-(J33))),0.000001))^2)/(2*$I$5),((ABS(H115)/MAX(((G33)+(I33)*(MAX($D$16,(L115)-(K33))))*(MAX($D$16,(L115)-(K33))),0.000001))^2)/(2*$I$5))))-((ABS(H115)/MAX(((F33)+(H33)*(MAX($D$16,(D115)-(J33))))*(MAX($D$16,(D115)-(J33))),0.000001))^2)/(2*$I$5)</f>
        <v>637</v>
      </c>
      <c r="R115">
        <f>D115+((ABS(G115)/MAX(((F32)+(H32)*(MAX($D$16,(D115)-(J32))))*(MAX($D$16,(D115)-(J32))),0.000001))^2)/(2*$I$5)-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G32)+(I32)*(MAX($D$16,(E115)-(K32))))*(MAX($D$16,(E115)-(K32))),0.000001))^2)/(2*$I$5)</f>
        <v>-46378.734021420976</v>
      </c>
      <c r="S115">
        <f>M115+((ABS(I115)/MAX(((G34)+(I34)*(MAX($D$16,(M115)-(K34))))*(MAX($D$16,(M115)-(K34))),0.000001))^2)/(2*$I$5)+((E34)*((((ABS(I115)*$D$6)/(MAX(((F34)+(H34)*(MAX($D$16,(E115)-(J34))))*(MAX($D$16,(E115)-(J34))),0.000001)*MAX(((((F34)+(H34)*(MAX($D$16,(E115)-(J34))))*(MAX($D$16,(E115)-(J34))))/MAX((F34)+2*(MAX($D$16,(E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E115)-(J34))))*(MAX($D$16,(E115)-(J34))),0.000001)),$D$9*((((ABS(I115)/MAX(((G34)+(I34)*(MAX($D$16,(M115)-(K34))))*(MAX($D$16,(M115)-(K34))),0.000001))^2)/(2*$I$5))-(((ABS(I115)/MAX(((F34)+(H34)*(MAX($D$16,(E115)-(J34))))*(MAX($D$16,(E115)-(J34))),0.000001))^2)/(2*$I$5))),$D$8*((((ABS(I115)/MAX(((F34)+(H34)*(MAX($D$16,(E115)-(J34))))*(MAX($D$16,(E115)-(J34))),0.000001))^2)/(2*$I$5))-(((ABS(I115)/MAX(((G34)+(I34)*(MAX($D$16,(M115)-(K34))))*(MAX($D$16,(M115)-(K34))),0.000001))^2)/(2*$I$5)))))+($D$10*(ABS((X34)-(W34))/90)*MAX(((ABS(I115)/MAX(((F34)+(H34)*(MAX($D$16,(E115)-(J34))))*(MAX($D$16,(E115)-(J34))),0.000001))^2)/(2*$I$5),((ABS(I115)/MAX(((G34)+(I34)*(MAX($D$16,(M115)-(K34))))*(MAX($D$16,(M115)-(K34))),0.000001))^2)/(2*$I$5)))+(0)-((ABS(I115)/MAX(((F34)+(H34)*(MAX($D$16,(E115)-(J34))))*(MAX($D$16,(E115)-(J34))),0.000001))^2)/(2*$I$5)</f>
        <v>635.5</v>
      </c>
      <c r="T115">
        <f>N115+((ABS(J115)/MAX(((G35)+(I35)*(MAX($D$16,(N115)-(K35))))*(MAX($D$16,(N115)-(K35))),0.000001))^2)/(2*$I$5)+((E35)*((((ABS(J115)*$D$6)/(MAX(((F35)+(H35)*(MAX($D$16,(E115)-(J35))))*(MAX($D$16,(E115)-(J35))),0.000001)*MAX(((((F35)+(H35)*(MAX($D$16,(E115)-(J35))))*(MAX($D$16,(E115)-(J35))))/MAX((F35)+2*(MAX($D$16,(E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E115)-(J35))))*(MAX($D$16,(E115)-(J35))),0.000001)),$D$9*((((ABS(J115)/MAX(((G35)+(I35)*(MAX($D$16,(N115)-(K35))))*(MAX($D$16,(N115)-(K35))),0.000001))^2)/(2*$I$5))-(((ABS(J115)/MAX(((F35)+(H35)*(MAX($D$16,(E115)-(J35))))*(MAX($D$16,(E115)-(J35))),0.000001))^2)/(2*$I$5))),$D$8*((((ABS(J115)/MAX(((F35)+(H35)*(MAX($D$16,(E115)-(J35))))*(MAX($D$16,(E115)-(J35))),0.000001))^2)/(2*$I$5))-(((ABS(J115)/MAX(((G35)+(I35)*(MAX($D$16,(N115)-(K35))))*(MAX($D$16,(N115)-(K35))),0.000001))^2)/(2*$I$5)))))+($D$10*(ABS((X35)-(W35))/90)*MAX(((ABS(J115)/MAX(((F35)+(H35)*(MAX($D$16,(E115)-(J35))))*(MAX($D$16,(E115)-(J35))),0.000001))^2)/(2*$I$5),((ABS(J115)/MAX(((G35)+(I35)*(MAX($D$16,(N115)-(K35))))*(MAX($D$16,(N115)-(K35))),0.000001))^2)/(2*$I$5)))+(($D$11*0.34699541*(ABS(I115)/MAX(ABS(G115),0.000001))^2*MAX(((ABS(J115)/MAX(((F35)+(H35)*(MAX($D$16,(E115)-(J35))))*(MAX($D$16,(E115)-(J35))),0.000001))^2)/(2*$I$5),((ABS(J115)/MAX(((G35)+(I35)*(MAX($D$16,(N115)-(K35))))*(MAX($D$16,(N115)-(K35))),0.000001))^2)/(2*$I$5))))-((ABS(J115)/MAX(((F35)+(H35)*(MAX($D$16,(E115)-(J35))))*(MAX($D$16,(E115)-(J35))),0.000001))^2)/(2*$I$5)</f>
        <v>22382.80587457701</v>
      </c>
      <c r="U115">
        <f>(((((F32)*(MAX($D$16,(D115)-(J32)))^2)/2+(H32)*(MAX($D$16,(D115)-(J32)))^3/3+(ABS(G115)^2)/($I$5*MAX(((F32)+(H32)*(MAX($D$16,(D115)-(J32))))*(MAX($D$16,(D115)-(J32))),0.000001)))*0.72785025)-((((F33)*(MAX($D$16,(D115)-(J33)))^2)/2+(H33)*(MAX($D$16,(D115)-(J33)))^3/3+(ABS(H115)^2)/($I$5*MAX(((F33)+(H33)*(MAX($D$16,(D115)-(J33))))*(MAX($D$16,(D115)-(J33))),0.000001)))*0.99999971))/MAX(((G31)*(MAX($D$16,(D115)-(K31)))^2)/2+(I31)*(MAX($D$16,(D115)-(K31)))^3/3+(ABS(F115)^2)/($I$5*MAX(((G31)+(I31)*(MAX($D$16,(D115)-(K31))))*(MAX($D$16,(D115)-(K31))),0.000001)),0.000001)</f>
        <v>-0.27214945999978907</v>
      </c>
      <c r="V115">
        <f>(((((F34)*(MAX($D$16,(E115)-(J34)))^2)/2+(H34)*(MAX($D$16,(E115)-(J34)))^3/3+(ABS(I115)^2)/($I$5*MAX(((F34)+(H34)*(MAX($D$16,(E115)-(J34))))*(MAX($D$16,(E115)-(J34))),0.000001)))*1)-((((F35)*(MAX($D$16,(E115)-(J35)))^2)/2+(H35)*(MAX($D$16,(E115)-(J35)))^3/3+(ABS(J115)^2)/($I$5*MAX(((F35)+(H35)*(MAX($D$16,(E115)-(J35))))*(MAX($D$16,(E115)-(J35))),0.000001)))*0.30600918))/MAX(((G32)*(MAX($D$16,(E115)-(K32)))^2)/2+(I32)*(MAX($D$16,(E115)-(K32)))^3/3+(ABS(G115)^2)/($I$5*MAX(((G32)+(I32)*(MAX($D$16,(E115)-(K32))))*(MAX($D$16,(E115)-(K32))),0.000001)),0.000001)</f>
        <v>-0.30598462674144999</v>
      </c>
      <c r="W115">
        <f>IF(N6="None",MAX(ABS(O115-D115),ABS(P115-D115)),MAX(ABS(O115-D115),ABS(P115-D115),ABS(Q115-D115)))</f>
        <v>38814.691279476392</v>
      </c>
      <c r="X115">
        <f>IF(AND(N7="None",N8="None"),ABS(R115-E115),IF(N8="None",MAX(ABS(R115-E115),ABS(S115-E115)),IF(N7="None",MAX(ABS(R115-E115),ABS(T115-E115)),MAX(ABS(R115-E115),ABS(S115-E115),ABS(T115-E115)))))</f>
        <v>38591.924213577455</v>
      </c>
      <c r="AA115">
        <f>D115+$D$13*(IF(N6="None",AVERAGE(O115:P115),AVERAGE(O115:Q115))-D115)</f>
        <v>39452.348670497653</v>
      </c>
      <c r="AB115">
        <f>E115+$D$13*(IF(AND(N7="None",N8="None"),R115,IF(N8="None",AVERAGE(R115:S115),IF(N7="None",AVERAGE(R115,T115),AVERAGE(R115:T115))))-E115)</f>
        <v>-7786.8096588967519</v>
      </c>
    </row>
    <row r="116" spans="1:28" x14ac:dyDescent="0.35">
      <c r="A116">
        <v>73</v>
      </c>
      <c r="B116">
        <f t="shared" si="13"/>
        <v>0</v>
      </c>
      <c r="C116">
        <f t="shared" si="14"/>
        <v>0</v>
      </c>
      <c r="D116">
        <f t="shared" si="15"/>
        <v>39452.348670497653</v>
      </c>
      <c r="E116">
        <f t="shared" si="16"/>
        <v>-7786.8096588967519</v>
      </c>
      <c r="F116">
        <f t="shared" si="12"/>
        <v>51</v>
      </c>
      <c r="G116">
        <f>IF(N6="None",F116,MAX(0,F116*B116))</f>
        <v>51</v>
      </c>
      <c r="H116">
        <f>IF(N6="None",0,MAX(0,F116-G116))</f>
        <v>0</v>
      </c>
      <c r="I116">
        <f>IF(AND(N7="None",N8="None"),0,IF(N8="None",G116,IF(N7="None",0,MAX(0,G116*C116))))</f>
        <v>0</v>
      </c>
      <c r="J116">
        <f>IF(AND(N7="None",N8="None"),0,IF(N8="None",0,IF(N7="None",G116,MAX(0,G116-I116))))</f>
        <v>51</v>
      </c>
      <c r="K116">
        <f>P5</f>
        <v>637</v>
      </c>
      <c r="L116">
        <f>P6</f>
        <v>637</v>
      </c>
      <c r="M116">
        <f>P7</f>
        <v>635.5</v>
      </c>
      <c r="N116">
        <f>P8</f>
        <v>631.54999999999995</v>
      </c>
      <c r="O116">
        <f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D116)-(K31))))*(MAX($D$16,(D116)-(K31))),0.000001)*MAX(((((G31)+(I31)*(MAX($D$16,(D116)-(K31))))*(MAX($D$16,(D116)-(K31))))/MAX((G31)+2*(MAX($D$16,(D116)-(K31)))*SQRT(1+(I31)^2),0.000001))^(2/3),0.000001)))^2))/2)+(IF((ABS(F116)/MAX(((G31)+(I31)*(MAX($D$16,(D116)-(K31))))*(MAX($D$16,(D116)-(K31))),0.000001))&gt;(ABS(F116)/MAX(((F31)+(H31)*(MAX($D$16,(K116)-(J31))))*(MAX($D$16,(K116)-(J31))),0.000001)),$D$9*((((ABS(F116)/MAX(((G31)+(I31)*(MAX($D$16,(D116)-(K31))))*(MAX($D$16,(D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D116)-(K31))))*(MAX($D$16,(D116)-(K31))),0.000001))^2)/(2*$I$5)))))+($D$10*(ABS((X31)-(W31))/90)*MAX(((ABS(F116)/MAX(((F31)+(H31)*(MAX($D$16,(K116)-(J31))))*(MAX($D$16,(K116)-(J31))),0.000001))^2)/(2*$I$5),((ABS(F116)/MAX(((G31)+(I31)*(MAX($D$16,(D116)-(K31))))*(MAX($D$16,(D116)-(K31))),0.000001))^2)/(2*$I$5)))+(0)-((ABS(F116)/MAX(((G31)+(I31)*(MAX($D$16,(D116)-(K31))))*(MAX($D$16,(D116)-(K31))),0.000001))^2)/(2*$I$5)</f>
        <v>637.65825100972802</v>
      </c>
      <c r="P116">
        <f>E116+((ABS(G116)/MAX(((G32)+(I32)*(MAX($D$16,(E116)-(K32))))*(MAX($D$16,(E116)-(K32))),0.000001))^2)/(2*$I$5)+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F32)+(H32)*(MAX($D$16,(D116)-(J32))))*(MAX($D$16,(D116)-(J32))),0.000001))^2)/(2*$I$5)</f>
        <v>78267.039916499023</v>
      </c>
      <c r="Q116">
        <f>L116+((ABS(H116)/MAX(((G33)+(I33)*(MAX($D$16,(L116)-(K33))))*(MAX($D$16,(L116)-(K33))),0.000001))^2)/(2*$I$5)+((E33)*((((ABS(H116)*$D$6)/(MAX(((F33)+(H33)*(MAX($D$16,(D116)-(J33))))*(MAX($D$16,(D116)-(J33))),0.000001)*MAX(((((F33)+(H33)*(MAX($D$16,(D116)-(J33))))*(MAX($D$16,(D116)-(J33))))/MAX((F33)+2*(MAX($D$16,(D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D116)-(J33))))*(MAX($D$16,(D116)-(J33))),0.000001)),$D$9*((((ABS(H116)/MAX(((G33)+(I33)*(MAX($D$16,(L116)-(K33))))*(MAX($D$16,(L116)-(K33))),0.000001))^2)/(2*$I$5))-(((ABS(H116)/MAX(((F33)+(H33)*(MAX($D$16,(D116)-(J33))))*(MAX($D$16,(D116)-(J33))),0.000001))^2)/(2*$I$5))),$D$8*((((ABS(H116)/MAX(((F33)+(H33)*(MAX($D$16,(D116)-(J33))))*(MAX($D$16,(D116)-(J33))),0.000001))^2)/(2*$I$5))-(((ABS(H116)/MAX(((G33)+(I33)*(MAX($D$16,(L116)-(K33))))*(MAX($D$16,(L116)-(K33))),0.000001))^2)/(2*$I$5)))))+($D$10*(ABS((X33)-(W33))/90)*MAX(((ABS(H116)/MAX(((F33)+(H33)*(MAX($D$16,(D116)-(J33))))*(MAX($D$16,(D116)-(J33))),0.000001))^2)/(2*$I$5),((ABS(H116)/MAX(((G33)+(I33)*(MAX($D$16,(L116)-(K33))))*(MAX($D$16,(L116)-(K33))),0.000001))^2)/(2*$I$5)))+(($D$11*0.00000015*(ABS(G116)/MAX(ABS(F116),0.000001))^2*MAX(((ABS(H116)/MAX(((F33)+(H33)*(MAX($D$16,(D116)-(J33))))*(MAX($D$16,(D116)-(J33))),0.000001))^2)/(2*$I$5),((ABS(H116)/MAX(((G33)+(I33)*(MAX($D$16,(L116)-(K33))))*(MAX($D$16,(L116)-(K33))),0.000001))^2)/(2*$I$5))))-((ABS(H116)/MAX(((F33)+(H33)*(MAX($D$16,(D116)-(J33))))*(MAX($D$16,(D116)-(J33))),0.000001))^2)/(2*$I$5)</f>
        <v>637</v>
      </c>
      <c r="R116">
        <f>D116+((ABS(G116)/MAX(((F32)+(H32)*(MAX($D$16,(D116)-(J32))))*(MAX($D$16,(D116)-(J32))),0.000001))^2)/(2*$I$5)-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G32)+(I32)*(MAX($D$16,(E116)-(K32))))*(MAX($D$16,(E116)-(K32))),0.000001))^2)/(2*$I$5)</f>
        <v>-46378.733838999186</v>
      </c>
      <c r="S116">
        <f>M116+((ABS(I116)/MAX(((G34)+(I34)*(MAX($D$16,(M116)-(K34))))*(MAX($D$16,(M116)-(K34))),0.000001))^2)/(2*$I$5)+((E34)*((((ABS(I116)*$D$6)/(MAX(((F34)+(H34)*(MAX($D$16,(E116)-(J34))))*(MAX($D$16,(E116)-(J34))),0.000001)*MAX(((((F34)+(H34)*(MAX($D$16,(E116)-(J34))))*(MAX($D$16,(E116)-(J34))))/MAX((F34)+2*(MAX($D$16,(E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E116)-(J34))))*(MAX($D$16,(E116)-(J34))),0.000001)),$D$9*((((ABS(I116)/MAX(((G34)+(I34)*(MAX($D$16,(M116)-(K34))))*(MAX($D$16,(M116)-(K34))),0.000001))^2)/(2*$I$5))-(((ABS(I116)/MAX(((F34)+(H34)*(MAX($D$16,(E116)-(J34))))*(MAX($D$16,(E116)-(J34))),0.000001))^2)/(2*$I$5))),$D$8*((((ABS(I116)/MAX(((F34)+(H34)*(MAX($D$16,(E116)-(J34))))*(MAX($D$16,(E116)-(J34))),0.000001))^2)/(2*$I$5))-(((ABS(I116)/MAX(((G34)+(I34)*(MAX($D$16,(M116)-(K34))))*(MAX($D$16,(M116)-(K34))),0.000001))^2)/(2*$I$5)))))+($D$10*(ABS((X34)-(W34))/90)*MAX(((ABS(I116)/MAX(((F34)+(H34)*(MAX($D$16,(E116)-(J34))))*(MAX($D$16,(E116)-(J34))),0.000001))^2)/(2*$I$5),((ABS(I116)/MAX(((G34)+(I34)*(MAX($D$16,(M116)-(K34))))*(MAX($D$16,(M116)-(K34))),0.000001))^2)/(2*$I$5)))+(0)-((ABS(I116)/MAX(((F34)+(H34)*(MAX($D$16,(E116)-(J34))))*(MAX($D$16,(E116)-(J34))),0.000001))^2)/(2*$I$5)</f>
        <v>635.5</v>
      </c>
      <c r="T116">
        <f>N116+((ABS(J116)/MAX(((G35)+(I35)*(MAX($D$16,(N116)-(K35))))*(MAX($D$16,(N116)-(K35))),0.000001))^2)/(2*$I$5)+((E35)*((((ABS(J116)*$D$6)/(MAX(((F35)+(H35)*(MAX($D$16,(E116)-(J35))))*(MAX($D$16,(E116)-(J35))),0.000001)*MAX(((((F35)+(H35)*(MAX($D$16,(E116)-(J35))))*(MAX($D$16,(E116)-(J35))))/MAX((F35)+2*(MAX($D$16,(E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E116)-(J35))))*(MAX($D$16,(E116)-(J35))),0.000001)),$D$9*((((ABS(J116)/MAX(((G35)+(I35)*(MAX($D$16,(N116)-(K35))))*(MAX($D$16,(N116)-(K35))),0.000001))^2)/(2*$I$5))-(((ABS(J116)/MAX(((F35)+(H35)*(MAX($D$16,(E116)-(J35))))*(MAX($D$16,(E116)-(J35))),0.000001))^2)/(2*$I$5))),$D$8*((((ABS(J116)/MAX(((F35)+(H35)*(MAX($D$16,(E116)-(J35))))*(MAX($D$16,(E116)-(J35))),0.000001))^2)/(2*$I$5))-(((ABS(J116)/MAX(((G35)+(I35)*(MAX($D$16,(N116)-(K35))))*(MAX($D$16,(N116)-(K35))),0.000001))^2)/(2*$I$5)))))+($D$10*(ABS((X35)-(W35))/90)*MAX(((ABS(J116)/MAX(((F35)+(H35)*(MAX($D$16,(E116)-(J35))))*(MAX($D$16,(E116)-(J35))),0.000001))^2)/(2*$I$5),((ABS(J116)/MAX(((G35)+(I35)*(MAX($D$16,(N116)-(K35))))*(MAX($D$16,(N116)-(K35))),0.000001))^2)/(2*$I$5)))+(($D$11*0.34699541*(ABS(I116)/MAX(ABS(G116),0.000001))^2*MAX(((ABS(J116)/MAX(((F35)+(H35)*(MAX($D$16,(E116)-(J35))))*(MAX($D$16,(E116)-(J35))),0.000001))^2)/(2*$I$5),((ABS(J116)/MAX(((G35)+(I35)*(MAX($D$16,(N116)-(K35))))*(MAX($D$16,(N116)-(K35))),0.000001))^2)/(2*$I$5))))-((ABS(J116)/MAX(((F35)+(H35)*(MAX($D$16,(E116)-(J35))))*(MAX($D$16,(E116)-(J35))),0.000001))^2)/(2*$I$5)</f>
        <v>22382.80587457701</v>
      </c>
      <c r="U116">
        <f>(((((F32)*(MAX($D$16,(D116)-(J32)))^2)/2+(H32)*(MAX($D$16,(D116)-(J32)))^3/3+(ABS(G116)^2)/($I$5*MAX(((F32)+(H32)*(MAX($D$16,(D116)-(J32))))*(MAX($D$16,(D116)-(J32))),0.000001)))*0.72785025)-((((F33)*(MAX($D$16,(D116)-(J33)))^2)/2+(H33)*(MAX($D$16,(D116)-(J33)))^3/3+(ABS(H116)^2)/($I$5*MAX(((F33)+(H33)*(MAX($D$16,(D116)-(J33))))*(MAX($D$16,(D116)-(J33))),0.000001)))*0.99999971))/MAX(((G31)*(MAX($D$16,(D116)-(K31)))^2)/2+(I31)*(MAX($D$16,(D116)-(K31)))^3/3+(ABS(F116)^2)/($I$5*MAX(((G31)+(I31)*(MAX($D$16,(D116)-(K31))))*(MAX($D$16,(D116)-(K31))),0.000001)),0.000001)</f>
        <v>-0.27214945999978918</v>
      </c>
      <c r="V116">
        <f>(((((F34)*(MAX($D$16,(E116)-(J34)))^2)/2+(H34)*(MAX($D$16,(E116)-(J34)))^3/3+(ABS(I116)^2)/($I$5*MAX(((F34)+(H34)*(MAX($D$16,(E116)-(J34))))*(MAX($D$16,(E116)-(J34))),0.000001)))*1)-((((F35)*(MAX($D$16,(E116)-(J35)))^2)/2+(H35)*(MAX($D$16,(E116)-(J35)))^3/3+(ABS(J116)^2)/($I$5*MAX(((F35)+(H35)*(MAX($D$16,(E116)-(J35))))*(MAX($D$16,(E116)-(J35))),0.000001)))*0.30600918))/MAX(((G32)*(MAX($D$16,(E116)-(K32)))^2)/2+(I32)*(MAX($D$16,(E116)-(K32)))^3/3+(ABS(G116)^2)/($I$5*MAX(((G32)+(I32)*(MAX($D$16,(E116)-(K32))))*(MAX($D$16,(E116)-(K32))),0.000001)),0.000001)</f>
        <v>-0.30598462674144999</v>
      </c>
      <c r="W116">
        <f>IF(N6="None",MAX(ABS(O116-D116),ABS(P116-D116)),MAX(ABS(O116-D116),ABS(P116-D116),ABS(Q116-D116)))</f>
        <v>38814.69124600137</v>
      </c>
      <c r="X116">
        <f>IF(AND(N7="None",N8="None"),ABS(R116-E116),IF(N8="None",MAX(ABS(R116-E116),ABS(S116-E116)),IF(N7="None",MAX(ABS(R116-E116),ABS(T116-E116)),MAX(ABS(R116-E116),ABS(S116-E116),ABS(T116-E116)))))</f>
        <v>38591.924180102433</v>
      </c>
      <c r="AA116">
        <f>D116+$D$13*(IF(N6="None",AVERAGE(O116:P116),AVERAGE(O116:Q116))-D116)</f>
        <v>39452.348815137506</v>
      </c>
      <c r="AB116">
        <f>E116+$D$13*(IF(AND(N7="None",N8="None"),R116,IF(N8="None",AVERAGE(R116:S116),IF(N7="None",AVERAGE(R116,T116),AVERAGE(R116:T116))))-E116)</f>
        <v>-7786.8095407988094</v>
      </c>
    </row>
    <row r="117" spans="1:28" x14ac:dyDescent="0.35">
      <c r="A117">
        <v>74</v>
      </c>
      <c r="B117">
        <f t="shared" si="13"/>
        <v>0</v>
      </c>
      <c r="C117">
        <f t="shared" si="14"/>
        <v>0</v>
      </c>
      <c r="D117">
        <f t="shared" si="15"/>
        <v>39452.348815137506</v>
      </c>
      <c r="E117">
        <f t="shared" si="16"/>
        <v>-7786.8095407988094</v>
      </c>
      <c r="F117">
        <f t="shared" si="12"/>
        <v>51</v>
      </c>
      <c r="G117">
        <f>IF(N6="None",F117,MAX(0,F117*B117))</f>
        <v>51</v>
      </c>
      <c r="H117">
        <f>IF(N6="None",0,MAX(0,F117-G117))</f>
        <v>0</v>
      </c>
      <c r="I117">
        <f>IF(AND(N7="None",N8="None"),0,IF(N8="None",G117,IF(N7="None",0,MAX(0,G117*C117))))</f>
        <v>0</v>
      </c>
      <c r="J117">
        <f>IF(AND(N7="None",N8="None"),0,IF(N8="None",0,IF(N7="None",G117,MAX(0,G117-I117))))</f>
        <v>51</v>
      </c>
      <c r="K117">
        <f>P5</f>
        <v>637</v>
      </c>
      <c r="L117">
        <f>P6</f>
        <v>637</v>
      </c>
      <c r="M117">
        <f>P7</f>
        <v>635.5</v>
      </c>
      <c r="N117">
        <f>P8</f>
        <v>631.54999999999995</v>
      </c>
      <c r="O117">
        <f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D117)-(K31))))*(MAX($D$16,(D117)-(K31))),0.000001)*MAX(((((G31)+(I31)*(MAX($D$16,(D117)-(K31))))*(MAX($D$16,(D117)-(K31))))/MAX((G31)+2*(MAX($D$16,(D117)-(K31)))*SQRT(1+(I31)^2),0.000001))^(2/3),0.000001)))^2))/2)+(IF((ABS(F117)/MAX(((G31)+(I31)*(MAX($D$16,(D117)-(K31))))*(MAX($D$16,(D117)-(K31))),0.000001))&gt;(ABS(F117)/MAX(((F31)+(H31)*(MAX($D$16,(K117)-(J31))))*(MAX($D$16,(K117)-(J31))),0.000001)),$D$9*((((ABS(F117)/MAX(((G31)+(I31)*(MAX($D$16,(D117)-(K31))))*(MAX($D$16,(D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D117)-(K31))))*(MAX($D$16,(D117)-(K31))),0.000001))^2)/(2*$I$5)))))+($D$10*(ABS((X31)-(W31))/90)*MAX(((ABS(F117)/MAX(((F31)+(H31)*(MAX($D$16,(K117)-(J31))))*(MAX($D$16,(K117)-(J31))),0.000001))^2)/(2*$I$5),((ABS(F117)/MAX(((G31)+(I31)*(MAX($D$16,(D117)-(K31))))*(MAX($D$16,(D117)-(K31))),0.000001))^2)/(2*$I$5)))+(0)-((ABS(F117)/MAX(((G31)+(I31)*(MAX($D$16,(D117)-(K31))))*(MAX($D$16,(D117)-(K31))),0.000001))^2)/(2*$I$5)</f>
        <v>637.65825100972802</v>
      </c>
      <c r="P117">
        <f>E117+((ABS(G117)/MAX(((G32)+(I32)*(MAX($D$16,(E117)-(K32))))*(MAX($D$16,(E117)-(K32))),0.000001))^2)/(2*$I$5)+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F32)+(H32)*(MAX($D$16,(D117)-(J32))))*(MAX($D$16,(D117)-(J32))),0.000001))^2)/(2*$I$5)</f>
        <v>78267.040034596968</v>
      </c>
      <c r="Q117">
        <f>L117+((ABS(H117)/MAX(((G33)+(I33)*(MAX($D$16,(L117)-(K33))))*(MAX($D$16,(L117)-(K33))),0.000001))^2)/(2*$I$5)+((E33)*((((ABS(H117)*$D$6)/(MAX(((F33)+(H33)*(MAX($D$16,(D117)-(J33))))*(MAX($D$16,(D117)-(J33))),0.000001)*MAX(((((F33)+(H33)*(MAX($D$16,(D117)-(J33))))*(MAX($D$16,(D117)-(J33))))/MAX((F33)+2*(MAX($D$16,(D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D117)-(J33))))*(MAX($D$16,(D117)-(J33))),0.000001)),$D$9*((((ABS(H117)/MAX(((G33)+(I33)*(MAX($D$16,(L117)-(K33))))*(MAX($D$16,(L117)-(K33))),0.000001))^2)/(2*$I$5))-(((ABS(H117)/MAX(((F33)+(H33)*(MAX($D$16,(D117)-(J33))))*(MAX($D$16,(D117)-(J33))),0.000001))^2)/(2*$I$5))),$D$8*((((ABS(H117)/MAX(((F33)+(H33)*(MAX($D$16,(D117)-(J33))))*(MAX($D$16,(D117)-(J33))),0.000001))^2)/(2*$I$5))-(((ABS(H117)/MAX(((G33)+(I33)*(MAX($D$16,(L117)-(K33))))*(MAX($D$16,(L117)-(K33))),0.000001))^2)/(2*$I$5)))))+($D$10*(ABS((X33)-(W33))/90)*MAX(((ABS(H117)/MAX(((F33)+(H33)*(MAX($D$16,(D117)-(J33))))*(MAX($D$16,(D117)-(J33))),0.000001))^2)/(2*$I$5),((ABS(H117)/MAX(((G33)+(I33)*(MAX($D$16,(L117)-(K33))))*(MAX($D$16,(L117)-(K33))),0.000001))^2)/(2*$I$5)))+(($D$11*0.00000015*(ABS(G117)/MAX(ABS(F117),0.000001))^2*MAX(((ABS(H117)/MAX(((F33)+(H33)*(MAX($D$16,(D117)-(J33))))*(MAX($D$16,(D117)-(J33))),0.000001))^2)/(2*$I$5),((ABS(H117)/MAX(((G33)+(I33)*(MAX($D$16,(L117)-(K33))))*(MAX($D$16,(L117)-(K33))),0.000001))^2)/(2*$I$5))))-((ABS(H117)/MAX(((F33)+(H33)*(MAX($D$16,(D117)-(J33))))*(MAX($D$16,(D117)-(J33))),0.000001))^2)/(2*$I$5)</f>
        <v>637</v>
      </c>
      <c r="R117">
        <f>D117+((ABS(G117)/MAX(((F32)+(H32)*(MAX($D$16,(D117)-(J32))))*(MAX($D$16,(D117)-(J32))),0.000001))^2)/(2*$I$5)-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G32)+(I32)*(MAX($D$16,(E117)-(K32))))*(MAX($D$16,(E117)-(K32))),0.000001))^2)/(2*$I$5)</f>
        <v>-46378.733694359333</v>
      </c>
      <c r="S117">
        <f>M117+((ABS(I117)/MAX(((G34)+(I34)*(MAX($D$16,(M117)-(K34))))*(MAX($D$16,(M117)-(K34))),0.000001))^2)/(2*$I$5)+((E34)*((((ABS(I117)*$D$6)/(MAX(((F34)+(H34)*(MAX($D$16,(E117)-(J34))))*(MAX($D$16,(E117)-(J34))),0.000001)*MAX(((((F34)+(H34)*(MAX($D$16,(E117)-(J34))))*(MAX($D$16,(E117)-(J34))))/MAX((F34)+2*(MAX($D$16,(E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E117)-(J34))))*(MAX($D$16,(E117)-(J34))),0.000001)),$D$9*((((ABS(I117)/MAX(((G34)+(I34)*(MAX($D$16,(M117)-(K34))))*(MAX($D$16,(M117)-(K34))),0.000001))^2)/(2*$I$5))-(((ABS(I117)/MAX(((F34)+(H34)*(MAX($D$16,(E117)-(J34))))*(MAX($D$16,(E117)-(J34))),0.000001))^2)/(2*$I$5))),$D$8*((((ABS(I117)/MAX(((F34)+(H34)*(MAX($D$16,(E117)-(J34))))*(MAX($D$16,(E117)-(J34))),0.000001))^2)/(2*$I$5))-(((ABS(I117)/MAX(((G34)+(I34)*(MAX($D$16,(M117)-(K34))))*(MAX($D$16,(M117)-(K34))),0.000001))^2)/(2*$I$5)))))+($D$10*(ABS((X34)-(W34))/90)*MAX(((ABS(I117)/MAX(((F34)+(H34)*(MAX($D$16,(E117)-(J34))))*(MAX($D$16,(E117)-(J34))),0.000001))^2)/(2*$I$5),((ABS(I117)/MAX(((G34)+(I34)*(MAX($D$16,(M117)-(K34))))*(MAX($D$16,(M117)-(K34))),0.000001))^2)/(2*$I$5)))+(0)-((ABS(I117)/MAX(((F34)+(H34)*(MAX($D$16,(E117)-(J34))))*(MAX($D$16,(E117)-(J34))),0.000001))^2)/(2*$I$5)</f>
        <v>635.5</v>
      </c>
      <c r="T117">
        <f>N117+((ABS(J117)/MAX(((G35)+(I35)*(MAX($D$16,(N117)-(K35))))*(MAX($D$16,(N117)-(K35))),0.000001))^2)/(2*$I$5)+((E35)*((((ABS(J117)*$D$6)/(MAX(((F35)+(H35)*(MAX($D$16,(E117)-(J35))))*(MAX($D$16,(E117)-(J35))),0.000001)*MAX(((((F35)+(H35)*(MAX($D$16,(E117)-(J35))))*(MAX($D$16,(E117)-(J35))))/MAX((F35)+2*(MAX($D$16,(E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E117)-(J35))))*(MAX($D$16,(E117)-(J35))),0.000001)),$D$9*((((ABS(J117)/MAX(((G35)+(I35)*(MAX($D$16,(N117)-(K35))))*(MAX($D$16,(N117)-(K35))),0.000001))^2)/(2*$I$5))-(((ABS(J117)/MAX(((F35)+(H35)*(MAX($D$16,(E117)-(J35))))*(MAX($D$16,(E117)-(J35))),0.000001))^2)/(2*$I$5))),$D$8*((((ABS(J117)/MAX(((F35)+(H35)*(MAX($D$16,(E117)-(J35))))*(MAX($D$16,(E117)-(J35))),0.000001))^2)/(2*$I$5))-(((ABS(J117)/MAX(((G35)+(I35)*(MAX($D$16,(N117)-(K35))))*(MAX($D$16,(N117)-(K35))),0.000001))^2)/(2*$I$5)))))+($D$10*(ABS((X35)-(W35))/90)*MAX(((ABS(J117)/MAX(((F35)+(H35)*(MAX($D$16,(E117)-(J35))))*(MAX($D$16,(E117)-(J35))),0.000001))^2)/(2*$I$5),((ABS(J117)/MAX(((G35)+(I35)*(MAX($D$16,(N117)-(K35))))*(MAX($D$16,(N117)-(K35))),0.000001))^2)/(2*$I$5)))+(($D$11*0.34699541*(ABS(I117)/MAX(ABS(G117),0.000001))^2*MAX(((ABS(J117)/MAX(((F35)+(H35)*(MAX($D$16,(E117)-(J35))))*(MAX($D$16,(E117)-(J35))),0.000001))^2)/(2*$I$5),((ABS(J117)/MAX(((G35)+(I35)*(MAX($D$16,(N117)-(K35))))*(MAX($D$16,(N117)-(K35))),0.000001))^2)/(2*$I$5))))-((ABS(J117)/MAX(((F35)+(H35)*(MAX($D$16,(E117)-(J35))))*(MAX($D$16,(E117)-(J35))),0.000001))^2)/(2*$I$5)</f>
        <v>22382.80587457701</v>
      </c>
      <c r="U117">
        <f>(((((F32)*(MAX($D$16,(D117)-(J32)))^2)/2+(H32)*(MAX($D$16,(D117)-(J32)))^3/3+(ABS(G117)^2)/($I$5*MAX(((F32)+(H32)*(MAX($D$16,(D117)-(J32))))*(MAX($D$16,(D117)-(J32))),0.000001)))*0.72785025)-((((F33)*(MAX($D$16,(D117)-(J33)))^2)/2+(H33)*(MAX($D$16,(D117)-(J33)))^3/3+(ABS(H117)^2)/($I$5*MAX(((F33)+(H33)*(MAX($D$16,(D117)-(J33))))*(MAX($D$16,(D117)-(J33))),0.000001)))*0.99999971))/MAX(((G31)*(MAX($D$16,(D117)-(K31)))^2)/2+(I31)*(MAX($D$16,(D117)-(K31)))^3/3+(ABS(F117)^2)/($I$5*MAX(((G31)+(I31)*(MAX($D$16,(D117)-(K31))))*(MAX($D$16,(D117)-(K31))),0.000001)),0.000001)</f>
        <v>-0.27214945999978918</v>
      </c>
      <c r="V117">
        <f>(((((F34)*(MAX($D$16,(E117)-(J34)))^2)/2+(H34)*(MAX($D$16,(E117)-(J34)))^3/3+(ABS(I117)^2)/($I$5*MAX(((F34)+(H34)*(MAX($D$16,(E117)-(J34))))*(MAX($D$16,(E117)-(J34))),0.000001)))*1)-((((F35)*(MAX($D$16,(E117)-(J35)))^2)/2+(H35)*(MAX($D$16,(E117)-(J35)))^3/3+(ABS(J117)^2)/($I$5*MAX(((F35)+(H35)*(MAX($D$16,(E117)-(J35))))*(MAX($D$16,(E117)-(J35))),0.000001)))*0.30600918))/MAX(((G32)*(MAX($D$16,(E117)-(K32)))^2)/2+(I32)*(MAX($D$16,(E117)-(K32)))^3/3+(ABS(G117)^2)/($I$5*MAX(((G32)+(I32)*(MAX($D$16,(E117)-(K32))))*(MAX($D$16,(E117)-(K32))),0.000001)),0.000001)</f>
        <v>-0.30598462674144999</v>
      </c>
      <c r="W117">
        <f>IF(N6="None",MAX(ABS(O117-D117),ABS(P117-D117)),MAX(ABS(O117-D117),ABS(P117-D117),ABS(Q117-D117)))</f>
        <v>38814.691219459462</v>
      </c>
      <c r="X117">
        <f>IF(AND(N7="None",N8="None"),ABS(R117-E117),IF(N8="None",MAX(ABS(R117-E117),ABS(S117-E117)),IF(N7="None",MAX(ABS(R117-E117),ABS(T117-E117)),MAX(ABS(R117-E117),ABS(S117-E117),ABS(T117-E117)))))</f>
        <v>38591.924153560525</v>
      </c>
      <c r="AA117">
        <f>D117+$D$13*(IF(N6="None",AVERAGE(O117:P117),AVERAGE(O117:Q117))-D117)</f>
        <v>39452.348929820553</v>
      </c>
      <c r="AB117">
        <f>E117+$D$13*(IF(AND(N7="None",N8="None"),R117,IF(N8="None",AVERAGE(R117:S117),IF(N7="None",AVERAGE(R117,T117),AVERAGE(R117:T117))))-E117)</f>
        <v>-7786.8094471604973</v>
      </c>
    </row>
    <row r="118" spans="1:28" x14ac:dyDescent="0.35">
      <c r="A118">
        <v>75</v>
      </c>
      <c r="B118">
        <f t="shared" si="13"/>
        <v>0</v>
      </c>
      <c r="C118">
        <f t="shared" si="14"/>
        <v>0</v>
      </c>
      <c r="D118">
        <f t="shared" si="15"/>
        <v>39452.348929820553</v>
      </c>
      <c r="E118">
        <f t="shared" si="16"/>
        <v>-7786.8094471604973</v>
      </c>
      <c r="F118">
        <f t="shared" si="12"/>
        <v>51</v>
      </c>
      <c r="G118">
        <f>IF(N6="None",F118,MAX(0,F118*B118))</f>
        <v>51</v>
      </c>
      <c r="H118">
        <f>IF(N6="None",0,MAX(0,F118-G118))</f>
        <v>0</v>
      </c>
      <c r="I118">
        <f>IF(AND(N7="None",N8="None"),0,IF(N8="None",G118,IF(N7="None",0,MAX(0,G118*C118))))</f>
        <v>0</v>
      </c>
      <c r="J118">
        <f>IF(AND(N7="None",N8="None"),0,IF(N8="None",0,IF(N7="None",G118,MAX(0,G118-I118))))</f>
        <v>51</v>
      </c>
      <c r="K118">
        <f>P5</f>
        <v>637</v>
      </c>
      <c r="L118">
        <f>P6</f>
        <v>637</v>
      </c>
      <c r="M118">
        <f>P7</f>
        <v>635.5</v>
      </c>
      <c r="N118">
        <f>P8</f>
        <v>631.54999999999995</v>
      </c>
      <c r="O118">
        <f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D118)-(K31))))*(MAX($D$16,(D118)-(K31))),0.000001)*MAX(((((G31)+(I31)*(MAX($D$16,(D118)-(K31))))*(MAX($D$16,(D118)-(K31))))/MAX((G31)+2*(MAX($D$16,(D118)-(K31)))*SQRT(1+(I31)^2),0.000001))^(2/3),0.000001)))^2))/2)+(IF((ABS(F118)/MAX(((G31)+(I31)*(MAX($D$16,(D118)-(K31))))*(MAX($D$16,(D118)-(K31))),0.000001))&gt;(ABS(F118)/MAX(((F31)+(H31)*(MAX($D$16,(K118)-(J31))))*(MAX($D$16,(K118)-(J31))),0.000001)),$D$9*((((ABS(F118)/MAX(((G31)+(I31)*(MAX($D$16,(D118)-(K31))))*(MAX($D$16,(D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D118)-(K31))))*(MAX($D$16,(D118)-(K31))),0.000001))^2)/(2*$I$5)))))+($D$10*(ABS((X31)-(W31))/90)*MAX(((ABS(F118)/MAX(((F31)+(H31)*(MAX($D$16,(K118)-(J31))))*(MAX($D$16,(K118)-(J31))),0.000001))^2)/(2*$I$5),((ABS(F118)/MAX(((G31)+(I31)*(MAX($D$16,(D118)-(K31))))*(MAX($D$16,(D118)-(K31))),0.000001))^2)/(2*$I$5)))+(0)-((ABS(F118)/MAX(((G31)+(I31)*(MAX($D$16,(D118)-(K31))))*(MAX($D$16,(D118)-(K31))),0.000001))^2)/(2*$I$5)</f>
        <v>637.65825100972802</v>
      </c>
      <c r="P118">
        <f>E118+((ABS(G118)/MAX(((G32)+(I32)*(MAX($D$16,(E118)-(K32))))*(MAX($D$16,(E118)-(K32))),0.000001))^2)/(2*$I$5)+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F32)+(H32)*(MAX($D$16,(D118)-(J32))))*(MAX($D$16,(D118)-(J32))),0.000001))^2)/(2*$I$5)</f>
        <v>78267.040128235283</v>
      </c>
      <c r="Q118">
        <f>L118+((ABS(H118)/MAX(((G33)+(I33)*(MAX($D$16,(L118)-(K33))))*(MAX($D$16,(L118)-(K33))),0.000001))^2)/(2*$I$5)+((E33)*((((ABS(H118)*$D$6)/(MAX(((F33)+(H33)*(MAX($D$16,(D118)-(J33))))*(MAX($D$16,(D118)-(J33))),0.000001)*MAX(((((F33)+(H33)*(MAX($D$16,(D118)-(J33))))*(MAX($D$16,(D118)-(J33))))/MAX((F33)+2*(MAX($D$16,(D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D118)-(J33))))*(MAX($D$16,(D118)-(J33))),0.000001)),$D$9*((((ABS(H118)/MAX(((G33)+(I33)*(MAX($D$16,(L118)-(K33))))*(MAX($D$16,(L118)-(K33))),0.000001))^2)/(2*$I$5))-(((ABS(H118)/MAX(((F33)+(H33)*(MAX($D$16,(D118)-(J33))))*(MAX($D$16,(D118)-(J33))),0.000001))^2)/(2*$I$5))),$D$8*((((ABS(H118)/MAX(((F33)+(H33)*(MAX($D$16,(D118)-(J33))))*(MAX($D$16,(D118)-(J33))),0.000001))^2)/(2*$I$5))-(((ABS(H118)/MAX(((G33)+(I33)*(MAX($D$16,(L118)-(K33))))*(MAX($D$16,(L118)-(K33))),0.000001))^2)/(2*$I$5)))))+($D$10*(ABS((X33)-(W33))/90)*MAX(((ABS(H118)/MAX(((F33)+(H33)*(MAX($D$16,(D118)-(J33))))*(MAX($D$16,(D118)-(J33))),0.000001))^2)/(2*$I$5),((ABS(H118)/MAX(((G33)+(I33)*(MAX($D$16,(L118)-(K33))))*(MAX($D$16,(L118)-(K33))),0.000001))^2)/(2*$I$5)))+(($D$11*0.00000015*(ABS(G118)/MAX(ABS(F118),0.000001))^2*MAX(((ABS(H118)/MAX(((F33)+(H33)*(MAX($D$16,(D118)-(J33))))*(MAX($D$16,(D118)-(J33))),0.000001))^2)/(2*$I$5),((ABS(H118)/MAX(((G33)+(I33)*(MAX($D$16,(L118)-(K33))))*(MAX($D$16,(L118)-(K33))),0.000001))^2)/(2*$I$5))))-((ABS(H118)/MAX(((F33)+(H33)*(MAX($D$16,(D118)-(J33))))*(MAX($D$16,(D118)-(J33))),0.000001))^2)/(2*$I$5)</f>
        <v>637</v>
      </c>
      <c r="R118">
        <f>D118+((ABS(G118)/MAX(((F32)+(H32)*(MAX($D$16,(D118)-(J32))))*(MAX($D$16,(D118)-(J32))),0.000001))^2)/(2*$I$5)-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G32)+(I32)*(MAX($D$16,(E118)-(K32))))*(MAX($D$16,(E118)-(K32))),0.000001))^2)/(2*$I$5)</f>
        <v>-46378.733579676285</v>
      </c>
      <c r="S118">
        <f>M118+((ABS(I118)/MAX(((G34)+(I34)*(MAX($D$16,(M118)-(K34))))*(MAX($D$16,(M118)-(K34))),0.000001))^2)/(2*$I$5)+((E34)*((((ABS(I118)*$D$6)/(MAX(((F34)+(H34)*(MAX($D$16,(E118)-(J34))))*(MAX($D$16,(E118)-(J34))),0.000001)*MAX(((((F34)+(H34)*(MAX($D$16,(E118)-(J34))))*(MAX($D$16,(E118)-(J34))))/MAX((F34)+2*(MAX($D$16,(E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E118)-(J34))))*(MAX($D$16,(E118)-(J34))),0.000001)),$D$9*((((ABS(I118)/MAX(((G34)+(I34)*(MAX($D$16,(M118)-(K34))))*(MAX($D$16,(M118)-(K34))),0.000001))^2)/(2*$I$5))-(((ABS(I118)/MAX(((F34)+(H34)*(MAX($D$16,(E118)-(J34))))*(MAX($D$16,(E118)-(J34))),0.000001))^2)/(2*$I$5))),$D$8*((((ABS(I118)/MAX(((F34)+(H34)*(MAX($D$16,(E118)-(J34))))*(MAX($D$16,(E118)-(J34))),0.000001))^2)/(2*$I$5))-(((ABS(I118)/MAX(((G34)+(I34)*(MAX($D$16,(M118)-(K34))))*(MAX($D$16,(M118)-(K34))),0.000001))^2)/(2*$I$5)))))+($D$10*(ABS((X34)-(W34))/90)*MAX(((ABS(I118)/MAX(((F34)+(H34)*(MAX($D$16,(E118)-(J34))))*(MAX($D$16,(E118)-(J34))),0.000001))^2)/(2*$I$5),((ABS(I118)/MAX(((G34)+(I34)*(MAX($D$16,(M118)-(K34))))*(MAX($D$16,(M118)-(K34))),0.000001))^2)/(2*$I$5)))+(0)-((ABS(I118)/MAX(((F34)+(H34)*(MAX($D$16,(E118)-(J34))))*(MAX($D$16,(E118)-(J34))),0.000001))^2)/(2*$I$5)</f>
        <v>635.5</v>
      </c>
      <c r="T118">
        <f>N118+((ABS(J118)/MAX(((G35)+(I35)*(MAX($D$16,(N118)-(K35))))*(MAX($D$16,(N118)-(K35))),0.000001))^2)/(2*$I$5)+((E35)*((((ABS(J118)*$D$6)/(MAX(((F35)+(H35)*(MAX($D$16,(E118)-(J35))))*(MAX($D$16,(E118)-(J35))),0.000001)*MAX(((((F35)+(H35)*(MAX($D$16,(E118)-(J35))))*(MAX($D$16,(E118)-(J35))))/MAX((F35)+2*(MAX($D$16,(E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E118)-(J35))))*(MAX($D$16,(E118)-(J35))),0.000001)),$D$9*((((ABS(J118)/MAX(((G35)+(I35)*(MAX($D$16,(N118)-(K35))))*(MAX($D$16,(N118)-(K35))),0.000001))^2)/(2*$I$5))-(((ABS(J118)/MAX(((F35)+(H35)*(MAX($D$16,(E118)-(J35))))*(MAX($D$16,(E118)-(J35))),0.000001))^2)/(2*$I$5))),$D$8*((((ABS(J118)/MAX(((F35)+(H35)*(MAX($D$16,(E118)-(J35))))*(MAX($D$16,(E118)-(J35))),0.000001))^2)/(2*$I$5))-(((ABS(J118)/MAX(((G35)+(I35)*(MAX($D$16,(N118)-(K35))))*(MAX($D$16,(N118)-(K35))),0.000001))^2)/(2*$I$5)))))+($D$10*(ABS((X35)-(W35))/90)*MAX(((ABS(J118)/MAX(((F35)+(H35)*(MAX($D$16,(E118)-(J35))))*(MAX($D$16,(E118)-(J35))),0.000001))^2)/(2*$I$5),((ABS(J118)/MAX(((G35)+(I35)*(MAX($D$16,(N118)-(K35))))*(MAX($D$16,(N118)-(K35))),0.000001))^2)/(2*$I$5)))+(($D$11*0.34699541*(ABS(I118)/MAX(ABS(G118),0.000001))^2*MAX(((ABS(J118)/MAX(((F35)+(H35)*(MAX($D$16,(E118)-(J35))))*(MAX($D$16,(E118)-(J35))),0.000001))^2)/(2*$I$5),((ABS(J118)/MAX(((G35)+(I35)*(MAX($D$16,(N118)-(K35))))*(MAX($D$16,(N118)-(K35))),0.000001))^2)/(2*$I$5))))-((ABS(J118)/MAX(((F35)+(H35)*(MAX($D$16,(E118)-(J35))))*(MAX($D$16,(E118)-(J35))),0.000001))^2)/(2*$I$5)</f>
        <v>22382.80587457701</v>
      </c>
      <c r="U118">
        <f>(((((F32)*(MAX($D$16,(D118)-(J32)))^2)/2+(H32)*(MAX($D$16,(D118)-(J32)))^3/3+(ABS(G118)^2)/($I$5*MAX(((F32)+(H32)*(MAX($D$16,(D118)-(J32))))*(MAX($D$16,(D118)-(J32))),0.000001)))*0.72785025)-((((F33)*(MAX($D$16,(D118)-(J33)))^2)/2+(H33)*(MAX($D$16,(D118)-(J33)))^3/3+(ABS(H118)^2)/($I$5*MAX(((F33)+(H33)*(MAX($D$16,(D118)-(J33))))*(MAX($D$16,(D118)-(J33))),0.000001)))*0.99999971))/MAX(((G31)*(MAX($D$16,(D118)-(K31)))^2)/2+(I31)*(MAX($D$16,(D118)-(K31)))^3/3+(ABS(F118)^2)/($I$5*MAX(((G31)+(I31)*(MAX($D$16,(D118)-(K31))))*(MAX($D$16,(D118)-(K31))),0.000001)),0.000001)</f>
        <v>-0.27214945999978918</v>
      </c>
      <c r="V118">
        <f>(((((F34)*(MAX($D$16,(E118)-(J34)))^2)/2+(H34)*(MAX($D$16,(E118)-(J34)))^3/3+(ABS(I118)^2)/($I$5*MAX(((F34)+(H34)*(MAX($D$16,(E118)-(J34))))*(MAX($D$16,(E118)-(J34))),0.000001)))*1)-((((F35)*(MAX($D$16,(E118)-(J35)))^2)/2+(H35)*(MAX($D$16,(E118)-(J35)))^3/3+(ABS(J118)^2)/($I$5*MAX(((F35)+(H35)*(MAX($D$16,(E118)-(J35))))*(MAX($D$16,(E118)-(J35))),0.000001)))*0.30600918))/MAX(((G32)*(MAX($D$16,(E118)-(K32)))^2)/2+(I32)*(MAX($D$16,(E118)-(K32)))^3/3+(ABS(G118)^2)/($I$5*MAX(((G32)+(I32)*(MAX($D$16,(E118)-(K32))))*(MAX($D$16,(E118)-(K32))),0.000001)),0.000001)</f>
        <v>-0.30598462674144999</v>
      </c>
      <c r="W118">
        <f>IF(N6="None",MAX(ABS(O118-D118),ABS(P118-D118)),MAX(ABS(O118-D118),ABS(P118-D118),ABS(Q118-D118)))</f>
        <v>38814.69119841473</v>
      </c>
      <c r="X118">
        <f>IF(AND(N7="None",N8="None"),ABS(R118-E118),IF(N8="None",MAX(ABS(R118-E118),ABS(S118-E118)),IF(N7="None",MAX(ABS(R118-E118),ABS(T118-E118)),MAX(ABS(R118-E118),ABS(S118-E118),ABS(T118-E118)))))</f>
        <v>38591.924132515785</v>
      </c>
      <c r="AA118">
        <f>D118+$D$13*(IF(N6="None",AVERAGE(O118:P118),AVERAGE(O118:Q118))-D118)</f>
        <v>39452.349020751237</v>
      </c>
      <c r="AB118">
        <f>E118+$D$13*(IF(AND(N7="None",N8="None"),R118,IF(N8="None",AVERAGE(R118:S118),IF(N7="None",AVERAGE(R118,T118),AVERAGE(R118:T118))))-E118)</f>
        <v>-7786.8093729159054</v>
      </c>
    </row>
    <row r="119" spans="1:28" x14ac:dyDescent="0.35">
      <c r="A119">
        <v>76</v>
      </c>
      <c r="B119">
        <f t="shared" si="13"/>
        <v>0</v>
      </c>
      <c r="C119">
        <f t="shared" si="14"/>
        <v>0</v>
      </c>
      <c r="D119">
        <f t="shared" si="15"/>
        <v>39452.349020751237</v>
      </c>
      <c r="E119">
        <f t="shared" si="16"/>
        <v>-7786.8093729159054</v>
      </c>
      <c r="F119">
        <f t="shared" si="12"/>
        <v>51</v>
      </c>
      <c r="G119">
        <f>IF(N6="None",F119,MAX(0,F119*B119))</f>
        <v>51</v>
      </c>
      <c r="H119">
        <f>IF(N6="None",0,MAX(0,F119-G119))</f>
        <v>0</v>
      </c>
      <c r="I119">
        <f>IF(AND(N7="None",N8="None"),0,IF(N8="None",G119,IF(N7="None",0,MAX(0,G119*C119))))</f>
        <v>0</v>
      </c>
      <c r="J119">
        <f>IF(AND(N7="None",N8="None"),0,IF(N8="None",0,IF(N7="None",G119,MAX(0,G119-I119))))</f>
        <v>51</v>
      </c>
      <c r="K119">
        <f>P5</f>
        <v>637</v>
      </c>
      <c r="L119">
        <f>P6</f>
        <v>637</v>
      </c>
      <c r="M119">
        <f>P7</f>
        <v>635.5</v>
      </c>
      <c r="N119">
        <f>P8</f>
        <v>631.54999999999995</v>
      </c>
      <c r="O119">
        <f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D119)-(K31))))*(MAX($D$16,(D119)-(K31))),0.000001)*MAX(((((G31)+(I31)*(MAX($D$16,(D119)-(K31))))*(MAX($D$16,(D119)-(K31))))/MAX((G31)+2*(MAX($D$16,(D119)-(K31)))*SQRT(1+(I31)^2),0.000001))^(2/3),0.000001)))^2))/2)+(IF((ABS(F119)/MAX(((G31)+(I31)*(MAX($D$16,(D119)-(K31))))*(MAX($D$16,(D119)-(K31))),0.000001))&gt;(ABS(F119)/MAX(((F31)+(H31)*(MAX($D$16,(K119)-(J31))))*(MAX($D$16,(K119)-(J31))),0.000001)),$D$9*((((ABS(F119)/MAX(((G31)+(I31)*(MAX($D$16,(D119)-(K31))))*(MAX($D$16,(D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D119)-(K31))))*(MAX($D$16,(D119)-(K31))),0.000001))^2)/(2*$I$5)))))+($D$10*(ABS((X31)-(W31))/90)*MAX(((ABS(F119)/MAX(((F31)+(H31)*(MAX($D$16,(K119)-(J31))))*(MAX($D$16,(K119)-(J31))),0.000001))^2)/(2*$I$5),((ABS(F119)/MAX(((G31)+(I31)*(MAX($D$16,(D119)-(K31))))*(MAX($D$16,(D119)-(K31))),0.000001))^2)/(2*$I$5)))+(0)-((ABS(F119)/MAX(((G31)+(I31)*(MAX($D$16,(D119)-(K31))))*(MAX($D$16,(D119)-(K31))),0.000001))^2)/(2*$I$5)</f>
        <v>637.65825100972802</v>
      </c>
      <c r="P119">
        <f>E119+((ABS(G119)/MAX(((G32)+(I32)*(MAX($D$16,(E119)-(K32))))*(MAX($D$16,(E119)-(K32))),0.000001))^2)/(2*$I$5)+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F32)+(H32)*(MAX($D$16,(D119)-(J32))))*(MAX($D$16,(D119)-(J32))),0.000001))^2)/(2*$I$5)</f>
        <v>78267.040202479868</v>
      </c>
      <c r="Q119">
        <f>L119+((ABS(H119)/MAX(((G33)+(I33)*(MAX($D$16,(L119)-(K33))))*(MAX($D$16,(L119)-(K33))),0.000001))^2)/(2*$I$5)+((E33)*((((ABS(H119)*$D$6)/(MAX(((F33)+(H33)*(MAX($D$16,(D119)-(J33))))*(MAX($D$16,(D119)-(J33))),0.000001)*MAX(((((F33)+(H33)*(MAX($D$16,(D119)-(J33))))*(MAX($D$16,(D119)-(J33))))/MAX((F33)+2*(MAX($D$16,(D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D119)-(J33))))*(MAX($D$16,(D119)-(J33))),0.000001)),$D$9*((((ABS(H119)/MAX(((G33)+(I33)*(MAX($D$16,(L119)-(K33))))*(MAX($D$16,(L119)-(K33))),0.000001))^2)/(2*$I$5))-(((ABS(H119)/MAX(((F33)+(H33)*(MAX($D$16,(D119)-(J33))))*(MAX($D$16,(D119)-(J33))),0.000001))^2)/(2*$I$5))),$D$8*((((ABS(H119)/MAX(((F33)+(H33)*(MAX($D$16,(D119)-(J33))))*(MAX($D$16,(D119)-(J33))),0.000001))^2)/(2*$I$5))-(((ABS(H119)/MAX(((G33)+(I33)*(MAX($D$16,(L119)-(K33))))*(MAX($D$16,(L119)-(K33))),0.000001))^2)/(2*$I$5)))))+($D$10*(ABS((X33)-(W33))/90)*MAX(((ABS(H119)/MAX(((F33)+(H33)*(MAX($D$16,(D119)-(J33))))*(MAX($D$16,(D119)-(J33))),0.000001))^2)/(2*$I$5),((ABS(H119)/MAX(((G33)+(I33)*(MAX($D$16,(L119)-(K33))))*(MAX($D$16,(L119)-(K33))),0.000001))^2)/(2*$I$5)))+(($D$11*0.00000015*(ABS(G119)/MAX(ABS(F119),0.000001))^2*MAX(((ABS(H119)/MAX(((F33)+(H33)*(MAX($D$16,(D119)-(J33))))*(MAX($D$16,(D119)-(J33))),0.000001))^2)/(2*$I$5),((ABS(H119)/MAX(((G33)+(I33)*(MAX($D$16,(L119)-(K33))))*(MAX($D$16,(L119)-(K33))),0.000001))^2)/(2*$I$5))))-((ABS(H119)/MAX(((F33)+(H33)*(MAX($D$16,(D119)-(J33))))*(MAX($D$16,(D119)-(J33))),0.000001))^2)/(2*$I$5)</f>
        <v>637</v>
      </c>
      <c r="R119">
        <f>D119+((ABS(G119)/MAX(((F32)+(H32)*(MAX($D$16,(D119)-(J32))))*(MAX($D$16,(D119)-(J32))),0.000001))^2)/(2*$I$5)-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G32)+(I32)*(MAX($D$16,(E119)-(K32))))*(MAX($D$16,(E119)-(K32))),0.000001))^2)/(2*$I$5)</f>
        <v>-46378.733488745602</v>
      </c>
      <c r="S119">
        <f>M119+((ABS(I119)/MAX(((G34)+(I34)*(MAX($D$16,(M119)-(K34))))*(MAX($D$16,(M119)-(K34))),0.000001))^2)/(2*$I$5)+((E34)*((((ABS(I119)*$D$6)/(MAX(((F34)+(H34)*(MAX($D$16,(E119)-(J34))))*(MAX($D$16,(E119)-(J34))),0.000001)*MAX(((((F34)+(H34)*(MAX($D$16,(E119)-(J34))))*(MAX($D$16,(E119)-(J34))))/MAX((F34)+2*(MAX($D$16,(E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E119)-(J34))))*(MAX($D$16,(E119)-(J34))),0.000001)),$D$9*((((ABS(I119)/MAX(((G34)+(I34)*(MAX($D$16,(M119)-(K34))))*(MAX($D$16,(M119)-(K34))),0.000001))^2)/(2*$I$5))-(((ABS(I119)/MAX(((F34)+(H34)*(MAX($D$16,(E119)-(J34))))*(MAX($D$16,(E119)-(J34))),0.000001))^2)/(2*$I$5))),$D$8*((((ABS(I119)/MAX(((F34)+(H34)*(MAX($D$16,(E119)-(J34))))*(MAX($D$16,(E119)-(J34))),0.000001))^2)/(2*$I$5))-(((ABS(I119)/MAX(((G34)+(I34)*(MAX($D$16,(M119)-(K34))))*(MAX($D$16,(M119)-(K34))),0.000001))^2)/(2*$I$5)))))+($D$10*(ABS((X34)-(W34))/90)*MAX(((ABS(I119)/MAX(((F34)+(H34)*(MAX($D$16,(E119)-(J34))))*(MAX($D$16,(E119)-(J34))),0.000001))^2)/(2*$I$5),((ABS(I119)/MAX(((G34)+(I34)*(MAX($D$16,(M119)-(K34))))*(MAX($D$16,(M119)-(K34))),0.000001))^2)/(2*$I$5)))+(0)-((ABS(I119)/MAX(((F34)+(H34)*(MAX($D$16,(E119)-(J34))))*(MAX($D$16,(E119)-(J34))),0.000001))^2)/(2*$I$5)</f>
        <v>635.5</v>
      </c>
      <c r="T119">
        <f>N119+((ABS(J119)/MAX(((G35)+(I35)*(MAX($D$16,(N119)-(K35))))*(MAX($D$16,(N119)-(K35))),0.000001))^2)/(2*$I$5)+((E35)*((((ABS(J119)*$D$6)/(MAX(((F35)+(H35)*(MAX($D$16,(E119)-(J35))))*(MAX($D$16,(E119)-(J35))),0.000001)*MAX(((((F35)+(H35)*(MAX($D$16,(E119)-(J35))))*(MAX($D$16,(E119)-(J35))))/MAX((F35)+2*(MAX($D$16,(E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E119)-(J35))))*(MAX($D$16,(E119)-(J35))),0.000001)),$D$9*((((ABS(J119)/MAX(((G35)+(I35)*(MAX($D$16,(N119)-(K35))))*(MAX($D$16,(N119)-(K35))),0.000001))^2)/(2*$I$5))-(((ABS(J119)/MAX(((F35)+(H35)*(MAX($D$16,(E119)-(J35))))*(MAX($D$16,(E119)-(J35))),0.000001))^2)/(2*$I$5))),$D$8*((((ABS(J119)/MAX(((F35)+(H35)*(MAX($D$16,(E119)-(J35))))*(MAX($D$16,(E119)-(J35))),0.000001))^2)/(2*$I$5))-(((ABS(J119)/MAX(((G35)+(I35)*(MAX($D$16,(N119)-(K35))))*(MAX($D$16,(N119)-(K35))),0.000001))^2)/(2*$I$5)))))+($D$10*(ABS((X35)-(W35))/90)*MAX(((ABS(J119)/MAX(((F35)+(H35)*(MAX($D$16,(E119)-(J35))))*(MAX($D$16,(E119)-(J35))),0.000001))^2)/(2*$I$5),((ABS(J119)/MAX(((G35)+(I35)*(MAX($D$16,(N119)-(K35))))*(MAX($D$16,(N119)-(K35))),0.000001))^2)/(2*$I$5)))+(($D$11*0.34699541*(ABS(I119)/MAX(ABS(G119),0.000001))^2*MAX(((ABS(J119)/MAX(((F35)+(H35)*(MAX($D$16,(E119)-(J35))))*(MAX($D$16,(E119)-(J35))),0.000001))^2)/(2*$I$5),((ABS(J119)/MAX(((G35)+(I35)*(MAX($D$16,(N119)-(K35))))*(MAX($D$16,(N119)-(K35))),0.000001))^2)/(2*$I$5))))-((ABS(J119)/MAX(((F35)+(H35)*(MAX($D$16,(E119)-(J35))))*(MAX($D$16,(E119)-(J35))),0.000001))^2)/(2*$I$5)</f>
        <v>22382.80587457701</v>
      </c>
      <c r="U119">
        <f>(((((F32)*(MAX($D$16,(D119)-(J32)))^2)/2+(H32)*(MAX($D$16,(D119)-(J32)))^3/3+(ABS(G119)^2)/($I$5*MAX(((F32)+(H32)*(MAX($D$16,(D119)-(J32))))*(MAX($D$16,(D119)-(J32))),0.000001)))*0.72785025)-((((F33)*(MAX($D$16,(D119)-(J33)))^2)/2+(H33)*(MAX($D$16,(D119)-(J33)))^3/3+(ABS(H119)^2)/($I$5*MAX(((F33)+(H33)*(MAX($D$16,(D119)-(J33))))*(MAX($D$16,(D119)-(J33))),0.000001)))*0.99999971))/MAX(((G31)*(MAX($D$16,(D119)-(K31)))^2)/2+(I31)*(MAX($D$16,(D119)-(K31)))^3/3+(ABS(F119)^2)/($I$5*MAX(((G31)+(I31)*(MAX($D$16,(D119)-(K31))))*(MAX($D$16,(D119)-(K31))),0.000001)),0.000001)</f>
        <v>-0.27214945999978912</v>
      </c>
      <c r="V119">
        <f>(((((F34)*(MAX($D$16,(E119)-(J34)))^2)/2+(H34)*(MAX($D$16,(E119)-(J34)))^3/3+(ABS(I119)^2)/($I$5*MAX(((F34)+(H34)*(MAX($D$16,(E119)-(J34))))*(MAX($D$16,(E119)-(J34))),0.000001)))*1)-((((F35)*(MAX($D$16,(E119)-(J35)))^2)/2+(H35)*(MAX($D$16,(E119)-(J35)))^3/3+(ABS(J119)^2)/($I$5*MAX(((F35)+(H35)*(MAX($D$16,(E119)-(J35))))*(MAX($D$16,(E119)-(J35))),0.000001)))*0.30600918))/MAX(((G32)*(MAX($D$16,(E119)-(K32)))^2)/2+(I32)*(MAX($D$16,(E119)-(K32)))^3/3+(ABS(G119)^2)/($I$5*MAX(((G32)+(I32)*(MAX($D$16,(E119)-(K32))))*(MAX($D$16,(E119)-(K32))),0.000001)),0.000001)</f>
        <v>-0.30598462674144999</v>
      </c>
      <c r="W119">
        <f>IF(N6="None",MAX(ABS(O119-D119),ABS(P119-D119)),MAX(ABS(O119-D119),ABS(P119-D119),ABS(Q119-D119)))</f>
        <v>38814.691181728631</v>
      </c>
      <c r="X119">
        <f>IF(AND(N7="None",N8="None"),ABS(R119-E119),IF(N8="None",MAX(ABS(R119-E119),ABS(S119-E119)),IF(N7="None",MAX(ABS(R119-E119),ABS(T119-E119)),MAX(ABS(R119-E119),ABS(S119-E119),ABS(T119-E119)))))</f>
        <v>38591.924115829694</v>
      </c>
      <c r="AA119">
        <f>D119+$D$13*(IF(N6="None",AVERAGE(O119:P119),AVERAGE(O119:Q119))-D119)</f>
        <v>39452.349092848985</v>
      </c>
      <c r="AB119">
        <f>E119+$D$13*(IF(AND(N7="None",N8="None"),R119,IF(N8="None",AVERAGE(R119:S119),IF(N7="None",AVERAGE(R119,T119),AVERAGE(R119:T119))))-E119)</f>
        <v>-7786.8093140483406</v>
      </c>
    </row>
    <row r="120" spans="1:28" x14ac:dyDescent="0.35">
      <c r="A120">
        <v>77</v>
      </c>
      <c r="B120">
        <f t="shared" si="13"/>
        <v>0</v>
      </c>
      <c r="C120">
        <f t="shared" si="14"/>
        <v>0</v>
      </c>
      <c r="D120">
        <f t="shared" si="15"/>
        <v>39452.349092848985</v>
      </c>
      <c r="E120">
        <f t="shared" si="16"/>
        <v>-7786.8093140483406</v>
      </c>
      <c r="F120">
        <f t="shared" si="12"/>
        <v>51</v>
      </c>
      <c r="G120">
        <f>IF(N6="None",F120,MAX(0,F120*B120))</f>
        <v>51</v>
      </c>
      <c r="H120">
        <f>IF(N6="None",0,MAX(0,F120-G120))</f>
        <v>0</v>
      </c>
      <c r="I120">
        <f>IF(AND(N7="None",N8="None"),0,IF(N8="None",G120,IF(N7="None",0,MAX(0,G120*C120))))</f>
        <v>0</v>
      </c>
      <c r="J120">
        <f>IF(AND(N7="None",N8="None"),0,IF(N8="None",0,IF(N7="None",G120,MAX(0,G120-I120))))</f>
        <v>51</v>
      </c>
      <c r="K120">
        <f>P5</f>
        <v>637</v>
      </c>
      <c r="L120">
        <f>P6</f>
        <v>637</v>
      </c>
      <c r="M120">
        <f>P7</f>
        <v>635.5</v>
      </c>
      <c r="N120">
        <f>P8</f>
        <v>631.54999999999995</v>
      </c>
      <c r="O120">
        <f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D120)-(K31))))*(MAX($D$16,(D120)-(K31))),0.000001)*MAX(((((G31)+(I31)*(MAX($D$16,(D120)-(K31))))*(MAX($D$16,(D120)-(K31))))/MAX((G31)+2*(MAX($D$16,(D120)-(K31)))*SQRT(1+(I31)^2),0.000001))^(2/3),0.000001)))^2))/2)+(IF((ABS(F120)/MAX(((G31)+(I31)*(MAX($D$16,(D120)-(K31))))*(MAX($D$16,(D120)-(K31))),0.000001))&gt;(ABS(F120)/MAX(((F31)+(H31)*(MAX($D$16,(K120)-(J31))))*(MAX($D$16,(K120)-(J31))),0.000001)),$D$9*((((ABS(F120)/MAX(((G31)+(I31)*(MAX($D$16,(D120)-(K31))))*(MAX($D$16,(D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D120)-(K31))))*(MAX($D$16,(D120)-(K31))),0.000001))^2)/(2*$I$5)))))+($D$10*(ABS((X31)-(W31))/90)*MAX(((ABS(F120)/MAX(((F31)+(H31)*(MAX($D$16,(K120)-(J31))))*(MAX($D$16,(K120)-(J31))),0.000001))^2)/(2*$I$5),((ABS(F120)/MAX(((G31)+(I31)*(MAX($D$16,(D120)-(K31))))*(MAX($D$16,(D120)-(K31))),0.000001))^2)/(2*$I$5)))+(0)-((ABS(F120)/MAX(((G31)+(I31)*(MAX($D$16,(D120)-(K31))))*(MAX($D$16,(D120)-(K31))),0.000001))^2)/(2*$I$5)</f>
        <v>637.65825100972802</v>
      </c>
      <c r="P120">
        <f>E120+((ABS(G120)/MAX(((G32)+(I32)*(MAX($D$16,(E120)-(K32))))*(MAX($D$16,(E120)-(K32))),0.000001))^2)/(2*$I$5)+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F32)+(H32)*(MAX($D$16,(D120)-(J32))))*(MAX($D$16,(D120)-(J32))),0.000001))^2)/(2*$I$5)</f>
        <v>78267.040261347443</v>
      </c>
      <c r="Q120">
        <f>L120+((ABS(H120)/MAX(((G33)+(I33)*(MAX($D$16,(L120)-(K33))))*(MAX($D$16,(L120)-(K33))),0.000001))^2)/(2*$I$5)+((E33)*((((ABS(H120)*$D$6)/(MAX(((F33)+(H33)*(MAX($D$16,(D120)-(J33))))*(MAX($D$16,(D120)-(J33))),0.000001)*MAX(((((F33)+(H33)*(MAX($D$16,(D120)-(J33))))*(MAX($D$16,(D120)-(J33))))/MAX((F33)+2*(MAX($D$16,(D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D120)-(J33))))*(MAX($D$16,(D120)-(J33))),0.000001)),$D$9*((((ABS(H120)/MAX(((G33)+(I33)*(MAX($D$16,(L120)-(K33))))*(MAX($D$16,(L120)-(K33))),0.000001))^2)/(2*$I$5))-(((ABS(H120)/MAX(((F33)+(H33)*(MAX($D$16,(D120)-(J33))))*(MAX($D$16,(D120)-(J33))),0.000001))^2)/(2*$I$5))),$D$8*((((ABS(H120)/MAX(((F33)+(H33)*(MAX($D$16,(D120)-(J33))))*(MAX($D$16,(D120)-(J33))),0.000001))^2)/(2*$I$5))-(((ABS(H120)/MAX(((G33)+(I33)*(MAX($D$16,(L120)-(K33))))*(MAX($D$16,(L120)-(K33))),0.000001))^2)/(2*$I$5)))))+($D$10*(ABS((X33)-(W33))/90)*MAX(((ABS(H120)/MAX(((F33)+(H33)*(MAX($D$16,(D120)-(J33))))*(MAX($D$16,(D120)-(J33))),0.000001))^2)/(2*$I$5),((ABS(H120)/MAX(((G33)+(I33)*(MAX($D$16,(L120)-(K33))))*(MAX($D$16,(L120)-(K33))),0.000001))^2)/(2*$I$5)))+(($D$11*0.00000015*(ABS(G120)/MAX(ABS(F120),0.000001))^2*MAX(((ABS(H120)/MAX(((F33)+(H33)*(MAX($D$16,(D120)-(J33))))*(MAX($D$16,(D120)-(J33))),0.000001))^2)/(2*$I$5),((ABS(H120)/MAX(((G33)+(I33)*(MAX($D$16,(L120)-(K33))))*(MAX($D$16,(L120)-(K33))),0.000001))^2)/(2*$I$5))))-((ABS(H120)/MAX(((F33)+(H33)*(MAX($D$16,(D120)-(J33))))*(MAX($D$16,(D120)-(J33))),0.000001))^2)/(2*$I$5)</f>
        <v>637</v>
      </c>
      <c r="R120">
        <f>D120+((ABS(G120)/MAX(((F32)+(H32)*(MAX($D$16,(D120)-(J32))))*(MAX($D$16,(D120)-(J32))),0.000001))^2)/(2*$I$5)-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G32)+(I32)*(MAX($D$16,(E120)-(K32))))*(MAX($D$16,(E120)-(K32))),0.000001))^2)/(2*$I$5)</f>
        <v>-46378.733416647854</v>
      </c>
      <c r="S120">
        <f>M120+((ABS(I120)/MAX(((G34)+(I34)*(MAX($D$16,(M120)-(K34))))*(MAX($D$16,(M120)-(K34))),0.000001))^2)/(2*$I$5)+((E34)*((((ABS(I120)*$D$6)/(MAX(((F34)+(H34)*(MAX($D$16,(E120)-(J34))))*(MAX($D$16,(E120)-(J34))),0.000001)*MAX(((((F34)+(H34)*(MAX($D$16,(E120)-(J34))))*(MAX($D$16,(E120)-(J34))))/MAX((F34)+2*(MAX($D$16,(E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E120)-(J34))))*(MAX($D$16,(E120)-(J34))),0.000001)),$D$9*((((ABS(I120)/MAX(((G34)+(I34)*(MAX($D$16,(M120)-(K34))))*(MAX($D$16,(M120)-(K34))),0.000001))^2)/(2*$I$5))-(((ABS(I120)/MAX(((F34)+(H34)*(MAX($D$16,(E120)-(J34))))*(MAX($D$16,(E120)-(J34))),0.000001))^2)/(2*$I$5))),$D$8*((((ABS(I120)/MAX(((F34)+(H34)*(MAX($D$16,(E120)-(J34))))*(MAX($D$16,(E120)-(J34))),0.000001))^2)/(2*$I$5))-(((ABS(I120)/MAX(((G34)+(I34)*(MAX($D$16,(M120)-(K34))))*(MAX($D$16,(M120)-(K34))),0.000001))^2)/(2*$I$5)))))+($D$10*(ABS((X34)-(W34))/90)*MAX(((ABS(I120)/MAX(((F34)+(H34)*(MAX($D$16,(E120)-(J34))))*(MAX($D$16,(E120)-(J34))),0.000001))^2)/(2*$I$5),((ABS(I120)/MAX(((G34)+(I34)*(MAX($D$16,(M120)-(K34))))*(MAX($D$16,(M120)-(K34))),0.000001))^2)/(2*$I$5)))+(0)-((ABS(I120)/MAX(((F34)+(H34)*(MAX($D$16,(E120)-(J34))))*(MAX($D$16,(E120)-(J34))),0.000001))^2)/(2*$I$5)</f>
        <v>635.5</v>
      </c>
      <c r="T120">
        <f>N120+((ABS(J120)/MAX(((G35)+(I35)*(MAX($D$16,(N120)-(K35))))*(MAX($D$16,(N120)-(K35))),0.000001))^2)/(2*$I$5)+((E35)*((((ABS(J120)*$D$6)/(MAX(((F35)+(H35)*(MAX($D$16,(E120)-(J35))))*(MAX($D$16,(E120)-(J35))),0.000001)*MAX(((((F35)+(H35)*(MAX($D$16,(E120)-(J35))))*(MAX($D$16,(E120)-(J35))))/MAX((F35)+2*(MAX($D$16,(E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E120)-(J35))))*(MAX($D$16,(E120)-(J35))),0.000001)),$D$9*((((ABS(J120)/MAX(((G35)+(I35)*(MAX($D$16,(N120)-(K35))))*(MAX($D$16,(N120)-(K35))),0.000001))^2)/(2*$I$5))-(((ABS(J120)/MAX(((F35)+(H35)*(MAX($D$16,(E120)-(J35))))*(MAX($D$16,(E120)-(J35))),0.000001))^2)/(2*$I$5))),$D$8*((((ABS(J120)/MAX(((F35)+(H35)*(MAX($D$16,(E120)-(J35))))*(MAX($D$16,(E120)-(J35))),0.000001))^2)/(2*$I$5))-(((ABS(J120)/MAX(((G35)+(I35)*(MAX($D$16,(N120)-(K35))))*(MAX($D$16,(N120)-(K35))),0.000001))^2)/(2*$I$5)))))+($D$10*(ABS((X35)-(W35))/90)*MAX(((ABS(J120)/MAX(((F35)+(H35)*(MAX($D$16,(E120)-(J35))))*(MAX($D$16,(E120)-(J35))),0.000001))^2)/(2*$I$5),((ABS(J120)/MAX(((G35)+(I35)*(MAX($D$16,(N120)-(K35))))*(MAX($D$16,(N120)-(K35))),0.000001))^2)/(2*$I$5)))+(($D$11*0.34699541*(ABS(I120)/MAX(ABS(G120),0.000001))^2*MAX(((ABS(J120)/MAX(((F35)+(H35)*(MAX($D$16,(E120)-(J35))))*(MAX($D$16,(E120)-(J35))),0.000001))^2)/(2*$I$5),((ABS(J120)/MAX(((G35)+(I35)*(MAX($D$16,(N120)-(K35))))*(MAX($D$16,(N120)-(K35))),0.000001))^2)/(2*$I$5))))-((ABS(J120)/MAX(((F35)+(H35)*(MAX($D$16,(E120)-(J35))))*(MAX($D$16,(E120)-(J35))),0.000001))^2)/(2*$I$5)</f>
        <v>22382.80587457701</v>
      </c>
      <c r="U120">
        <f>(((((F32)*(MAX($D$16,(D120)-(J32)))^2)/2+(H32)*(MAX($D$16,(D120)-(J32)))^3/3+(ABS(G120)^2)/($I$5*MAX(((F32)+(H32)*(MAX($D$16,(D120)-(J32))))*(MAX($D$16,(D120)-(J32))),0.000001)))*0.72785025)-((((F33)*(MAX($D$16,(D120)-(J33)))^2)/2+(H33)*(MAX($D$16,(D120)-(J33)))^3/3+(ABS(H120)^2)/($I$5*MAX(((F33)+(H33)*(MAX($D$16,(D120)-(J33))))*(MAX($D$16,(D120)-(J33))),0.000001)))*0.99999971))/MAX(((G31)*(MAX($D$16,(D120)-(K31)))^2)/2+(I31)*(MAX($D$16,(D120)-(K31)))^3/3+(ABS(F120)^2)/($I$5*MAX(((G31)+(I31)*(MAX($D$16,(D120)-(K31))))*(MAX($D$16,(D120)-(K31))),0.000001)),0.000001)</f>
        <v>-0.27214945999978923</v>
      </c>
      <c r="V120">
        <f>(((((F34)*(MAX($D$16,(E120)-(J34)))^2)/2+(H34)*(MAX($D$16,(E120)-(J34)))^3/3+(ABS(I120)^2)/($I$5*MAX(((F34)+(H34)*(MAX($D$16,(E120)-(J34))))*(MAX($D$16,(E120)-(J34))),0.000001)))*1)-((((F35)*(MAX($D$16,(E120)-(J35)))^2)/2+(H35)*(MAX($D$16,(E120)-(J35)))^3/3+(ABS(J120)^2)/($I$5*MAX(((F35)+(H35)*(MAX($D$16,(E120)-(J35))))*(MAX($D$16,(E120)-(J35))),0.000001)))*0.30600918))/MAX(((G32)*(MAX($D$16,(E120)-(K32)))^2)/2+(I32)*(MAX($D$16,(E120)-(K32)))^3/3+(ABS(G120)^2)/($I$5*MAX(((G32)+(I32)*(MAX($D$16,(E120)-(K32))))*(MAX($D$16,(E120)-(K32))),0.000001)),0.000001)</f>
        <v>-0.30598462674144999</v>
      </c>
      <c r="W120">
        <f>IF(N6="None",MAX(ABS(O120-D120),ABS(P120-D120)),MAX(ABS(O120-D120),ABS(P120-D120),ABS(Q120-D120)))</f>
        <v>38814.691168498459</v>
      </c>
      <c r="X120">
        <f>IF(AND(N7="None",N8="None"),ABS(R120-E120),IF(N8="None",MAX(ABS(R120-E120),ABS(S120-E120)),IF(N7="None",MAX(ABS(R120-E120),ABS(T120-E120)),MAX(ABS(R120-E120),ABS(S120-E120),ABS(T120-E120)))))</f>
        <v>38591.924102599514</v>
      </c>
      <c r="AA120">
        <f>D120+$D$13*(IF(N6="None",AVERAGE(O120:P120),AVERAGE(O120:Q120))-D120)</f>
        <v>39452.349150014343</v>
      </c>
      <c r="AB120">
        <f>E120+$D$13*(IF(AND(N7="None",N8="None"),R120,IF(N8="None",AVERAGE(R120:S120),IF(N7="None",AVERAGE(R120,T120),AVERAGE(R120:T120))))-E120)</f>
        <v>-7786.8092673730198</v>
      </c>
    </row>
    <row r="121" spans="1:28" x14ac:dyDescent="0.35">
      <c r="A121">
        <v>78</v>
      </c>
      <c r="B121">
        <f t="shared" si="13"/>
        <v>0</v>
      </c>
      <c r="C121">
        <f t="shared" si="14"/>
        <v>0</v>
      </c>
      <c r="D121">
        <f t="shared" si="15"/>
        <v>39452.349150014343</v>
      </c>
      <c r="E121">
        <f t="shared" si="16"/>
        <v>-7786.8092673730198</v>
      </c>
      <c r="F121">
        <f t="shared" si="12"/>
        <v>51</v>
      </c>
      <c r="G121">
        <f>IF(N6="None",F121,MAX(0,F121*B121))</f>
        <v>51</v>
      </c>
      <c r="H121">
        <f>IF(N6="None",0,MAX(0,F121-G121))</f>
        <v>0</v>
      </c>
      <c r="I121">
        <f>IF(AND(N7="None",N8="None"),0,IF(N8="None",G121,IF(N7="None",0,MAX(0,G121*C121))))</f>
        <v>0</v>
      </c>
      <c r="J121">
        <f>IF(AND(N7="None",N8="None"),0,IF(N8="None",0,IF(N7="None",G121,MAX(0,G121-I121))))</f>
        <v>51</v>
      </c>
      <c r="K121">
        <f>P5</f>
        <v>637</v>
      </c>
      <c r="L121">
        <f>P6</f>
        <v>637</v>
      </c>
      <c r="M121">
        <f>P7</f>
        <v>635.5</v>
      </c>
      <c r="N121">
        <f>P8</f>
        <v>631.54999999999995</v>
      </c>
      <c r="O121">
        <f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D121)-(K31))))*(MAX($D$16,(D121)-(K31))),0.000001)*MAX(((((G31)+(I31)*(MAX($D$16,(D121)-(K31))))*(MAX($D$16,(D121)-(K31))))/MAX((G31)+2*(MAX($D$16,(D121)-(K31)))*SQRT(1+(I31)^2),0.000001))^(2/3),0.000001)))^2))/2)+(IF((ABS(F121)/MAX(((G31)+(I31)*(MAX($D$16,(D121)-(K31))))*(MAX($D$16,(D121)-(K31))),0.000001))&gt;(ABS(F121)/MAX(((F31)+(H31)*(MAX($D$16,(K121)-(J31))))*(MAX($D$16,(K121)-(J31))),0.000001)),$D$9*((((ABS(F121)/MAX(((G31)+(I31)*(MAX($D$16,(D121)-(K31))))*(MAX($D$16,(D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D121)-(K31))))*(MAX($D$16,(D121)-(K31))),0.000001))^2)/(2*$I$5)))))+($D$10*(ABS((X31)-(W31))/90)*MAX(((ABS(F121)/MAX(((F31)+(H31)*(MAX($D$16,(K121)-(J31))))*(MAX($D$16,(K121)-(J31))),0.000001))^2)/(2*$I$5),((ABS(F121)/MAX(((G31)+(I31)*(MAX($D$16,(D121)-(K31))))*(MAX($D$16,(D121)-(K31))),0.000001))^2)/(2*$I$5)))+(0)-((ABS(F121)/MAX(((G31)+(I31)*(MAX($D$16,(D121)-(K31))))*(MAX($D$16,(D121)-(K31))),0.000001))^2)/(2*$I$5)</f>
        <v>637.65825100972802</v>
      </c>
      <c r="P121">
        <f>E121+((ABS(G121)/MAX(((G32)+(I32)*(MAX($D$16,(E121)-(K32))))*(MAX($D$16,(E121)-(K32))),0.000001))^2)/(2*$I$5)+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F32)+(H32)*(MAX($D$16,(D121)-(J32))))*(MAX($D$16,(D121)-(J32))),0.000001))^2)/(2*$I$5)</f>
        <v>78267.040308022755</v>
      </c>
      <c r="Q121">
        <f>L121+((ABS(H121)/MAX(((G33)+(I33)*(MAX($D$16,(L121)-(K33))))*(MAX($D$16,(L121)-(K33))),0.000001))^2)/(2*$I$5)+((E33)*((((ABS(H121)*$D$6)/(MAX(((F33)+(H33)*(MAX($D$16,(D121)-(J33))))*(MAX($D$16,(D121)-(J33))),0.000001)*MAX(((((F33)+(H33)*(MAX($D$16,(D121)-(J33))))*(MAX($D$16,(D121)-(J33))))/MAX((F33)+2*(MAX($D$16,(D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D121)-(J33))))*(MAX($D$16,(D121)-(J33))),0.000001)),$D$9*((((ABS(H121)/MAX(((G33)+(I33)*(MAX($D$16,(L121)-(K33))))*(MAX($D$16,(L121)-(K33))),0.000001))^2)/(2*$I$5))-(((ABS(H121)/MAX(((F33)+(H33)*(MAX($D$16,(D121)-(J33))))*(MAX($D$16,(D121)-(J33))),0.000001))^2)/(2*$I$5))),$D$8*((((ABS(H121)/MAX(((F33)+(H33)*(MAX($D$16,(D121)-(J33))))*(MAX($D$16,(D121)-(J33))),0.000001))^2)/(2*$I$5))-(((ABS(H121)/MAX(((G33)+(I33)*(MAX($D$16,(L121)-(K33))))*(MAX($D$16,(L121)-(K33))),0.000001))^2)/(2*$I$5)))))+($D$10*(ABS((X33)-(W33))/90)*MAX(((ABS(H121)/MAX(((F33)+(H33)*(MAX($D$16,(D121)-(J33))))*(MAX($D$16,(D121)-(J33))),0.000001))^2)/(2*$I$5),((ABS(H121)/MAX(((G33)+(I33)*(MAX($D$16,(L121)-(K33))))*(MAX($D$16,(L121)-(K33))),0.000001))^2)/(2*$I$5)))+(($D$11*0.00000015*(ABS(G121)/MAX(ABS(F121),0.000001))^2*MAX(((ABS(H121)/MAX(((F33)+(H33)*(MAX($D$16,(D121)-(J33))))*(MAX($D$16,(D121)-(J33))),0.000001))^2)/(2*$I$5),((ABS(H121)/MAX(((G33)+(I33)*(MAX($D$16,(L121)-(K33))))*(MAX($D$16,(L121)-(K33))),0.000001))^2)/(2*$I$5))))-((ABS(H121)/MAX(((F33)+(H33)*(MAX($D$16,(D121)-(J33))))*(MAX($D$16,(D121)-(J33))),0.000001))^2)/(2*$I$5)</f>
        <v>637</v>
      </c>
      <c r="R121">
        <f>D121+((ABS(G121)/MAX(((F32)+(H32)*(MAX($D$16,(D121)-(J32))))*(MAX($D$16,(D121)-(J32))),0.000001))^2)/(2*$I$5)-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G32)+(I32)*(MAX($D$16,(E121)-(K32))))*(MAX($D$16,(E121)-(K32))),0.000001))^2)/(2*$I$5)</f>
        <v>-46378.733359482496</v>
      </c>
      <c r="S121">
        <f>M121+((ABS(I121)/MAX(((G34)+(I34)*(MAX($D$16,(M121)-(K34))))*(MAX($D$16,(M121)-(K34))),0.000001))^2)/(2*$I$5)+((E34)*((((ABS(I121)*$D$6)/(MAX(((F34)+(H34)*(MAX($D$16,(E121)-(J34))))*(MAX($D$16,(E121)-(J34))),0.000001)*MAX(((((F34)+(H34)*(MAX($D$16,(E121)-(J34))))*(MAX($D$16,(E121)-(J34))))/MAX((F34)+2*(MAX($D$16,(E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E121)-(J34))))*(MAX($D$16,(E121)-(J34))),0.000001)),$D$9*((((ABS(I121)/MAX(((G34)+(I34)*(MAX($D$16,(M121)-(K34))))*(MAX($D$16,(M121)-(K34))),0.000001))^2)/(2*$I$5))-(((ABS(I121)/MAX(((F34)+(H34)*(MAX($D$16,(E121)-(J34))))*(MAX($D$16,(E121)-(J34))),0.000001))^2)/(2*$I$5))),$D$8*((((ABS(I121)/MAX(((F34)+(H34)*(MAX($D$16,(E121)-(J34))))*(MAX($D$16,(E121)-(J34))),0.000001))^2)/(2*$I$5))-(((ABS(I121)/MAX(((G34)+(I34)*(MAX($D$16,(M121)-(K34))))*(MAX($D$16,(M121)-(K34))),0.000001))^2)/(2*$I$5)))))+($D$10*(ABS((X34)-(W34))/90)*MAX(((ABS(I121)/MAX(((F34)+(H34)*(MAX($D$16,(E121)-(J34))))*(MAX($D$16,(E121)-(J34))),0.000001))^2)/(2*$I$5),((ABS(I121)/MAX(((G34)+(I34)*(MAX($D$16,(M121)-(K34))))*(MAX($D$16,(M121)-(K34))),0.000001))^2)/(2*$I$5)))+(0)-((ABS(I121)/MAX(((F34)+(H34)*(MAX($D$16,(E121)-(J34))))*(MAX($D$16,(E121)-(J34))),0.000001))^2)/(2*$I$5)</f>
        <v>635.5</v>
      </c>
      <c r="T121">
        <f>N121+((ABS(J121)/MAX(((G35)+(I35)*(MAX($D$16,(N121)-(K35))))*(MAX($D$16,(N121)-(K35))),0.000001))^2)/(2*$I$5)+((E35)*((((ABS(J121)*$D$6)/(MAX(((F35)+(H35)*(MAX($D$16,(E121)-(J35))))*(MAX($D$16,(E121)-(J35))),0.000001)*MAX(((((F35)+(H35)*(MAX($D$16,(E121)-(J35))))*(MAX($D$16,(E121)-(J35))))/MAX((F35)+2*(MAX($D$16,(E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E121)-(J35))))*(MAX($D$16,(E121)-(J35))),0.000001)),$D$9*((((ABS(J121)/MAX(((G35)+(I35)*(MAX($D$16,(N121)-(K35))))*(MAX($D$16,(N121)-(K35))),0.000001))^2)/(2*$I$5))-(((ABS(J121)/MAX(((F35)+(H35)*(MAX($D$16,(E121)-(J35))))*(MAX($D$16,(E121)-(J35))),0.000001))^2)/(2*$I$5))),$D$8*((((ABS(J121)/MAX(((F35)+(H35)*(MAX($D$16,(E121)-(J35))))*(MAX($D$16,(E121)-(J35))),0.000001))^2)/(2*$I$5))-(((ABS(J121)/MAX(((G35)+(I35)*(MAX($D$16,(N121)-(K35))))*(MAX($D$16,(N121)-(K35))),0.000001))^2)/(2*$I$5)))))+($D$10*(ABS((X35)-(W35))/90)*MAX(((ABS(J121)/MAX(((F35)+(H35)*(MAX($D$16,(E121)-(J35))))*(MAX($D$16,(E121)-(J35))),0.000001))^2)/(2*$I$5),((ABS(J121)/MAX(((G35)+(I35)*(MAX($D$16,(N121)-(K35))))*(MAX($D$16,(N121)-(K35))),0.000001))^2)/(2*$I$5)))+(($D$11*0.34699541*(ABS(I121)/MAX(ABS(G121),0.000001))^2*MAX(((ABS(J121)/MAX(((F35)+(H35)*(MAX($D$16,(E121)-(J35))))*(MAX($D$16,(E121)-(J35))),0.000001))^2)/(2*$I$5),((ABS(J121)/MAX(((G35)+(I35)*(MAX($D$16,(N121)-(K35))))*(MAX($D$16,(N121)-(K35))),0.000001))^2)/(2*$I$5))))-((ABS(J121)/MAX(((F35)+(H35)*(MAX($D$16,(E121)-(J35))))*(MAX($D$16,(E121)-(J35))),0.000001))^2)/(2*$I$5)</f>
        <v>22382.80587457701</v>
      </c>
      <c r="U121">
        <f>(((((F32)*(MAX($D$16,(D121)-(J32)))^2)/2+(H32)*(MAX($D$16,(D121)-(J32)))^3/3+(ABS(G121)^2)/($I$5*MAX(((F32)+(H32)*(MAX($D$16,(D121)-(J32))))*(MAX($D$16,(D121)-(J32))),0.000001)))*0.72785025)-((((F33)*(MAX($D$16,(D121)-(J33)))^2)/2+(H33)*(MAX($D$16,(D121)-(J33)))^3/3+(ABS(H121)^2)/($I$5*MAX(((F33)+(H33)*(MAX($D$16,(D121)-(J33))))*(MAX($D$16,(D121)-(J33))),0.000001)))*0.99999971))/MAX(((G31)*(MAX($D$16,(D121)-(K31)))^2)/2+(I31)*(MAX($D$16,(D121)-(K31)))^3/3+(ABS(F121)^2)/($I$5*MAX(((G31)+(I31)*(MAX($D$16,(D121)-(K31))))*(MAX($D$16,(D121)-(K31))),0.000001)),0.000001)</f>
        <v>-0.27214945999978918</v>
      </c>
      <c r="V121">
        <f>(((((F34)*(MAX($D$16,(E121)-(J34)))^2)/2+(H34)*(MAX($D$16,(E121)-(J34)))^3/3+(ABS(I121)^2)/($I$5*MAX(((F34)+(H34)*(MAX($D$16,(E121)-(J34))))*(MAX($D$16,(E121)-(J34))),0.000001)))*1)-((((F35)*(MAX($D$16,(E121)-(J35)))^2)/2+(H35)*(MAX($D$16,(E121)-(J35)))^3/3+(ABS(J121)^2)/($I$5*MAX(((F35)+(H35)*(MAX($D$16,(E121)-(J35))))*(MAX($D$16,(E121)-(J35))),0.000001)))*0.30600918))/MAX(((G32)*(MAX($D$16,(E121)-(K32)))^2)/2+(I32)*(MAX($D$16,(E121)-(K32)))^3/3+(ABS(G121)^2)/($I$5*MAX(((G32)+(I32)*(MAX($D$16,(E121)-(K32))))*(MAX($D$16,(E121)-(K32))),0.000001)),0.000001)</f>
        <v>-0.30598462674144999</v>
      </c>
      <c r="W121">
        <f>IF(N6="None",MAX(ABS(O121-D121),ABS(P121-D121)),MAX(ABS(O121-D121),ABS(P121-D121),ABS(Q121-D121)))</f>
        <v>38814.691158008412</v>
      </c>
      <c r="X121">
        <f>IF(AND(N7="None",N8="None"),ABS(R121-E121),IF(N8="None",MAX(ABS(R121-E121),ABS(S121-E121)),IF(N7="None",MAX(ABS(R121-E121),ABS(T121-E121)),MAX(ABS(R121-E121),ABS(S121-E121),ABS(T121-E121)))))</f>
        <v>38591.924092109475</v>
      </c>
      <c r="AA121">
        <f>D121+$D$13*(IF(N6="None",AVERAGE(O121:P121),AVERAGE(O121:Q121))-D121)</f>
        <v>39452.349195340008</v>
      </c>
      <c r="AB121">
        <f>E121+$D$13*(IF(AND(N7="None",N8="None"),R121,IF(N8="None",AVERAGE(R121:S121),IF(N7="None",AVERAGE(R121,T121),AVERAGE(R121:T121))))-E121)</f>
        <v>-7786.80923036477</v>
      </c>
    </row>
    <row r="122" spans="1:28" x14ac:dyDescent="0.35">
      <c r="A122">
        <v>79</v>
      </c>
      <c r="B122">
        <f t="shared" si="13"/>
        <v>0</v>
      </c>
      <c r="C122">
        <f t="shared" si="14"/>
        <v>0</v>
      </c>
      <c r="D122">
        <f t="shared" si="15"/>
        <v>39452.349195340008</v>
      </c>
      <c r="E122">
        <f t="shared" si="16"/>
        <v>-7786.80923036477</v>
      </c>
      <c r="F122">
        <f t="shared" si="12"/>
        <v>51</v>
      </c>
      <c r="G122">
        <f>IF(N6="None",F122,MAX(0,F122*B122))</f>
        <v>51</v>
      </c>
      <c r="H122">
        <f>IF(N6="None",0,MAX(0,F122-G122))</f>
        <v>0</v>
      </c>
      <c r="I122">
        <f>IF(AND(N7="None",N8="None"),0,IF(N8="None",G122,IF(N7="None",0,MAX(0,G122*C122))))</f>
        <v>0</v>
      </c>
      <c r="J122">
        <f>IF(AND(N7="None",N8="None"),0,IF(N8="None",0,IF(N7="None",G122,MAX(0,G122-I122))))</f>
        <v>51</v>
      </c>
      <c r="K122">
        <f>P5</f>
        <v>637</v>
      </c>
      <c r="L122">
        <f>P6</f>
        <v>637</v>
      </c>
      <c r="M122">
        <f>P7</f>
        <v>635.5</v>
      </c>
      <c r="N122">
        <f>P8</f>
        <v>631.54999999999995</v>
      </c>
      <c r="O122">
        <f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D122)-(K31))))*(MAX($D$16,(D122)-(K31))),0.000001)*MAX(((((G31)+(I31)*(MAX($D$16,(D122)-(K31))))*(MAX($D$16,(D122)-(K31))))/MAX((G31)+2*(MAX($D$16,(D122)-(K31)))*SQRT(1+(I31)^2),0.000001))^(2/3),0.000001)))^2))/2)+(IF((ABS(F122)/MAX(((G31)+(I31)*(MAX($D$16,(D122)-(K31))))*(MAX($D$16,(D122)-(K31))),0.000001))&gt;(ABS(F122)/MAX(((F31)+(H31)*(MAX($D$16,(K122)-(J31))))*(MAX($D$16,(K122)-(J31))),0.000001)),$D$9*((((ABS(F122)/MAX(((G31)+(I31)*(MAX($D$16,(D122)-(K31))))*(MAX($D$16,(D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D122)-(K31))))*(MAX($D$16,(D122)-(K31))),0.000001))^2)/(2*$I$5)))))+($D$10*(ABS((X31)-(W31))/90)*MAX(((ABS(F122)/MAX(((F31)+(H31)*(MAX($D$16,(K122)-(J31))))*(MAX($D$16,(K122)-(J31))),0.000001))^2)/(2*$I$5),((ABS(F122)/MAX(((G31)+(I31)*(MAX($D$16,(D122)-(K31))))*(MAX($D$16,(D122)-(K31))),0.000001))^2)/(2*$I$5)))+(0)-((ABS(F122)/MAX(((G31)+(I31)*(MAX($D$16,(D122)-(K31))))*(MAX($D$16,(D122)-(K31))),0.000001))^2)/(2*$I$5)</f>
        <v>637.65825100972802</v>
      </c>
      <c r="P122">
        <f>E122+((ABS(G122)/MAX(((G32)+(I32)*(MAX($D$16,(E122)-(K32))))*(MAX($D$16,(E122)-(K32))),0.000001))^2)/(2*$I$5)+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F32)+(H32)*(MAX($D$16,(D122)-(J32))))*(MAX($D$16,(D122)-(J32))),0.000001))^2)/(2*$I$5)</f>
        <v>78267.040345031011</v>
      </c>
      <c r="Q122">
        <f>L122+((ABS(H122)/MAX(((G33)+(I33)*(MAX($D$16,(L122)-(K33))))*(MAX($D$16,(L122)-(K33))),0.000001))^2)/(2*$I$5)+((E33)*((((ABS(H122)*$D$6)/(MAX(((F33)+(H33)*(MAX($D$16,(D122)-(J33))))*(MAX($D$16,(D122)-(J33))),0.000001)*MAX(((((F33)+(H33)*(MAX($D$16,(D122)-(J33))))*(MAX($D$16,(D122)-(J33))))/MAX((F33)+2*(MAX($D$16,(D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D122)-(J33))))*(MAX($D$16,(D122)-(J33))),0.000001)),$D$9*((((ABS(H122)/MAX(((G33)+(I33)*(MAX($D$16,(L122)-(K33))))*(MAX($D$16,(L122)-(K33))),0.000001))^2)/(2*$I$5))-(((ABS(H122)/MAX(((F33)+(H33)*(MAX($D$16,(D122)-(J33))))*(MAX($D$16,(D122)-(J33))),0.000001))^2)/(2*$I$5))),$D$8*((((ABS(H122)/MAX(((F33)+(H33)*(MAX($D$16,(D122)-(J33))))*(MAX($D$16,(D122)-(J33))),0.000001))^2)/(2*$I$5))-(((ABS(H122)/MAX(((G33)+(I33)*(MAX($D$16,(L122)-(K33))))*(MAX($D$16,(L122)-(K33))),0.000001))^2)/(2*$I$5)))))+($D$10*(ABS((X33)-(W33))/90)*MAX(((ABS(H122)/MAX(((F33)+(H33)*(MAX($D$16,(D122)-(J33))))*(MAX($D$16,(D122)-(J33))),0.000001))^2)/(2*$I$5),((ABS(H122)/MAX(((G33)+(I33)*(MAX($D$16,(L122)-(K33))))*(MAX($D$16,(L122)-(K33))),0.000001))^2)/(2*$I$5)))+(($D$11*0.00000015*(ABS(G122)/MAX(ABS(F122),0.000001))^2*MAX(((ABS(H122)/MAX(((F33)+(H33)*(MAX($D$16,(D122)-(J33))))*(MAX($D$16,(D122)-(J33))),0.000001))^2)/(2*$I$5),((ABS(H122)/MAX(((G33)+(I33)*(MAX($D$16,(L122)-(K33))))*(MAX($D$16,(L122)-(K33))),0.000001))^2)/(2*$I$5))))-((ABS(H122)/MAX(((F33)+(H33)*(MAX($D$16,(D122)-(J33))))*(MAX($D$16,(D122)-(J33))),0.000001))^2)/(2*$I$5)</f>
        <v>637</v>
      </c>
      <c r="R122">
        <f>D122+((ABS(G122)/MAX(((F32)+(H32)*(MAX($D$16,(D122)-(J32))))*(MAX($D$16,(D122)-(J32))),0.000001))^2)/(2*$I$5)-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G32)+(I32)*(MAX($D$16,(E122)-(K32))))*(MAX($D$16,(E122)-(K32))),0.000001))^2)/(2*$I$5)</f>
        <v>-46378.733314156831</v>
      </c>
      <c r="S122">
        <f>M122+((ABS(I122)/MAX(((G34)+(I34)*(MAX($D$16,(M122)-(K34))))*(MAX($D$16,(M122)-(K34))),0.000001))^2)/(2*$I$5)+((E34)*((((ABS(I122)*$D$6)/(MAX(((F34)+(H34)*(MAX($D$16,(E122)-(J34))))*(MAX($D$16,(E122)-(J34))),0.000001)*MAX(((((F34)+(H34)*(MAX($D$16,(E122)-(J34))))*(MAX($D$16,(E122)-(J34))))/MAX((F34)+2*(MAX($D$16,(E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E122)-(J34))))*(MAX($D$16,(E122)-(J34))),0.000001)),$D$9*((((ABS(I122)/MAX(((G34)+(I34)*(MAX($D$16,(M122)-(K34))))*(MAX($D$16,(M122)-(K34))),0.000001))^2)/(2*$I$5))-(((ABS(I122)/MAX(((F34)+(H34)*(MAX($D$16,(E122)-(J34))))*(MAX($D$16,(E122)-(J34))),0.000001))^2)/(2*$I$5))),$D$8*((((ABS(I122)/MAX(((F34)+(H34)*(MAX($D$16,(E122)-(J34))))*(MAX($D$16,(E122)-(J34))),0.000001))^2)/(2*$I$5))-(((ABS(I122)/MAX(((G34)+(I34)*(MAX($D$16,(M122)-(K34))))*(MAX($D$16,(M122)-(K34))),0.000001))^2)/(2*$I$5)))))+($D$10*(ABS((X34)-(W34))/90)*MAX(((ABS(I122)/MAX(((F34)+(H34)*(MAX($D$16,(E122)-(J34))))*(MAX($D$16,(E122)-(J34))),0.000001))^2)/(2*$I$5),((ABS(I122)/MAX(((G34)+(I34)*(MAX($D$16,(M122)-(K34))))*(MAX($D$16,(M122)-(K34))),0.000001))^2)/(2*$I$5)))+(0)-((ABS(I122)/MAX(((F34)+(H34)*(MAX($D$16,(E122)-(J34))))*(MAX($D$16,(E122)-(J34))),0.000001))^2)/(2*$I$5)</f>
        <v>635.5</v>
      </c>
      <c r="T122">
        <f>N122+((ABS(J122)/MAX(((G35)+(I35)*(MAX($D$16,(N122)-(K35))))*(MAX($D$16,(N122)-(K35))),0.000001))^2)/(2*$I$5)+((E35)*((((ABS(J122)*$D$6)/(MAX(((F35)+(H35)*(MAX($D$16,(E122)-(J35))))*(MAX($D$16,(E122)-(J35))),0.000001)*MAX(((((F35)+(H35)*(MAX($D$16,(E122)-(J35))))*(MAX($D$16,(E122)-(J35))))/MAX((F35)+2*(MAX($D$16,(E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E122)-(J35))))*(MAX($D$16,(E122)-(J35))),0.000001)),$D$9*((((ABS(J122)/MAX(((G35)+(I35)*(MAX($D$16,(N122)-(K35))))*(MAX($D$16,(N122)-(K35))),0.000001))^2)/(2*$I$5))-(((ABS(J122)/MAX(((F35)+(H35)*(MAX($D$16,(E122)-(J35))))*(MAX($D$16,(E122)-(J35))),0.000001))^2)/(2*$I$5))),$D$8*((((ABS(J122)/MAX(((F35)+(H35)*(MAX($D$16,(E122)-(J35))))*(MAX($D$16,(E122)-(J35))),0.000001))^2)/(2*$I$5))-(((ABS(J122)/MAX(((G35)+(I35)*(MAX($D$16,(N122)-(K35))))*(MAX($D$16,(N122)-(K35))),0.000001))^2)/(2*$I$5)))))+($D$10*(ABS((X35)-(W35))/90)*MAX(((ABS(J122)/MAX(((F35)+(H35)*(MAX($D$16,(E122)-(J35))))*(MAX($D$16,(E122)-(J35))),0.000001))^2)/(2*$I$5),((ABS(J122)/MAX(((G35)+(I35)*(MAX($D$16,(N122)-(K35))))*(MAX($D$16,(N122)-(K35))),0.000001))^2)/(2*$I$5)))+(($D$11*0.34699541*(ABS(I122)/MAX(ABS(G122),0.000001))^2*MAX(((ABS(J122)/MAX(((F35)+(H35)*(MAX($D$16,(E122)-(J35))))*(MAX($D$16,(E122)-(J35))),0.000001))^2)/(2*$I$5),((ABS(J122)/MAX(((G35)+(I35)*(MAX($D$16,(N122)-(K35))))*(MAX($D$16,(N122)-(K35))),0.000001))^2)/(2*$I$5))))-((ABS(J122)/MAX(((F35)+(H35)*(MAX($D$16,(E122)-(J35))))*(MAX($D$16,(E122)-(J35))),0.000001))^2)/(2*$I$5)</f>
        <v>22382.80587457701</v>
      </c>
      <c r="U122">
        <f>(((((F32)*(MAX($D$16,(D122)-(J32)))^2)/2+(H32)*(MAX($D$16,(D122)-(J32)))^3/3+(ABS(G122)^2)/($I$5*MAX(((F32)+(H32)*(MAX($D$16,(D122)-(J32))))*(MAX($D$16,(D122)-(J32))),0.000001)))*0.72785025)-((((F33)*(MAX($D$16,(D122)-(J33)))^2)/2+(H33)*(MAX($D$16,(D122)-(J33)))^3/3+(ABS(H122)^2)/($I$5*MAX(((F33)+(H33)*(MAX($D$16,(D122)-(J33))))*(MAX($D$16,(D122)-(J33))),0.000001)))*0.99999971))/MAX(((G31)*(MAX($D$16,(D122)-(K31)))^2)/2+(I31)*(MAX($D$16,(D122)-(K31)))^3/3+(ABS(F122)^2)/($I$5*MAX(((G31)+(I31)*(MAX($D$16,(D122)-(K31))))*(MAX($D$16,(D122)-(K31))),0.000001)),0.000001)</f>
        <v>-0.27214945999978929</v>
      </c>
      <c r="V122">
        <f>(((((F34)*(MAX($D$16,(E122)-(J34)))^2)/2+(H34)*(MAX($D$16,(E122)-(J34)))^3/3+(ABS(I122)^2)/($I$5*MAX(((F34)+(H34)*(MAX($D$16,(E122)-(J34))))*(MAX($D$16,(E122)-(J34))),0.000001)))*1)-((((F35)*(MAX($D$16,(E122)-(J35)))^2)/2+(H35)*(MAX($D$16,(E122)-(J35)))^3/3+(ABS(J122)^2)/($I$5*MAX(((F35)+(H35)*(MAX($D$16,(E122)-(J35))))*(MAX($D$16,(E122)-(J35))),0.000001)))*0.30600918))/MAX(((G32)*(MAX($D$16,(E122)-(K32)))^2)/2+(I32)*(MAX($D$16,(E122)-(K32)))^3/3+(ABS(G122)^2)/($I$5*MAX(((G32)+(I32)*(MAX($D$16,(E122)-(K32))))*(MAX($D$16,(E122)-(K32))),0.000001)),0.000001)</f>
        <v>-0.30598462674144999</v>
      </c>
      <c r="W122">
        <f>IF(N6="None",MAX(ABS(O122-D122),ABS(P122-D122)),MAX(ABS(O122-D122),ABS(P122-D122),ABS(Q122-D122)))</f>
        <v>38814.691149691003</v>
      </c>
      <c r="X122">
        <f>IF(AND(N7="None",N8="None"),ABS(R122-E122),IF(N8="None",MAX(ABS(R122-E122),ABS(S122-E122)),IF(N7="None",MAX(ABS(R122-E122),ABS(T122-E122)),MAX(ABS(R122-E122),ABS(S122-E122),ABS(T122-E122)))))</f>
        <v>38591.924083792059</v>
      </c>
      <c r="AA122">
        <f>D122+$D$13*(IF(N6="None",AVERAGE(O122:P122),AVERAGE(O122:Q122))-D122)</f>
        <v>39452.349231278131</v>
      </c>
      <c r="AB122">
        <f>E122+$D$13*(IF(AND(N7="None",N8="None"),R122,IF(N8="None",AVERAGE(R122:S122),IF(N7="None",AVERAGE(R122,T122),AVERAGE(R122:T122))))-E122)</f>
        <v>-7786.8092010214132</v>
      </c>
    </row>
    <row r="130" spans="1:41" x14ac:dyDescent="0.35">
      <c r="A130" t="s">
        <v>128</v>
      </c>
      <c r="E130">
        <f>E31</f>
        <v>10.742000000000001</v>
      </c>
      <c r="F130" t="s">
        <v>129</v>
      </c>
      <c r="H130">
        <f>N31</f>
        <v>51</v>
      </c>
      <c r="I130" t="s">
        <v>13</v>
      </c>
      <c r="K130" t="str">
        <f>V31</f>
        <v>Subcritical</v>
      </c>
      <c r="L130" t="s">
        <v>130</v>
      </c>
    </row>
    <row r="131" spans="1:41" x14ac:dyDescent="0.35">
      <c r="A131" t="s">
        <v>131</v>
      </c>
      <c r="B131" t="s">
        <v>132</v>
      </c>
      <c r="C131" t="s">
        <v>133</v>
      </c>
      <c r="D131" t="s">
        <v>134</v>
      </c>
      <c r="E131" t="s">
        <v>135</v>
      </c>
      <c r="F131" t="s">
        <v>136</v>
      </c>
      <c r="G131" t="s">
        <v>137</v>
      </c>
      <c r="H131" t="s">
        <v>9</v>
      </c>
      <c r="I131" t="s">
        <v>138</v>
      </c>
      <c r="J131" t="s">
        <v>139</v>
      </c>
      <c r="K131" t="s">
        <v>140</v>
      </c>
      <c r="L131" t="s">
        <v>141</v>
      </c>
      <c r="M131" t="s">
        <v>142</v>
      </c>
      <c r="N131" t="s">
        <v>143</v>
      </c>
      <c r="O131" t="s">
        <v>144</v>
      </c>
      <c r="P131" t="s">
        <v>145</v>
      </c>
      <c r="Q131" t="s">
        <v>146</v>
      </c>
      <c r="R131" t="s">
        <v>147</v>
      </c>
      <c r="S131" t="s">
        <v>148</v>
      </c>
      <c r="T131" t="s">
        <v>149</v>
      </c>
      <c r="U131" t="s">
        <v>150</v>
      </c>
      <c r="V131" t="s">
        <v>151</v>
      </c>
      <c r="W131" t="s">
        <v>152</v>
      </c>
      <c r="X131" t="s">
        <v>153</v>
      </c>
      <c r="Y131" t="s">
        <v>154</v>
      </c>
      <c r="Z131" t="s">
        <v>155</v>
      </c>
      <c r="AA131" t="s">
        <v>156</v>
      </c>
      <c r="AB131" t="s">
        <v>157</v>
      </c>
      <c r="AC131" t="s">
        <v>158</v>
      </c>
      <c r="AD131" t="s">
        <v>159</v>
      </c>
      <c r="AE131" t="s">
        <v>160</v>
      </c>
      <c r="AF131" t="s">
        <v>161</v>
      </c>
      <c r="AG131" t="s">
        <v>162</v>
      </c>
      <c r="AH131" t="s">
        <v>163</v>
      </c>
      <c r="AI131" t="s">
        <v>164</v>
      </c>
      <c r="AJ131" t="s">
        <v>165</v>
      </c>
      <c r="AK131" t="s">
        <v>166</v>
      </c>
      <c r="AL131" t="s">
        <v>167</v>
      </c>
      <c r="AM131" t="s">
        <v>168</v>
      </c>
      <c r="AN131" t="s">
        <v>169</v>
      </c>
      <c r="AO131" t="s">
        <v>170</v>
      </c>
    </row>
    <row r="132" spans="1:41" x14ac:dyDescent="0.35">
      <c r="A132" t="s">
        <v>22</v>
      </c>
      <c r="B132" t="s">
        <v>52</v>
      </c>
      <c r="C132" t="s">
        <v>52</v>
      </c>
      <c r="D132" t="s">
        <v>52</v>
      </c>
      <c r="E132" t="s">
        <v>52</v>
      </c>
      <c r="F132" t="s">
        <v>52</v>
      </c>
      <c r="G132" t="s">
        <v>22</v>
      </c>
      <c r="H132" t="s">
        <v>22</v>
      </c>
      <c r="I132" t="s">
        <v>171</v>
      </c>
      <c r="J132" t="s">
        <v>52</v>
      </c>
      <c r="K132" t="s">
        <v>13</v>
      </c>
      <c r="L132" t="s">
        <v>52</v>
      </c>
      <c r="M132" t="s">
        <v>172</v>
      </c>
      <c r="N132" t="s">
        <v>52</v>
      </c>
      <c r="O132" t="s">
        <v>173</v>
      </c>
      <c r="P132" t="s">
        <v>52</v>
      </c>
      <c r="Q132" t="s">
        <v>52</v>
      </c>
      <c r="R132" t="s">
        <v>22</v>
      </c>
      <c r="S132" t="s">
        <v>52</v>
      </c>
      <c r="T132" t="s">
        <v>22</v>
      </c>
      <c r="U132" t="s">
        <v>52</v>
      </c>
      <c r="V132" t="s">
        <v>172</v>
      </c>
      <c r="W132" t="s">
        <v>52</v>
      </c>
      <c r="X132" t="s">
        <v>173</v>
      </c>
      <c r="Y132" t="s">
        <v>52</v>
      </c>
      <c r="Z132" t="s">
        <v>52</v>
      </c>
      <c r="AA132" t="s">
        <v>22</v>
      </c>
      <c r="AB132" t="s">
        <v>52</v>
      </c>
      <c r="AC132" t="s">
        <v>22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13</v>
      </c>
      <c r="AJ132" t="s">
        <v>13</v>
      </c>
      <c r="AK132" t="s">
        <v>13</v>
      </c>
      <c r="AL132" t="s">
        <v>13</v>
      </c>
      <c r="AM132" t="s">
        <v>22</v>
      </c>
      <c r="AN132" t="s">
        <v>22</v>
      </c>
      <c r="AO132" t="s">
        <v>22</v>
      </c>
    </row>
    <row r="133" spans="1:41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174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17">((F133)+(G133)*(L133))*(L133)</f>
        <v>16.088039999999701</v>
      </c>
      <c r="N133">
        <f t="shared" ref="N133:N144" si="18">(((F133)+(G133)*(L133))*(L133))/MAX((F133)+2*(L133)*SQRT(1+(G133)^2),0.000001)</f>
        <v>1.415826806301139</v>
      </c>
      <c r="O133">
        <f t="shared" ref="O133:O144" si="19">ABS(K133)/MAX(((F133)+(G133)*(L133))*(L133),0.000001)</f>
        <v>3.1700567626635032</v>
      </c>
      <c r="P133">
        <f t="shared" ref="P133:P144" si="20">E133+L133</f>
        <v>637</v>
      </c>
      <c r="Q133">
        <f t="shared" ref="Q133:Q144" si="21">P133+((ABS(K133)/MAX(((F133)+(G133)*(L133))*(L133),0.000001))^2)/(2*$I$5)</f>
        <v>637.51219469309422</v>
      </c>
      <c r="R133">
        <f t="shared" ref="R133:R144" si="22">((ABS(K133)*$D$6)/(MAX(((F133)+(G133)*(L133))*(L133),0.000001)*MAX(((((F133)+(G133)*(L133))*(L133))/MAX((F133)+2*(L133)*SQRT(1+(G133)^2),0.000001))^(2/3),0.000001)))^2</f>
        <v>1.4222297358722554E-3</v>
      </c>
      <c r="S133">
        <v>0</v>
      </c>
      <c r="T133">
        <v>1</v>
      </c>
      <c r="U133">
        <f t="shared" ref="U133:U143" ca="1" si="23">IF($D$20=0,U134,IF(AC134=0,U134,IF(U133=0,U134,IF(ABS(AB133)&gt;$D$19,MAX($D$16,U133+((AB133)*$D$18*IF((ABS(ABS(K133)/MAX(((F133)+(G133)*(U133))*(U133),0.000001))/SQRT($I$5*MAX((((F133)+(G133)*(U133))*(U133))/MAX((F133)+2*(G133)*(U133),0.000001),0.000001)))&lt;1,1,-1))),U133))))</f>
        <v>38818.039884075566</v>
      </c>
      <c r="V133">
        <f t="shared" ref="V133:V144" ca="1" si="24">((F133)+(G133)*(U133))*(U133)</f>
        <v>233024.69342410562</v>
      </c>
      <c r="W133">
        <f t="shared" ref="W133:W144" ca="1" si="25">(((F133)+(G133)*(U133))*(U133))/MAX((F133)+2*(U133)*SQRT(1+(G133)^2),0.000001)</f>
        <v>3.0012679350700342</v>
      </c>
      <c r="X133">
        <f t="shared" ref="X133:X144" ca="1" si="26">ABS(K133)/MAX(((F133)+(G133)*(U133))*(U133),0.000001)</f>
        <v>2.1886092521181802E-4</v>
      </c>
      <c r="Y133">
        <f t="shared" ref="Y133:Y144" ca="1" si="27">E133+U133</f>
        <v>39452.359884075566</v>
      </c>
      <c r="Z133">
        <f t="shared" ref="Z133:Z144" ca="1" si="28">Y133+((ABS(K133)/MAX(((F133)+(G133)*(U133))*(U133),0.000001))^2)/(2*$I$5)</f>
        <v>39452.359884078011</v>
      </c>
      <c r="AA133">
        <f t="shared" ref="AA133:AA144" ca="1" si="29">((ABS(K133)*$D$6)/(MAX(((F133)+(G133)*(U133))*(U133),0.000001)*MAX(((((F133)+(G133)*(U133))*(U133))/MAX((F133)+2*(U133)*SQRT(1+(G133)^2),0.000001))^(2/3),0.000001)))^2</f>
        <v>2.4895028166079654E-12</v>
      </c>
      <c r="AB133">
        <f t="shared" ref="AB133:AB143" ca="1" si="30">Z134+(((AA133+AA134)/2)*J134)+(IF(X133&gt;X134,$D$8*((X133^2-X134^2)/(2*$I$5)),$D$9*((X134^2-X133^2)/(2*$I$5)))+($D$10*(ABS(I134)/90)*(MAX(X133^2,X134^2)/(2*$I$5))))-Z133</f>
        <v>-9.7745230596046895E-4</v>
      </c>
      <c r="AC133">
        <f t="shared" ref="AC133:AC143" ca="1" si="31">IF(ABS(AB133)&lt;$D$19,1,0)</f>
        <v>1</v>
      </c>
      <c r="AD133">
        <f ca="1">IF(V31="Supercritical",L133,U133)</f>
        <v>38818.039884075566</v>
      </c>
      <c r="AE133">
        <f t="shared" ref="AE133:AE144" ca="1" si="32">E133+AD133</f>
        <v>39452.359884075566</v>
      </c>
      <c r="AF133">
        <f t="shared" ref="AF133:AF144" ca="1" si="33">AE133+((ABS(K133)/MAX(((F133)+(G133)*(AD133))*(AD133),0.000001))^2)/(2*$I$5)</f>
        <v>39452.359884078011</v>
      </c>
      <c r="AI133">
        <v>0</v>
      </c>
      <c r="AJ133">
        <v>0</v>
      </c>
      <c r="AK133">
        <f t="shared" ref="AK133:AK144" si="34">AI133+AJ133</f>
        <v>0</v>
      </c>
      <c r="AL133">
        <f>AK133</f>
        <v>0</v>
      </c>
      <c r="AM133">
        <f t="shared" ref="AM133:AM144" ca="1" si="35">ABS(ABS(K133)/MAX(((F133)+(G133)*(AD133))*(AD133),0.000001))/SQRT($I$5*MAX((((F133)+(G133)*(AD133))*(AD133))/MAX((F133)+2*(G133)*(AD133),0.000001),0.000001))</f>
        <v>3.5466385163301659E-7</v>
      </c>
      <c r="AN133" t="str">
        <f t="shared" ref="AN133:AN144" ca="1" si="36">IF(AM133&lt;1,"Subcritical","Supercritical")</f>
        <v>Subcritical</v>
      </c>
      <c r="AO133">
        <f ca="1">IF(V31="Supercritical",R133,AA133)</f>
        <v>2.4895028166079654E-12</v>
      </c>
    </row>
    <row r="134" spans="1:41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174</v>
      </c>
      <c r="I134">
        <v>0</v>
      </c>
      <c r="J134">
        <f t="shared" ref="J134:J144" si="37">B134-B133</f>
        <v>1</v>
      </c>
      <c r="K134">
        <f t="shared" ref="K134:K144" si="38">MAX(0,K133-AK133)</f>
        <v>51</v>
      </c>
      <c r="L134">
        <f t="shared" ref="L134:L144" ca="1" si="39">IF($D$20=0,L133,IF(T133=0,L133,IF(L134=0,L133,IF(ABS(S134)&gt;$D$19,MAX($D$16,L134+((S134)*$D$18*IF((ABS(ABS(K134)/MAX(((F134)+(G134)*(L134))*(L134),0.000001))/SQRT($I$5*MAX((((F134)+(G134)*(L134))*(L134))/MAX((F134)+2*(G134)*(L134),0.000001),0.000001)))&lt;1,1,-1))),L134))))</f>
        <v>2.67999999999995</v>
      </c>
      <c r="M134">
        <f t="shared" ca="1" si="17"/>
        <v>16.088039999999701</v>
      </c>
      <c r="N134">
        <f t="shared" ca="1" si="18"/>
        <v>1.415826806301139</v>
      </c>
      <c r="O134">
        <f t="shared" ca="1" si="19"/>
        <v>3.1700567626635032</v>
      </c>
      <c r="P134">
        <f t="shared" ca="1" si="20"/>
        <v>636.99799999999993</v>
      </c>
      <c r="Q134">
        <f t="shared" ca="1" si="21"/>
        <v>637.51019469309415</v>
      </c>
      <c r="R134">
        <f t="shared" ca="1" si="22"/>
        <v>1.4222297358722554E-3</v>
      </c>
      <c r="S134">
        <f t="shared" ref="S134:S144" ca="1" si="40">Q133-(((R133+R134)/2)*J134)-(IF(O133&gt;O134,$D$8*((O133^2-O134^2)/(2*$I$5)),$D$9*((O134^2-O133^2)/(2*$I$5)))+($D$10*(ABS(I134)/90)*(MAX(O133^2,O134^2)/(2*$I$5))))-Q134</f>
        <v>5.7777026415806176E-4</v>
      </c>
      <c r="T134">
        <f t="shared" ref="T134:T144" ca="1" si="41">IF(ABS(S134)&lt;$D$19,1,0)</f>
        <v>1</v>
      </c>
      <c r="U134">
        <f t="shared" ca="1" si="23"/>
        <v>38818.040906623261</v>
      </c>
      <c r="V134">
        <f t="shared" ca="1" si="24"/>
        <v>233024.69956245943</v>
      </c>
      <c r="W134">
        <f t="shared" ca="1" si="25"/>
        <v>3.0012679350761466</v>
      </c>
      <c r="X134">
        <f t="shared" ca="1" si="26"/>
        <v>2.1886091944656739E-4</v>
      </c>
      <c r="Y134">
        <f t="shared" ca="1" si="27"/>
        <v>39452.35890662326</v>
      </c>
      <c r="Z134">
        <f t="shared" ca="1" si="28"/>
        <v>39452.358906625705</v>
      </c>
      <c r="AA134">
        <f t="shared" ca="1" si="29"/>
        <v>2.4895026854438719E-12</v>
      </c>
      <c r="AB134">
        <f t="shared" ca="1" si="30"/>
        <v>-9.7745231323642656E-4</v>
      </c>
      <c r="AC134">
        <f t="shared" ca="1" si="31"/>
        <v>1</v>
      </c>
      <c r="AD134">
        <f ca="1">IF(V31="Supercritical",L134,U134)</f>
        <v>38818.040906623261</v>
      </c>
      <c r="AE134">
        <f t="shared" ca="1" si="32"/>
        <v>39452.35890662326</v>
      </c>
      <c r="AF134">
        <f t="shared" ca="1" si="33"/>
        <v>39452.358906625705</v>
      </c>
      <c r="AI134">
        <v>0</v>
      </c>
      <c r="AJ134">
        <v>0</v>
      </c>
      <c r="AK134">
        <f t="shared" si="34"/>
        <v>0</v>
      </c>
      <c r="AL134">
        <f t="shared" ref="AL134:AL144" si="42">AL133+AK134</f>
        <v>0</v>
      </c>
      <c r="AM134">
        <f t="shared" ca="1" si="35"/>
        <v>3.5466383761914468E-7</v>
      </c>
      <c r="AN134" t="str">
        <f t="shared" ca="1" si="36"/>
        <v>Subcritical</v>
      </c>
      <c r="AO134">
        <f ca="1">IF(V31="Supercritical",R134,AA134)</f>
        <v>2.4895026854438719E-12</v>
      </c>
    </row>
    <row r="135" spans="1:41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174</v>
      </c>
      <c r="I135">
        <v>2.7E-2</v>
      </c>
      <c r="J135">
        <f t="shared" si="37"/>
        <v>1.0009999999999999</v>
      </c>
      <c r="K135">
        <f t="shared" si="38"/>
        <v>51</v>
      </c>
      <c r="L135">
        <f t="shared" ca="1" si="39"/>
        <v>2.67999999999995</v>
      </c>
      <c r="M135">
        <f t="shared" ca="1" si="17"/>
        <v>16.090719999999699</v>
      </c>
      <c r="N135">
        <f t="shared" ca="1" si="18"/>
        <v>1.4159380499823866</v>
      </c>
      <c r="O135">
        <f t="shared" ca="1" si="19"/>
        <v>3.1695287718635932</v>
      </c>
      <c r="P135">
        <f t="shared" ca="1" si="20"/>
        <v>636.99599999999998</v>
      </c>
      <c r="Q135">
        <f t="shared" ca="1" si="21"/>
        <v>637.50802408948368</v>
      </c>
      <c r="R135">
        <f t="shared" ca="1" si="22"/>
        <v>1.4216070821757964E-3</v>
      </c>
      <c r="S135">
        <f t="shared" ca="1" si="40"/>
        <v>6.7303343871571997E-4</v>
      </c>
      <c r="T135">
        <f t="shared" ca="1" si="41"/>
        <v>1</v>
      </c>
      <c r="U135">
        <f t="shared" ca="1" si="23"/>
        <v>38818.041929170955</v>
      </c>
      <c r="V135">
        <f t="shared" ca="1" si="24"/>
        <v>233063.5237427424</v>
      </c>
      <c r="W135">
        <f t="shared" ca="1" si="25"/>
        <v>3.0017678577624949</v>
      </c>
      <c r="X135">
        <f t="shared" ca="1" si="26"/>
        <v>2.1882446116404836E-4</v>
      </c>
      <c r="Y135">
        <f t="shared" ca="1" si="27"/>
        <v>39452.357929170954</v>
      </c>
      <c r="Z135">
        <f t="shared" ca="1" si="28"/>
        <v>39452.357929173391</v>
      </c>
      <c r="AA135">
        <f t="shared" ca="1" si="29"/>
        <v>2.4881207300065847E-12</v>
      </c>
      <c r="AB135">
        <f t="shared" ca="1" si="30"/>
        <v>-9.7745230596046895E-4</v>
      </c>
      <c r="AC135">
        <f t="shared" ca="1" si="31"/>
        <v>1</v>
      </c>
      <c r="AD135">
        <f ca="1">IF(V31="Supercritical",L135,U135)</f>
        <v>38818.041929170955</v>
      </c>
      <c r="AE135">
        <f t="shared" ca="1" si="32"/>
        <v>39452.357929170954</v>
      </c>
      <c r="AF135">
        <f t="shared" ca="1" si="33"/>
        <v>39452.357929173391</v>
      </c>
      <c r="AI135">
        <v>0</v>
      </c>
      <c r="AJ135">
        <v>0</v>
      </c>
      <c r="AK135">
        <f t="shared" si="34"/>
        <v>0</v>
      </c>
      <c r="AL135">
        <f t="shared" si="42"/>
        <v>0</v>
      </c>
      <c r="AM135">
        <f t="shared" ca="1" si="35"/>
        <v>3.5460475234884384E-7</v>
      </c>
      <c r="AN135" t="str">
        <f t="shared" ca="1" si="36"/>
        <v>Subcritical</v>
      </c>
      <c r="AO135">
        <f ca="1">IF(V31="Supercritical",R135,AA135)</f>
        <v>2.4881207300065847E-12</v>
      </c>
    </row>
    <row r="136" spans="1:41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174</v>
      </c>
      <c r="I136">
        <v>2.7E-2</v>
      </c>
      <c r="J136">
        <f t="shared" si="37"/>
        <v>0.99900000000000011</v>
      </c>
      <c r="K136">
        <f t="shared" si="38"/>
        <v>51</v>
      </c>
      <c r="L136">
        <f t="shared" ca="1" si="39"/>
        <v>2.67999999999995</v>
      </c>
      <c r="M136">
        <f t="shared" ca="1" si="17"/>
        <v>16.090719999999699</v>
      </c>
      <c r="N136">
        <f t="shared" ca="1" si="18"/>
        <v>1.4159380499823866</v>
      </c>
      <c r="O136">
        <f t="shared" ca="1" si="19"/>
        <v>3.1695287718635932</v>
      </c>
      <c r="P136">
        <f t="shared" ca="1" si="20"/>
        <v>636.99399999999991</v>
      </c>
      <c r="Q136">
        <f t="shared" ca="1" si="21"/>
        <v>637.50602408948362</v>
      </c>
      <c r="R136">
        <f t="shared" ca="1" si="22"/>
        <v>1.4216070821757964E-3</v>
      </c>
      <c r="S136">
        <f t="shared" ca="1" si="40"/>
        <v>5.5677344096238812E-4</v>
      </c>
      <c r="T136">
        <f t="shared" ca="1" si="41"/>
        <v>1</v>
      </c>
      <c r="U136">
        <f t="shared" ca="1" si="23"/>
        <v>38818.042951718649</v>
      </c>
      <c r="V136">
        <f t="shared" ca="1" si="24"/>
        <v>233063.52988211875</v>
      </c>
      <c r="W136">
        <f t="shared" ca="1" si="25"/>
        <v>3.0017678577686091</v>
      </c>
      <c r="X136">
        <f t="shared" ca="1" si="26"/>
        <v>2.188244553997586E-4</v>
      </c>
      <c r="Y136">
        <f t="shared" ca="1" si="27"/>
        <v>39452.356951718648</v>
      </c>
      <c r="Z136">
        <f t="shared" ca="1" si="28"/>
        <v>39452.356951721085</v>
      </c>
      <c r="AA136">
        <f t="shared" ca="1" si="29"/>
        <v>2.4881205989153183E-12</v>
      </c>
      <c r="AB136">
        <f t="shared" ca="1" si="30"/>
        <v>-9.7745230596046895E-4</v>
      </c>
      <c r="AC136">
        <f t="shared" ca="1" si="31"/>
        <v>1</v>
      </c>
      <c r="AD136">
        <f ca="1">IF(V31="Supercritical",L136,U136)</f>
        <v>38818.042951718649</v>
      </c>
      <c r="AE136">
        <f t="shared" ca="1" si="32"/>
        <v>39452.356951718648</v>
      </c>
      <c r="AF136">
        <f t="shared" ca="1" si="33"/>
        <v>39452.356951721085</v>
      </c>
      <c r="AI136">
        <v>0</v>
      </c>
      <c r="AJ136">
        <v>0</v>
      </c>
      <c r="AK136">
        <f t="shared" si="34"/>
        <v>0</v>
      </c>
      <c r="AL136">
        <f t="shared" si="42"/>
        <v>0</v>
      </c>
      <c r="AM136">
        <f t="shared" ca="1" si="35"/>
        <v>3.5460473833730789E-7</v>
      </c>
      <c r="AN136" t="str">
        <f t="shared" ca="1" si="36"/>
        <v>Subcritical</v>
      </c>
      <c r="AO136">
        <f ca="1">IF(V31="Supercritical",R136,AA136)</f>
        <v>2.4881205989153183E-12</v>
      </c>
    </row>
    <row r="137" spans="1:41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174</v>
      </c>
      <c r="I137">
        <v>0</v>
      </c>
      <c r="J137">
        <f t="shared" si="37"/>
        <v>1</v>
      </c>
      <c r="K137">
        <f t="shared" si="38"/>
        <v>51</v>
      </c>
      <c r="L137">
        <f t="shared" ca="1" si="39"/>
        <v>2.67999999999995</v>
      </c>
      <c r="M137">
        <f t="shared" ca="1" si="17"/>
        <v>16.093399999999701</v>
      </c>
      <c r="N137">
        <f t="shared" ca="1" si="18"/>
        <v>1.4160492740870958</v>
      </c>
      <c r="O137">
        <f t="shared" ca="1" si="19"/>
        <v>3.1690009569140734</v>
      </c>
      <c r="P137">
        <f t="shared" ca="1" si="20"/>
        <v>636.99199999999996</v>
      </c>
      <c r="Q137">
        <f t="shared" ca="1" si="21"/>
        <v>637.5038535710969</v>
      </c>
      <c r="R137">
        <f t="shared" ca="1" si="22"/>
        <v>1.4209848178039965E-3</v>
      </c>
      <c r="S137">
        <f t="shared" ca="1" si="40"/>
        <v>6.9806692067686527E-4</v>
      </c>
      <c r="T137">
        <f t="shared" ca="1" si="41"/>
        <v>1</v>
      </c>
      <c r="U137">
        <f t="shared" ca="1" si="23"/>
        <v>38818.043974266344</v>
      </c>
      <c r="V137">
        <f t="shared" ca="1" si="24"/>
        <v>233102.35406546938</v>
      </c>
      <c r="W137">
        <f t="shared" ca="1" si="25"/>
        <v>3.0022677804420859</v>
      </c>
      <c r="X137">
        <f t="shared" ca="1" si="26"/>
        <v>2.1878800926084207E-4</v>
      </c>
      <c r="Y137">
        <f t="shared" ca="1" si="27"/>
        <v>39452.355974266342</v>
      </c>
      <c r="Z137">
        <f t="shared" ca="1" si="28"/>
        <v>39452.355974268779</v>
      </c>
      <c r="AA137">
        <f t="shared" ca="1" si="29"/>
        <v>2.4867396406392709E-12</v>
      </c>
      <c r="AB137">
        <f t="shared" ca="1" si="30"/>
        <v>-9.7745225502876565E-4</v>
      </c>
      <c r="AC137">
        <f t="shared" ca="1" si="31"/>
        <v>1</v>
      </c>
      <c r="AD137">
        <f ca="1">IF(V31="Supercritical",L137,U137)</f>
        <v>38818.043974266344</v>
      </c>
      <c r="AE137">
        <f t="shared" ca="1" si="32"/>
        <v>39452.355974266342</v>
      </c>
      <c r="AF137">
        <f t="shared" ca="1" si="33"/>
        <v>39452.355974268779</v>
      </c>
      <c r="AI137">
        <v>0</v>
      </c>
      <c r="AJ137">
        <v>0</v>
      </c>
      <c r="AK137">
        <f t="shared" si="34"/>
        <v>0</v>
      </c>
      <c r="AL137">
        <f t="shared" si="42"/>
        <v>0</v>
      </c>
      <c r="AM137">
        <f t="shared" ca="1" si="35"/>
        <v>3.5454567274803341E-7</v>
      </c>
      <c r="AN137" t="str">
        <f t="shared" ca="1" si="36"/>
        <v>Subcritical</v>
      </c>
      <c r="AO137">
        <f ca="1">IF(V31="Supercritical",R137,AA137)</f>
        <v>2.4867396406392709E-12</v>
      </c>
    </row>
    <row r="138" spans="1:41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174</v>
      </c>
      <c r="I138">
        <v>0</v>
      </c>
      <c r="J138">
        <f t="shared" si="37"/>
        <v>1.0010000000000003</v>
      </c>
      <c r="K138">
        <f t="shared" si="38"/>
        <v>51</v>
      </c>
      <c r="L138">
        <f t="shared" ca="1" si="39"/>
        <v>2.67999999999995</v>
      </c>
      <c r="M138">
        <f t="shared" ca="1" si="17"/>
        <v>16.093399999999701</v>
      </c>
      <c r="N138">
        <f t="shared" ca="1" si="18"/>
        <v>1.4160492740870958</v>
      </c>
      <c r="O138">
        <f t="shared" ca="1" si="19"/>
        <v>3.1690009569140734</v>
      </c>
      <c r="P138">
        <f t="shared" ca="1" si="20"/>
        <v>636.9899999999999</v>
      </c>
      <c r="Q138">
        <f t="shared" ca="1" si="21"/>
        <v>637.50185357109683</v>
      </c>
      <c r="R138">
        <f t="shared" ca="1" si="22"/>
        <v>1.4209848178039965E-3</v>
      </c>
      <c r="S138">
        <f t="shared" ca="1" si="40"/>
        <v>5.7759419746616913E-4</v>
      </c>
      <c r="T138">
        <f t="shared" ca="1" si="41"/>
        <v>1</v>
      </c>
      <c r="U138">
        <f t="shared" ca="1" si="23"/>
        <v>38818.044996814089</v>
      </c>
      <c r="V138">
        <f t="shared" ca="1" si="24"/>
        <v>233102.36020586861</v>
      </c>
      <c r="W138">
        <f t="shared" ca="1" si="25"/>
        <v>3.0022677804482027</v>
      </c>
      <c r="X138">
        <f t="shared" ca="1" si="26"/>
        <v>2.1878800349751251E-4</v>
      </c>
      <c r="Y138">
        <f t="shared" ca="1" si="27"/>
        <v>39452.354996814087</v>
      </c>
      <c r="Z138">
        <f t="shared" ca="1" si="28"/>
        <v>39452.354996816524</v>
      </c>
      <c r="AA138">
        <f t="shared" ca="1" si="29"/>
        <v>2.4867395096207665E-12</v>
      </c>
      <c r="AB138">
        <f t="shared" ca="1" si="30"/>
        <v>-9.774517166079022E-4</v>
      </c>
      <c r="AC138">
        <f t="shared" ca="1" si="31"/>
        <v>1</v>
      </c>
      <c r="AD138">
        <f ca="1">IF(V31="Supercritical",L138,U138)</f>
        <v>38818.044996814089</v>
      </c>
      <c r="AE138">
        <f t="shared" ca="1" si="32"/>
        <v>39452.354996814087</v>
      </c>
      <c r="AF138">
        <f t="shared" ca="1" si="33"/>
        <v>39452.354996816524</v>
      </c>
      <c r="AI138">
        <v>0</v>
      </c>
      <c r="AJ138">
        <v>0</v>
      </c>
      <c r="AK138">
        <f t="shared" si="34"/>
        <v>0</v>
      </c>
      <c r="AL138">
        <f t="shared" si="42"/>
        <v>0</v>
      </c>
      <c r="AM138">
        <f t="shared" ca="1" si="35"/>
        <v>3.5454565873883183E-7</v>
      </c>
      <c r="AN138" t="str">
        <f t="shared" ca="1" si="36"/>
        <v>Subcritical</v>
      </c>
      <c r="AO138">
        <f ca="1">IF(V31="Supercritical",R138,AA138)</f>
        <v>2.4867395096207665E-12</v>
      </c>
    </row>
    <row r="139" spans="1:41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174</v>
      </c>
      <c r="I139">
        <v>2.7E-2</v>
      </c>
      <c r="J139">
        <f t="shared" si="37"/>
        <v>1</v>
      </c>
      <c r="K139">
        <f t="shared" si="38"/>
        <v>51</v>
      </c>
      <c r="L139">
        <f t="shared" ca="1" si="39"/>
        <v>2.67999999999995</v>
      </c>
      <c r="M139">
        <f t="shared" ca="1" si="17"/>
        <v>16.096079999999699</v>
      </c>
      <c r="N139">
        <f t="shared" ca="1" si="18"/>
        <v>1.4161604786204329</v>
      </c>
      <c r="O139">
        <f t="shared" ca="1" si="19"/>
        <v>3.1684733177271083</v>
      </c>
      <c r="P139">
        <f t="shared" ca="1" si="20"/>
        <v>636.98799999999994</v>
      </c>
      <c r="Q139">
        <f t="shared" ca="1" si="21"/>
        <v>637.49968313787701</v>
      </c>
      <c r="R139">
        <f t="shared" ca="1" si="22"/>
        <v>1.4203629424430749E-3</v>
      </c>
      <c r="S139">
        <f t="shared" ca="1" si="40"/>
        <v>6.7559596300270641E-4</v>
      </c>
      <c r="T139">
        <f t="shared" ca="1" si="41"/>
        <v>1</v>
      </c>
      <c r="U139">
        <f t="shared" ca="1" si="23"/>
        <v>38818.046019362373</v>
      </c>
      <c r="V139">
        <f t="shared" ca="1" si="24"/>
        <v>233141.18439229042</v>
      </c>
      <c r="W139">
        <f t="shared" ca="1" si="25"/>
        <v>3.0027677031088085</v>
      </c>
      <c r="X139">
        <f t="shared" ca="1" si="26"/>
        <v>2.1875156949612923E-4</v>
      </c>
      <c r="Y139">
        <f t="shared" ca="1" si="27"/>
        <v>39452.35401936237</v>
      </c>
      <c r="Z139">
        <f t="shared" ca="1" si="28"/>
        <v>39452.354019364808</v>
      </c>
      <c r="AA139">
        <f t="shared" ca="1" si="29"/>
        <v>2.4853595476205164E-12</v>
      </c>
      <c r="AB139">
        <f t="shared" ca="1" si="30"/>
        <v>-9.7744582308223471E-4</v>
      </c>
      <c r="AC139">
        <f t="shared" ca="1" si="31"/>
        <v>1</v>
      </c>
      <c r="AD139">
        <f ca="1">IF(V31="Supercritical",L139,U139)</f>
        <v>38818.046019362373</v>
      </c>
      <c r="AE139">
        <f t="shared" ca="1" si="32"/>
        <v>39452.35401936237</v>
      </c>
      <c r="AF139">
        <f t="shared" ca="1" si="33"/>
        <v>39452.354019364808</v>
      </c>
      <c r="AI139">
        <v>0</v>
      </c>
      <c r="AJ139">
        <v>0</v>
      </c>
      <c r="AK139">
        <f t="shared" si="34"/>
        <v>0</v>
      </c>
      <c r="AL139">
        <f t="shared" si="42"/>
        <v>0</v>
      </c>
      <c r="AM139">
        <f t="shared" ca="1" si="35"/>
        <v>3.5448661282074452E-7</v>
      </c>
      <c r="AN139" t="str">
        <f t="shared" ca="1" si="36"/>
        <v>Subcritical</v>
      </c>
      <c r="AO139">
        <f ca="1">IF(V31="Supercritical",R139,AA139)</f>
        <v>2.4853595476205164E-12</v>
      </c>
    </row>
    <row r="140" spans="1:41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174</v>
      </c>
      <c r="I140">
        <v>2.7E-2</v>
      </c>
      <c r="J140">
        <f t="shared" si="37"/>
        <v>0.99899999999999967</v>
      </c>
      <c r="K140">
        <f t="shared" si="38"/>
        <v>51</v>
      </c>
      <c r="L140">
        <f t="shared" ca="1" si="39"/>
        <v>2.67999999999995</v>
      </c>
      <c r="M140">
        <f t="shared" ca="1" si="17"/>
        <v>16.096079999999699</v>
      </c>
      <c r="N140">
        <f t="shared" ca="1" si="18"/>
        <v>1.4161604786204329</v>
      </c>
      <c r="O140">
        <f t="shared" ca="1" si="19"/>
        <v>3.1684733177271083</v>
      </c>
      <c r="P140">
        <f t="shared" ca="1" si="20"/>
        <v>636.98599999999999</v>
      </c>
      <c r="Q140">
        <f t="shared" ca="1" si="21"/>
        <v>637.49768313787706</v>
      </c>
      <c r="R140">
        <f t="shared" ca="1" si="22"/>
        <v>1.4203629424430749E-3</v>
      </c>
      <c r="S140">
        <f t="shared" ca="1" si="40"/>
        <v>5.5803167924750596E-4</v>
      </c>
      <c r="T140">
        <f t="shared" ca="1" si="41"/>
        <v>1</v>
      </c>
      <c r="U140">
        <f t="shared" ca="1" si="23"/>
        <v>38818.04704191655</v>
      </c>
      <c r="V140">
        <f t="shared" ca="1" si="24"/>
        <v>233141.19053375081</v>
      </c>
      <c r="W140">
        <f t="shared" ca="1" si="25"/>
        <v>3.0027677031149271</v>
      </c>
      <c r="X140">
        <f t="shared" ca="1" si="26"/>
        <v>2.1875156373372365E-4</v>
      </c>
      <c r="Y140">
        <f t="shared" ca="1" si="27"/>
        <v>39452.353041916547</v>
      </c>
      <c r="Z140">
        <f t="shared" ca="1" si="28"/>
        <v>39452.353041918985</v>
      </c>
      <c r="AA140">
        <f t="shared" ca="1" si="29"/>
        <v>2.4853594166739076E-12</v>
      </c>
      <c r="AB140">
        <f t="shared" ca="1" si="30"/>
        <v>-9.7738191834650934E-4</v>
      </c>
      <c r="AC140">
        <f t="shared" ca="1" si="31"/>
        <v>1</v>
      </c>
      <c r="AD140">
        <f ca="1">IF(V31="Supercritical",L140,U140)</f>
        <v>38818.04704191655</v>
      </c>
      <c r="AE140">
        <f t="shared" ca="1" si="32"/>
        <v>39452.353041916547</v>
      </c>
      <c r="AF140">
        <f t="shared" ca="1" si="33"/>
        <v>39452.353041918985</v>
      </c>
      <c r="AI140">
        <v>0</v>
      </c>
      <c r="AJ140">
        <v>0</v>
      </c>
      <c r="AK140">
        <f t="shared" si="34"/>
        <v>0</v>
      </c>
      <c r="AL140">
        <f t="shared" si="42"/>
        <v>0</v>
      </c>
      <c r="AM140">
        <f t="shared" ca="1" si="35"/>
        <v>3.5448659881378927E-7</v>
      </c>
      <c r="AN140" t="str">
        <f t="shared" ca="1" si="36"/>
        <v>Subcritical</v>
      </c>
      <c r="AO140">
        <f ca="1">IF(V31="Supercritical",R140,AA140)</f>
        <v>2.4853594166739076E-12</v>
      </c>
    </row>
    <row r="141" spans="1:41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174</v>
      </c>
      <c r="I141">
        <v>0</v>
      </c>
      <c r="J141">
        <f t="shared" si="37"/>
        <v>1.0009999999999994</v>
      </c>
      <c r="K141">
        <f t="shared" si="38"/>
        <v>51</v>
      </c>
      <c r="L141">
        <f t="shared" ca="1" si="39"/>
        <v>2.67999999999995</v>
      </c>
      <c r="M141">
        <f t="shared" ca="1" si="17"/>
        <v>16.0987599999997</v>
      </c>
      <c r="N141">
        <f t="shared" ca="1" si="18"/>
        <v>1.4162716635875643</v>
      </c>
      <c r="O141">
        <f t="shared" ca="1" si="19"/>
        <v>3.1679458542149179</v>
      </c>
      <c r="P141">
        <f t="shared" ca="1" si="20"/>
        <v>636.98399999999992</v>
      </c>
      <c r="Q141">
        <f t="shared" ca="1" si="21"/>
        <v>637.49551278976742</v>
      </c>
      <c r="R141">
        <f t="shared" ca="1" si="22"/>
        <v>1.4197414557795549E-3</v>
      </c>
      <c r="S141">
        <f t="shared" ca="1" si="40"/>
        <v>6.9777142539351189E-4</v>
      </c>
      <c r="T141">
        <f t="shared" ca="1" si="41"/>
        <v>1</v>
      </c>
      <c r="U141">
        <f t="shared" ca="1" si="23"/>
        <v>38818.048064534632</v>
      </c>
      <c r="V141">
        <f t="shared" ca="1" si="24"/>
        <v>233180.01472365952</v>
      </c>
      <c r="W141">
        <f t="shared" ca="1" si="25"/>
        <v>3.0032676257626609</v>
      </c>
      <c r="X141">
        <f t="shared" ca="1" si="26"/>
        <v>2.1871514186342191E-4</v>
      </c>
      <c r="Y141">
        <f t="shared" ca="1" si="27"/>
        <v>39452.352064534629</v>
      </c>
      <c r="Z141">
        <f t="shared" ca="1" si="28"/>
        <v>39452.352064537066</v>
      </c>
      <c r="AA141">
        <f t="shared" ca="1" si="29"/>
        <v>2.4839804500561654E-12</v>
      </c>
      <c r="AB141">
        <f t="shared" ca="1" si="30"/>
        <v>-9.7668822854757309E-4</v>
      </c>
      <c r="AC141">
        <f t="shared" ca="1" si="31"/>
        <v>1</v>
      </c>
      <c r="AD141">
        <f ca="1">IF(V31="Supercritical",L141,U141)</f>
        <v>38818.048064534632</v>
      </c>
      <c r="AE141">
        <f t="shared" ca="1" si="32"/>
        <v>39452.352064534629</v>
      </c>
      <c r="AF141">
        <f t="shared" ca="1" si="33"/>
        <v>39452.352064537066</v>
      </c>
      <c r="AI141">
        <v>0</v>
      </c>
      <c r="AJ141">
        <v>0</v>
      </c>
      <c r="AK141">
        <f t="shared" si="34"/>
        <v>0</v>
      </c>
      <c r="AL141">
        <f t="shared" si="42"/>
        <v>0</v>
      </c>
      <c r="AM141">
        <f t="shared" ca="1" si="35"/>
        <v>3.5442757255611679E-7</v>
      </c>
      <c r="AN141" t="str">
        <f t="shared" ca="1" si="36"/>
        <v>Subcritical</v>
      </c>
      <c r="AO141">
        <f ca="1">IF(V31="Supercritical",R141,AA141)</f>
        <v>2.4839804500561654E-12</v>
      </c>
    </row>
    <row r="142" spans="1:41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174</v>
      </c>
      <c r="I142">
        <v>2.7E-2</v>
      </c>
      <c r="J142">
        <f t="shared" si="37"/>
        <v>1</v>
      </c>
      <c r="K142">
        <f t="shared" si="38"/>
        <v>51</v>
      </c>
      <c r="L142">
        <f t="shared" ca="1" si="39"/>
        <v>2.67999999999995</v>
      </c>
      <c r="M142">
        <f t="shared" ca="1" si="17"/>
        <v>16.0987599999997</v>
      </c>
      <c r="N142">
        <f t="shared" ca="1" si="18"/>
        <v>1.4162716635875643</v>
      </c>
      <c r="O142">
        <f t="shared" ca="1" si="19"/>
        <v>3.1679458542149179</v>
      </c>
      <c r="P142">
        <f t="shared" ca="1" si="20"/>
        <v>636.98199999999997</v>
      </c>
      <c r="Q142">
        <f t="shared" ca="1" si="21"/>
        <v>637.49351278976746</v>
      </c>
      <c r="R142">
        <f t="shared" ca="1" si="22"/>
        <v>1.4197414557795549E-3</v>
      </c>
      <c r="S142">
        <f t="shared" ca="1" si="40"/>
        <v>5.572404685381116E-4</v>
      </c>
      <c r="T142">
        <f t="shared" ca="1" si="41"/>
        <v>1</v>
      </c>
      <c r="U142">
        <f t="shared" ca="1" si="23"/>
        <v>38818.049087846397</v>
      </c>
      <c r="V142">
        <f t="shared" ca="1" si="24"/>
        <v>233180.02087069329</v>
      </c>
      <c r="W142">
        <f t="shared" ca="1" si="25"/>
        <v>3.0032676257687863</v>
      </c>
      <c r="X142">
        <f t="shared" ca="1" si="26"/>
        <v>2.1871513609770767E-4</v>
      </c>
      <c r="Y142">
        <f t="shared" ca="1" si="27"/>
        <v>39452.3510878464</v>
      </c>
      <c r="Z142">
        <f t="shared" ca="1" si="28"/>
        <v>39452.351087848838</v>
      </c>
      <c r="AA142">
        <f t="shared" ca="1" si="29"/>
        <v>2.4839803190852615E-12</v>
      </c>
      <c r="AB142">
        <f t="shared" ca="1" si="30"/>
        <v>-9.6915788162732497E-4</v>
      </c>
      <c r="AC142">
        <f t="shared" ca="1" si="31"/>
        <v>1</v>
      </c>
      <c r="AD142">
        <f ca="1">IF(V31="Supercritical",L142,U142)</f>
        <v>38818.049087846397</v>
      </c>
      <c r="AE142">
        <f t="shared" ca="1" si="32"/>
        <v>39452.3510878464</v>
      </c>
      <c r="AF142">
        <f t="shared" ca="1" si="33"/>
        <v>39452.351087848838</v>
      </c>
      <c r="AI142">
        <v>0</v>
      </c>
      <c r="AJ142">
        <v>0</v>
      </c>
      <c r="AK142">
        <f t="shared" si="34"/>
        <v>0</v>
      </c>
      <c r="AL142">
        <f t="shared" si="42"/>
        <v>0</v>
      </c>
      <c r="AM142">
        <f t="shared" ca="1" si="35"/>
        <v>3.5442755854111949E-7</v>
      </c>
      <c r="AN142" t="str">
        <f t="shared" ca="1" si="36"/>
        <v>Subcritical</v>
      </c>
      <c r="AO142">
        <f ca="1">IF(V31="Supercritical",R142,AA142)</f>
        <v>2.4839803190852615E-12</v>
      </c>
    </row>
    <row r="143" spans="1:41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174</v>
      </c>
      <c r="I143">
        <v>7.0999999999999994E-2</v>
      </c>
      <c r="J143">
        <f t="shared" si="37"/>
        <v>0.99900000000000055</v>
      </c>
      <c r="K143">
        <f t="shared" si="38"/>
        <v>51</v>
      </c>
      <c r="L143">
        <f t="shared" ca="1" si="39"/>
        <v>2.7372583801714709</v>
      </c>
      <c r="M143">
        <f t="shared" ca="1" si="17"/>
        <v>17.573198800700844</v>
      </c>
      <c r="N143">
        <f t="shared" ca="1" si="18"/>
        <v>1.4774201554190904</v>
      </c>
      <c r="O143">
        <f t="shared" ca="1" si="19"/>
        <v>2.9021466483362182</v>
      </c>
      <c r="P143">
        <f t="shared" ca="1" si="20"/>
        <v>637.03725838017147</v>
      </c>
      <c r="Q143">
        <f t="shared" ca="1" si="21"/>
        <v>637.46653744074479</v>
      </c>
      <c r="R143">
        <f t="shared" ca="1" si="22"/>
        <v>1.1262008913726091E-3</v>
      </c>
      <c r="S143">
        <f t="shared" ca="1" si="40"/>
        <v>9.7300304855707509E-4</v>
      </c>
      <c r="T143">
        <f t="shared" ca="1" si="41"/>
        <v>1</v>
      </c>
      <c r="U143">
        <f t="shared" ca="1" si="23"/>
        <v>38818.050118688727</v>
      </c>
      <c r="V143">
        <f t="shared" ca="1" si="24"/>
        <v>249211.88176198161</v>
      </c>
      <c r="W143">
        <f t="shared" ca="1" si="25"/>
        <v>3.2097345758491995</v>
      </c>
      <c r="X143">
        <f t="shared" ca="1" si="26"/>
        <v>2.0464513826314794E-4</v>
      </c>
      <c r="Y143">
        <f t="shared" ca="1" si="27"/>
        <v>39452.35011868873</v>
      </c>
      <c r="Z143">
        <f t="shared" ca="1" si="28"/>
        <v>39452.350118690862</v>
      </c>
      <c r="AA143">
        <f t="shared" ca="1" si="29"/>
        <v>1.9901839548591543E-12</v>
      </c>
      <c r="AB143">
        <f t="shared" ca="1" si="30"/>
        <v>-8.8741065701469779E-4</v>
      </c>
      <c r="AC143">
        <f t="shared" ca="1" si="31"/>
        <v>1</v>
      </c>
      <c r="AD143">
        <f ca="1">IF(V31="Supercritical",L143,U143)</f>
        <v>38818.050118688727</v>
      </c>
      <c r="AE143">
        <f t="shared" ca="1" si="32"/>
        <v>39452.35011868873</v>
      </c>
      <c r="AF143">
        <f t="shared" ca="1" si="33"/>
        <v>39452.350118690862</v>
      </c>
      <c r="AI143">
        <v>0</v>
      </c>
      <c r="AJ143">
        <v>0</v>
      </c>
      <c r="AK143">
        <f t="shared" si="34"/>
        <v>0</v>
      </c>
      <c r="AL143">
        <f t="shared" si="42"/>
        <v>0</v>
      </c>
      <c r="AM143">
        <f t="shared" ca="1" si="35"/>
        <v>3.3162714320076023E-7</v>
      </c>
      <c r="AN143" t="str">
        <f t="shared" ca="1" si="36"/>
        <v>Subcritical</v>
      </c>
      <c r="AO143">
        <f ca="1">IF(V31="Supercritical",R143,AA143)</f>
        <v>1.9901839548591543E-12</v>
      </c>
    </row>
    <row r="144" spans="1:41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175</v>
      </c>
      <c r="I144">
        <v>0</v>
      </c>
      <c r="J144">
        <f t="shared" si="37"/>
        <v>0.74200000000000088</v>
      </c>
      <c r="K144">
        <f t="shared" si="38"/>
        <v>51</v>
      </c>
      <c r="L144">
        <f t="shared" ca="1" si="39"/>
        <v>2.7533473995915236</v>
      </c>
      <c r="M144">
        <f t="shared" ca="1" si="17"/>
        <v>18.056452246521211</v>
      </c>
      <c r="N144">
        <f t="shared" ca="1" si="18"/>
        <v>1.4966356420175577</v>
      </c>
      <c r="O144">
        <f t="shared" ca="1" si="19"/>
        <v>2.8244751130347741</v>
      </c>
      <c r="P144">
        <f t="shared" ca="1" si="20"/>
        <v>637.05134739959158</v>
      </c>
      <c r="Q144">
        <f t="shared" ca="1" si="21"/>
        <v>637.45795594516517</v>
      </c>
      <c r="R144">
        <f t="shared" ca="1" si="22"/>
        <v>1.0485035651148394E-3</v>
      </c>
      <c r="S144">
        <f t="shared" ca="1" si="40"/>
        <v>9.7352572629461065E-4</v>
      </c>
      <c r="T144">
        <f t="shared" ca="1" si="41"/>
        <v>1</v>
      </c>
      <c r="U144">
        <f>MAX($D$16,($I$13)-E144)</f>
        <v>38818.051231278128</v>
      </c>
      <c r="V144">
        <f t="shared" si="24"/>
        <v>254568.77997472195</v>
      </c>
      <c r="W144">
        <f t="shared" si="25"/>
        <v>3.2787230429525223</v>
      </c>
      <c r="X144">
        <f t="shared" si="26"/>
        <v>2.0033878468940367E-4</v>
      </c>
      <c r="Y144">
        <f t="shared" si="27"/>
        <v>39452.349231278131</v>
      </c>
      <c r="Z144">
        <f t="shared" si="28"/>
        <v>39452.349231280175</v>
      </c>
      <c r="AA144">
        <f t="shared" si="29"/>
        <v>1.8539852614749822E-12</v>
      </c>
      <c r="AB144">
        <v>0</v>
      </c>
      <c r="AC144">
        <v>1</v>
      </c>
      <c r="AD144">
        <f>IF(V31="Supercritical",L144,U144)</f>
        <v>38818.051231278128</v>
      </c>
      <c r="AE144">
        <f t="shared" si="32"/>
        <v>39452.349231278131</v>
      </c>
      <c r="AF144">
        <f t="shared" si="33"/>
        <v>39452.349231280175</v>
      </c>
      <c r="AI144">
        <v>0</v>
      </c>
      <c r="AJ144">
        <v>0</v>
      </c>
      <c r="AK144">
        <f t="shared" si="34"/>
        <v>0</v>
      </c>
      <c r="AL144">
        <f t="shared" si="42"/>
        <v>0</v>
      </c>
      <c r="AM144">
        <f t="shared" si="35"/>
        <v>3.2464869896552494E-7</v>
      </c>
      <c r="AN144" t="str">
        <f t="shared" si="36"/>
        <v>Subcritical</v>
      </c>
      <c r="AO144">
        <f>IF(V31="Supercritical",R144,AA144)</f>
        <v>1.8539852614749822E-12</v>
      </c>
    </row>
    <row r="147" spans="1:41" x14ac:dyDescent="0.35">
      <c r="A147" t="s">
        <v>176</v>
      </c>
      <c r="E147">
        <f>E32</f>
        <v>1382.3979999999999</v>
      </c>
      <c r="F147" t="s">
        <v>129</v>
      </c>
      <c r="H147">
        <f>N32</f>
        <v>51</v>
      </c>
      <c r="I147" t="s">
        <v>13</v>
      </c>
      <c r="K147" t="str">
        <f>V32</f>
        <v>Subcritical</v>
      </c>
      <c r="L147" t="s">
        <v>130</v>
      </c>
    </row>
    <row r="148" spans="1:41" x14ac:dyDescent="0.35">
      <c r="A148" t="s">
        <v>131</v>
      </c>
      <c r="B148" t="s">
        <v>132</v>
      </c>
      <c r="C148" t="s">
        <v>133</v>
      </c>
      <c r="D148" t="s">
        <v>134</v>
      </c>
      <c r="E148" t="s">
        <v>135</v>
      </c>
      <c r="F148" t="s">
        <v>136</v>
      </c>
      <c r="G148" t="s">
        <v>137</v>
      </c>
      <c r="H148" t="s">
        <v>9</v>
      </c>
      <c r="I148" t="s">
        <v>138</v>
      </c>
      <c r="J148" t="s">
        <v>139</v>
      </c>
      <c r="K148" t="s">
        <v>140</v>
      </c>
      <c r="L148" t="s">
        <v>141</v>
      </c>
      <c r="M148" t="s">
        <v>142</v>
      </c>
      <c r="N148" t="s">
        <v>143</v>
      </c>
      <c r="O148" t="s">
        <v>144</v>
      </c>
      <c r="P148" t="s">
        <v>145</v>
      </c>
      <c r="Q148" t="s">
        <v>146</v>
      </c>
      <c r="R148" t="s">
        <v>147</v>
      </c>
      <c r="S148" t="s">
        <v>148</v>
      </c>
      <c r="T148" t="s">
        <v>149</v>
      </c>
      <c r="U148" t="s">
        <v>150</v>
      </c>
      <c r="V148" t="s">
        <v>151</v>
      </c>
      <c r="W148" t="s">
        <v>152</v>
      </c>
      <c r="X148" t="s">
        <v>153</v>
      </c>
      <c r="Y148" t="s">
        <v>154</v>
      </c>
      <c r="Z148" t="s">
        <v>155</v>
      </c>
      <c r="AA148" t="s">
        <v>156</v>
      </c>
      <c r="AB148" t="s">
        <v>157</v>
      </c>
      <c r="AC148" t="s">
        <v>158</v>
      </c>
      <c r="AD148" t="s">
        <v>159</v>
      </c>
      <c r="AE148" t="s">
        <v>160</v>
      </c>
      <c r="AF148" t="s">
        <v>161</v>
      </c>
      <c r="AG148" t="s">
        <v>162</v>
      </c>
      <c r="AH148" t="s">
        <v>163</v>
      </c>
      <c r="AI148" t="s">
        <v>164</v>
      </c>
      <c r="AJ148" t="s">
        <v>165</v>
      </c>
      <c r="AK148" t="s">
        <v>166</v>
      </c>
      <c r="AL148" t="s">
        <v>167</v>
      </c>
      <c r="AM148" t="s">
        <v>168</v>
      </c>
      <c r="AN148" t="s">
        <v>169</v>
      </c>
      <c r="AO148" t="s">
        <v>170</v>
      </c>
    </row>
    <row r="149" spans="1:41" x14ac:dyDescent="0.35">
      <c r="A149" t="s">
        <v>22</v>
      </c>
      <c r="B149" t="s">
        <v>52</v>
      </c>
      <c r="C149" t="s">
        <v>52</v>
      </c>
      <c r="D149" t="s">
        <v>52</v>
      </c>
      <c r="E149" t="s">
        <v>52</v>
      </c>
      <c r="F149" t="s">
        <v>52</v>
      </c>
      <c r="G149" t="s">
        <v>22</v>
      </c>
      <c r="H149" t="s">
        <v>22</v>
      </c>
      <c r="I149" t="s">
        <v>171</v>
      </c>
      <c r="J149" t="s">
        <v>52</v>
      </c>
      <c r="K149" t="s">
        <v>13</v>
      </c>
      <c r="L149" t="s">
        <v>52</v>
      </c>
      <c r="M149" t="s">
        <v>172</v>
      </c>
      <c r="N149" t="s">
        <v>52</v>
      </c>
      <c r="O149" t="s">
        <v>173</v>
      </c>
      <c r="P149" t="s">
        <v>52</v>
      </c>
      <c r="Q149" t="s">
        <v>52</v>
      </c>
      <c r="R149" t="s">
        <v>22</v>
      </c>
      <c r="S149" t="s">
        <v>52</v>
      </c>
      <c r="T149" t="s">
        <v>22</v>
      </c>
      <c r="U149" t="s">
        <v>52</v>
      </c>
      <c r="V149" t="s">
        <v>172</v>
      </c>
      <c r="W149" t="s">
        <v>52</v>
      </c>
      <c r="X149" t="s">
        <v>173</v>
      </c>
      <c r="Y149" t="s">
        <v>52</v>
      </c>
      <c r="Z149" t="s">
        <v>52</v>
      </c>
      <c r="AA149" t="s">
        <v>22</v>
      </c>
      <c r="AB149" t="s">
        <v>52</v>
      </c>
      <c r="AC149" t="s">
        <v>22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13</v>
      </c>
      <c r="AJ149" t="s">
        <v>13</v>
      </c>
      <c r="AK149" t="s">
        <v>13</v>
      </c>
      <c r="AL149" t="s">
        <v>13</v>
      </c>
      <c r="AM149" t="s">
        <v>22</v>
      </c>
      <c r="AN149" t="s">
        <v>22</v>
      </c>
      <c r="AO149" t="s">
        <v>22</v>
      </c>
    </row>
    <row r="150" spans="1:41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175</v>
      </c>
      <c r="I150">
        <v>0</v>
      </c>
      <c r="J150">
        <v>0</v>
      </c>
      <c r="K150">
        <f>N32</f>
        <v>51</v>
      </c>
      <c r="L150">
        <f>MAX($D$16,($I$13)-E150)</f>
        <v>38818.051231278128</v>
      </c>
      <c r="M150">
        <f t="shared" ref="M150:M213" si="43">((F150)+(G150)*(L150))*(L150)</f>
        <v>254568.77997472195</v>
      </c>
      <c r="N150">
        <f t="shared" ref="N150:N213" si="44">(((F150)+(G150)*(L150))*(L150))/MAX((F150)+2*(L150)*SQRT(1+(G150)^2),0.000001)</f>
        <v>3.2787230429525223</v>
      </c>
      <c r="O150">
        <f t="shared" ref="O150:O213" si="45">ABS(K150)/MAX(((F150)+(G150)*(L150))*(L150),0.000001)</f>
        <v>2.0033878468940367E-4</v>
      </c>
      <c r="P150">
        <f t="shared" ref="P150:P213" si="46">E150+L150</f>
        <v>39452.349231278131</v>
      </c>
      <c r="Q150">
        <f t="shared" ref="Q150:Q213" si="47">P150+((ABS(K150)/MAX(((F150)+(G150)*(L150))*(L150),0.000001))^2)/(2*$I$5)</f>
        <v>39452.349231280175</v>
      </c>
      <c r="R150">
        <f t="shared" ref="R150:R213" si="48">((ABS(K150)*$D$6)/(MAX(((F150)+(G150)*(L150))*(L150),0.000001)*MAX(((((F150)+(G150)*(L150))*(L150))/MAX((F150)+2*(L150)*SQRT(1+(G150)^2),0.000001))^(2/3),0.000001)))^2</f>
        <v>1.8539852614749822E-12</v>
      </c>
      <c r="S150">
        <v>0</v>
      </c>
      <c r="T150">
        <v>1</v>
      </c>
      <c r="U150">
        <f t="shared" ref="U150:U213" ca="1" si="49">IF($D$20=0,U151,IF(AC151=0,U151,IF(U150=0,U151,IF(ABS(AB150)&gt;$D$19,MAX($D$16,U150+((AB150)*$D$18*IF((ABS(ABS(K150)/MAX(((F150)+(G150)*(U150))*(U150),0.000001))/SQRT($I$5*MAX((((F150)+(G150)*(U150))*(U150))/MAX((F150)+2*(G150)*(U150),0.000001),0.000001)))&lt;1,1,-1))),U150))))</f>
        <v>0.05</v>
      </c>
      <c r="V150">
        <f t="shared" ref="V150:V213" ca="1" si="50">((F150)+(G150)*(U150))*(U150)</f>
        <v>0.32790000000000002</v>
      </c>
      <c r="W150">
        <f t="shared" ref="W150:W213" ca="1" si="51">(((F150)+(G150)*(U150))*(U150))/MAX((F150)+2*(U150)*SQRT(1+(G150)^2),0.000001)</f>
        <v>4.9249023730850112E-2</v>
      </c>
      <c r="X150">
        <f t="shared" ref="X150:X213" ca="1" si="52">ABS(K150)/MAX(((F150)+(G150)*(U150))*(U150),0.000001)</f>
        <v>155.5352241537054</v>
      </c>
      <c r="Y150">
        <f t="shared" ref="Y150:Y213" ca="1" si="53">E150+U150</f>
        <v>634.34799999999996</v>
      </c>
      <c r="Z150">
        <f t="shared" ref="Z150:Z213" ca="1" si="54">Y150+((ABS(K150)/MAX(((F150)+(G150)*(U150))*(U150),0.000001))^2)/(2*$I$5)</f>
        <v>1867.3350516077157</v>
      </c>
      <c r="AA150">
        <f t="shared" ref="AA150:AA213" ca="1" si="55">((ABS(K150)*$D$6)/(MAX(((F150)+(G150)*(U150))*(U150),0.000001)*MAX(((((F150)+(G150)*(U150))*(U150))/MAX((F150)+2*(U150)*SQRT(1+(G150)^2),0.000001))^(2/3),0.000001)))^2</f>
        <v>301.51565714991079</v>
      </c>
      <c r="AB150">
        <f t="shared" ref="AB150:AB213" ca="1" si="56">Z151+(((AA150+AA151)/2)*J151)+(IF(X150&gt;X151,$D$8*((X150^2-X151^2)/(2*$I$5)),$D$9*((X151^2-X150^2)/(2*$I$5)))+($D$10*(ABS(I151)/90)*(MAX(X150^2,X151^2)/(2*$I$5))))-Z150</f>
        <v>130.76813119780923</v>
      </c>
      <c r="AC150">
        <f t="shared" ref="AC150:AC213" ca="1" si="57">IF(ABS(AB150)&lt;$D$19,1,0)</f>
        <v>0</v>
      </c>
      <c r="AD150">
        <f ca="1">IF(V32="Supercritical",L150,U150)</f>
        <v>0.05</v>
      </c>
      <c r="AE150">
        <f t="shared" ref="AE150:AE213" ca="1" si="58">E150+AD150</f>
        <v>634.34799999999996</v>
      </c>
      <c r="AF150">
        <f t="shared" ref="AF150:AF213" ca="1" si="59">AE150+((ABS(K150)/MAX(((F150)+(G150)*(AD150))*(AD150),0.000001))^2)/(2*$I$5)</f>
        <v>1867.3350516077157</v>
      </c>
      <c r="AI150">
        <v>0</v>
      </c>
      <c r="AJ150">
        <v>0</v>
      </c>
      <c r="AK150">
        <f t="shared" ref="AK150:AK213" si="60">AI150+AJ150</f>
        <v>0</v>
      </c>
      <c r="AL150">
        <f>AK150</f>
        <v>0</v>
      </c>
      <c r="AM150">
        <f t="shared" ref="AM150:AM213" ca="1" si="61">ABS(ABS(K150)/MAX(((F150)+(G150)*(AD150))*(AD150),0.000001))/SQRT($I$5*MAX((((F150)+(G150)*(AD150))*(AD150))/MAX((F150)+2*(G150)*(AD150),0.000001),0.000001))</f>
        <v>222.07990018078769</v>
      </c>
      <c r="AN150" t="str">
        <f t="shared" ref="AN150:AN213" ca="1" si="62">IF(AM150&lt;1,"Subcritical","Supercritical")</f>
        <v>Supercritical</v>
      </c>
      <c r="AO150">
        <f ca="1">IF(V32="Supercritical",R150,AA150)</f>
        <v>301.51565714991079</v>
      </c>
    </row>
    <row r="151" spans="1:41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175</v>
      </c>
      <c r="I151">
        <v>5.3999999999999999E-2</v>
      </c>
      <c r="J151">
        <f t="shared" ref="J151:J214" si="63">B151-B150</f>
        <v>1</v>
      </c>
      <c r="K151">
        <f t="shared" ref="K151:K214" si="64">MAX(0,K150-AK150)</f>
        <v>51</v>
      </c>
      <c r="L151">
        <f t="shared" ref="L151:L214" ca="1" si="65">IF($D$20=0,L150,IF(T150=0,L150,IF(L151=0,L150,IF(ABS(S151)&gt;$D$19,MAX($D$16,L151+((S151)*$D$18*IF((ABS(ABS(K151)/MAX(((F151)+(G151)*(L151))*(L151),0.000001))/SQRT($I$5*MAX((((F151)+(G151)*(L151))*(L151))/MAX((F151)+2*(G151)*(L151),0.000001),0.000001)))&lt;1,1,-1))),L151))))</f>
        <v>38818.052343867632</v>
      </c>
      <c r="M151">
        <f t="shared" ca="1" si="43"/>
        <v>279140.61440475215</v>
      </c>
      <c r="N151">
        <f t="shared" ca="1" si="44"/>
        <v>3.5951669997033098</v>
      </c>
      <c r="O151">
        <f t="shared" ca="1" si="45"/>
        <v>1.8270361734623941E-4</v>
      </c>
      <c r="P151">
        <f t="shared" ca="1" si="46"/>
        <v>39452.348343867634</v>
      </c>
      <c r="Q151">
        <f t="shared" ca="1" si="47"/>
        <v>39452.348343869337</v>
      </c>
      <c r="R151">
        <f t="shared" ca="1" si="48"/>
        <v>1.3636975238825928E-12</v>
      </c>
      <c r="S151">
        <f t="shared" ref="S151:S214" ca="1" si="66">Q150-(((R150+R151)/2)*J151)-(IF(O150&gt;O151,$D$8*((O150^2-O151^2)/(2*$I$5)),$D$9*((O151^2-O150^2)/(2*$I$5)))+($D$10*(ABS(I151)/90)*(MAX(O150^2,O151^2)/(2*$I$5))))-Q151</f>
        <v>8.8741073705023155E-4</v>
      </c>
      <c r="T151">
        <f t="shared" ref="T151:T214" ca="1" si="67">IF(ABS(S151)&lt;$D$19,1,0)</f>
        <v>1</v>
      </c>
      <c r="U151">
        <f t="shared" ca="1" si="49"/>
        <v>0.05</v>
      </c>
      <c r="V151">
        <f t="shared" ca="1" si="50"/>
        <v>0.35955000000000004</v>
      </c>
      <c r="W151">
        <f t="shared" ca="1" si="51"/>
        <v>4.9314223014675633E-2</v>
      </c>
      <c r="X151">
        <f t="shared" ca="1" si="52"/>
        <v>141.84397163120565</v>
      </c>
      <c r="Y151">
        <f t="shared" ca="1" si="53"/>
        <v>634.346</v>
      </c>
      <c r="Z151">
        <f t="shared" ca="1" si="54"/>
        <v>1659.8155355817671</v>
      </c>
      <c r="AA151">
        <f t="shared" ca="1" si="55"/>
        <v>250.32719001274637</v>
      </c>
      <c r="AB151">
        <f t="shared" ca="1" si="56"/>
        <v>100.97074176932756</v>
      </c>
      <c r="AC151">
        <f t="shared" ca="1" si="57"/>
        <v>0</v>
      </c>
      <c r="AD151">
        <f ca="1">IF(V32="Supercritical",L151,U151)</f>
        <v>0.05</v>
      </c>
      <c r="AE151">
        <f t="shared" ca="1" si="58"/>
        <v>634.346</v>
      </c>
      <c r="AF151">
        <f t="shared" ca="1" si="59"/>
        <v>1659.8155355817671</v>
      </c>
      <c r="AI151">
        <v>0</v>
      </c>
      <c r="AJ151">
        <v>0</v>
      </c>
      <c r="AK151">
        <f t="shared" si="60"/>
        <v>0</v>
      </c>
      <c r="AL151">
        <f t="shared" ref="AL151:AL214" si="68">AL150+AK151</f>
        <v>0</v>
      </c>
      <c r="AM151">
        <f t="shared" ca="1" si="61"/>
        <v>202.53093942227861</v>
      </c>
      <c r="AN151" t="str">
        <f t="shared" ca="1" si="62"/>
        <v>Supercritical</v>
      </c>
      <c r="AO151">
        <f ca="1">IF(V32="Supercritical",R151,AA151)</f>
        <v>250.32719001274637</v>
      </c>
    </row>
    <row r="152" spans="1:41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175</v>
      </c>
      <c r="I152">
        <v>5.3999999999999999E-2</v>
      </c>
      <c r="J152">
        <f t="shared" si="63"/>
        <v>1</v>
      </c>
      <c r="K152">
        <f t="shared" si="64"/>
        <v>51</v>
      </c>
      <c r="L152">
        <f t="shared" ca="1" si="65"/>
        <v>38818.053374709962</v>
      </c>
      <c r="M152">
        <f t="shared" ca="1" si="43"/>
        <v>307710.70910132583</v>
      </c>
      <c r="N152">
        <f t="shared" ca="1" si="44"/>
        <v>3.9630953499195907</v>
      </c>
      <c r="O152">
        <f t="shared" ca="1" si="45"/>
        <v>1.657400879837635E-4</v>
      </c>
      <c r="P152">
        <f t="shared" ca="1" si="46"/>
        <v>39452.347374709963</v>
      </c>
      <c r="Q152">
        <f t="shared" ca="1" si="47"/>
        <v>39452.34737471136</v>
      </c>
      <c r="R152">
        <f t="shared" ca="1" si="48"/>
        <v>9.8550376189769411E-13</v>
      </c>
      <c r="S152">
        <f t="shared" ca="1" si="66"/>
        <v>9.6915788890328258E-4</v>
      </c>
      <c r="T152">
        <f t="shared" ca="1" si="67"/>
        <v>1</v>
      </c>
      <c r="U152">
        <f t="shared" ca="1" si="49"/>
        <v>0.05</v>
      </c>
      <c r="V152">
        <f t="shared" ca="1" si="50"/>
        <v>0.39634999999999998</v>
      </c>
      <c r="W152">
        <f t="shared" ca="1" si="51"/>
        <v>4.9377102279805657E-2</v>
      </c>
      <c r="X152">
        <f t="shared" ca="1" si="52"/>
        <v>128.67415163365712</v>
      </c>
      <c r="Y152">
        <f t="shared" ca="1" si="53"/>
        <v>634.34399999999994</v>
      </c>
      <c r="Z152">
        <f t="shared" ca="1" si="54"/>
        <v>1478.229693100988</v>
      </c>
      <c r="AA152">
        <f t="shared" ca="1" si="55"/>
        <v>205.65108848259507</v>
      </c>
      <c r="AB152">
        <f t="shared" ca="1" si="56"/>
        <v>92.553581801026667</v>
      </c>
      <c r="AC152">
        <f t="shared" ca="1" si="57"/>
        <v>0</v>
      </c>
      <c r="AD152">
        <f ca="1">IF(V32="Supercritical",L152,U152)</f>
        <v>0.05</v>
      </c>
      <c r="AE152">
        <f t="shared" ca="1" si="58"/>
        <v>634.34399999999994</v>
      </c>
      <c r="AF152">
        <f t="shared" ca="1" si="59"/>
        <v>1478.229693100988</v>
      </c>
      <c r="AI152">
        <v>0</v>
      </c>
      <c r="AJ152">
        <v>0</v>
      </c>
      <c r="AK152">
        <f t="shared" si="60"/>
        <v>0</v>
      </c>
      <c r="AL152">
        <f t="shared" si="68"/>
        <v>0</v>
      </c>
      <c r="AM152">
        <f t="shared" ca="1" si="61"/>
        <v>183.72650250859161</v>
      </c>
      <c r="AN152" t="str">
        <f t="shared" ca="1" si="62"/>
        <v>Supercritical</v>
      </c>
      <c r="AO152">
        <f ca="1">IF(V32="Supercritical",R152,AA152)</f>
        <v>205.65108848259507</v>
      </c>
    </row>
    <row r="153" spans="1:41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175</v>
      </c>
      <c r="I153">
        <v>0</v>
      </c>
      <c r="J153">
        <f t="shared" si="63"/>
        <v>1</v>
      </c>
      <c r="K153">
        <f t="shared" si="64"/>
        <v>51</v>
      </c>
      <c r="L153">
        <f t="shared" ca="1" si="65"/>
        <v>38818.054398021814</v>
      </c>
      <c r="M153">
        <f t="shared" ca="1" si="43"/>
        <v>336319.62330446095</v>
      </c>
      <c r="N153">
        <f t="shared" ca="1" si="44"/>
        <v>4.3315166133321217</v>
      </c>
      <c r="O153">
        <f t="shared" ca="1" si="45"/>
        <v>1.5164146385187609E-4</v>
      </c>
      <c r="P153">
        <f t="shared" ca="1" si="46"/>
        <v>39452.346398021815</v>
      </c>
      <c r="Q153">
        <f t="shared" ca="1" si="47"/>
        <v>39452.346398022986</v>
      </c>
      <c r="R153">
        <f t="shared" ca="1" si="48"/>
        <v>7.3276571620849996E-13</v>
      </c>
      <c r="S153">
        <f t="shared" ca="1" si="66"/>
        <v>9.7668830858310685E-4</v>
      </c>
      <c r="T153">
        <f t="shared" ca="1" si="67"/>
        <v>1</v>
      </c>
      <c r="U153">
        <f t="shared" ca="1" si="49"/>
        <v>0.05</v>
      </c>
      <c r="V153">
        <f t="shared" ca="1" si="50"/>
        <v>0.43320000000000003</v>
      </c>
      <c r="W153">
        <f t="shared" ca="1" si="51"/>
        <v>4.9429484253765414E-2</v>
      </c>
      <c r="X153">
        <f t="shared" ca="1" si="52"/>
        <v>117.72853185595567</v>
      </c>
      <c r="Y153">
        <f t="shared" ca="1" si="53"/>
        <v>634.34199999999998</v>
      </c>
      <c r="Z153">
        <f t="shared" ca="1" si="54"/>
        <v>1340.7643859815885</v>
      </c>
      <c r="AA153">
        <f t="shared" ca="1" si="55"/>
        <v>171.90870508661772</v>
      </c>
      <c r="AB153">
        <f t="shared" ca="1" si="56"/>
        <v>84.37722194760704</v>
      </c>
      <c r="AC153">
        <f t="shared" ca="1" si="57"/>
        <v>0</v>
      </c>
      <c r="AD153">
        <f ca="1">IF(V32="Supercritical",L153,U153)</f>
        <v>0.05</v>
      </c>
      <c r="AE153">
        <f t="shared" ca="1" si="58"/>
        <v>634.34199999999998</v>
      </c>
      <c r="AF153">
        <f t="shared" ca="1" si="59"/>
        <v>1340.7643859815885</v>
      </c>
      <c r="AI153">
        <v>0</v>
      </c>
      <c r="AJ153">
        <v>0</v>
      </c>
      <c r="AK153">
        <f t="shared" si="60"/>
        <v>0</v>
      </c>
      <c r="AL153">
        <f t="shared" si="68"/>
        <v>0</v>
      </c>
      <c r="AM153">
        <f t="shared" ca="1" si="61"/>
        <v>168.09787458282611</v>
      </c>
      <c r="AN153" t="str">
        <f t="shared" ca="1" si="62"/>
        <v>Supercritical</v>
      </c>
      <c r="AO153">
        <f ca="1">IF(V32="Supercritical",R153,AA153)</f>
        <v>171.90870508661772</v>
      </c>
    </row>
    <row r="154" spans="1:41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175</v>
      </c>
      <c r="I154">
        <v>0</v>
      </c>
      <c r="J154">
        <f t="shared" si="63"/>
        <v>1</v>
      </c>
      <c r="K154">
        <f t="shared" si="64"/>
        <v>51</v>
      </c>
      <c r="L154">
        <f t="shared" ca="1" si="65"/>
        <v>38818.055420639947</v>
      </c>
      <c r="M154">
        <f t="shared" ca="1" si="43"/>
        <v>364928.53900943615</v>
      </c>
      <c r="N154">
        <f t="shared" ca="1" si="44"/>
        <v>4.6999308827458011</v>
      </c>
      <c r="O154">
        <f t="shared" ca="1" si="45"/>
        <v>1.3975338880986029E-4</v>
      </c>
      <c r="P154">
        <f t="shared" ca="1" si="46"/>
        <v>39452.345420639947</v>
      </c>
      <c r="Q154">
        <f t="shared" ca="1" si="47"/>
        <v>39452.345420640944</v>
      </c>
      <c r="R154">
        <f t="shared" ca="1" si="48"/>
        <v>5.5819411289862211E-13</v>
      </c>
      <c r="S154">
        <f t="shared" ca="1" si="66"/>
        <v>9.7738199110608548E-4</v>
      </c>
      <c r="T154">
        <f t="shared" ca="1" si="67"/>
        <v>1</v>
      </c>
      <c r="U154">
        <f t="shared" ca="1" si="49"/>
        <v>0.05</v>
      </c>
      <c r="V154">
        <f t="shared" ca="1" si="50"/>
        <v>0.47005000000000002</v>
      </c>
      <c r="W154">
        <f t="shared" ca="1" si="51"/>
        <v>4.9473739606357231E-2</v>
      </c>
      <c r="X154">
        <f t="shared" ca="1" si="52"/>
        <v>108.49909584086799</v>
      </c>
      <c r="Y154">
        <f t="shared" ca="1" si="53"/>
        <v>634.33999999999992</v>
      </c>
      <c r="Z154">
        <f t="shared" ca="1" si="54"/>
        <v>1234.3427420125308</v>
      </c>
      <c r="AA154">
        <f t="shared" ca="1" si="55"/>
        <v>145.8372403652771</v>
      </c>
      <c r="AB154">
        <f t="shared" ca="1" si="56"/>
        <v>76.708801137422824</v>
      </c>
      <c r="AC154">
        <f t="shared" ca="1" si="57"/>
        <v>0</v>
      </c>
      <c r="AD154">
        <f ca="1">IF(V32="Supercritical",L154,U154)</f>
        <v>0.05</v>
      </c>
      <c r="AE154">
        <f t="shared" ca="1" si="58"/>
        <v>634.33999999999992</v>
      </c>
      <c r="AF154">
        <f t="shared" ca="1" si="59"/>
        <v>1234.3427420125308</v>
      </c>
      <c r="AI154">
        <v>0</v>
      </c>
      <c r="AJ154">
        <v>0</v>
      </c>
      <c r="AK154">
        <f t="shared" si="60"/>
        <v>0</v>
      </c>
      <c r="AL154">
        <f t="shared" si="68"/>
        <v>0</v>
      </c>
      <c r="AM154">
        <f t="shared" ca="1" si="61"/>
        <v>154.91968784018783</v>
      </c>
      <c r="AN154" t="str">
        <f t="shared" ca="1" si="62"/>
        <v>Supercritical</v>
      </c>
      <c r="AO154">
        <f ca="1">IF(V32="Supercritical",R154,AA154)</f>
        <v>145.8372403652771</v>
      </c>
    </row>
    <row r="155" spans="1:41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175</v>
      </c>
      <c r="I155">
        <v>0</v>
      </c>
      <c r="J155">
        <f t="shared" si="63"/>
        <v>1</v>
      </c>
      <c r="K155">
        <f t="shared" si="64"/>
        <v>51</v>
      </c>
      <c r="L155">
        <f t="shared" ca="1" si="65"/>
        <v>38818.056443194168</v>
      </c>
      <c r="M155">
        <f t="shared" ca="1" si="43"/>
        <v>393537.45622110245</v>
      </c>
      <c r="N155">
        <f t="shared" ca="1" si="44"/>
        <v>5.0683381583603406</v>
      </c>
      <c r="O155">
        <f t="shared" ca="1" si="45"/>
        <v>1.2959376342399921E-4</v>
      </c>
      <c r="P155">
        <f t="shared" ca="1" si="46"/>
        <v>39452.344443194168</v>
      </c>
      <c r="Q155">
        <f t="shared" ca="1" si="47"/>
        <v>39452.344443195027</v>
      </c>
      <c r="R155">
        <f t="shared" ca="1" si="48"/>
        <v>4.3404018964367162E-13</v>
      </c>
      <c r="S155">
        <f t="shared" ca="1" si="66"/>
        <v>9.7744587401393801E-4</v>
      </c>
      <c r="T155">
        <f t="shared" ca="1" si="67"/>
        <v>1</v>
      </c>
      <c r="U155">
        <f t="shared" ca="1" si="49"/>
        <v>0.05</v>
      </c>
      <c r="V155">
        <f t="shared" ca="1" si="50"/>
        <v>0.50690000000000002</v>
      </c>
      <c r="W155">
        <f t="shared" ca="1" si="51"/>
        <v>4.9511623363938273E-2</v>
      </c>
      <c r="X155">
        <f t="shared" ca="1" si="52"/>
        <v>100.61156046557507</v>
      </c>
      <c r="Y155">
        <f t="shared" ca="1" si="53"/>
        <v>634.33799999999997</v>
      </c>
      <c r="Z155">
        <f t="shared" ca="1" si="54"/>
        <v>1150.275110056986</v>
      </c>
      <c r="AA155">
        <f t="shared" ca="1" si="55"/>
        <v>125.27624664733143</v>
      </c>
      <c r="AB155">
        <f t="shared" ca="1" si="56"/>
        <v>69.84568283435965</v>
      </c>
      <c r="AC155">
        <f t="shared" ca="1" si="57"/>
        <v>0</v>
      </c>
      <c r="AD155">
        <f ca="1">IF(V32="Supercritical",L155,U155)</f>
        <v>0.05</v>
      </c>
      <c r="AE155">
        <f t="shared" ca="1" si="58"/>
        <v>634.33799999999997</v>
      </c>
      <c r="AF155">
        <f t="shared" ca="1" si="59"/>
        <v>1150.275110056986</v>
      </c>
      <c r="AI155">
        <v>0</v>
      </c>
      <c r="AJ155">
        <v>0</v>
      </c>
      <c r="AK155">
        <f t="shared" si="60"/>
        <v>0</v>
      </c>
      <c r="AL155">
        <f t="shared" si="68"/>
        <v>0</v>
      </c>
      <c r="AM155">
        <f t="shared" ca="1" si="61"/>
        <v>143.65752469773187</v>
      </c>
      <c r="AN155" t="str">
        <f t="shared" ca="1" si="62"/>
        <v>Supercritical</v>
      </c>
      <c r="AO155">
        <f ca="1">IF(V32="Supercritical",R155,AA155)</f>
        <v>125.27624664733143</v>
      </c>
    </row>
    <row r="156" spans="1:41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175</v>
      </c>
      <c r="I156">
        <v>5.3999999999999999E-2</v>
      </c>
      <c r="J156">
        <f t="shared" si="63"/>
        <v>1</v>
      </c>
      <c r="K156">
        <f t="shared" si="64"/>
        <v>51</v>
      </c>
      <c r="L156">
        <f t="shared" ca="1" si="65"/>
        <v>38818.057465742495</v>
      </c>
      <c r="M156">
        <f t="shared" ca="1" si="43"/>
        <v>422107.55688248388</v>
      </c>
      <c r="N156">
        <f t="shared" ca="1" si="44"/>
        <v>5.4362385804161431</v>
      </c>
      <c r="O156">
        <f t="shared" ca="1" si="45"/>
        <v>1.208222860937753E-4</v>
      </c>
      <c r="P156">
        <f t="shared" ca="1" si="46"/>
        <v>39452.343465742495</v>
      </c>
      <c r="Q156">
        <f t="shared" ca="1" si="47"/>
        <v>39452.343465743237</v>
      </c>
      <c r="R156">
        <f t="shared" ca="1" si="48"/>
        <v>3.4362013535169399E-13</v>
      </c>
      <c r="S156">
        <f t="shared" ca="1" si="66"/>
        <v>9.7745175298769027E-4</v>
      </c>
      <c r="T156">
        <f t="shared" ca="1" si="67"/>
        <v>1</v>
      </c>
      <c r="U156">
        <f t="shared" ca="1" si="49"/>
        <v>0.05</v>
      </c>
      <c r="V156">
        <f t="shared" ca="1" si="50"/>
        <v>0.54370000000000007</v>
      </c>
      <c r="W156">
        <f t="shared" ca="1" si="51"/>
        <v>4.9544377619828689E-2</v>
      </c>
      <c r="X156">
        <f t="shared" ca="1" si="52"/>
        <v>93.801728894610989</v>
      </c>
      <c r="Y156">
        <f t="shared" ca="1" si="53"/>
        <v>634.3359999999999</v>
      </c>
      <c r="Z156">
        <f t="shared" ca="1" si="54"/>
        <v>1082.7949369835931</v>
      </c>
      <c r="AA156">
        <f t="shared" ca="1" si="55"/>
        <v>108.79569264432811</v>
      </c>
      <c r="AB156">
        <f t="shared" ca="1" si="56"/>
        <v>63.523626350350469</v>
      </c>
      <c r="AC156">
        <f t="shared" ca="1" si="57"/>
        <v>0</v>
      </c>
      <c r="AD156">
        <f ca="1">IF(V32="Supercritical",L156,U156)</f>
        <v>0.05</v>
      </c>
      <c r="AE156">
        <f t="shared" ca="1" si="58"/>
        <v>634.3359999999999</v>
      </c>
      <c r="AF156">
        <f t="shared" ca="1" si="59"/>
        <v>1082.7949369835931</v>
      </c>
      <c r="AI156">
        <v>0</v>
      </c>
      <c r="AJ156">
        <v>0</v>
      </c>
      <c r="AK156">
        <f t="shared" si="60"/>
        <v>0</v>
      </c>
      <c r="AL156">
        <f t="shared" si="68"/>
        <v>0</v>
      </c>
      <c r="AM156">
        <f t="shared" ca="1" si="61"/>
        <v>133.9341535208392</v>
      </c>
      <c r="AN156" t="str">
        <f t="shared" ca="1" si="62"/>
        <v>Supercritical</v>
      </c>
      <c r="AO156">
        <f ca="1">IF(V32="Supercritical",R156,AA156)</f>
        <v>108.79569264432811</v>
      </c>
    </row>
    <row r="157" spans="1:41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175</v>
      </c>
      <c r="I157">
        <v>5.3999999999999999E-2</v>
      </c>
      <c r="J157">
        <f t="shared" si="63"/>
        <v>1</v>
      </c>
      <c r="K157">
        <f t="shared" si="64"/>
        <v>51</v>
      </c>
      <c r="L157">
        <f t="shared" ca="1" si="65"/>
        <v>38818.058488290269</v>
      </c>
      <c r="M157">
        <f t="shared" ca="1" si="43"/>
        <v>450716.47710753832</v>
      </c>
      <c r="N157">
        <f t="shared" ca="1" si="44"/>
        <v>5.8046318785203814</v>
      </c>
      <c r="O157">
        <f t="shared" ca="1" si="45"/>
        <v>1.1315317409137385E-4</v>
      </c>
      <c r="P157">
        <f t="shared" ca="1" si="46"/>
        <v>39452.342488290269</v>
      </c>
      <c r="Q157">
        <f t="shared" ca="1" si="47"/>
        <v>39452.342488290924</v>
      </c>
      <c r="R157">
        <f t="shared" ca="1" si="48"/>
        <v>2.7615299429216297E-13</v>
      </c>
      <c r="S157">
        <f t="shared" ca="1" si="66"/>
        <v>9.7745228413259611E-4</v>
      </c>
      <c r="T157">
        <f t="shared" ca="1" si="67"/>
        <v>1</v>
      </c>
      <c r="U157">
        <f t="shared" ca="1" si="49"/>
        <v>0.05</v>
      </c>
      <c r="V157">
        <f t="shared" ca="1" si="50"/>
        <v>0.58055000000000001</v>
      </c>
      <c r="W157">
        <f t="shared" ca="1" si="51"/>
        <v>4.9573050977713258E-2</v>
      </c>
      <c r="X157">
        <f t="shared" ca="1" si="52"/>
        <v>87.84773060029282</v>
      </c>
      <c r="Y157">
        <f t="shared" ca="1" si="53"/>
        <v>634.33399999999995</v>
      </c>
      <c r="Z157">
        <f t="shared" ca="1" si="54"/>
        <v>1027.6685449348431</v>
      </c>
      <c r="AA157">
        <f t="shared" ca="1" si="55"/>
        <v>95.348986315965575</v>
      </c>
      <c r="AB157">
        <f t="shared" ca="1" si="56"/>
        <v>57.910978629781312</v>
      </c>
      <c r="AC157">
        <f t="shared" ca="1" si="57"/>
        <v>0</v>
      </c>
      <c r="AD157">
        <f ca="1">IF(V32="Supercritical",L157,U157)</f>
        <v>0.05</v>
      </c>
      <c r="AE157">
        <f t="shared" ca="1" si="58"/>
        <v>634.33399999999995</v>
      </c>
      <c r="AF157">
        <f t="shared" ca="1" si="59"/>
        <v>1027.6685449348431</v>
      </c>
      <c r="AI157">
        <v>0</v>
      </c>
      <c r="AJ157">
        <v>0</v>
      </c>
      <c r="AK157">
        <f t="shared" si="60"/>
        <v>0</v>
      </c>
      <c r="AL157">
        <f t="shared" si="68"/>
        <v>0</v>
      </c>
      <c r="AM157">
        <f t="shared" ca="1" si="61"/>
        <v>125.43277800237753</v>
      </c>
      <c r="AN157" t="str">
        <f t="shared" ca="1" si="62"/>
        <v>Supercritical</v>
      </c>
      <c r="AO157">
        <f ca="1">IF(V32="Supercritical",R157,AA157)</f>
        <v>95.348986315965575</v>
      </c>
    </row>
    <row r="158" spans="1:41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175</v>
      </c>
      <c r="I158">
        <v>0</v>
      </c>
      <c r="J158">
        <f t="shared" si="63"/>
        <v>1</v>
      </c>
      <c r="K158">
        <f t="shared" si="64"/>
        <v>51</v>
      </c>
      <c r="L158">
        <f t="shared" ca="1" si="65"/>
        <v>38818.059510837993</v>
      </c>
      <c r="M158">
        <f t="shared" ca="1" si="43"/>
        <v>479325.39883982757</v>
      </c>
      <c r="N158">
        <f t="shared" ca="1" si="44"/>
        <v>6.1730181834242952</v>
      </c>
      <c r="O158">
        <f t="shared" ca="1" si="45"/>
        <v>1.0639953593830373E-4</v>
      </c>
      <c r="P158">
        <f t="shared" ca="1" si="46"/>
        <v>39452.341510837992</v>
      </c>
      <c r="Q158">
        <f t="shared" ca="1" si="47"/>
        <v>39452.341510838567</v>
      </c>
      <c r="R158">
        <f t="shared" ca="1" si="48"/>
        <v>2.2493925065506413E-13</v>
      </c>
      <c r="S158">
        <f t="shared" ca="1" si="66"/>
        <v>9.774523350642994E-4</v>
      </c>
      <c r="T158">
        <f t="shared" ca="1" si="67"/>
        <v>1</v>
      </c>
      <c r="U158">
        <f t="shared" ca="1" si="49"/>
        <v>0.05</v>
      </c>
      <c r="V158">
        <f t="shared" ca="1" si="50"/>
        <v>0.61740000000000006</v>
      </c>
      <c r="W158">
        <f t="shared" ca="1" si="51"/>
        <v>4.959832904884319E-2</v>
      </c>
      <c r="X158">
        <f t="shared" ca="1" si="52"/>
        <v>82.604470359572389</v>
      </c>
      <c r="Y158">
        <f t="shared" ca="1" si="53"/>
        <v>634.33199999999999</v>
      </c>
      <c r="Z158">
        <f t="shared" ca="1" si="54"/>
        <v>982.11479935705779</v>
      </c>
      <c r="AA158">
        <f t="shared" ca="1" si="55"/>
        <v>84.249414752496463</v>
      </c>
      <c r="AB158">
        <f t="shared" ca="1" si="56"/>
        <v>1332.8706851779491</v>
      </c>
      <c r="AC158">
        <f t="shared" ca="1" si="57"/>
        <v>0</v>
      </c>
      <c r="AD158">
        <f ca="1">IF(V32="Supercritical",L158,U158)</f>
        <v>0.05</v>
      </c>
      <c r="AE158">
        <f t="shared" ca="1" si="58"/>
        <v>634.33199999999999</v>
      </c>
      <c r="AF158">
        <f t="shared" ca="1" si="59"/>
        <v>982.11479935705779</v>
      </c>
      <c r="AI158">
        <v>0</v>
      </c>
      <c r="AJ158">
        <v>0</v>
      </c>
      <c r="AK158">
        <f t="shared" si="60"/>
        <v>0</v>
      </c>
      <c r="AL158">
        <f t="shared" si="68"/>
        <v>0</v>
      </c>
      <c r="AM158">
        <f t="shared" ca="1" si="61"/>
        <v>117.94622492594796</v>
      </c>
      <c r="AN158" t="str">
        <f t="shared" ca="1" si="62"/>
        <v>Supercritical</v>
      </c>
      <c r="AO158">
        <f ca="1">IF(V32="Supercritical",R158,AA158)</f>
        <v>84.249414752496463</v>
      </c>
    </row>
    <row r="159" spans="1:41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174</v>
      </c>
      <c r="I159">
        <v>0</v>
      </c>
      <c r="J159">
        <f t="shared" si="63"/>
        <v>1</v>
      </c>
      <c r="K159">
        <f t="shared" si="64"/>
        <v>51</v>
      </c>
      <c r="L159">
        <f t="shared" ca="1" si="65"/>
        <v>38818.060533384654</v>
      </c>
      <c r="M159">
        <f t="shared" ca="1" si="43"/>
        <v>241603.60875978609</v>
      </c>
      <c r="N159">
        <f t="shared" ca="1" si="44"/>
        <v>3.1117505344798211</v>
      </c>
      <c r="O159">
        <f t="shared" ca="1" si="45"/>
        <v>2.1108956220395965E-4</v>
      </c>
      <c r="P159">
        <f t="shared" ca="1" si="46"/>
        <v>39452.340533384653</v>
      </c>
      <c r="Q159">
        <f t="shared" ca="1" si="47"/>
        <v>39452.340533386923</v>
      </c>
      <c r="R159">
        <f t="shared" ca="1" si="48"/>
        <v>2.2068679085880002E-12</v>
      </c>
      <c r="S159">
        <f t="shared" ca="1" si="66"/>
        <v>9.7745147650130093E-4</v>
      </c>
      <c r="T159">
        <f t="shared" ca="1" si="67"/>
        <v>1</v>
      </c>
      <c r="U159">
        <f t="shared" ca="1" si="49"/>
        <v>0.05</v>
      </c>
      <c r="V159">
        <f t="shared" ca="1" si="50"/>
        <v>0.31120000000000003</v>
      </c>
      <c r="W159">
        <f t="shared" ca="1" si="51"/>
        <v>4.9209361163820374E-2</v>
      </c>
      <c r="X159">
        <f t="shared" ca="1" si="52"/>
        <v>163.88174807197942</v>
      </c>
      <c r="Y159">
        <f t="shared" ca="1" si="53"/>
        <v>634.32999999999993</v>
      </c>
      <c r="Z159">
        <f t="shared" ca="1" si="54"/>
        <v>2003.1998955722593</v>
      </c>
      <c r="AA159">
        <f t="shared" ca="1" si="55"/>
        <v>335.10434392995836</v>
      </c>
      <c r="AB159">
        <f t="shared" ca="1" si="56"/>
        <v>335.22554222055987</v>
      </c>
      <c r="AC159">
        <f t="shared" ca="1" si="57"/>
        <v>0</v>
      </c>
      <c r="AD159">
        <f ca="1">IF(V32="Supercritical",L159,U159)</f>
        <v>0.05</v>
      </c>
      <c r="AE159">
        <f t="shared" ca="1" si="58"/>
        <v>634.32999999999993</v>
      </c>
      <c r="AF159">
        <f t="shared" ca="1" si="59"/>
        <v>2003.1998955722593</v>
      </c>
      <c r="AI159">
        <v>0</v>
      </c>
      <c r="AJ159">
        <v>0</v>
      </c>
      <c r="AK159">
        <f t="shared" si="60"/>
        <v>0</v>
      </c>
      <c r="AL159">
        <f t="shared" si="68"/>
        <v>0</v>
      </c>
      <c r="AM159">
        <f t="shared" ca="1" si="61"/>
        <v>233.9974269578415</v>
      </c>
      <c r="AN159" t="str">
        <f t="shared" ca="1" si="62"/>
        <v>Supercritical</v>
      </c>
      <c r="AO159">
        <f ca="1">IF(V32="Supercritical",R159,AA159)</f>
        <v>335.10434392995836</v>
      </c>
    </row>
    <row r="160" spans="1:41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174</v>
      </c>
      <c r="I160">
        <v>5.3999999999999999E-2</v>
      </c>
      <c r="J160">
        <f t="shared" si="63"/>
        <v>1</v>
      </c>
      <c r="K160">
        <f t="shared" si="64"/>
        <v>51</v>
      </c>
      <c r="L160">
        <f t="shared" ca="1" si="65"/>
        <v>38818.061555932421</v>
      </c>
      <c r="M160">
        <f t="shared" ca="1" si="43"/>
        <v>241603.6151241234</v>
      </c>
      <c r="N160">
        <f t="shared" ca="1" si="44"/>
        <v>3.1117505344863918</v>
      </c>
      <c r="O160">
        <f t="shared" ca="1" si="45"/>
        <v>2.1108955664342542E-4</v>
      </c>
      <c r="P160">
        <f t="shared" ca="1" si="46"/>
        <v>39452.33955593242</v>
      </c>
      <c r="Q160">
        <f t="shared" ca="1" si="47"/>
        <v>39452.33955593469</v>
      </c>
      <c r="R160">
        <f t="shared" ca="1" si="48"/>
        <v>2.2068677923148865E-12</v>
      </c>
      <c r="S160">
        <f t="shared" ca="1" si="66"/>
        <v>9.7745223320089281E-4</v>
      </c>
      <c r="T160">
        <f t="shared" ca="1" si="67"/>
        <v>1</v>
      </c>
      <c r="U160">
        <f t="shared" ca="1" si="49"/>
        <v>0.05</v>
      </c>
      <c r="V160">
        <f t="shared" ca="1" si="50"/>
        <v>0.31120000000000003</v>
      </c>
      <c r="W160">
        <f t="shared" ca="1" si="51"/>
        <v>4.9209361163820374E-2</v>
      </c>
      <c r="X160">
        <f t="shared" ca="1" si="52"/>
        <v>163.88174807197942</v>
      </c>
      <c r="Y160">
        <f t="shared" ca="1" si="53"/>
        <v>634.32799999999997</v>
      </c>
      <c r="Z160">
        <f t="shared" ca="1" si="54"/>
        <v>2003.1978955722593</v>
      </c>
      <c r="AA160">
        <f t="shared" ca="1" si="55"/>
        <v>335.10434392995836</v>
      </c>
      <c r="AB160">
        <f t="shared" ca="1" si="56"/>
        <v>462.64947295086358</v>
      </c>
      <c r="AC160">
        <f t="shared" ca="1" si="57"/>
        <v>0</v>
      </c>
      <c r="AD160">
        <f ca="1">IF(V32="Supercritical",L160,U160)</f>
        <v>0.05</v>
      </c>
      <c r="AE160">
        <f t="shared" ca="1" si="58"/>
        <v>634.32799999999997</v>
      </c>
      <c r="AF160">
        <f t="shared" ca="1" si="59"/>
        <v>2003.1978955722593</v>
      </c>
      <c r="AI160">
        <v>0</v>
      </c>
      <c r="AJ160">
        <v>0</v>
      </c>
      <c r="AK160">
        <f t="shared" si="60"/>
        <v>0</v>
      </c>
      <c r="AL160">
        <f t="shared" si="68"/>
        <v>0</v>
      </c>
      <c r="AM160">
        <f t="shared" ca="1" si="61"/>
        <v>233.9974269578415</v>
      </c>
      <c r="AN160" t="str">
        <f t="shared" ca="1" si="62"/>
        <v>Supercritical</v>
      </c>
      <c r="AO160">
        <f ca="1">IF(V32="Supercritical",R160,AA160)</f>
        <v>335.10434392995836</v>
      </c>
    </row>
    <row r="161" spans="1:41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174</v>
      </c>
      <c r="I161">
        <v>5.3999999999999999E-2</v>
      </c>
      <c r="J161">
        <f t="shared" si="63"/>
        <v>1</v>
      </c>
      <c r="K161">
        <f t="shared" si="64"/>
        <v>51</v>
      </c>
      <c r="L161">
        <f t="shared" ca="1" si="65"/>
        <v>38818.062578480014</v>
      </c>
      <c r="M161">
        <f t="shared" ca="1" si="43"/>
        <v>232908.37547088007</v>
      </c>
      <c r="N161">
        <f t="shared" ca="1" si="44"/>
        <v>2.9997681670876006</v>
      </c>
      <c r="O161">
        <f t="shared" ca="1" si="45"/>
        <v>2.1897022765665375E-4</v>
      </c>
      <c r="P161">
        <f t="shared" ca="1" si="46"/>
        <v>39452.338578480012</v>
      </c>
      <c r="Q161">
        <f t="shared" ca="1" si="47"/>
        <v>39452.338578482457</v>
      </c>
      <c r="R161">
        <f t="shared" ca="1" si="48"/>
        <v>2.4936513644822696E-12</v>
      </c>
      <c r="S161">
        <f t="shared" ca="1" si="66"/>
        <v>9.7745221864897758E-4</v>
      </c>
      <c r="T161">
        <f t="shared" ca="1" si="67"/>
        <v>1</v>
      </c>
      <c r="U161">
        <f t="shared" ca="1" si="49"/>
        <v>0.05</v>
      </c>
      <c r="V161">
        <f t="shared" ca="1" si="50"/>
        <v>0.30000000000000004</v>
      </c>
      <c r="W161">
        <f t="shared" ca="1" si="51"/>
        <v>4.9180327868852472E-2</v>
      </c>
      <c r="X161">
        <f t="shared" ca="1" si="52"/>
        <v>169.99999999999997</v>
      </c>
      <c r="Y161">
        <f t="shared" ca="1" si="53"/>
        <v>634.32599999999991</v>
      </c>
      <c r="Z161">
        <f t="shared" ca="1" si="54"/>
        <v>2107.3127482161053</v>
      </c>
      <c r="AA161">
        <f t="shared" ca="1" si="55"/>
        <v>360.87638854062874</v>
      </c>
      <c r="AB161">
        <f t="shared" ca="1" si="56"/>
        <v>360.87438854062884</v>
      </c>
      <c r="AC161">
        <f t="shared" ca="1" si="57"/>
        <v>0</v>
      </c>
      <c r="AD161">
        <f ca="1">IF(V32="Supercritical",L161,U161)</f>
        <v>0.05</v>
      </c>
      <c r="AE161">
        <f t="shared" ca="1" si="58"/>
        <v>634.32599999999991</v>
      </c>
      <c r="AF161">
        <f t="shared" ca="1" si="59"/>
        <v>2107.3127482161053</v>
      </c>
      <c r="AI161">
        <v>0</v>
      </c>
      <c r="AJ161">
        <v>0</v>
      </c>
      <c r="AK161">
        <f t="shared" si="60"/>
        <v>0</v>
      </c>
      <c r="AL161">
        <f t="shared" si="68"/>
        <v>0</v>
      </c>
      <c r="AM161">
        <f t="shared" ca="1" si="61"/>
        <v>242.73333089760089</v>
      </c>
      <c r="AN161" t="str">
        <f t="shared" ca="1" si="62"/>
        <v>Supercritical</v>
      </c>
      <c r="AO161">
        <f ca="1">IF(V32="Supercritical",R161,AA161)</f>
        <v>360.87638854062874</v>
      </c>
    </row>
    <row r="162" spans="1:41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174</v>
      </c>
      <c r="I162">
        <v>0</v>
      </c>
      <c r="J162">
        <f t="shared" si="63"/>
        <v>1</v>
      </c>
      <c r="K162">
        <f t="shared" si="64"/>
        <v>51</v>
      </c>
      <c r="L162">
        <f t="shared" ca="1" si="65"/>
        <v>38818.063601027716</v>
      </c>
      <c r="M162">
        <f t="shared" ca="1" si="43"/>
        <v>232908.38160616631</v>
      </c>
      <c r="N162">
        <f t="shared" ca="1" si="44"/>
        <v>2.9997681670937073</v>
      </c>
      <c r="O162">
        <f t="shared" ca="1" si="45"/>
        <v>2.1897022188852719E-4</v>
      </c>
      <c r="P162">
        <f t="shared" ca="1" si="46"/>
        <v>39452.337601027713</v>
      </c>
      <c r="Q162">
        <f t="shared" ca="1" si="47"/>
        <v>39452.337601030158</v>
      </c>
      <c r="R162">
        <f t="shared" ca="1" si="48"/>
        <v>2.4936512330996814E-12</v>
      </c>
      <c r="S162">
        <f t="shared" ca="1" si="66"/>
        <v>9.7745229868451133E-4</v>
      </c>
      <c r="T162">
        <f t="shared" ca="1" si="67"/>
        <v>1</v>
      </c>
      <c r="U162">
        <f t="shared" ca="1" si="49"/>
        <v>0.05</v>
      </c>
      <c r="V162">
        <f t="shared" ca="1" si="50"/>
        <v>0.30000000000000004</v>
      </c>
      <c r="W162">
        <f t="shared" ca="1" si="51"/>
        <v>4.9180327868852472E-2</v>
      </c>
      <c r="X162">
        <f t="shared" ca="1" si="52"/>
        <v>169.99999999999997</v>
      </c>
      <c r="Y162">
        <f t="shared" ca="1" si="53"/>
        <v>634.32399999999996</v>
      </c>
      <c r="Z162">
        <f t="shared" ca="1" si="54"/>
        <v>2107.3107482161054</v>
      </c>
      <c r="AA162">
        <f t="shared" ca="1" si="55"/>
        <v>360.87638854062874</v>
      </c>
      <c r="AB162">
        <f t="shared" ca="1" si="56"/>
        <v>360.87438854062884</v>
      </c>
      <c r="AC162">
        <f t="shared" ca="1" si="57"/>
        <v>0</v>
      </c>
      <c r="AD162">
        <f ca="1">IF(V32="Supercritical",L162,U162)</f>
        <v>0.05</v>
      </c>
      <c r="AE162">
        <f t="shared" ca="1" si="58"/>
        <v>634.32399999999996</v>
      </c>
      <c r="AF162">
        <f t="shared" ca="1" si="59"/>
        <v>2107.3107482161054</v>
      </c>
      <c r="AI162">
        <v>0</v>
      </c>
      <c r="AJ162">
        <v>0</v>
      </c>
      <c r="AK162">
        <f t="shared" si="60"/>
        <v>0</v>
      </c>
      <c r="AL162">
        <f t="shared" si="68"/>
        <v>0</v>
      </c>
      <c r="AM162">
        <f t="shared" ca="1" si="61"/>
        <v>242.73333089760089</v>
      </c>
      <c r="AN162" t="str">
        <f t="shared" ca="1" si="62"/>
        <v>Supercritical</v>
      </c>
      <c r="AO162">
        <f ca="1">IF(V32="Supercritical",R162,AA162)</f>
        <v>360.87638854062874</v>
      </c>
    </row>
    <row r="163" spans="1:41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174</v>
      </c>
      <c r="I163">
        <v>0</v>
      </c>
      <c r="J163">
        <f t="shared" si="63"/>
        <v>1</v>
      </c>
      <c r="K163">
        <f t="shared" si="64"/>
        <v>51</v>
      </c>
      <c r="L163">
        <f t="shared" ca="1" si="65"/>
        <v>38818.06462357541</v>
      </c>
      <c r="M163">
        <f t="shared" ca="1" si="43"/>
        <v>232908.38774145246</v>
      </c>
      <c r="N163">
        <f t="shared" ca="1" si="44"/>
        <v>2.999768167099814</v>
      </c>
      <c r="O163">
        <f t="shared" ca="1" si="45"/>
        <v>2.1897021612040101E-4</v>
      </c>
      <c r="P163">
        <f t="shared" ca="1" si="46"/>
        <v>39452.336623575407</v>
      </c>
      <c r="Q163">
        <f t="shared" ca="1" si="47"/>
        <v>39452.336623577852</v>
      </c>
      <c r="R163">
        <f t="shared" ca="1" si="48"/>
        <v>2.4936511017171068E-12</v>
      </c>
      <c r="S163">
        <f t="shared" ca="1" si="66"/>
        <v>9.7745230596046895E-4</v>
      </c>
      <c r="T163">
        <f t="shared" ca="1" si="67"/>
        <v>1</v>
      </c>
      <c r="U163">
        <f t="shared" ca="1" si="49"/>
        <v>0.05</v>
      </c>
      <c r="V163">
        <f t="shared" ca="1" si="50"/>
        <v>0.30000000000000004</v>
      </c>
      <c r="W163">
        <f t="shared" ca="1" si="51"/>
        <v>4.9180327868852472E-2</v>
      </c>
      <c r="X163">
        <f t="shared" ca="1" si="52"/>
        <v>169.99999999999997</v>
      </c>
      <c r="Y163">
        <f t="shared" ca="1" si="53"/>
        <v>634.322</v>
      </c>
      <c r="Z163">
        <f t="shared" ca="1" si="54"/>
        <v>2107.3087482161054</v>
      </c>
      <c r="AA163">
        <f t="shared" ca="1" si="55"/>
        <v>360.87638854062874</v>
      </c>
      <c r="AB163">
        <f t="shared" ca="1" si="56"/>
        <v>360.87438854062839</v>
      </c>
      <c r="AC163">
        <f t="shared" ca="1" si="57"/>
        <v>0</v>
      </c>
      <c r="AD163">
        <f ca="1">IF(V32="Supercritical",L163,U163)</f>
        <v>0.05</v>
      </c>
      <c r="AE163">
        <f t="shared" ca="1" si="58"/>
        <v>634.322</v>
      </c>
      <c r="AF163">
        <f t="shared" ca="1" si="59"/>
        <v>2107.3087482161054</v>
      </c>
      <c r="AI163">
        <v>0</v>
      </c>
      <c r="AJ163">
        <v>0</v>
      </c>
      <c r="AK163">
        <f t="shared" si="60"/>
        <v>0</v>
      </c>
      <c r="AL163">
        <f t="shared" si="68"/>
        <v>0</v>
      </c>
      <c r="AM163">
        <f t="shared" ca="1" si="61"/>
        <v>242.73333089760089</v>
      </c>
      <c r="AN163" t="str">
        <f t="shared" ca="1" si="62"/>
        <v>Supercritical</v>
      </c>
      <c r="AO163">
        <f ca="1">IF(V32="Supercritical",R163,AA163)</f>
        <v>360.87638854062874</v>
      </c>
    </row>
    <row r="164" spans="1:41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174</v>
      </c>
      <c r="I164">
        <v>0</v>
      </c>
      <c r="J164">
        <f t="shared" si="63"/>
        <v>1</v>
      </c>
      <c r="K164">
        <f t="shared" si="64"/>
        <v>51</v>
      </c>
      <c r="L164">
        <f t="shared" ca="1" si="65"/>
        <v>38818.065646123105</v>
      </c>
      <c r="M164">
        <f t="shared" ca="1" si="43"/>
        <v>232908.39387673861</v>
      </c>
      <c r="N164">
        <f t="shared" ca="1" si="44"/>
        <v>2.9997681671059202</v>
      </c>
      <c r="O164">
        <f t="shared" ca="1" si="45"/>
        <v>2.1897021035227512E-4</v>
      </c>
      <c r="P164">
        <f t="shared" ca="1" si="46"/>
        <v>39452.335646123101</v>
      </c>
      <c r="Q164">
        <f t="shared" ca="1" si="47"/>
        <v>39452.335646125546</v>
      </c>
      <c r="R164">
        <f t="shared" ca="1" si="48"/>
        <v>2.4936509703345436E-12</v>
      </c>
      <c r="S164">
        <f t="shared" ca="1" si="66"/>
        <v>9.7745230596046895E-4</v>
      </c>
      <c r="T164">
        <f t="shared" ca="1" si="67"/>
        <v>1</v>
      </c>
      <c r="U164">
        <f t="shared" ca="1" si="49"/>
        <v>0.05</v>
      </c>
      <c r="V164">
        <f t="shared" ca="1" si="50"/>
        <v>0.30000000000000004</v>
      </c>
      <c r="W164">
        <f t="shared" ca="1" si="51"/>
        <v>4.9180327868852472E-2</v>
      </c>
      <c r="X164">
        <f t="shared" ca="1" si="52"/>
        <v>169.99999999999997</v>
      </c>
      <c r="Y164">
        <f t="shared" ca="1" si="53"/>
        <v>634.31999999999994</v>
      </c>
      <c r="Z164">
        <f t="shared" ca="1" si="54"/>
        <v>2107.306748216105</v>
      </c>
      <c r="AA164">
        <f t="shared" ca="1" si="55"/>
        <v>360.87638854062874</v>
      </c>
      <c r="AB164">
        <f t="shared" ca="1" si="56"/>
        <v>361.00695734796864</v>
      </c>
      <c r="AC164">
        <f t="shared" ca="1" si="57"/>
        <v>0</v>
      </c>
      <c r="AD164">
        <f ca="1">IF(V32="Supercritical",L164,U164)</f>
        <v>0.05</v>
      </c>
      <c r="AE164">
        <f t="shared" ca="1" si="58"/>
        <v>634.31999999999994</v>
      </c>
      <c r="AF164">
        <f t="shared" ca="1" si="59"/>
        <v>2107.306748216105</v>
      </c>
      <c r="AI164">
        <v>0</v>
      </c>
      <c r="AJ164">
        <v>0</v>
      </c>
      <c r="AK164">
        <f t="shared" si="60"/>
        <v>0</v>
      </c>
      <c r="AL164">
        <f t="shared" si="68"/>
        <v>0</v>
      </c>
      <c r="AM164">
        <f t="shared" ca="1" si="61"/>
        <v>242.73333089760089</v>
      </c>
      <c r="AN164" t="str">
        <f t="shared" ca="1" si="62"/>
        <v>Supercritical</v>
      </c>
      <c r="AO164">
        <f ca="1">IF(V32="Supercritical",R164,AA164)</f>
        <v>360.87638854062874</v>
      </c>
    </row>
    <row r="165" spans="1:41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174</v>
      </c>
      <c r="I165">
        <v>5.3999999999999999E-2</v>
      </c>
      <c r="J165">
        <f t="shared" si="63"/>
        <v>1</v>
      </c>
      <c r="K165">
        <f t="shared" si="64"/>
        <v>51</v>
      </c>
      <c r="L165">
        <f t="shared" ca="1" si="65"/>
        <v>38818.066668670792</v>
      </c>
      <c r="M165">
        <f t="shared" ca="1" si="43"/>
        <v>232908.40001202474</v>
      </c>
      <c r="N165">
        <f t="shared" ca="1" si="44"/>
        <v>2.9997681671120264</v>
      </c>
      <c r="O165">
        <f t="shared" ca="1" si="45"/>
        <v>2.1897020458414956E-4</v>
      </c>
      <c r="P165">
        <f t="shared" ca="1" si="46"/>
        <v>39452.334668670796</v>
      </c>
      <c r="Q165">
        <f t="shared" ca="1" si="47"/>
        <v>39452.33466867324</v>
      </c>
      <c r="R165">
        <f t="shared" ca="1" si="48"/>
        <v>2.4936508389519892E-12</v>
      </c>
      <c r="S165">
        <f t="shared" ca="1" si="66"/>
        <v>9.7745230596046895E-4</v>
      </c>
      <c r="T165">
        <f t="shared" ca="1" si="67"/>
        <v>1</v>
      </c>
      <c r="U165">
        <f t="shared" ca="1" si="49"/>
        <v>0.05</v>
      </c>
      <c r="V165">
        <f t="shared" ca="1" si="50"/>
        <v>0.30000000000000004</v>
      </c>
      <c r="W165">
        <f t="shared" ca="1" si="51"/>
        <v>4.9180327868852472E-2</v>
      </c>
      <c r="X165">
        <f t="shared" ca="1" si="52"/>
        <v>169.99999999999997</v>
      </c>
      <c r="Y165">
        <f t="shared" ca="1" si="53"/>
        <v>634.31799999999998</v>
      </c>
      <c r="Z165">
        <f t="shared" ca="1" si="54"/>
        <v>2107.3047482161055</v>
      </c>
      <c r="AA165">
        <f t="shared" ca="1" si="55"/>
        <v>360.87638854062874</v>
      </c>
      <c r="AB165">
        <f t="shared" ca="1" si="56"/>
        <v>361.00695734796773</v>
      </c>
      <c r="AC165">
        <f t="shared" ca="1" si="57"/>
        <v>0</v>
      </c>
      <c r="AD165">
        <f ca="1">IF(V32="Supercritical",L165,U165)</f>
        <v>0.05</v>
      </c>
      <c r="AE165">
        <f t="shared" ca="1" si="58"/>
        <v>634.31799999999998</v>
      </c>
      <c r="AF165">
        <f t="shared" ca="1" si="59"/>
        <v>2107.3047482161055</v>
      </c>
      <c r="AI165">
        <v>0</v>
      </c>
      <c r="AJ165">
        <v>0</v>
      </c>
      <c r="AK165">
        <f t="shared" si="60"/>
        <v>0</v>
      </c>
      <c r="AL165">
        <f t="shared" si="68"/>
        <v>0</v>
      </c>
      <c r="AM165">
        <f t="shared" ca="1" si="61"/>
        <v>242.73333089760089</v>
      </c>
      <c r="AN165" t="str">
        <f t="shared" ca="1" si="62"/>
        <v>Supercritical</v>
      </c>
      <c r="AO165">
        <f ca="1">IF(V32="Supercritical",R165,AA165)</f>
        <v>360.87638854062874</v>
      </c>
    </row>
    <row r="166" spans="1:41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174</v>
      </c>
      <c r="I166">
        <v>5.3999999999999999E-2</v>
      </c>
      <c r="J166">
        <f t="shared" si="63"/>
        <v>1</v>
      </c>
      <c r="K166">
        <f t="shared" si="64"/>
        <v>51</v>
      </c>
      <c r="L166">
        <f t="shared" ca="1" si="65"/>
        <v>38818.067691218486</v>
      </c>
      <c r="M166">
        <f t="shared" ca="1" si="43"/>
        <v>232908.40614731092</v>
      </c>
      <c r="N166">
        <f t="shared" ca="1" si="44"/>
        <v>2.9997681671181331</v>
      </c>
      <c r="O166">
        <f t="shared" ca="1" si="45"/>
        <v>2.1897019881602427E-4</v>
      </c>
      <c r="P166">
        <f t="shared" ca="1" si="46"/>
        <v>39452.33369121849</v>
      </c>
      <c r="Q166">
        <f t="shared" ca="1" si="47"/>
        <v>39452.333691220934</v>
      </c>
      <c r="R166">
        <f t="shared" ca="1" si="48"/>
        <v>2.4936507075694449E-12</v>
      </c>
      <c r="S166">
        <f t="shared" ca="1" si="66"/>
        <v>9.7745230596046895E-4</v>
      </c>
      <c r="T166">
        <f t="shared" ca="1" si="67"/>
        <v>1</v>
      </c>
      <c r="U166">
        <f t="shared" ca="1" si="49"/>
        <v>0.05</v>
      </c>
      <c r="V166">
        <f t="shared" ca="1" si="50"/>
        <v>0.30000000000000004</v>
      </c>
      <c r="W166">
        <f t="shared" ca="1" si="51"/>
        <v>4.9180327868852472E-2</v>
      </c>
      <c r="X166">
        <f t="shared" ca="1" si="52"/>
        <v>169.99999999999997</v>
      </c>
      <c r="Y166">
        <f t="shared" ca="1" si="53"/>
        <v>634.31599999999992</v>
      </c>
      <c r="Z166">
        <f t="shared" ca="1" si="54"/>
        <v>2107.3027482161051</v>
      </c>
      <c r="AA166">
        <f t="shared" ca="1" si="55"/>
        <v>360.87638854062874</v>
      </c>
      <c r="AB166">
        <f t="shared" ca="1" si="56"/>
        <v>360.87438854062884</v>
      </c>
      <c r="AC166">
        <f t="shared" ca="1" si="57"/>
        <v>0</v>
      </c>
      <c r="AD166">
        <f ca="1">IF(V32="Supercritical",L166,U166)</f>
        <v>0.05</v>
      </c>
      <c r="AE166">
        <f t="shared" ca="1" si="58"/>
        <v>634.31599999999992</v>
      </c>
      <c r="AF166">
        <f t="shared" ca="1" si="59"/>
        <v>2107.3027482161051</v>
      </c>
      <c r="AI166">
        <v>0</v>
      </c>
      <c r="AJ166">
        <v>0</v>
      </c>
      <c r="AK166">
        <f t="shared" si="60"/>
        <v>0</v>
      </c>
      <c r="AL166">
        <f t="shared" si="68"/>
        <v>0</v>
      </c>
      <c r="AM166">
        <f t="shared" ca="1" si="61"/>
        <v>242.73333089760089</v>
      </c>
      <c r="AN166" t="str">
        <f t="shared" ca="1" si="62"/>
        <v>Supercritical</v>
      </c>
      <c r="AO166">
        <f ca="1">IF(V32="Supercritical",R166,AA166)</f>
        <v>360.87638854062874</v>
      </c>
    </row>
    <row r="167" spans="1:41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174</v>
      </c>
      <c r="I167">
        <v>0</v>
      </c>
      <c r="J167">
        <f t="shared" si="63"/>
        <v>1</v>
      </c>
      <c r="K167">
        <f t="shared" si="64"/>
        <v>51</v>
      </c>
      <c r="L167">
        <f t="shared" ca="1" si="65"/>
        <v>38818.068713766181</v>
      </c>
      <c r="M167">
        <f t="shared" ca="1" si="43"/>
        <v>232908.4122825971</v>
      </c>
      <c r="N167">
        <f t="shared" ca="1" si="44"/>
        <v>2.9997681671242398</v>
      </c>
      <c r="O167">
        <f t="shared" ca="1" si="45"/>
        <v>2.1897019304789928E-4</v>
      </c>
      <c r="P167">
        <f t="shared" ca="1" si="46"/>
        <v>39452.332713766184</v>
      </c>
      <c r="Q167">
        <f t="shared" ca="1" si="47"/>
        <v>39452.332713768628</v>
      </c>
      <c r="R167">
        <f t="shared" ca="1" si="48"/>
        <v>2.4936505761869104E-12</v>
      </c>
      <c r="S167">
        <f t="shared" ca="1" si="66"/>
        <v>9.7745230596046895E-4</v>
      </c>
      <c r="T167">
        <f t="shared" ca="1" si="67"/>
        <v>1</v>
      </c>
      <c r="U167">
        <f t="shared" ca="1" si="49"/>
        <v>0.05</v>
      </c>
      <c r="V167">
        <f t="shared" ca="1" si="50"/>
        <v>0.30000000000000004</v>
      </c>
      <c r="W167">
        <f t="shared" ca="1" si="51"/>
        <v>4.9180327868852472E-2</v>
      </c>
      <c r="X167">
        <f t="shared" ca="1" si="52"/>
        <v>169.99999999999997</v>
      </c>
      <c r="Y167">
        <f t="shared" ca="1" si="53"/>
        <v>634.31399999999996</v>
      </c>
      <c r="Z167">
        <f t="shared" ca="1" si="54"/>
        <v>2107.3007482161051</v>
      </c>
      <c r="AA167">
        <f t="shared" ca="1" si="55"/>
        <v>360.87638854062874</v>
      </c>
      <c r="AB167">
        <f t="shared" ca="1" si="56"/>
        <v>388.65246363407095</v>
      </c>
      <c r="AC167">
        <f t="shared" ca="1" si="57"/>
        <v>0</v>
      </c>
      <c r="AD167">
        <f ca="1">IF(V32="Supercritical",L167,U167)</f>
        <v>0.05</v>
      </c>
      <c r="AE167">
        <f t="shared" ca="1" si="58"/>
        <v>634.31399999999996</v>
      </c>
      <c r="AF167">
        <f t="shared" ca="1" si="59"/>
        <v>2107.3007482161051</v>
      </c>
      <c r="AI167">
        <v>0</v>
      </c>
      <c r="AJ167">
        <v>0</v>
      </c>
      <c r="AK167">
        <f t="shared" si="60"/>
        <v>0</v>
      </c>
      <c r="AL167">
        <f t="shared" si="68"/>
        <v>0</v>
      </c>
      <c r="AM167">
        <f t="shared" ca="1" si="61"/>
        <v>242.73333089760089</v>
      </c>
      <c r="AN167" t="str">
        <f t="shared" ca="1" si="62"/>
        <v>Supercritical</v>
      </c>
      <c r="AO167">
        <f ca="1">IF(V32="Supercritical",R167,AA167)</f>
        <v>360.87638854062874</v>
      </c>
    </row>
    <row r="168" spans="1:41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174</v>
      </c>
      <c r="I168">
        <v>11.315</v>
      </c>
      <c r="J168">
        <f t="shared" si="63"/>
        <v>1</v>
      </c>
      <c r="K168">
        <f t="shared" si="64"/>
        <v>51</v>
      </c>
      <c r="L168">
        <f t="shared" ca="1" si="65"/>
        <v>38818.069736313846</v>
      </c>
      <c r="M168">
        <f t="shared" ca="1" si="43"/>
        <v>232908.41841788308</v>
      </c>
      <c r="N168">
        <f t="shared" ca="1" si="44"/>
        <v>2.999768167130346</v>
      </c>
      <c r="O168">
        <f t="shared" ca="1" si="45"/>
        <v>2.1897018727977478E-4</v>
      </c>
      <c r="P168">
        <f t="shared" ca="1" si="46"/>
        <v>39452.331736313849</v>
      </c>
      <c r="Q168">
        <f t="shared" ca="1" si="47"/>
        <v>39452.331736316293</v>
      </c>
      <c r="R168">
        <f t="shared" ca="1" si="48"/>
        <v>2.4936504448043924E-12</v>
      </c>
      <c r="S168">
        <f t="shared" ca="1" si="66"/>
        <v>9.7745229140855372E-4</v>
      </c>
      <c r="T168">
        <f t="shared" ca="1" si="67"/>
        <v>1</v>
      </c>
      <c r="U168">
        <f t="shared" ca="1" si="49"/>
        <v>0.05</v>
      </c>
      <c r="V168">
        <f t="shared" ca="1" si="50"/>
        <v>0.30000000000000004</v>
      </c>
      <c r="W168">
        <f t="shared" ca="1" si="51"/>
        <v>4.9180327868852472E-2</v>
      </c>
      <c r="X168">
        <f t="shared" ca="1" si="52"/>
        <v>169.99999999999997</v>
      </c>
      <c r="Y168">
        <f t="shared" ca="1" si="53"/>
        <v>634.3119999999999</v>
      </c>
      <c r="Z168">
        <f t="shared" ca="1" si="54"/>
        <v>2107.2987482161052</v>
      </c>
      <c r="AA168">
        <f t="shared" ca="1" si="55"/>
        <v>360.87638854062874</v>
      </c>
      <c r="AB168">
        <f t="shared" ca="1" si="56"/>
        <v>278.58728441330004</v>
      </c>
      <c r="AC168">
        <f t="shared" ca="1" si="57"/>
        <v>0</v>
      </c>
      <c r="AD168">
        <f ca="1">IF(V32="Supercritical",L168,U168)</f>
        <v>0.05</v>
      </c>
      <c r="AE168">
        <f t="shared" ca="1" si="58"/>
        <v>634.3119999999999</v>
      </c>
      <c r="AF168">
        <f t="shared" ca="1" si="59"/>
        <v>2107.2987482161052</v>
      </c>
      <c r="AI168">
        <v>0</v>
      </c>
      <c r="AJ168">
        <v>0</v>
      </c>
      <c r="AK168">
        <f t="shared" si="60"/>
        <v>0</v>
      </c>
      <c r="AL168">
        <f t="shared" si="68"/>
        <v>0</v>
      </c>
      <c r="AM168">
        <f t="shared" ca="1" si="61"/>
        <v>242.73333089760089</v>
      </c>
      <c r="AN168" t="str">
        <f t="shared" ca="1" si="62"/>
        <v>Supercritical</v>
      </c>
      <c r="AO168">
        <f ca="1">IF(V32="Supercritical",R168,AA168)</f>
        <v>360.87638854062874</v>
      </c>
    </row>
    <row r="169" spans="1:41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174</v>
      </c>
      <c r="I169">
        <v>6.7839999999999998</v>
      </c>
      <c r="J169">
        <f t="shared" si="63"/>
        <v>0.98900000000000077</v>
      </c>
      <c r="K169">
        <f t="shared" si="64"/>
        <v>51</v>
      </c>
      <c r="L169">
        <f t="shared" ca="1" si="65"/>
        <v>38818.070758861591</v>
      </c>
      <c r="M169">
        <f t="shared" ca="1" si="43"/>
        <v>242612.94224288495</v>
      </c>
      <c r="N169">
        <f t="shared" ca="1" si="44"/>
        <v>3.1247484460535255</v>
      </c>
      <c r="O169">
        <f t="shared" ca="1" si="45"/>
        <v>2.102113742511841E-4</v>
      </c>
      <c r="P169">
        <f t="shared" ca="1" si="46"/>
        <v>39452.330758861593</v>
      </c>
      <c r="Q169">
        <f t="shared" ca="1" si="47"/>
        <v>39452.330758863849</v>
      </c>
      <c r="R169">
        <f t="shared" ca="1" si="48"/>
        <v>2.1764140787124229E-12</v>
      </c>
      <c r="S169">
        <f t="shared" ca="1" si="66"/>
        <v>9.7745235689217225E-4</v>
      </c>
      <c r="T169">
        <f t="shared" ca="1" si="67"/>
        <v>1</v>
      </c>
      <c r="U169">
        <f t="shared" ca="1" si="49"/>
        <v>0.05</v>
      </c>
      <c r="V169">
        <f t="shared" ca="1" si="50"/>
        <v>0.3125</v>
      </c>
      <c r="W169">
        <f t="shared" ca="1" si="51"/>
        <v>4.9212598425196853E-2</v>
      </c>
      <c r="X169">
        <f t="shared" ca="1" si="52"/>
        <v>163.19999999999999</v>
      </c>
      <c r="Y169">
        <f t="shared" ca="1" si="53"/>
        <v>634.30999999999995</v>
      </c>
      <c r="Z169">
        <f t="shared" ca="1" si="54"/>
        <v>1991.8145871559632</v>
      </c>
      <c r="AA169">
        <f t="shared" ca="1" si="55"/>
        <v>332.2929279182236</v>
      </c>
      <c r="AB169">
        <f t="shared" ca="1" si="56"/>
        <v>375.33898055458667</v>
      </c>
      <c r="AC169">
        <f t="shared" ca="1" si="57"/>
        <v>0</v>
      </c>
      <c r="AD169">
        <f ca="1">IF(V32="Supercritical",L169,U169)</f>
        <v>0.05</v>
      </c>
      <c r="AE169">
        <f t="shared" ca="1" si="58"/>
        <v>634.30999999999995</v>
      </c>
      <c r="AF169">
        <f t="shared" ca="1" si="59"/>
        <v>1991.8145871559632</v>
      </c>
      <c r="AI169">
        <v>0</v>
      </c>
      <c r="AJ169">
        <v>0</v>
      </c>
      <c r="AK169">
        <f t="shared" si="60"/>
        <v>0</v>
      </c>
      <c r="AL169">
        <f t="shared" si="68"/>
        <v>0</v>
      </c>
      <c r="AM169">
        <f t="shared" ca="1" si="61"/>
        <v>233.02399766169688</v>
      </c>
      <c r="AN169" t="str">
        <f t="shared" ca="1" si="62"/>
        <v>Supercritical</v>
      </c>
      <c r="AO169">
        <f ca="1">IF(V32="Supercritical",R169,AA169)</f>
        <v>332.2929279182236</v>
      </c>
    </row>
    <row r="170" spans="1:41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174</v>
      </c>
      <c r="I170">
        <v>1.2E-2</v>
      </c>
      <c r="J170">
        <f t="shared" si="63"/>
        <v>0.99899999999999878</v>
      </c>
      <c r="K170">
        <f t="shared" si="64"/>
        <v>51</v>
      </c>
      <c r="L170">
        <f t="shared" ca="1" si="65"/>
        <v>38818.071781409242</v>
      </c>
      <c r="M170">
        <f t="shared" ca="1" si="43"/>
        <v>239507.50289129501</v>
      </c>
      <c r="N170">
        <f t="shared" ca="1" si="44"/>
        <v>3.0847548443738142</v>
      </c>
      <c r="O170">
        <f t="shared" ca="1" si="45"/>
        <v>2.1293696182514714E-4</v>
      </c>
      <c r="P170">
        <f t="shared" ca="1" si="46"/>
        <v>39452.329781409244</v>
      </c>
      <c r="Q170">
        <f t="shared" ca="1" si="47"/>
        <v>39452.329781411558</v>
      </c>
      <c r="R170">
        <f t="shared" ca="1" si="48"/>
        <v>2.2719063118153954E-12</v>
      </c>
      <c r="S170">
        <f t="shared" ca="1" si="66"/>
        <v>9.7745228413259611E-4</v>
      </c>
      <c r="T170">
        <f t="shared" ca="1" si="67"/>
        <v>1</v>
      </c>
      <c r="U170">
        <f t="shared" ca="1" si="49"/>
        <v>0.05</v>
      </c>
      <c r="V170">
        <f t="shared" ca="1" si="50"/>
        <v>0.3085</v>
      </c>
      <c r="W170">
        <f t="shared" ca="1" si="51"/>
        <v>4.9202551834130782E-2</v>
      </c>
      <c r="X170">
        <f t="shared" ca="1" si="52"/>
        <v>165.31604538087521</v>
      </c>
      <c r="Y170">
        <f t="shared" ca="1" si="53"/>
        <v>634.30799999999999</v>
      </c>
      <c r="Z170">
        <f t="shared" ca="1" si="54"/>
        <v>2027.2435178578792</v>
      </c>
      <c r="AA170">
        <f t="shared" ca="1" si="55"/>
        <v>341.05861977371245</v>
      </c>
      <c r="AB170">
        <f t="shared" ca="1" si="56"/>
        <v>379.68571619981662</v>
      </c>
      <c r="AC170">
        <f t="shared" ca="1" si="57"/>
        <v>0</v>
      </c>
      <c r="AD170">
        <f ca="1">IF(V32="Supercritical",L170,U170)</f>
        <v>0.05</v>
      </c>
      <c r="AE170">
        <f t="shared" ca="1" si="58"/>
        <v>634.30799999999999</v>
      </c>
      <c r="AF170">
        <f t="shared" ca="1" si="59"/>
        <v>2027.2435178578792</v>
      </c>
      <c r="AI170">
        <v>0</v>
      </c>
      <c r="AJ170">
        <v>0</v>
      </c>
      <c r="AK170">
        <f t="shared" si="60"/>
        <v>0</v>
      </c>
      <c r="AL170">
        <f t="shared" si="68"/>
        <v>0</v>
      </c>
      <c r="AM170">
        <f t="shared" ca="1" si="61"/>
        <v>236.04537850658116</v>
      </c>
      <c r="AN170" t="str">
        <f t="shared" ca="1" si="62"/>
        <v>Supercritical</v>
      </c>
      <c r="AO170">
        <f ca="1">IF(V32="Supercritical",R170,AA170)</f>
        <v>341.05861977371245</v>
      </c>
    </row>
    <row r="171" spans="1:41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174</v>
      </c>
      <c r="I171">
        <v>3.4000000000000002E-2</v>
      </c>
      <c r="J171">
        <f t="shared" si="63"/>
        <v>1.0010000000000012</v>
      </c>
      <c r="K171">
        <f t="shared" si="64"/>
        <v>51</v>
      </c>
      <c r="L171">
        <f t="shared" ca="1" si="65"/>
        <v>38818.0728039569</v>
      </c>
      <c r="M171">
        <f t="shared" ca="1" si="43"/>
        <v>236867.88024974501</v>
      </c>
      <c r="N171">
        <f t="shared" ca="1" si="44"/>
        <v>3.0507602181470324</v>
      </c>
      <c r="O171">
        <f t="shared" ca="1" si="45"/>
        <v>2.1530990164739697E-4</v>
      </c>
      <c r="P171">
        <f t="shared" ca="1" si="46"/>
        <v>39452.328803956902</v>
      </c>
      <c r="Q171">
        <f t="shared" ca="1" si="47"/>
        <v>39452.328803959266</v>
      </c>
      <c r="R171">
        <f t="shared" ca="1" si="48"/>
        <v>2.3573989757307186E-12</v>
      </c>
      <c r="S171">
        <f t="shared" ca="1" si="66"/>
        <v>9.7745228413259611E-4</v>
      </c>
      <c r="T171">
        <f t="shared" ca="1" si="67"/>
        <v>1</v>
      </c>
      <c r="U171">
        <f t="shared" ca="1" si="49"/>
        <v>0.05</v>
      </c>
      <c r="V171">
        <f t="shared" ca="1" si="50"/>
        <v>0.30510000000000004</v>
      </c>
      <c r="W171">
        <f t="shared" ca="1" si="51"/>
        <v>4.9193808448887461E-2</v>
      </c>
      <c r="X171">
        <f t="shared" ca="1" si="52"/>
        <v>167.15830875122907</v>
      </c>
      <c r="Y171">
        <f t="shared" ca="1" si="53"/>
        <v>634.30599999999993</v>
      </c>
      <c r="Z171">
        <f t="shared" ca="1" si="54"/>
        <v>2058.4599339740685</v>
      </c>
      <c r="AA171">
        <f t="shared" ca="1" si="55"/>
        <v>348.78504938862415</v>
      </c>
      <c r="AB171">
        <f t="shared" ca="1" si="56"/>
        <v>377.81108608774093</v>
      </c>
      <c r="AC171">
        <f t="shared" ca="1" si="57"/>
        <v>0</v>
      </c>
      <c r="AD171">
        <f ca="1">IF(V32="Supercritical",L171,U171)</f>
        <v>0.05</v>
      </c>
      <c r="AE171">
        <f t="shared" ca="1" si="58"/>
        <v>634.30599999999993</v>
      </c>
      <c r="AF171">
        <f t="shared" ca="1" si="59"/>
        <v>2058.4599339740685</v>
      </c>
      <c r="AI171">
        <v>0</v>
      </c>
      <c r="AJ171">
        <v>0</v>
      </c>
      <c r="AK171">
        <f t="shared" si="60"/>
        <v>0</v>
      </c>
      <c r="AL171">
        <f t="shared" si="68"/>
        <v>0</v>
      </c>
      <c r="AM171">
        <f t="shared" ca="1" si="61"/>
        <v>238.67584159056136</v>
      </c>
      <c r="AN171" t="str">
        <f t="shared" ca="1" si="62"/>
        <v>Supercritical</v>
      </c>
      <c r="AO171">
        <f ca="1">IF(V32="Supercritical",R171,AA171)</f>
        <v>348.78504938862415</v>
      </c>
    </row>
    <row r="172" spans="1:41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174</v>
      </c>
      <c r="I172">
        <v>4.5999999999999999E-2</v>
      </c>
      <c r="J172">
        <f t="shared" si="63"/>
        <v>1</v>
      </c>
      <c r="K172">
        <f t="shared" si="64"/>
        <v>51</v>
      </c>
      <c r="L172">
        <f t="shared" ca="1" si="65"/>
        <v>38818.073826504566</v>
      </c>
      <c r="M172">
        <f t="shared" ca="1" si="43"/>
        <v>234926.98279800563</v>
      </c>
      <c r="N172">
        <f t="shared" ca="1" si="44"/>
        <v>3.0257641314635362</v>
      </c>
      <c r="O172">
        <f t="shared" ca="1" si="45"/>
        <v>2.1708872855976148E-4</v>
      </c>
      <c r="P172">
        <f t="shared" ca="1" si="46"/>
        <v>39452.327826504566</v>
      </c>
      <c r="Q172">
        <f t="shared" ca="1" si="47"/>
        <v>39452.327826506968</v>
      </c>
      <c r="R172">
        <f t="shared" ca="1" si="48"/>
        <v>2.4229454759732569E-12</v>
      </c>
      <c r="S172">
        <f t="shared" ca="1" si="66"/>
        <v>9.7745229140855372E-4</v>
      </c>
      <c r="T172">
        <f t="shared" ca="1" si="67"/>
        <v>1</v>
      </c>
      <c r="U172">
        <f t="shared" ca="1" si="49"/>
        <v>0.05</v>
      </c>
      <c r="V172">
        <f t="shared" ca="1" si="50"/>
        <v>0.30259999999999998</v>
      </c>
      <c r="W172">
        <f t="shared" ca="1" si="51"/>
        <v>4.9187256176853059E-2</v>
      </c>
      <c r="X172">
        <f t="shared" ca="1" si="52"/>
        <v>168.53932584269663</v>
      </c>
      <c r="Y172">
        <f t="shared" ca="1" si="53"/>
        <v>634.30399999999997</v>
      </c>
      <c r="Z172">
        <f t="shared" ca="1" si="54"/>
        <v>2082.0870966111452</v>
      </c>
      <c r="AA172">
        <f t="shared" ca="1" si="55"/>
        <v>354.63497157714261</v>
      </c>
      <c r="AB172">
        <f t="shared" ca="1" si="56"/>
        <v>373.19233377892397</v>
      </c>
      <c r="AC172">
        <f t="shared" ca="1" si="57"/>
        <v>0</v>
      </c>
      <c r="AD172">
        <f ca="1">IF(V32="Supercritical",L172,U172)</f>
        <v>0.05</v>
      </c>
      <c r="AE172">
        <f t="shared" ca="1" si="58"/>
        <v>634.30399999999997</v>
      </c>
      <c r="AF172">
        <f t="shared" ca="1" si="59"/>
        <v>2082.0870966111452</v>
      </c>
      <c r="AI172">
        <v>0</v>
      </c>
      <c r="AJ172">
        <v>0</v>
      </c>
      <c r="AK172">
        <f t="shared" si="60"/>
        <v>0</v>
      </c>
      <c r="AL172">
        <f t="shared" si="68"/>
        <v>0</v>
      </c>
      <c r="AM172">
        <f t="shared" ca="1" si="61"/>
        <v>240.64771734725804</v>
      </c>
      <c r="AN172" t="str">
        <f t="shared" ca="1" si="62"/>
        <v>Supercritical</v>
      </c>
      <c r="AO172">
        <f ca="1">IF(V32="Supercritical",R172,AA172)</f>
        <v>354.63497157714261</v>
      </c>
    </row>
    <row r="173" spans="1:41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174</v>
      </c>
      <c r="I173">
        <v>1.2E-2</v>
      </c>
      <c r="J173">
        <f t="shared" si="63"/>
        <v>0.99899999999999878</v>
      </c>
      <c r="K173">
        <f t="shared" si="64"/>
        <v>51</v>
      </c>
      <c r="L173">
        <f t="shared" ca="1" si="65"/>
        <v>38818.074849052238</v>
      </c>
      <c r="M173">
        <f t="shared" ca="1" si="43"/>
        <v>233684.81059129446</v>
      </c>
      <c r="N173">
        <f t="shared" ca="1" si="44"/>
        <v>3.0097666190928143</v>
      </c>
      <c r="O173">
        <f t="shared" ca="1" si="45"/>
        <v>2.1824268282972397E-4</v>
      </c>
      <c r="P173">
        <f t="shared" ca="1" si="46"/>
        <v>39452.326849052239</v>
      </c>
      <c r="Q173">
        <f t="shared" ca="1" si="47"/>
        <v>39452.326849054669</v>
      </c>
      <c r="R173">
        <f t="shared" ca="1" si="48"/>
        <v>2.4661423431414295E-12</v>
      </c>
      <c r="S173">
        <f t="shared" ca="1" si="66"/>
        <v>9.7745229868451133E-4</v>
      </c>
      <c r="T173">
        <f t="shared" ca="1" si="67"/>
        <v>1</v>
      </c>
      <c r="U173">
        <f t="shared" ca="1" si="49"/>
        <v>0.05</v>
      </c>
      <c r="V173">
        <f t="shared" ca="1" si="50"/>
        <v>0.30099999999999999</v>
      </c>
      <c r="W173">
        <f t="shared" ca="1" si="51"/>
        <v>4.9183006535947718E-2</v>
      </c>
      <c r="X173">
        <f t="shared" ca="1" si="52"/>
        <v>169.43521594684387</v>
      </c>
      <c r="Y173">
        <f t="shared" ca="1" si="53"/>
        <v>634.30199999999991</v>
      </c>
      <c r="Z173">
        <f t="shared" ca="1" si="54"/>
        <v>2097.5177188049752</v>
      </c>
      <c r="AA173">
        <f t="shared" ca="1" si="55"/>
        <v>358.45648998709214</v>
      </c>
      <c r="AB173">
        <f t="shared" ca="1" si="56"/>
        <v>369.60036082487113</v>
      </c>
      <c r="AC173">
        <f t="shared" ca="1" si="57"/>
        <v>0</v>
      </c>
      <c r="AD173">
        <f ca="1">IF(V32="Supercritical",L173,U173)</f>
        <v>0.05</v>
      </c>
      <c r="AE173">
        <f t="shared" ca="1" si="58"/>
        <v>634.30199999999991</v>
      </c>
      <c r="AF173">
        <f t="shared" ca="1" si="59"/>
        <v>2097.5177188049752</v>
      </c>
      <c r="AI173">
        <v>0</v>
      </c>
      <c r="AJ173">
        <v>0</v>
      </c>
      <c r="AK173">
        <f t="shared" si="60"/>
        <v>0</v>
      </c>
      <c r="AL173">
        <f t="shared" si="68"/>
        <v>0</v>
      </c>
      <c r="AM173">
        <f t="shared" ca="1" si="61"/>
        <v>241.92690787136308</v>
      </c>
      <c r="AN173" t="str">
        <f t="shared" ca="1" si="62"/>
        <v>Supercritical</v>
      </c>
      <c r="AO173">
        <f ca="1">IF(V32="Supercritical",R173,AA173)</f>
        <v>358.45648998709214</v>
      </c>
    </row>
    <row r="174" spans="1:41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174</v>
      </c>
      <c r="I174">
        <v>1.2E-2</v>
      </c>
      <c r="J174">
        <f t="shared" si="63"/>
        <v>1.0010000000000012</v>
      </c>
      <c r="K174">
        <f t="shared" si="64"/>
        <v>51</v>
      </c>
      <c r="L174">
        <f t="shared" ca="1" si="65"/>
        <v>38818.075871599925</v>
      </c>
      <c r="M174">
        <f t="shared" ca="1" si="43"/>
        <v>232986.09138134273</v>
      </c>
      <c r="N174">
        <f t="shared" ca="1" si="44"/>
        <v>3.0007680125919798</v>
      </c>
      <c r="O174">
        <f t="shared" ca="1" si="45"/>
        <v>2.1889718694205289E-4</v>
      </c>
      <c r="P174">
        <f t="shared" ca="1" si="46"/>
        <v>39452.325871599925</v>
      </c>
      <c r="Q174">
        <f t="shared" ca="1" si="47"/>
        <v>39452.32587160237</v>
      </c>
      <c r="R174">
        <f t="shared" ca="1" si="48"/>
        <v>2.4908810201114136E-12</v>
      </c>
      <c r="S174">
        <f t="shared" ca="1" si="66"/>
        <v>9.7745229868451133E-4</v>
      </c>
      <c r="T174">
        <f t="shared" ca="1" si="67"/>
        <v>1</v>
      </c>
      <c r="U174">
        <f t="shared" ca="1" si="49"/>
        <v>0.05</v>
      </c>
      <c r="V174">
        <f t="shared" ca="1" si="50"/>
        <v>0.30010000000000003</v>
      </c>
      <c r="W174">
        <f t="shared" ca="1" si="51"/>
        <v>4.918059652572928E-2</v>
      </c>
      <c r="X174">
        <f t="shared" ca="1" si="52"/>
        <v>169.943352215928</v>
      </c>
      <c r="Y174">
        <f t="shared" ca="1" si="53"/>
        <v>634.29999999999995</v>
      </c>
      <c r="Z174">
        <f t="shared" ca="1" si="54"/>
        <v>2106.3052478280815</v>
      </c>
      <c r="AA174">
        <f t="shared" ca="1" si="55"/>
        <v>360.6332978141017</v>
      </c>
      <c r="AB174">
        <f t="shared" ca="1" si="56"/>
        <v>360.7441515497685</v>
      </c>
      <c r="AC174">
        <f t="shared" ca="1" si="57"/>
        <v>0</v>
      </c>
      <c r="AD174">
        <f ca="1">IF(V32="Supercritical",L174,U174)</f>
        <v>0.05</v>
      </c>
      <c r="AE174">
        <f t="shared" ca="1" si="58"/>
        <v>634.29999999999995</v>
      </c>
      <c r="AF174">
        <f t="shared" ca="1" si="59"/>
        <v>2106.3052478280815</v>
      </c>
      <c r="AI174">
        <v>0</v>
      </c>
      <c r="AJ174">
        <v>0</v>
      </c>
      <c r="AK174">
        <f t="shared" si="60"/>
        <v>0</v>
      </c>
      <c r="AL174">
        <f t="shared" si="68"/>
        <v>0</v>
      </c>
      <c r="AM174">
        <f t="shared" ca="1" si="61"/>
        <v>242.6524467486847</v>
      </c>
      <c r="AN174" t="str">
        <f t="shared" ca="1" si="62"/>
        <v>Supercritical</v>
      </c>
      <c r="AO174">
        <f ca="1">IF(V32="Supercritical",R174,AA174)</f>
        <v>360.6332978141017</v>
      </c>
    </row>
    <row r="175" spans="1:41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174</v>
      </c>
      <c r="I175">
        <v>4.5999999999999999E-2</v>
      </c>
      <c r="J175">
        <f t="shared" si="63"/>
        <v>1</v>
      </c>
      <c r="K175">
        <f t="shared" si="64"/>
        <v>51</v>
      </c>
      <c r="L175">
        <f t="shared" ca="1" si="65"/>
        <v>38818.07689414762</v>
      </c>
      <c r="M175">
        <f t="shared" ca="1" si="43"/>
        <v>232986.09751867401</v>
      </c>
      <c r="N175">
        <f t="shared" ca="1" si="44"/>
        <v>3.0007680125980905</v>
      </c>
      <c r="O175">
        <f t="shared" ca="1" si="45"/>
        <v>2.1889718117585241E-4</v>
      </c>
      <c r="P175">
        <f t="shared" ca="1" si="46"/>
        <v>39452.324894147619</v>
      </c>
      <c r="Q175">
        <f t="shared" ca="1" si="47"/>
        <v>39452.324894150064</v>
      </c>
      <c r="R175">
        <f t="shared" ca="1" si="48"/>
        <v>2.4908808888748304E-12</v>
      </c>
      <c r="S175">
        <f t="shared" ca="1" si="66"/>
        <v>9.7745230596046895E-4</v>
      </c>
      <c r="T175">
        <f t="shared" ca="1" si="67"/>
        <v>1</v>
      </c>
      <c r="U175">
        <f t="shared" ca="1" si="49"/>
        <v>0.05</v>
      </c>
      <c r="V175">
        <f t="shared" ca="1" si="50"/>
        <v>0.30010000000000003</v>
      </c>
      <c r="W175">
        <f t="shared" ca="1" si="51"/>
        <v>4.918059652572928E-2</v>
      </c>
      <c r="X175">
        <f t="shared" ca="1" si="52"/>
        <v>169.943352215928</v>
      </c>
      <c r="Y175">
        <f t="shared" ca="1" si="53"/>
        <v>634.298</v>
      </c>
      <c r="Z175">
        <f t="shared" ca="1" si="54"/>
        <v>2106.3032478280816</v>
      </c>
      <c r="AA175">
        <f t="shared" ca="1" si="55"/>
        <v>360.6332978141017</v>
      </c>
      <c r="AB175">
        <f t="shared" ca="1" si="56"/>
        <v>355.18999403462658</v>
      </c>
      <c r="AC175">
        <f t="shared" ca="1" si="57"/>
        <v>0</v>
      </c>
      <c r="AD175">
        <f ca="1">IF(V32="Supercritical",L175,U175)</f>
        <v>0.05</v>
      </c>
      <c r="AE175">
        <f t="shared" ca="1" si="58"/>
        <v>634.298</v>
      </c>
      <c r="AF175">
        <f t="shared" ca="1" si="59"/>
        <v>2106.3032478280816</v>
      </c>
      <c r="AI175">
        <v>0</v>
      </c>
      <c r="AJ175">
        <v>0</v>
      </c>
      <c r="AK175">
        <f t="shared" si="60"/>
        <v>0</v>
      </c>
      <c r="AL175">
        <f t="shared" si="68"/>
        <v>0</v>
      </c>
      <c r="AM175">
        <f t="shared" ca="1" si="61"/>
        <v>242.6524467486847</v>
      </c>
      <c r="AN175" t="str">
        <f t="shared" ca="1" si="62"/>
        <v>Supercritical</v>
      </c>
      <c r="AO175">
        <f ca="1">IF(V32="Supercritical",R175,AA175)</f>
        <v>360.6332978141017</v>
      </c>
    </row>
    <row r="176" spans="1:41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174</v>
      </c>
      <c r="I176">
        <v>0.08</v>
      </c>
      <c r="J176">
        <f t="shared" si="63"/>
        <v>1</v>
      </c>
      <c r="K176">
        <f t="shared" si="64"/>
        <v>51</v>
      </c>
      <c r="L176">
        <f t="shared" ca="1" si="65"/>
        <v>38818.077916695314</v>
      </c>
      <c r="M176">
        <f t="shared" ca="1" si="43"/>
        <v>233529.55674683902</v>
      </c>
      <c r="N176">
        <f t="shared" ca="1" si="44"/>
        <v>3.007766929136928</v>
      </c>
      <c r="O176">
        <f t="shared" ca="1" si="45"/>
        <v>2.1838777373815369E-4</v>
      </c>
      <c r="P176">
        <f t="shared" ca="1" si="46"/>
        <v>39452.323916695314</v>
      </c>
      <c r="Q176">
        <f t="shared" ca="1" si="47"/>
        <v>39452.323916697744</v>
      </c>
      <c r="R176">
        <f t="shared" ca="1" si="48"/>
        <v>2.4716117647867049E-12</v>
      </c>
      <c r="S176">
        <f t="shared" ca="1" si="66"/>
        <v>9.7745231323642656E-4</v>
      </c>
      <c r="T176">
        <f t="shared" ca="1" si="67"/>
        <v>1</v>
      </c>
      <c r="U176">
        <f t="shared" ca="1" si="49"/>
        <v>0.05</v>
      </c>
      <c r="V176">
        <f t="shared" ca="1" si="50"/>
        <v>0.30080000000000001</v>
      </c>
      <c r="W176">
        <f t="shared" ca="1" si="51"/>
        <v>4.9182472204054944E-2</v>
      </c>
      <c r="X176">
        <f t="shared" ca="1" si="52"/>
        <v>169.54787234042553</v>
      </c>
      <c r="Y176">
        <f t="shared" ca="1" si="53"/>
        <v>634.29599999999994</v>
      </c>
      <c r="Z176">
        <f t="shared" ca="1" si="54"/>
        <v>2099.4581312520504</v>
      </c>
      <c r="AA176">
        <f t="shared" ca="1" si="55"/>
        <v>358.93851872884073</v>
      </c>
      <c r="AB176">
        <f t="shared" ca="1" si="56"/>
        <v>347.91372080805286</v>
      </c>
      <c r="AC176">
        <f t="shared" ca="1" si="57"/>
        <v>0</v>
      </c>
      <c r="AD176">
        <f ca="1">IF(V32="Supercritical",L176,U176)</f>
        <v>0.05</v>
      </c>
      <c r="AE176">
        <f t="shared" ca="1" si="58"/>
        <v>634.29599999999994</v>
      </c>
      <c r="AF176">
        <f t="shared" ca="1" si="59"/>
        <v>2099.4581312520504</v>
      </c>
      <c r="AI176">
        <v>0</v>
      </c>
      <c r="AJ176">
        <v>0</v>
      </c>
      <c r="AK176">
        <f t="shared" si="60"/>
        <v>0</v>
      </c>
      <c r="AL176">
        <f t="shared" si="68"/>
        <v>0</v>
      </c>
      <c r="AM176">
        <f t="shared" ca="1" si="61"/>
        <v>242.08776352819243</v>
      </c>
      <c r="AN176" t="str">
        <f t="shared" ca="1" si="62"/>
        <v>Supercritical</v>
      </c>
      <c r="AO176">
        <f ca="1">IF(V32="Supercritical",R176,AA176)</f>
        <v>358.93851872884073</v>
      </c>
    </row>
    <row r="177" spans="1:41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174</v>
      </c>
      <c r="I177">
        <v>0.08</v>
      </c>
      <c r="J177">
        <f t="shared" si="63"/>
        <v>1</v>
      </c>
      <c r="K177">
        <f t="shared" si="64"/>
        <v>51</v>
      </c>
      <c r="L177">
        <f t="shared" ca="1" si="65"/>
        <v>38818.139500095203</v>
      </c>
      <c r="M177">
        <f t="shared" ca="1" si="43"/>
        <v>234616.83513857541</v>
      </c>
      <c r="N177">
        <f t="shared" ca="1" si="44"/>
        <v>3.0217647550035314</v>
      </c>
      <c r="O177">
        <f t="shared" ca="1" si="45"/>
        <v>2.1737570524245234E-4</v>
      </c>
      <c r="P177">
        <f t="shared" ca="1" si="46"/>
        <v>39452.323000095203</v>
      </c>
      <c r="Q177">
        <f t="shared" ca="1" si="47"/>
        <v>39452.323000097611</v>
      </c>
      <c r="R177">
        <f t="shared" ca="1" si="48"/>
        <v>2.4336436758894851E-12</v>
      </c>
      <c r="S177">
        <f t="shared" ca="1" si="66"/>
        <v>9.1660012549255043E-4</v>
      </c>
      <c r="T177">
        <f t="shared" ca="1" si="67"/>
        <v>1</v>
      </c>
      <c r="U177">
        <f t="shared" ca="1" si="49"/>
        <v>0.05</v>
      </c>
      <c r="V177">
        <f t="shared" ca="1" si="50"/>
        <v>0.30220000000000002</v>
      </c>
      <c r="W177">
        <f t="shared" ca="1" si="51"/>
        <v>4.9186197916666674E-2</v>
      </c>
      <c r="X177">
        <f t="shared" ca="1" si="52"/>
        <v>168.76240900066179</v>
      </c>
      <c r="Y177">
        <f t="shared" ca="1" si="53"/>
        <v>634.23349999999994</v>
      </c>
      <c r="Z177">
        <f t="shared" ca="1" si="54"/>
        <v>2085.851781942235</v>
      </c>
      <c r="AA177">
        <f t="shared" ca="1" si="55"/>
        <v>355.58460201933963</v>
      </c>
      <c r="AB177">
        <f t="shared" ca="1" si="56"/>
        <v>337.24979180402352</v>
      </c>
      <c r="AC177">
        <f t="shared" ca="1" si="57"/>
        <v>0</v>
      </c>
      <c r="AD177">
        <f ca="1">IF(V32="Supercritical",L177,U177)</f>
        <v>0.05</v>
      </c>
      <c r="AE177">
        <f t="shared" ca="1" si="58"/>
        <v>634.23349999999994</v>
      </c>
      <c r="AF177">
        <f t="shared" ca="1" si="59"/>
        <v>2085.851781942235</v>
      </c>
      <c r="AI177">
        <v>0</v>
      </c>
      <c r="AJ177">
        <v>0</v>
      </c>
      <c r="AK177">
        <f t="shared" si="60"/>
        <v>0</v>
      </c>
      <c r="AL177">
        <f t="shared" si="68"/>
        <v>0</v>
      </c>
      <c r="AM177">
        <f t="shared" ca="1" si="61"/>
        <v>240.96624510019944</v>
      </c>
      <c r="AN177" t="str">
        <f t="shared" ca="1" si="62"/>
        <v>Supercritical</v>
      </c>
      <c r="AO177">
        <f ca="1">IF(V32="Supercritical",R177,AA177)</f>
        <v>355.58460201933963</v>
      </c>
    </row>
    <row r="178" spans="1:41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174</v>
      </c>
      <c r="I178">
        <v>4.5999999999999999E-2</v>
      </c>
      <c r="J178">
        <f t="shared" si="63"/>
        <v>1</v>
      </c>
      <c r="K178">
        <f t="shared" si="64"/>
        <v>51</v>
      </c>
      <c r="L178">
        <f t="shared" ca="1" si="65"/>
        <v>38818.201083679778</v>
      </c>
      <c r="M178">
        <f t="shared" ca="1" si="43"/>
        <v>236441.66280069354</v>
      </c>
      <c r="N178">
        <f t="shared" ca="1" si="44"/>
        <v>3.0452610826270092</v>
      </c>
      <c r="O178">
        <f t="shared" ca="1" si="45"/>
        <v>2.1569802629492591E-4</v>
      </c>
      <c r="P178">
        <f t="shared" ca="1" si="46"/>
        <v>39452.322083679777</v>
      </c>
      <c r="Q178">
        <f t="shared" ca="1" si="47"/>
        <v>39452.322083682149</v>
      </c>
      <c r="R178">
        <f t="shared" ca="1" si="48"/>
        <v>2.3716038714540919E-12</v>
      </c>
      <c r="S178">
        <f t="shared" ca="1" si="66"/>
        <v>9.1641544713638723E-4</v>
      </c>
      <c r="T178">
        <f t="shared" ca="1" si="67"/>
        <v>1</v>
      </c>
      <c r="U178">
        <f t="shared" ca="1" si="49"/>
        <v>0.05</v>
      </c>
      <c r="V178">
        <f t="shared" ca="1" si="50"/>
        <v>0.30455000000000004</v>
      </c>
      <c r="W178">
        <f t="shared" ca="1" si="51"/>
        <v>4.9192376029720569E-2</v>
      </c>
      <c r="X178">
        <f t="shared" ca="1" si="52"/>
        <v>167.46018716138562</v>
      </c>
      <c r="Y178">
        <f t="shared" ca="1" si="53"/>
        <v>634.17099999999994</v>
      </c>
      <c r="Z178">
        <f t="shared" ca="1" si="54"/>
        <v>2063.473460964643</v>
      </c>
      <c r="AA178">
        <f t="shared" ca="1" si="55"/>
        <v>350.05954948743835</v>
      </c>
      <c r="AB178">
        <f t="shared" ca="1" si="56"/>
        <v>325.32127084941567</v>
      </c>
      <c r="AC178">
        <f t="shared" ca="1" si="57"/>
        <v>0</v>
      </c>
      <c r="AD178">
        <f ca="1">IF(V32="Supercritical",L178,U178)</f>
        <v>0.05</v>
      </c>
      <c r="AE178">
        <f t="shared" ca="1" si="58"/>
        <v>634.17099999999994</v>
      </c>
      <c r="AF178">
        <f t="shared" ca="1" si="59"/>
        <v>2063.473460964643</v>
      </c>
      <c r="AI178">
        <v>0</v>
      </c>
      <c r="AJ178">
        <v>0</v>
      </c>
      <c r="AK178">
        <f t="shared" si="60"/>
        <v>0</v>
      </c>
      <c r="AL178">
        <f t="shared" si="68"/>
        <v>0</v>
      </c>
      <c r="AM178">
        <f t="shared" ca="1" si="61"/>
        <v>239.10687660246353</v>
      </c>
      <c r="AN178" t="str">
        <f t="shared" ca="1" si="62"/>
        <v>Supercritical</v>
      </c>
      <c r="AO178">
        <f ca="1">IF(V32="Supercritical",R178,AA178)</f>
        <v>350.05954948743835</v>
      </c>
    </row>
    <row r="179" spans="1:41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174</v>
      </c>
      <c r="I179">
        <v>1.2E-2</v>
      </c>
      <c r="J179">
        <f t="shared" si="63"/>
        <v>0.99899999999999878</v>
      </c>
      <c r="K179">
        <f t="shared" si="64"/>
        <v>51</v>
      </c>
      <c r="L179">
        <f t="shared" ca="1" si="65"/>
        <v>38818.262667264928</v>
      </c>
      <c r="M179">
        <f t="shared" ca="1" si="43"/>
        <v>238926.40671701563</v>
      </c>
      <c r="N179">
        <f t="shared" ca="1" si="44"/>
        <v>3.0772560360819798</v>
      </c>
      <c r="O179">
        <f t="shared" ca="1" si="45"/>
        <v>2.1345484871584071E-4</v>
      </c>
      <c r="P179">
        <f t="shared" ca="1" si="46"/>
        <v>39452.321167264927</v>
      </c>
      <c r="Q179">
        <f t="shared" ca="1" si="47"/>
        <v>39452.321167267248</v>
      </c>
      <c r="R179">
        <f t="shared" ca="1" si="48"/>
        <v>2.2903915037685621E-12</v>
      </c>
      <c r="S179">
        <f t="shared" ca="1" si="66"/>
        <v>9.1641488688765094E-4</v>
      </c>
      <c r="T179">
        <f t="shared" ca="1" si="67"/>
        <v>1</v>
      </c>
      <c r="U179">
        <f t="shared" ca="1" si="49"/>
        <v>0.05</v>
      </c>
      <c r="V179">
        <f t="shared" ca="1" si="50"/>
        <v>0.30775000000000002</v>
      </c>
      <c r="W179">
        <f t="shared" ca="1" si="51"/>
        <v>4.9200639488409276E-2</v>
      </c>
      <c r="X179">
        <f t="shared" ca="1" si="52"/>
        <v>165.71892770105603</v>
      </c>
      <c r="Y179">
        <f t="shared" ca="1" si="53"/>
        <v>634.10849999999994</v>
      </c>
      <c r="Z179">
        <f t="shared" ca="1" si="54"/>
        <v>2033.8415784091658</v>
      </c>
      <c r="AA179">
        <f t="shared" ca="1" si="55"/>
        <v>342.74075599610666</v>
      </c>
      <c r="AB179">
        <f t="shared" ca="1" si="56"/>
        <v>320.71075966742546</v>
      </c>
      <c r="AC179">
        <f t="shared" ca="1" si="57"/>
        <v>0</v>
      </c>
      <c r="AD179">
        <f ca="1">IF(V32="Supercritical",L179,U179)</f>
        <v>0.05</v>
      </c>
      <c r="AE179">
        <f t="shared" ca="1" si="58"/>
        <v>634.10849999999994</v>
      </c>
      <c r="AF179">
        <f t="shared" ca="1" si="59"/>
        <v>2033.8415784091658</v>
      </c>
      <c r="AI179">
        <v>0</v>
      </c>
      <c r="AJ179">
        <v>0</v>
      </c>
      <c r="AK179">
        <f t="shared" si="60"/>
        <v>0</v>
      </c>
      <c r="AL179">
        <f t="shared" si="68"/>
        <v>0</v>
      </c>
      <c r="AM179">
        <f t="shared" ca="1" si="61"/>
        <v>236.62063125680024</v>
      </c>
      <c r="AN179" t="str">
        <f t="shared" ca="1" si="62"/>
        <v>Supercritical</v>
      </c>
      <c r="AO179">
        <f ca="1">IF(V32="Supercritical",R179,AA179)</f>
        <v>342.74075599610666</v>
      </c>
    </row>
    <row r="180" spans="1:41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174</v>
      </c>
      <c r="I180">
        <v>3.5030000000000001</v>
      </c>
      <c r="J180">
        <f t="shared" si="63"/>
        <v>1.0010000000000012</v>
      </c>
      <c r="K180">
        <f t="shared" si="64"/>
        <v>51</v>
      </c>
      <c r="L180">
        <f t="shared" ca="1" si="65"/>
        <v>38818.32425085007</v>
      </c>
      <c r="M180">
        <f t="shared" ca="1" si="43"/>
        <v>242148.70667680274</v>
      </c>
      <c r="N180">
        <f t="shared" ca="1" si="44"/>
        <v>3.1187494126908901</v>
      </c>
      <c r="O180">
        <f t="shared" ca="1" si="45"/>
        <v>2.1061438113757918E-4</v>
      </c>
      <c r="P180">
        <f t="shared" ca="1" si="46"/>
        <v>39452.320250850069</v>
      </c>
      <c r="Q180">
        <f t="shared" ca="1" si="47"/>
        <v>39452.320250852332</v>
      </c>
      <c r="R180">
        <f t="shared" ca="1" si="48"/>
        <v>2.190372211656362E-12</v>
      </c>
      <c r="S180">
        <f t="shared" ca="1" si="66"/>
        <v>9.1641488688765094E-4</v>
      </c>
      <c r="T180">
        <f t="shared" ca="1" si="67"/>
        <v>1</v>
      </c>
      <c r="U180">
        <f t="shared" ca="1" si="49"/>
        <v>0.05</v>
      </c>
      <c r="V180">
        <f t="shared" ca="1" si="50"/>
        <v>0.31190000000000007</v>
      </c>
      <c r="W180">
        <f t="shared" ca="1" si="51"/>
        <v>4.9211107604922699E-2</v>
      </c>
      <c r="X180">
        <f t="shared" ca="1" si="52"/>
        <v>163.51394677781337</v>
      </c>
      <c r="Y180">
        <f t="shared" ca="1" si="53"/>
        <v>634.04599999999994</v>
      </c>
      <c r="Z180">
        <f t="shared" ca="1" si="54"/>
        <v>1996.7784562108859</v>
      </c>
      <c r="AA180">
        <f t="shared" ca="1" si="55"/>
        <v>333.58609099045822</v>
      </c>
      <c r="AB180">
        <f t="shared" ca="1" si="56"/>
        <v>501.66462277589244</v>
      </c>
      <c r="AC180">
        <f t="shared" ca="1" si="57"/>
        <v>0</v>
      </c>
      <c r="AD180">
        <f ca="1">IF(V32="Supercritical",L180,U180)</f>
        <v>0.05</v>
      </c>
      <c r="AE180">
        <f t="shared" ca="1" si="58"/>
        <v>634.04599999999994</v>
      </c>
      <c r="AF180">
        <f t="shared" ca="1" si="59"/>
        <v>1996.7784562108859</v>
      </c>
      <c r="AI180">
        <v>0</v>
      </c>
      <c r="AJ180">
        <v>0</v>
      </c>
      <c r="AK180">
        <f t="shared" si="60"/>
        <v>0</v>
      </c>
      <c r="AL180">
        <f t="shared" si="68"/>
        <v>0</v>
      </c>
      <c r="AM180">
        <f t="shared" ca="1" si="61"/>
        <v>233.47226440936285</v>
      </c>
      <c r="AN180" t="str">
        <f t="shared" ca="1" si="62"/>
        <v>Supercritical</v>
      </c>
      <c r="AO180">
        <f ca="1">IF(V32="Supercritical",R180,AA180)</f>
        <v>333.58609099045822</v>
      </c>
    </row>
    <row r="181" spans="1:41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174</v>
      </c>
      <c r="I181">
        <v>14.637</v>
      </c>
      <c r="J181">
        <f t="shared" si="63"/>
        <v>0.99200000000000088</v>
      </c>
      <c r="K181">
        <f t="shared" si="64"/>
        <v>51</v>
      </c>
      <c r="L181">
        <f t="shared" ca="1" si="65"/>
        <v>38818.325279020311</v>
      </c>
      <c r="M181">
        <f t="shared" ca="1" si="43"/>
        <v>232909.95167412187</v>
      </c>
      <c r="N181">
        <f t="shared" ca="1" si="44"/>
        <v>2.9997681686563942</v>
      </c>
      <c r="O181">
        <f t="shared" ca="1" si="45"/>
        <v>2.1896874578960509E-4</v>
      </c>
      <c r="P181">
        <f t="shared" ca="1" si="46"/>
        <v>39452.31927902031</v>
      </c>
      <c r="Q181">
        <f t="shared" ca="1" si="47"/>
        <v>39452.319279022755</v>
      </c>
      <c r="R181">
        <f t="shared" ca="1" si="48"/>
        <v>2.4936176116045829E-12</v>
      </c>
      <c r="S181">
        <f t="shared" ca="1" si="66"/>
        <v>9.718294968479313E-4</v>
      </c>
      <c r="T181">
        <f t="shared" ca="1" si="67"/>
        <v>1</v>
      </c>
      <c r="U181">
        <f t="shared" ca="1" si="49"/>
        <v>0.05</v>
      </c>
      <c r="V181">
        <f t="shared" ca="1" si="50"/>
        <v>0.30000000000000004</v>
      </c>
      <c r="W181">
        <f t="shared" ca="1" si="51"/>
        <v>4.9180327868852472E-2</v>
      </c>
      <c r="X181">
        <f t="shared" ca="1" si="52"/>
        <v>169.99999999999997</v>
      </c>
      <c r="Y181">
        <f t="shared" ca="1" si="53"/>
        <v>634.04399999999998</v>
      </c>
      <c r="Z181">
        <f t="shared" ca="1" si="54"/>
        <v>2107.0307482161052</v>
      </c>
      <c r="AA181">
        <f t="shared" ca="1" si="55"/>
        <v>360.87638854062874</v>
      </c>
      <c r="AB181">
        <f t="shared" ca="1" si="56"/>
        <v>361.07078677372419</v>
      </c>
      <c r="AC181">
        <f t="shared" ca="1" si="57"/>
        <v>0</v>
      </c>
      <c r="AD181">
        <f ca="1">IF(V32="Supercritical",L181,U181)</f>
        <v>0.05</v>
      </c>
      <c r="AE181">
        <f t="shared" ca="1" si="58"/>
        <v>634.04399999999998</v>
      </c>
      <c r="AF181">
        <f t="shared" ca="1" si="59"/>
        <v>2107.0307482161052</v>
      </c>
      <c r="AI181">
        <v>0</v>
      </c>
      <c r="AJ181">
        <v>0</v>
      </c>
      <c r="AK181">
        <f t="shared" si="60"/>
        <v>0</v>
      </c>
      <c r="AL181">
        <f t="shared" si="68"/>
        <v>0</v>
      </c>
      <c r="AM181">
        <f t="shared" ca="1" si="61"/>
        <v>242.73333089760089</v>
      </c>
      <c r="AN181" t="str">
        <f t="shared" ca="1" si="62"/>
        <v>Supercritical</v>
      </c>
      <c r="AO181">
        <f ca="1">IF(V32="Supercritical",R181,AA181)</f>
        <v>360.87638854062874</v>
      </c>
    </row>
    <row r="182" spans="1:41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174</v>
      </c>
      <c r="I182">
        <v>0.08</v>
      </c>
      <c r="J182">
        <f t="shared" si="63"/>
        <v>1</v>
      </c>
      <c r="K182">
        <f t="shared" si="64"/>
        <v>51</v>
      </c>
      <c r="L182">
        <f t="shared" ca="1" si="65"/>
        <v>38818.326302085967</v>
      </c>
      <c r="M182">
        <f t="shared" ca="1" si="43"/>
        <v>232909.95781251579</v>
      </c>
      <c r="N182">
        <f t="shared" ca="1" si="44"/>
        <v>2.9997681686625035</v>
      </c>
      <c r="O182">
        <f t="shared" ca="1" si="45"/>
        <v>2.1896874001863493E-4</v>
      </c>
      <c r="P182">
        <f t="shared" ca="1" si="46"/>
        <v>39452.318302085965</v>
      </c>
      <c r="Q182">
        <f t="shared" ca="1" si="47"/>
        <v>39452.31830208841</v>
      </c>
      <c r="R182">
        <f t="shared" ca="1" si="48"/>
        <v>2.4936174801581171E-12</v>
      </c>
      <c r="S182">
        <f t="shared" ca="1" si="66"/>
        <v>9.7693434508983046E-4</v>
      </c>
      <c r="T182">
        <f t="shared" ca="1" si="67"/>
        <v>1</v>
      </c>
      <c r="U182">
        <f t="shared" ca="1" si="49"/>
        <v>0.05</v>
      </c>
      <c r="V182">
        <f t="shared" ca="1" si="50"/>
        <v>0.30000000000000004</v>
      </c>
      <c r="W182">
        <f t="shared" ca="1" si="51"/>
        <v>4.9180327868852472E-2</v>
      </c>
      <c r="X182">
        <f t="shared" ca="1" si="52"/>
        <v>169.99999999999997</v>
      </c>
      <c r="Y182">
        <f t="shared" ca="1" si="53"/>
        <v>634.04199999999992</v>
      </c>
      <c r="Z182">
        <f t="shared" ca="1" si="54"/>
        <v>2107.0287482161052</v>
      </c>
      <c r="AA182">
        <f t="shared" ca="1" si="55"/>
        <v>360.87638854062874</v>
      </c>
      <c r="AB182">
        <f t="shared" ca="1" si="56"/>
        <v>361.07078677372419</v>
      </c>
      <c r="AC182">
        <f t="shared" ca="1" si="57"/>
        <v>0</v>
      </c>
      <c r="AD182">
        <f ca="1">IF(V32="Supercritical",L182,U182)</f>
        <v>0.05</v>
      </c>
      <c r="AE182">
        <f t="shared" ca="1" si="58"/>
        <v>634.04199999999992</v>
      </c>
      <c r="AF182">
        <f t="shared" ca="1" si="59"/>
        <v>2107.0287482161052</v>
      </c>
      <c r="AI182">
        <v>0</v>
      </c>
      <c r="AJ182">
        <v>0</v>
      </c>
      <c r="AK182">
        <f t="shared" si="60"/>
        <v>0</v>
      </c>
      <c r="AL182">
        <f t="shared" si="68"/>
        <v>0</v>
      </c>
      <c r="AM182">
        <f t="shared" ca="1" si="61"/>
        <v>242.73333089760089</v>
      </c>
      <c r="AN182" t="str">
        <f t="shared" ca="1" si="62"/>
        <v>Supercritical</v>
      </c>
      <c r="AO182">
        <f ca="1">IF(V32="Supercritical",R182,AA182)</f>
        <v>360.87638854062874</v>
      </c>
    </row>
    <row r="183" spans="1:41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174</v>
      </c>
      <c r="I183">
        <v>0.08</v>
      </c>
      <c r="J183">
        <f t="shared" si="63"/>
        <v>1</v>
      </c>
      <c r="K183">
        <f t="shared" si="64"/>
        <v>51</v>
      </c>
      <c r="L183">
        <f t="shared" ca="1" si="65"/>
        <v>38818.327324681377</v>
      </c>
      <c r="M183">
        <f t="shared" ca="1" si="43"/>
        <v>232909.96394808826</v>
      </c>
      <c r="N183">
        <f t="shared" ca="1" si="44"/>
        <v>2.9997681686686102</v>
      </c>
      <c r="O183">
        <f t="shared" ca="1" si="45"/>
        <v>2.1896873425031763E-4</v>
      </c>
      <c r="P183">
        <f t="shared" ca="1" si="46"/>
        <v>39452.317324681375</v>
      </c>
      <c r="Q183">
        <f t="shared" ca="1" si="47"/>
        <v>39452.31732468382</v>
      </c>
      <c r="R183">
        <f t="shared" ca="1" si="48"/>
        <v>2.4936173487720772E-12</v>
      </c>
      <c r="S183">
        <f t="shared" ca="1" si="66"/>
        <v>9.7740459023043513E-4</v>
      </c>
      <c r="T183">
        <f t="shared" ca="1" si="67"/>
        <v>1</v>
      </c>
      <c r="U183">
        <f t="shared" ca="1" si="49"/>
        <v>0.05</v>
      </c>
      <c r="V183">
        <f t="shared" ca="1" si="50"/>
        <v>0.30000000000000004</v>
      </c>
      <c r="W183">
        <f t="shared" ca="1" si="51"/>
        <v>4.9180327868852472E-2</v>
      </c>
      <c r="X183">
        <f t="shared" ca="1" si="52"/>
        <v>169.99999999999997</v>
      </c>
      <c r="Y183">
        <f t="shared" ca="1" si="53"/>
        <v>634.04</v>
      </c>
      <c r="Z183">
        <f t="shared" ca="1" si="54"/>
        <v>2107.0267482161053</v>
      </c>
      <c r="AA183">
        <f t="shared" ca="1" si="55"/>
        <v>360.87638854062874</v>
      </c>
      <c r="AB183">
        <f t="shared" ca="1" si="56"/>
        <v>360.98977250257258</v>
      </c>
      <c r="AC183">
        <f t="shared" ca="1" si="57"/>
        <v>0</v>
      </c>
      <c r="AD183">
        <f ca="1">IF(V32="Supercritical",L183,U183)</f>
        <v>0.05</v>
      </c>
      <c r="AE183">
        <f t="shared" ca="1" si="58"/>
        <v>634.04</v>
      </c>
      <c r="AF183">
        <f t="shared" ca="1" si="59"/>
        <v>2107.0267482161053</v>
      </c>
      <c r="AI183">
        <v>0</v>
      </c>
      <c r="AJ183">
        <v>0</v>
      </c>
      <c r="AK183">
        <f t="shared" si="60"/>
        <v>0</v>
      </c>
      <c r="AL183">
        <f t="shared" si="68"/>
        <v>0</v>
      </c>
      <c r="AM183">
        <f t="shared" ca="1" si="61"/>
        <v>242.73333089760089</v>
      </c>
      <c r="AN183" t="str">
        <f t="shared" ca="1" si="62"/>
        <v>Supercritical</v>
      </c>
      <c r="AO183">
        <f ca="1">IF(V32="Supercritical",R183,AA183)</f>
        <v>360.87638854062874</v>
      </c>
    </row>
    <row r="184" spans="1:41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174</v>
      </c>
      <c r="I184">
        <v>4.7E-2</v>
      </c>
      <c r="J184">
        <f t="shared" si="63"/>
        <v>1</v>
      </c>
      <c r="K184">
        <f t="shared" si="64"/>
        <v>51</v>
      </c>
      <c r="L184">
        <f t="shared" ca="1" si="65"/>
        <v>38818.328347233459</v>
      </c>
      <c r="M184">
        <f t="shared" ca="1" si="43"/>
        <v>232909.97008340075</v>
      </c>
      <c r="N184">
        <f t="shared" ca="1" si="44"/>
        <v>2.9997681686747169</v>
      </c>
      <c r="O184">
        <f t="shared" ca="1" si="45"/>
        <v>2.1896872848224506E-4</v>
      </c>
      <c r="P184">
        <f t="shared" ca="1" si="46"/>
        <v>39452.316347233456</v>
      </c>
      <c r="Q184">
        <f t="shared" ca="1" si="47"/>
        <v>39452.316347235901</v>
      </c>
      <c r="R184">
        <f t="shared" ca="1" si="48"/>
        <v>2.4936172173916162E-12</v>
      </c>
      <c r="S184">
        <f t="shared" ca="1" si="66"/>
        <v>9.774479185580276E-4</v>
      </c>
      <c r="T184">
        <f t="shared" ca="1" si="67"/>
        <v>1</v>
      </c>
      <c r="U184">
        <f t="shared" ca="1" si="49"/>
        <v>0.05</v>
      </c>
      <c r="V184">
        <f t="shared" ca="1" si="50"/>
        <v>0.30000000000000004</v>
      </c>
      <c r="W184">
        <f t="shared" ca="1" si="51"/>
        <v>4.9180327868852472E-2</v>
      </c>
      <c r="X184">
        <f t="shared" ca="1" si="52"/>
        <v>169.99999999999997</v>
      </c>
      <c r="Y184">
        <f t="shared" ca="1" si="53"/>
        <v>634.03800000000001</v>
      </c>
      <c r="Z184">
        <f t="shared" ca="1" si="54"/>
        <v>2107.0247482161053</v>
      </c>
      <c r="AA184">
        <f t="shared" ca="1" si="55"/>
        <v>360.87638854062874</v>
      </c>
      <c r="AB184">
        <f t="shared" ca="1" si="56"/>
        <v>361.26963461996002</v>
      </c>
      <c r="AC184">
        <f t="shared" ca="1" si="57"/>
        <v>0</v>
      </c>
      <c r="AD184">
        <f ca="1">IF(V32="Supercritical",L184,U184)</f>
        <v>0.05</v>
      </c>
      <c r="AE184">
        <f t="shared" ca="1" si="58"/>
        <v>634.03800000000001</v>
      </c>
      <c r="AF184">
        <f t="shared" ca="1" si="59"/>
        <v>2107.0247482161053</v>
      </c>
      <c r="AI184">
        <v>0</v>
      </c>
      <c r="AJ184">
        <v>0</v>
      </c>
      <c r="AK184">
        <f t="shared" si="60"/>
        <v>0</v>
      </c>
      <c r="AL184">
        <f t="shared" si="68"/>
        <v>0</v>
      </c>
      <c r="AM184">
        <f t="shared" ca="1" si="61"/>
        <v>242.73333089760089</v>
      </c>
      <c r="AN184" t="str">
        <f t="shared" ca="1" si="62"/>
        <v>Supercritical</v>
      </c>
      <c r="AO184">
        <f ca="1">IF(V32="Supercritical",R184,AA184)</f>
        <v>360.87638854062874</v>
      </c>
    </row>
    <row r="185" spans="1:41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174</v>
      </c>
      <c r="I185">
        <v>1.4E-2</v>
      </c>
      <c r="J185">
        <f t="shared" si="63"/>
        <v>1.0009999999999977</v>
      </c>
      <c r="K185">
        <f t="shared" si="64"/>
        <v>51</v>
      </c>
      <c r="L185">
        <f t="shared" ca="1" si="65"/>
        <v>38818.329369781561</v>
      </c>
      <c r="M185">
        <f t="shared" ca="1" si="43"/>
        <v>232909.97621868935</v>
      </c>
      <c r="N185">
        <f t="shared" ca="1" si="44"/>
        <v>2.9997681686808226</v>
      </c>
      <c r="O185">
        <f t="shared" ca="1" si="45"/>
        <v>2.1896872271419526E-4</v>
      </c>
      <c r="P185">
        <f t="shared" ca="1" si="46"/>
        <v>39452.315369781558</v>
      </c>
      <c r="Q185">
        <f t="shared" ca="1" si="47"/>
        <v>39452.315369784003</v>
      </c>
      <c r="R185">
        <f t="shared" ca="1" si="48"/>
        <v>2.4936170860116787E-12</v>
      </c>
      <c r="S185">
        <f t="shared" ca="1" si="66"/>
        <v>9.7745189850684255E-4</v>
      </c>
      <c r="T185">
        <f t="shared" ca="1" si="67"/>
        <v>1</v>
      </c>
      <c r="U185">
        <f t="shared" ca="1" si="49"/>
        <v>0.05</v>
      </c>
      <c r="V185">
        <f t="shared" ca="1" si="50"/>
        <v>0.30000000000000004</v>
      </c>
      <c r="W185">
        <f t="shared" ca="1" si="51"/>
        <v>4.9180327868852472E-2</v>
      </c>
      <c r="X185">
        <f t="shared" ca="1" si="52"/>
        <v>169.99999999999997</v>
      </c>
      <c r="Y185">
        <f t="shared" ca="1" si="53"/>
        <v>634.03599999999994</v>
      </c>
      <c r="Z185">
        <f t="shared" ca="1" si="54"/>
        <v>2107.0227482161054</v>
      </c>
      <c r="AA185">
        <f t="shared" ca="1" si="55"/>
        <v>360.87638854062874</v>
      </c>
      <c r="AB185">
        <f t="shared" ca="1" si="56"/>
        <v>360.5340264232409</v>
      </c>
      <c r="AC185">
        <f t="shared" ca="1" si="57"/>
        <v>0</v>
      </c>
      <c r="AD185">
        <f ca="1">IF(V32="Supercritical",L185,U185)</f>
        <v>0.05</v>
      </c>
      <c r="AE185">
        <f t="shared" ca="1" si="58"/>
        <v>634.03599999999994</v>
      </c>
      <c r="AF185">
        <f t="shared" ca="1" si="59"/>
        <v>2107.0227482161054</v>
      </c>
      <c r="AI185">
        <v>0</v>
      </c>
      <c r="AJ185">
        <v>0</v>
      </c>
      <c r="AK185">
        <f t="shared" si="60"/>
        <v>0</v>
      </c>
      <c r="AL185">
        <f t="shared" si="68"/>
        <v>0</v>
      </c>
      <c r="AM185">
        <f t="shared" ca="1" si="61"/>
        <v>242.73333089760089</v>
      </c>
      <c r="AN185" t="str">
        <f t="shared" ca="1" si="62"/>
        <v>Supercritical</v>
      </c>
      <c r="AO185">
        <f ca="1">IF(V32="Supercritical",R185,AA185)</f>
        <v>360.87638854062874</v>
      </c>
    </row>
    <row r="186" spans="1:41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174</v>
      </c>
      <c r="I186">
        <v>3.3000000000000002E-2</v>
      </c>
      <c r="J186">
        <f t="shared" si="63"/>
        <v>0.99900000000000233</v>
      </c>
      <c r="K186">
        <f t="shared" si="64"/>
        <v>51</v>
      </c>
      <c r="L186">
        <f t="shared" ca="1" si="65"/>
        <v>38818.390953181435</v>
      </c>
      <c r="M186">
        <f t="shared" ca="1" si="43"/>
        <v>232910.34571908863</v>
      </c>
      <c r="N186">
        <f t="shared" ca="1" si="44"/>
        <v>2.9997681690485836</v>
      </c>
      <c r="O186">
        <f t="shared" ca="1" si="45"/>
        <v>2.189683753314707E-4</v>
      </c>
      <c r="P186">
        <f t="shared" ca="1" si="46"/>
        <v>39452.314453181432</v>
      </c>
      <c r="Q186">
        <f t="shared" ca="1" si="47"/>
        <v>39452.314453183877</v>
      </c>
      <c r="R186">
        <f t="shared" ca="1" si="48"/>
        <v>2.4936091736173743E-12</v>
      </c>
      <c r="S186">
        <f t="shared" ca="1" si="66"/>
        <v>9.1660012549255043E-4</v>
      </c>
      <c r="T186">
        <f t="shared" ca="1" si="67"/>
        <v>1</v>
      </c>
      <c r="U186">
        <f t="shared" ca="1" si="49"/>
        <v>0.05</v>
      </c>
      <c r="V186">
        <f t="shared" ca="1" si="50"/>
        <v>0.30000000000000004</v>
      </c>
      <c r="W186">
        <f t="shared" ca="1" si="51"/>
        <v>4.9180327868852472E-2</v>
      </c>
      <c r="X186">
        <f t="shared" ca="1" si="52"/>
        <v>169.99999999999997</v>
      </c>
      <c r="Y186">
        <f t="shared" ca="1" si="53"/>
        <v>633.97349999999994</v>
      </c>
      <c r="Z186">
        <f t="shared" ca="1" si="54"/>
        <v>2106.9602482161054</v>
      </c>
      <c r="AA186">
        <f t="shared" ca="1" si="55"/>
        <v>360.87638854062874</v>
      </c>
      <c r="AB186">
        <f t="shared" ca="1" si="56"/>
        <v>361.01028677372415</v>
      </c>
      <c r="AC186">
        <f t="shared" ca="1" si="57"/>
        <v>0</v>
      </c>
      <c r="AD186">
        <f ca="1">IF(V32="Supercritical",L186,U186)</f>
        <v>0.05</v>
      </c>
      <c r="AE186">
        <f t="shared" ca="1" si="58"/>
        <v>633.97349999999994</v>
      </c>
      <c r="AF186">
        <f t="shared" ca="1" si="59"/>
        <v>2106.9602482161054</v>
      </c>
      <c r="AI186">
        <v>0</v>
      </c>
      <c r="AJ186">
        <v>0</v>
      </c>
      <c r="AK186">
        <f t="shared" si="60"/>
        <v>0</v>
      </c>
      <c r="AL186">
        <f t="shared" si="68"/>
        <v>0</v>
      </c>
      <c r="AM186">
        <f t="shared" ca="1" si="61"/>
        <v>242.73333089760089</v>
      </c>
      <c r="AN186" t="str">
        <f t="shared" ca="1" si="62"/>
        <v>Supercritical</v>
      </c>
      <c r="AO186">
        <f ca="1">IF(V32="Supercritical",R186,AA186)</f>
        <v>360.87638854062874</v>
      </c>
    </row>
    <row r="187" spans="1:41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174</v>
      </c>
      <c r="I187">
        <v>0.08</v>
      </c>
      <c r="J187">
        <f t="shared" si="63"/>
        <v>1</v>
      </c>
      <c r="K187">
        <f t="shared" si="64"/>
        <v>51</v>
      </c>
      <c r="L187">
        <f t="shared" ca="1" si="65"/>
        <v>38818.452536765995</v>
      </c>
      <c r="M187">
        <f t="shared" ca="1" si="43"/>
        <v>232910.71522059597</v>
      </c>
      <c r="N187">
        <f t="shared" ca="1" si="44"/>
        <v>2.9997681694163432</v>
      </c>
      <c r="O187">
        <f t="shared" ca="1" si="45"/>
        <v>2.1896802794880662E-4</v>
      </c>
      <c r="P187">
        <f t="shared" ca="1" si="46"/>
        <v>39452.313536765992</v>
      </c>
      <c r="Q187">
        <f t="shared" ca="1" si="47"/>
        <v>39452.313536768437</v>
      </c>
      <c r="R187">
        <f t="shared" ca="1" si="48"/>
        <v>2.4936012612370044E-12</v>
      </c>
      <c r="S187">
        <f t="shared" ca="1" si="66"/>
        <v>9.1641543986042961E-4</v>
      </c>
      <c r="T187">
        <f t="shared" ca="1" si="67"/>
        <v>1</v>
      </c>
      <c r="U187">
        <f t="shared" ca="1" si="49"/>
        <v>0.05</v>
      </c>
      <c r="V187">
        <f t="shared" ca="1" si="50"/>
        <v>0.30000000000000004</v>
      </c>
      <c r="W187">
        <f t="shared" ca="1" si="51"/>
        <v>4.9180327868852472E-2</v>
      </c>
      <c r="X187">
        <f t="shared" ca="1" si="52"/>
        <v>169.99999999999997</v>
      </c>
      <c r="Y187">
        <f t="shared" ca="1" si="53"/>
        <v>633.91099999999994</v>
      </c>
      <c r="Z187">
        <f t="shared" ca="1" si="54"/>
        <v>2106.8977482161054</v>
      </c>
      <c r="AA187">
        <f t="shared" ca="1" si="55"/>
        <v>360.87638854062874</v>
      </c>
      <c r="AB187">
        <f t="shared" ca="1" si="56"/>
        <v>361.01028677372415</v>
      </c>
      <c r="AC187">
        <f t="shared" ca="1" si="57"/>
        <v>0</v>
      </c>
      <c r="AD187">
        <f ca="1">IF(V32="Supercritical",L187,U187)</f>
        <v>0.05</v>
      </c>
      <c r="AE187">
        <f t="shared" ca="1" si="58"/>
        <v>633.91099999999994</v>
      </c>
      <c r="AF187">
        <f t="shared" ca="1" si="59"/>
        <v>2106.8977482161054</v>
      </c>
      <c r="AI187">
        <v>0</v>
      </c>
      <c r="AJ187">
        <v>0</v>
      </c>
      <c r="AK187">
        <f t="shared" si="60"/>
        <v>0</v>
      </c>
      <c r="AL187">
        <f t="shared" si="68"/>
        <v>0</v>
      </c>
      <c r="AM187">
        <f t="shared" ca="1" si="61"/>
        <v>242.73333089760089</v>
      </c>
      <c r="AN187" t="str">
        <f t="shared" ca="1" si="62"/>
        <v>Supercritical</v>
      </c>
      <c r="AO187">
        <f ca="1">IF(V32="Supercritical",R187,AA187)</f>
        <v>360.87638854062874</v>
      </c>
    </row>
    <row r="188" spans="1:41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174</v>
      </c>
      <c r="I188">
        <v>0.08</v>
      </c>
      <c r="J188">
        <f t="shared" si="63"/>
        <v>1</v>
      </c>
      <c r="K188">
        <f t="shared" si="64"/>
        <v>51</v>
      </c>
      <c r="L188">
        <f t="shared" ca="1" si="65"/>
        <v>38818.514120351108</v>
      </c>
      <c r="M188">
        <f t="shared" ca="1" si="43"/>
        <v>232911.08472210664</v>
      </c>
      <c r="N188">
        <f t="shared" ca="1" si="44"/>
        <v>2.9997681697841019</v>
      </c>
      <c r="O188">
        <f t="shared" ca="1" si="45"/>
        <v>2.1896768056724165E-4</v>
      </c>
      <c r="P188">
        <f t="shared" ca="1" si="46"/>
        <v>39452.312620351106</v>
      </c>
      <c r="Q188">
        <f t="shared" ca="1" si="47"/>
        <v>39452.31262035355</v>
      </c>
      <c r="R188">
        <f t="shared" ca="1" si="48"/>
        <v>2.4935933488942215E-12</v>
      </c>
      <c r="S188">
        <f t="shared" ca="1" si="66"/>
        <v>9.1641488688765094E-4</v>
      </c>
      <c r="T188">
        <f t="shared" ca="1" si="67"/>
        <v>1</v>
      </c>
      <c r="U188">
        <f t="shared" ca="1" si="49"/>
        <v>0.05</v>
      </c>
      <c r="V188">
        <f t="shared" ca="1" si="50"/>
        <v>0.30000000000000004</v>
      </c>
      <c r="W188">
        <f t="shared" ca="1" si="51"/>
        <v>4.9180327868852472E-2</v>
      </c>
      <c r="X188">
        <f t="shared" ca="1" si="52"/>
        <v>169.99999999999997</v>
      </c>
      <c r="Y188">
        <f t="shared" ca="1" si="53"/>
        <v>633.84849999999994</v>
      </c>
      <c r="Z188">
        <f t="shared" ca="1" si="54"/>
        <v>2106.8352482161054</v>
      </c>
      <c r="AA188">
        <f t="shared" ca="1" si="55"/>
        <v>360.87638854062874</v>
      </c>
      <c r="AB188">
        <f t="shared" ca="1" si="56"/>
        <v>361.61140121871495</v>
      </c>
      <c r="AC188">
        <f t="shared" ca="1" si="57"/>
        <v>0</v>
      </c>
      <c r="AD188">
        <f ca="1">IF(V32="Supercritical",L188,U188)</f>
        <v>0.05</v>
      </c>
      <c r="AE188">
        <f t="shared" ca="1" si="58"/>
        <v>633.84849999999994</v>
      </c>
      <c r="AF188">
        <f t="shared" ca="1" si="59"/>
        <v>2106.8352482161054</v>
      </c>
      <c r="AI188">
        <v>0</v>
      </c>
      <c r="AJ188">
        <v>0</v>
      </c>
      <c r="AK188">
        <f t="shared" si="60"/>
        <v>0</v>
      </c>
      <c r="AL188">
        <f t="shared" si="68"/>
        <v>0</v>
      </c>
      <c r="AM188">
        <f t="shared" ca="1" si="61"/>
        <v>242.73333089760089</v>
      </c>
      <c r="AN188" t="str">
        <f t="shared" ca="1" si="62"/>
        <v>Supercritical</v>
      </c>
      <c r="AO188">
        <f ca="1">IF(V32="Supercritical",R188,AA188)</f>
        <v>360.87638854062874</v>
      </c>
    </row>
    <row r="189" spans="1:41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174</v>
      </c>
      <c r="I189">
        <v>0.08</v>
      </c>
      <c r="J189">
        <f t="shared" si="63"/>
        <v>1</v>
      </c>
      <c r="K189">
        <f t="shared" si="64"/>
        <v>51</v>
      </c>
      <c r="L189">
        <f t="shared" ca="1" si="65"/>
        <v>38818.575703936222</v>
      </c>
      <c r="M189">
        <f t="shared" ca="1" si="43"/>
        <v>232872.63564791338</v>
      </c>
      <c r="N189">
        <f t="shared" ca="1" si="44"/>
        <v>2.9992682474190513</v>
      </c>
      <c r="O189">
        <f t="shared" ca="1" si="45"/>
        <v>2.190038338257498E-4</v>
      </c>
      <c r="P189">
        <f t="shared" ca="1" si="46"/>
        <v>39452.311703936219</v>
      </c>
      <c r="Q189">
        <f t="shared" ca="1" si="47"/>
        <v>39452.311703938663</v>
      </c>
      <c r="R189">
        <f t="shared" ca="1" si="48"/>
        <v>2.4949712193911517E-12</v>
      </c>
      <c r="S189">
        <f t="shared" ca="1" si="66"/>
        <v>9.1641488688765094E-4</v>
      </c>
      <c r="T189">
        <f t="shared" ca="1" si="67"/>
        <v>1</v>
      </c>
      <c r="U189">
        <f t="shared" ca="1" si="49"/>
        <v>0.05</v>
      </c>
      <c r="V189">
        <f t="shared" ca="1" si="50"/>
        <v>0.29994999999999999</v>
      </c>
      <c r="W189">
        <f t="shared" ca="1" si="51"/>
        <v>4.9180193474340057E-2</v>
      </c>
      <c r="X189">
        <f t="shared" ca="1" si="52"/>
        <v>170.02833805634273</v>
      </c>
      <c r="Y189">
        <f t="shared" ca="1" si="53"/>
        <v>633.78599999999994</v>
      </c>
      <c r="Z189">
        <f t="shared" ca="1" si="54"/>
        <v>2107.2638665750237</v>
      </c>
      <c r="AA189">
        <f t="shared" ca="1" si="55"/>
        <v>360.99802607609354</v>
      </c>
      <c r="AB189">
        <f t="shared" ca="1" si="56"/>
        <v>361.19248979163694</v>
      </c>
      <c r="AC189">
        <f t="shared" ca="1" si="57"/>
        <v>0</v>
      </c>
      <c r="AD189">
        <f ca="1">IF(V32="Supercritical",L189,U189)</f>
        <v>0.05</v>
      </c>
      <c r="AE189">
        <f t="shared" ca="1" si="58"/>
        <v>633.78599999999994</v>
      </c>
      <c r="AF189">
        <f t="shared" ca="1" si="59"/>
        <v>2107.2638665750237</v>
      </c>
      <c r="AI189">
        <v>0</v>
      </c>
      <c r="AJ189">
        <v>0</v>
      </c>
      <c r="AK189">
        <f t="shared" si="60"/>
        <v>0</v>
      </c>
      <c r="AL189">
        <f t="shared" si="68"/>
        <v>0</v>
      </c>
      <c r="AM189">
        <f t="shared" ca="1" si="61"/>
        <v>242.77379319646704</v>
      </c>
      <c r="AN189" t="str">
        <f t="shared" ca="1" si="62"/>
        <v>Supercritical</v>
      </c>
      <c r="AO189">
        <f ca="1">IF(V32="Supercritical",R189,AA189)</f>
        <v>360.99802607609354</v>
      </c>
    </row>
    <row r="190" spans="1:41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174</v>
      </c>
      <c r="I190">
        <v>0.08</v>
      </c>
      <c r="J190">
        <f t="shared" si="63"/>
        <v>1</v>
      </c>
      <c r="K190">
        <f t="shared" si="64"/>
        <v>51</v>
      </c>
      <c r="L190">
        <f t="shared" ca="1" si="65"/>
        <v>38818.576732106601</v>
      </c>
      <c r="M190">
        <f t="shared" ca="1" si="43"/>
        <v>232872.6418159075</v>
      </c>
      <c r="N190">
        <f t="shared" ca="1" si="44"/>
        <v>2.9992682474251895</v>
      </c>
      <c r="O190">
        <f t="shared" ca="1" si="45"/>
        <v>2.1900382802509264E-4</v>
      </c>
      <c r="P190">
        <f t="shared" ca="1" si="46"/>
        <v>39452.310732106598</v>
      </c>
      <c r="Q190">
        <f t="shared" ca="1" si="47"/>
        <v>39452.310732109043</v>
      </c>
      <c r="R190">
        <f t="shared" ca="1" si="48"/>
        <v>2.4949710872179589E-12</v>
      </c>
      <c r="S190">
        <f t="shared" ca="1" si="66"/>
        <v>9.7182962053921074E-4</v>
      </c>
      <c r="T190">
        <f t="shared" ca="1" si="67"/>
        <v>1</v>
      </c>
      <c r="U190">
        <f t="shared" ca="1" si="49"/>
        <v>0.05</v>
      </c>
      <c r="V190">
        <f t="shared" ca="1" si="50"/>
        <v>0.29994999999999999</v>
      </c>
      <c r="W190">
        <f t="shared" ca="1" si="51"/>
        <v>4.9180193474340057E-2</v>
      </c>
      <c r="X190">
        <f t="shared" ca="1" si="52"/>
        <v>170.02833805634273</v>
      </c>
      <c r="Y190">
        <f t="shared" ca="1" si="53"/>
        <v>633.78399999999999</v>
      </c>
      <c r="Z190">
        <f t="shared" ca="1" si="54"/>
        <v>2107.2618665750238</v>
      </c>
      <c r="AA190">
        <f t="shared" ca="1" si="55"/>
        <v>360.99802607609354</v>
      </c>
      <c r="AB190">
        <f t="shared" ca="1" si="56"/>
        <v>361.19248979163694</v>
      </c>
      <c r="AC190">
        <f t="shared" ca="1" si="57"/>
        <v>0</v>
      </c>
      <c r="AD190">
        <f ca="1">IF(V32="Supercritical",L190,U190)</f>
        <v>0.05</v>
      </c>
      <c r="AE190">
        <f t="shared" ca="1" si="58"/>
        <v>633.78399999999999</v>
      </c>
      <c r="AF190">
        <f t="shared" ca="1" si="59"/>
        <v>2107.2618665750238</v>
      </c>
      <c r="AI190">
        <v>0</v>
      </c>
      <c r="AJ190">
        <v>0</v>
      </c>
      <c r="AK190">
        <f t="shared" si="60"/>
        <v>0</v>
      </c>
      <c r="AL190">
        <f t="shared" si="68"/>
        <v>0</v>
      </c>
      <c r="AM190">
        <f t="shared" ca="1" si="61"/>
        <v>242.77379319646704</v>
      </c>
      <c r="AN190" t="str">
        <f t="shared" ca="1" si="62"/>
        <v>Supercritical</v>
      </c>
      <c r="AO190">
        <f ca="1">IF(V32="Supercritical",R190,AA190)</f>
        <v>360.99802607609354</v>
      </c>
    </row>
    <row r="191" spans="1:41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174</v>
      </c>
      <c r="I191">
        <v>0.08</v>
      </c>
      <c r="J191">
        <f t="shared" si="63"/>
        <v>1</v>
      </c>
      <c r="K191">
        <f t="shared" si="64"/>
        <v>51</v>
      </c>
      <c r="L191">
        <f t="shared" ca="1" si="65"/>
        <v>38818.577755172249</v>
      </c>
      <c r="M191">
        <f t="shared" ca="1" si="43"/>
        <v>232872.6479532783</v>
      </c>
      <c r="N191">
        <f t="shared" ca="1" si="44"/>
        <v>2.9992682474312966</v>
      </c>
      <c r="O191">
        <f t="shared" ca="1" si="45"/>
        <v>2.1900382225323531E-4</v>
      </c>
      <c r="P191">
        <f t="shared" ca="1" si="46"/>
        <v>39452.309755172246</v>
      </c>
      <c r="Q191">
        <f t="shared" ca="1" si="47"/>
        <v>39452.309755174691</v>
      </c>
      <c r="R191">
        <f t="shared" ca="1" si="48"/>
        <v>2.4949709557009998E-12</v>
      </c>
      <c r="S191">
        <f t="shared" ca="1" si="66"/>
        <v>9.7693435236578807E-4</v>
      </c>
      <c r="T191">
        <f t="shared" ca="1" si="67"/>
        <v>1</v>
      </c>
      <c r="U191">
        <f t="shared" ca="1" si="49"/>
        <v>0.05</v>
      </c>
      <c r="V191">
        <f t="shared" ca="1" si="50"/>
        <v>0.29994999999999999</v>
      </c>
      <c r="W191">
        <f t="shared" ca="1" si="51"/>
        <v>4.9180193474340057E-2</v>
      </c>
      <c r="X191">
        <f t="shared" ca="1" si="52"/>
        <v>170.02833805634273</v>
      </c>
      <c r="Y191">
        <f t="shared" ca="1" si="53"/>
        <v>633.78199999999993</v>
      </c>
      <c r="Z191">
        <f t="shared" ca="1" si="54"/>
        <v>2107.2598665750238</v>
      </c>
      <c r="AA191">
        <f t="shared" ca="1" si="55"/>
        <v>360.99802607609354</v>
      </c>
      <c r="AB191">
        <f t="shared" ca="1" si="56"/>
        <v>361.19248979163694</v>
      </c>
      <c r="AC191">
        <f t="shared" ca="1" si="57"/>
        <v>0</v>
      </c>
      <c r="AD191">
        <f ca="1">IF(V32="Supercritical",L191,U191)</f>
        <v>0.05</v>
      </c>
      <c r="AE191">
        <f t="shared" ca="1" si="58"/>
        <v>633.78199999999993</v>
      </c>
      <c r="AF191">
        <f t="shared" ca="1" si="59"/>
        <v>2107.2598665750238</v>
      </c>
      <c r="AI191">
        <v>0</v>
      </c>
      <c r="AJ191">
        <v>0</v>
      </c>
      <c r="AK191">
        <f t="shared" si="60"/>
        <v>0</v>
      </c>
      <c r="AL191">
        <f t="shared" si="68"/>
        <v>0</v>
      </c>
      <c r="AM191">
        <f t="shared" ca="1" si="61"/>
        <v>242.77379319646704</v>
      </c>
      <c r="AN191" t="str">
        <f t="shared" ca="1" si="62"/>
        <v>Supercritical</v>
      </c>
      <c r="AO191">
        <f ca="1">IF(V32="Supercritical",R191,AA191)</f>
        <v>360.99802607609354</v>
      </c>
    </row>
    <row r="192" spans="1:41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174</v>
      </c>
      <c r="I192">
        <v>0.08</v>
      </c>
      <c r="J192">
        <f t="shared" si="63"/>
        <v>1</v>
      </c>
      <c r="K192">
        <f t="shared" si="64"/>
        <v>51</v>
      </c>
      <c r="L192">
        <f t="shared" ca="1" si="65"/>
        <v>38818.578777767652</v>
      </c>
      <c r="M192">
        <f t="shared" ca="1" si="43"/>
        <v>232872.65408782812</v>
      </c>
      <c r="N192">
        <f t="shared" ca="1" si="44"/>
        <v>2.9992682474374011</v>
      </c>
      <c r="O192">
        <f t="shared" ca="1" si="45"/>
        <v>2.1900381648403124E-4</v>
      </c>
      <c r="P192">
        <f t="shared" ca="1" si="46"/>
        <v>39452.308777767656</v>
      </c>
      <c r="Q192">
        <f t="shared" ca="1" si="47"/>
        <v>39452.3087777701</v>
      </c>
      <c r="R192">
        <f t="shared" ca="1" si="48"/>
        <v>2.4949708242445021E-12</v>
      </c>
      <c r="S192">
        <f t="shared" ca="1" si="66"/>
        <v>9.7740459023043513E-4</v>
      </c>
      <c r="T192">
        <f t="shared" ca="1" si="67"/>
        <v>1</v>
      </c>
      <c r="U192">
        <f t="shared" ca="1" si="49"/>
        <v>0.05</v>
      </c>
      <c r="V192">
        <f t="shared" ca="1" si="50"/>
        <v>0.29994999999999999</v>
      </c>
      <c r="W192">
        <f t="shared" ca="1" si="51"/>
        <v>4.9180193474340057E-2</v>
      </c>
      <c r="X192">
        <f t="shared" ca="1" si="52"/>
        <v>170.02833805634273</v>
      </c>
      <c r="Y192">
        <f t="shared" ca="1" si="53"/>
        <v>633.78</v>
      </c>
      <c r="Z192">
        <f t="shared" ca="1" si="54"/>
        <v>2107.2578665750239</v>
      </c>
      <c r="AA192">
        <f t="shared" ca="1" si="55"/>
        <v>360.99802607609354</v>
      </c>
      <c r="AB192">
        <f t="shared" ca="1" si="56"/>
        <v>361.19248979163694</v>
      </c>
      <c r="AC192">
        <f t="shared" ca="1" si="57"/>
        <v>0</v>
      </c>
      <c r="AD192">
        <f ca="1">IF(V32="Supercritical",L192,U192)</f>
        <v>0.05</v>
      </c>
      <c r="AE192">
        <f t="shared" ca="1" si="58"/>
        <v>633.78</v>
      </c>
      <c r="AF192">
        <f t="shared" ca="1" si="59"/>
        <v>2107.2578665750239</v>
      </c>
      <c r="AI192">
        <v>0</v>
      </c>
      <c r="AJ192">
        <v>0</v>
      </c>
      <c r="AK192">
        <f t="shared" si="60"/>
        <v>0</v>
      </c>
      <c r="AL192">
        <f t="shared" si="68"/>
        <v>0</v>
      </c>
      <c r="AM192">
        <f t="shared" ca="1" si="61"/>
        <v>242.77379319646704</v>
      </c>
      <c r="AN192" t="str">
        <f t="shared" ca="1" si="62"/>
        <v>Supercritical</v>
      </c>
      <c r="AO192">
        <f ca="1">IF(V32="Supercritical",R192,AA192)</f>
        <v>360.99802607609354</v>
      </c>
    </row>
    <row r="193" spans="1:41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174</v>
      </c>
      <c r="I193">
        <v>0.08</v>
      </c>
      <c r="J193">
        <f t="shared" si="63"/>
        <v>1</v>
      </c>
      <c r="K193">
        <f t="shared" si="64"/>
        <v>51</v>
      </c>
      <c r="L193">
        <f t="shared" ca="1" si="65"/>
        <v>38818.579800319741</v>
      </c>
      <c r="M193">
        <f t="shared" ca="1" si="43"/>
        <v>232872.66022211811</v>
      </c>
      <c r="N193">
        <f t="shared" ca="1" si="44"/>
        <v>2.9992682474435055</v>
      </c>
      <c r="O193">
        <f t="shared" ca="1" si="45"/>
        <v>2.1900381071507187E-4</v>
      </c>
      <c r="P193">
        <f t="shared" ca="1" si="46"/>
        <v>39452.307800319744</v>
      </c>
      <c r="Q193">
        <f t="shared" ca="1" si="47"/>
        <v>39452.307800322189</v>
      </c>
      <c r="R193">
        <f t="shared" ca="1" si="48"/>
        <v>2.4949706927935829E-12</v>
      </c>
      <c r="S193">
        <f t="shared" ca="1" si="66"/>
        <v>9.7744791128206998E-4</v>
      </c>
      <c r="T193">
        <f t="shared" ca="1" si="67"/>
        <v>1</v>
      </c>
      <c r="U193">
        <f t="shared" ca="1" si="49"/>
        <v>0.05</v>
      </c>
      <c r="V193">
        <f t="shared" ca="1" si="50"/>
        <v>0.29994999999999999</v>
      </c>
      <c r="W193">
        <f t="shared" ca="1" si="51"/>
        <v>4.9180193474340057E-2</v>
      </c>
      <c r="X193">
        <f t="shared" ca="1" si="52"/>
        <v>170.02833805634273</v>
      </c>
      <c r="Y193">
        <f t="shared" ca="1" si="53"/>
        <v>633.77799999999991</v>
      </c>
      <c r="Z193">
        <f t="shared" ca="1" si="54"/>
        <v>2107.2558665750239</v>
      </c>
      <c r="AA193">
        <f t="shared" ca="1" si="55"/>
        <v>360.99802607609354</v>
      </c>
      <c r="AB193">
        <f t="shared" ca="1" si="56"/>
        <v>361.19248979163694</v>
      </c>
      <c r="AC193">
        <f t="shared" ca="1" si="57"/>
        <v>0</v>
      </c>
      <c r="AD193">
        <f ca="1">IF(V32="Supercritical",L193,U193)</f>
        <v>0.05</v>
      </c>
      <c r="AE193">
        <f t="shared" ca="1" si="58"/>
        <v>633.77799999999991</v>
      </c>
      <c r="AF193">
        <f t="shared" ca="1" si="59"/>
        <v>2107.2558665750239</v>
      </c>
      <c r="AI193">
        <v>0</v>
      </c>
      <c r="AJ193">
        <v>0</v>
      </c>
      <c r="AK193">
        <f t="shared" si="60"/>
        <v>0</v>
      </c>
      <c r="AL193">
        <f t="shared" si="68"/>
        <v>0</v>
      </c>
      <c r="AM193">
        <f t="shared" ca="1" si="61"/>
        <v>242.77379319646704</v>
      </c>
      <c r="AN193" t="str">
        <f t="shared" ca="1" si="62"/>
        <v>Supercritical</v>
      </c>
      <c r="AO193">
        <f ca="1">IF(V32="Supercritical",R193,AA193)</f>
        <v>360.99802607609354</v>
      </c>
    </row>
    <row r="194" spans="1:41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174</v>
      </c>
      <c r="I194">
        <v>0.08</v>
      </c>
      <c r="J194">
        <f t="shared" si="63"/>
        <v>1</v>
      </c>
      <c r="K194">
        <f t="shared" si="64"/>
        <v>51</v>
      </c>
      <c r="L194">
        <f t="shared" ca="1" si="65"/>
        <v>38818.580822867843</v>
      </c>
      <c r="M194">
        <f t="shared" ca="1" si="43"/>
        <v>232872.66635638417</v>
      </c>
      <c r="N194">
        <f t="shared" ca="1" si="44"/>
        <v>2.99926824744961</v>
      </c>
      <c r="O194">
        <f t="shared" ca="1" si="45"/>
        <v>2.1900380494613528E-4</v>
      </c>
      <c r="P194">
        <f t="shared" ca="1" si="46"/>
        <v>39452.306822867846</v>
      </c>
      <c r="Q194">
        <f t="shared" ca="1" si="47"/>
        <v>39452.30682287029</v>
      </c>
      <c r="R194">
        <f t="shared" ca="1" si="48"/>
        <v>2.494970561343186E-12</v>
      </c>
      <c r="S194">
        <f t="shared" ca="1" si="66"/>
        <v>9.7745189850684255E-4</v>
      </c>
      <c r="T194">
        <f t="shared" ca="1" si="67"/>
        <v>1</v>
      </c>
      <c r="U194">
        <f t="shared" ca="1" si="49"/>
        <v>0.05</v>
      </c>
      <c r="V194">
        <f t="shared" ca="1" si="50"/>
        <v>0.29994999999999999</v>
      </c>
      <c r="W194">
        <f t="shared" ca="1" si="51"/>
        <v>4.9180193474340057E-2</v>
      </c>
      <c r="X194">
        <f t="shared" ca="1" si="52"/>
        <v>170.02833805634273</v>
      </c>
      <c r="Y194">
        <f t="shared" ca="1" si="53"/>
        <v>633.77599999999995</v>
      </c>
      <c r="Z194">
        <f t="shared" ca="1" si="54"/>
        <v>2107.2538665750239</v>
      </c>
      <c r="AA194">
        <f t="shared" ca="1" si="55"/>
        <v>360.99802607609354</v>
      </c>
      <c r="AB194">
        <f t="shared" ca="1" si="56"/>
        <v>361.19248979163694</v>
      </c>
      <c r="AC194">
        <f t="shared" ca="1" si="57"/>
        <v>0</v>
      </c>
      <c r="AD194">
        <f ca="1">IF(V32="Supercritical",L194,U194)</f>
        <v>0.05</v>
      </c>
      <c r="AE194">
        <f t="shared" ca="1" si="58"/>
        <v>633.77599999999995</v>
      </c>
      <c r="AF194">
        <f t="shared" ca="1" si="59"/>
        <v>2107.2538665750239</v>
      </c>
      <c r="AI194">
        <v>0</v>
      </c>
      <c r="AJ194">
        <v>0</v>
      </c>
      <c r="AK194">
        <f t="shared" si="60"/>
        <v>0</v>
      </c>
      <c r="AL194">
        <f t="shared" si="68"/>
        <v>0</v>
      </c>
      <c r="AM194">
        <f t="shared" ca="1" si="61"/>
        <v>242.77379319646704</v>
      </c>
      <c r="AN194" t="str">
        <f t="shared" ca="1" si="62"/>
        <v>Supercritical</v>
      </c>
      <c r="AO194">
        <f ca="1">IF(V32="Supercritical",R194,AA194)</f>
        <v>360.99802607609354</v>
      </c>
    </row>
    <row r="195" spans="1:41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174</v>
      </c>
      <c r="I195">
        <v>0.08</v>
      </c>
      <c r="J195">
        <f t="shared" si="63"/>
        <v>1</v>
      </c>
      <c r="K195">
        <f t="shared" si="64"/>
        <v>51</v>
      </c>
      <c r="L195">
        <f t="shared" ca="1" si="65"/>
        <v>38818.581845415567</v>
      </c>
      <c r="M195">
        <f t="shared" ca="1" si="43"/>
        <v>232872.67249064796</v>
      </c>
      <c r="N195">
        <f t="shared" ca="1" si="44"/>
        <v>2.999268247455714</v>
      </c>
      <c r="O195">
        <f t="shared" ca="1" si="45"/>
        <v>2.1900379917720115E-4</v>
      </c>
      <c r="P195">
        <f t="shared" ca="1" si="46"/>
        <v>39452.305845415569</v>
      </c>
      <c r="Q195">
        <f t="shared" ca="1" si="47"/>
        <v>39452.305845418014</v>
      </c>
      <c r="R195">
        <f t="shared" ca="1" si="48"/>
        <v>2.4949704298928481E-12</v>
      </c>
      <c r="S195">
        <f t="shared" ca="1" si="66"/>
        <v>9.7745227685663849E-4</v>
      </c>
      <c r="T195">
        <f t="shared" ca="1" si="67"/>
        <v>1</v>
      </c>
      <c r="U195">
        <f t="shared" ca="1" si="49"/>
        <v>0.05</v>
      </c>
      <c r="V195">
        <f t="shared" ca="1" si="50"/>
        <v>0.29994999999999999</v>
      </c>
      <c r="W195">
        <f t="shared" ca="1" si="51"/>
        <v>4.9180193474340057E-2</v>
      </c>
      <c r="X195">
        <f t="shared" ca="1" si="52"/>
        <v>170.02833805634273</v>
      </c>
      <c r="Y195">
        <f t="shared" ca="1" si="53"/>
        <v>633.774</v>
      </c>
      <c r="Z195">
        <f t="shared" ca="1" si="54"/>
        <v>2107.251866575024</v>
      </c>
      <c r="AA195">
        <f t="shared" ca="1" si="55"/>
        <v>360.99802607609354</v>
      </c>
      <c r="AB195">
        <f t="shared" ca="1" si="56"/>
        <v>361.19248979163649</v>
      </c>
      <c r="AC195">
        <f t="shared" ca="1" si="57"/>
        <v>0</v>
      </c>
      <c r="AD195">
        <f ca="1">IF(V32="Supercritical",L195,U195)</f>
        <v>0.05</v>
      </c>
      <c r="AE195">
        <f t="shared" ca="1" si="58"/>
        <v>633.774</v>
      </c>
      <c r="AF195">
        <f t="shared" ca="1" si="59"/>
        <v>2107.251866575024</v>
      </c>
      <c r="AI195">
        <v>0</v>
      </c>
      <c r="AJ195">
        <v>0</v>
      </c>
      <c r="AK195">
        <f t="shared" si="60"/>
        <v>0</v>
      </c>
      <c r="AL195">
        <f t="shared" si="68"/>
        <v>0</v>
      </c>
      <c r="AM195">
        <f t="shared" ca="1" si="61"/>
        <v>242.77379319646704</v>
      </c>
      <c r="AN195" t="str">
        <f t="shared" ca="1" si="62"/>
        <v>Supercritical</v>
      </c>
      <c r="AO195">
        <f ca="1">IF(V32="Supercritical",R195,AA195)</f>
        <v>360.99802607609354</v>
      </c>
    </row>
    <row r="196" spans="1:41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174</v>
      </c>
      <c r="I196">
        <v>0.08</v>
      </c>
      <c r="J196">
        <f t="shared" si="63"/>
        <v>1</v>
      </c>
      <c r="K196">
        <f t="shared" si="64"/>
        <v>51</v>
      </c>
      <c r="L196">
        <f t="shared" ca="1" si="65"/>
        <v>38818.582867963261</v>
      </c>
      <c r="M196">
        <f t="shared" ca="1" si="43"/>
        <v>232872.67862491158</v>
      </c>
      <c r="N196">
        <f t="shared" ca="1" si="44"/>
        <v>2.9992682474618184</v>
      </c>
      <c r="O196">
        <f t="shared" ca="1" si="45"/>
        <v>2.1900379340826747E-4</v>
      </c>
      <c r="P196">
        <f t="shared" ca="1" si="46"/>
        <v>39452.304867963263</v>
      </c>
      <c r="Q196">
        <f t="shared" ca="1" si="47"/>
        <v>39452.304867965708</v>
      </c>
      <c r="R196">
        <f t="shared" ca="1" si="48"/>
        <v>2.4949702984425247E-12</v>
      </c>
      <c r="S196">
        <f t="shared" ca="1" si="66"/>
        <v>9.7745230596046895E-4</v>
      </c>
      <c r="T196">
        <f t="shared" ca="1" si="67"/>
        <v>1</v>
      </c>
      <c r="U196">
        <f t="shared" ca="1" si="49"/>
        <v>0.05</v>
      </c>
      <c r="V196">
        <f t="shared" ca="1" si="50"/>
        <v>0.29994999999999999</v>
      </c>
      <c r="W196">
        <f t="shared" ca="1" si="51"/>
        <v>4.9180193474340057E-2</v>
      </c>
      <c r="X196">
        <f t="shared" ca="1" si="52"/>
        <v>170.02833805634273</v>
      </c>
      <c r="Y196">
        <f t="shared" ca="1" si="53"/>
        <v>633.77199999999993</v>
      </c>
      <c r="Z196">
        <f t="shared" ca="1" si="54"/>
        <v>2107.2498665750236</v>
      </c>
      <c r="AA196">
        <f t="shared" ca="1" si="55"/>
        <v>360.99802607609354</v>
      </c>
      <c r="AB196">
        <f t="shared" ca="1" si="56"/>
        <v>361.03906735875535</v>
      </c>
      <c r="AC196">
        <f t="shared" ca="1" si="57"/>
        <v>0</v>
      </c>
      <c r="AD196">
        <f ca="1">IF(V32="Supercritical",L196,U196)</f>
        <v>0.05</v>
      </c>
      <c r="AE196">
        <f t="shared" ca="1" si="58"/>
        <v>633.77199999999993</v>
      </c>
      <c r="AF196">
        <f t="shared" ca="1" si="59"/>
        <v>2107.2498665750236</v>
      </c>
      <c r="AI196">
        <v>0</v>
      </c>
      <c r="AJ196">
        <v>0</v>
      </c>
      <c r="AK196">
        <f t="shared" si="60"/>
        <v>0</v>
      </c>
      <c r="AL196">
        <f t="shared" si="68"/>
        <v>0</v>
      </c>
      <c r="AM196">
        <f t="shared" ca="1" si="61"/>
        <v>242.77379319646704</v>
      </c>
      <c r="AN196" t="str">
        <f t="shared" ca="1" si="62"/>
        <v>Supercritical</v>
      </c>
      <c r="AO196">
        <f ca="1">IF(V32="Supercritical",R196,AA196)</f>
        <v>360.99802607609354</v>
      </c>
    </row>
    <row r="197" spans="1:41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174</v>
      </c>
      <c r="I197">
        <v>3.3000000000000002E-2</v>
      </c>
      <c r="J197">
        <f t="shared" si="63"/>
        <v>1</v>
      </c>
      <c r="K197">
        <f t="shared" si="64"/>
        <v>51</v>
      </c>
      <c r="L197">
        <f t="shared" ca="1" si="65"/>
        <v>38818.621911004971</v>
      </c>
      <c r="M197">
        <f t="shared" ca="1" si="43"/>
        <v>232872.91284411881</v>
      </c>
      <c r="N197">
        <f t="shared" ca="1" si="44"/>
        <v>2.9992682476948929</v>
      </c>
      <c r="O197">
        <f t="shared" ca="1" si="45"/>
        <v>2.190035731383604E-4</v>
      </c>
      <c r="P197">
        <f t="shared" ca="1" si="46"/>
        <v>39452.303911004972</v>
      </c>
      <c r="Q197">
        <f t="shared" ca="1" si="47"/>
        <v>39452.303911007417</v>
      </c>
      <c r="R197">
        <f t="shared" ca="1" si="48"/>
        <v>2.4949652793978902E-12</v>
      </c>
      <c r="S197">
        <f t="shared" ca="1" si="66"/>
        <v>9.5695829077158123E-4</v>
      </c>
      <c r="T197">
        <f t="shared" ca="1" si="67"/>
        <v>1</v>
      </c>
      <c r="U197">
        <f t="shared" ca="1" si="49"/>
        <v>0.05</v>
      </c>
      <c r="V197">
        <f t="shared" ca="1" si="50"/>
        <v>0.29994999999999999</v>
      </c>
      <c r="W197">
        <f t="shared" ca="1" si="51"/>
        <v>4.9180193474340057E-2</v>
      </c>
      <c r="X197">
        <f t="shared" ca="1" si="52"/>
        <v>170.02833805634273</v>
      </c>
      <c r="Y197">
        <f t="shared" ca="1" si="53"/>
        <v>633.73199999999997</v>
      </c>
      <c r="Z197">
        <f t="shared" ca="1" si="54"/>
        <v>2107.2098665750236</v>
      </c>
      <c r="AA197">
        <f t="shared" ca="1" si="55"/>
        <v>360.99802607609354</v>
      </c>
      <c r="AB197">
        <f t="shared" ca="1" si="56"/>
        <v>360.63140920023625</v>
      </c>
      <c r="AC197">
        <f t="shared" ca="1" si="57"/>
        <v>0</v>
      </c>
      <c r="AD197">
        <f ca="1">IF(V32="Supercritical",L197,U197)</f>
        <v>0.05</v>
      </c>
      <c r="AE197">
        <f t="shared" ca="1" si="58"/>
        <v>633.73199999999997</v>
      </c>
      <c r="AF197">
        <f t="shared" ca="1" si="59"/>
        <v>2107.2098665750236</v>
      </c>
      <c r="AI197">
        <v>0</v>
      </c>
      <c r="AJ197">
        <v>0</v>
      </c>
      <c r="AK197">
        <f t="shared" si="60"/>
        <v>0</v>
      </c>
      <c r="AL197">
        <f t="shared" si="68"/>
        <v>0</v>
      </c>
      <c r="AM197">
        <f t="shared" ca="1" si="61"/>
        <v>242.77379319646704</v>
      </c>
      <c r="AN197" t="str">
        <f t="shared" ca="1" si="62"/>
        <v>Supercritical</v>
      </c>
      <c r="AO197">
        <f ca="1">IF(V32="Supercritical",R197,AA197)</f>
        <v>360.99802607609354</v>
      </c>
    </row>
    <row r="198" spans="1:41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174</v>
      </c>
      <c r="I198">
        <v>1.4E-2</v>
      </c>
      <c r="J198">
        <f t="shared" si="63"/>
        <v>0.99899999999999523</v>
      </c>
      <c r="K198">
        <f t="shared" si="64"/>
        <v>51</v>
      </c>
      <c r="L198">
        <f t="shared" ca="1" si="65"/>
        <v>38818.660954147956</v>
      </c>
      <c r="M198">
        <f t="shared" ca="1" si="43"/>
        <v>232873.14706393357</v>
      </c>
      <c r="N198">
        <f t="shared" ca="1" si="44"/>
        <v>2.9992682479279673</v>
      </c>
      <c r="O198">
        <f t="shared" ca="1" si="45"/>
        <v>2.1900335286832506E-4</v>
      </c>
      <c r="P198">
        <f t="shared" ca="1" si="46"/>
        <v>39452.302954147955</v>
      </c>
      <c r="Q198">
        <f t="shared" ca="1" si="47"/>
        <v>39452.3029541504</v>
      </c>
      <c r="R198">
        <f t="shared" ca="1" si="48"/>
        <v>2.4949602603553822E-12</v>
      </c>
      <c r="S198">
        <f t="shared" ca="1" si="66"/>
        <v>9.5685701671754941E-4</v>
      </c>
      <c r="T198">
        <f t="shared" ca="1" si="67"/>
        <v>1</v>
      </c>
      <c r="U198">
        <f t="shared" ca="1" si="49"/>
        <v>0.05</v>
      </c>
      <c r="V198">
        <f t="shared" ca="1" si="50"/>
        <v>0.29994999999999999</v>
      </c>
      <c r="W198">
        <f t="shared" ca="1" si="51"/>
        <v>4.9180193474340057E-2</v>
      </c>
      <c r="X198">
        <f t="shared" ca="1" si="52"/>
        <v>170.02833805634273</v>
      </c>
      <c r="Y198">
        <f t="shared" ca="1" si="53"/>
        <v>633.69200000000001</v>
      </c>
      <c r="Z198">
        <f t="shared" ca="1" si="54"/>
        <v>2107.1698665750237</v>
      </c>
      <c r="AA198">
        <f t="shared" ca="1" si="55"/>
        <v>360.99802607609354</v>
      </c>
      <c r="AB198">
        <f t="shared" ca="1" si="56"/>
        <v>361.43444653505276</v>
      </c>
      <c r="AC198">
        <f t="shared" ca="1" si="57"/>
        <v>0</v>
      </c>
      <c r="AD198">
        <f ca="1">IF(V32="Supercritical",L198,U198)</f>
        <v>0.05</v>
      </c>
      <c r="AE198">
        <f t="shared" ca="1" si="58"/>
        <v>633.69200000000001</v>
      </c>
      <c r="AF198">
        <f t="shared" ca="1" si="59"/>
        <v>2107.1698665750237</v>
      </c>
      <c r="AI198">
        <v>0</v>
      </c>
      <c r="AJ198">
        <v>0</v>
      </c>
      <c r="AK198">
        <f t="shared" si="60"/>
        <v>0</v>
      </c>
      <c r="AL198">
        <f t="shared" si="68"/>
        <v>0</v>
      </c>
      <c r="AM198">
        <f t="shared" ca="1" si="61"/>
        <v>242.77379319646704</v>
      </c>
      <c r="AN198" t="str">
        <f t="shared" ca="1" si="62"/>
        <v>Supercritical</v>
      </c>
      <c r="AO198">
        <f ca="1">IF(V32="Supercritical",R198,AA198)</f>
        <v>360.99802607609354</v>
      </c>
    </row>
    <row r="199" spans="1:41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174</v>
      </c>
      <c r="I199">
        <v>4.7E-2</v>
      </c>
      <c r="J199">
        <f t="shared" si="63"/>
        <v>1.0010000000000048</v>
      </c>
      <c r="K199">
        <f t="shared" si="64"/>
        <v>51</v>
      </c>
      <c r="L199">
        <f t="shared" ca="1" si="65"/>
        <v>38818.699997291442</v>
      </c>
      <c r="M199">
        <f t="shared" ca="1" si="43"/>
        <v>232873.38128375134</v>
      </c>
      <c r="N199">
        <f t="shared" ca="1" si="44"/>
        <v>2.9992682481610413</v>
      </c>
      <c r="O199">
        <f t="shared" ca="1" si="45"/>
        <v>2.1900313259872999E-4</v>
      </c>
      <c r="P199">
        <f t="shared" ca="1" si="46"/>
        <v>39452.301997291441</v>
      </c>
      <c r="Q199">
        <f t="shared" ca="1" si="47"/>
        <v>39452.301997293886</v>
      </c>
      <c r="R199">
        <f t="shared" ca="1" si="48"/>
        <v>2.4949552413279546E-12</v>
      </c>
      <c r="S199">
        <f t="shared" ca="1" si="66"/>
        <v>9.5685651467647403E-4</v>
      </c>
      <c r="T199">
        <f t="shared" ca="1" si="67"/>
        <v>1</v>
      </c>
      <c r="U199">
        <f t="shared" ca="1" si="49"/>
        <v>0.05</v>
      </c>
      <c r="V199">
        <f t="shared" ca="1" si="50"/>
        <v>0.29994999999999999</v>
      </c>
      <c r="W199">
        <f t="shared" ca="1" si="51"/>
        <v>4.9180193474340057E-2</v>
      </c>
      <c r="X199">
        <f t="shared" ca="1" si="52"/>
        <v>170.02833805634273</v>
      </c>
      <c r="Y199">
        <f t="shared" ca="1" si="53"/>
        <v>633.65199999999993</v>
      </c>
      <c r="Z199">
        <f t="shared" ca="1" si="54"/>
        <v>2107.1298665750237</v>
      </c>
      <c r="AA199">
        <f t="shared" ca="1" si="55"/>
        <v>360.99802607609354</v>
      </c>
      <c r="AB199">
        <f t="shared" ca="1" si="56"/>
        <v>364.7675047575467</v>
      </c>
      <c r="AC199">
        <f t="shared" ca="1" si="57"/>
        <v>0</v>
      </c>
      <c r="AD199">
        <f ca="1">IF(V32="Supercritical",L199,U199)</f>
        <v>0.05</v>
      </c>
      <c r="AE199">
        <f t="shared" ca="1" si="58"/>
        <v>633.65199999999993</v>
      </c>
      <c r="AF199">
        <f t="shared" ca="1" si="59"/>
        <v>2107.1298665750237</v>
      </c>
      <c r="AI199">
        <v>0</v>
      </c>
      <c r="AJ199">
        <v>0</v>
      </c>
      <c r="AK199">
        <f t="shared" si="60"/>
        <v>0</v>
      </c>
      <c r="AL199">
        <f t="shared" si="68"/>
        <v>0</v>
      </c>
      <c r="AM199">
        <f t="shared" ca="1" si="61"/>
        <v>242.77379319646704</v>
      </c>
      <c r="AN199" t="str">
        <f t="shared" ca="1" si="62"/>
        <v>Supercritical</v>
      </c>
      <c r="AO199">
        <f ca="1">IF(V32="Supercritical",R199,AA199)</f>
        <v>360.99802607609354</v>
      </c>
    </row>
    <row r="200" spans="1:41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174</v>
      </c>
      <c r="I200">
        <v>0.08</v>
      </c>
      <c r="J200">
        <f t="shared" si="63"/>
        <v>1</v>
      </c>
      <c r="K200">
        <f t="shared" si="64"/>
        <v>51</v>
      </c>
      <c r="L200">
        <f t="shared" ca="1" si="65"/>
        <v>38818.739040434928</v>
      </c>
      <c r="M200">
        <f t="shared" ca="1" si="43"/>
        <v>232640.70306932653</v>
      </c>
      <c r="N200">
        <f t="shared" ca="1" si="44"/>
        <v>2.9962687117248881</v>
      </c>
      <c r="O200">
        <f t="shared" ca="1" si="45"/>
        <v>2.1922217104374073E-4</v>
      </c>
      <c r="P200">
        <f t="shared" ca="1" si="46"/>
        <v>39452.301040434926</v>
      </c>
      <c r="Q200">
        <f t="shared" ca="1" si="47"/>
        <v>39452.301040437378</v>
      </c>
      <c r="R200">
        <f t="shared" ca="1" si="48"/>
        <v>2.5032859086385892E-12</v>
      </c>
      <c r="S200">
        <f t="shared" ca="1" si="66"/>
        <v>9.5685650740051642E-4</v>
      </c>
      <c r="T200">
        <f t="shared" ca="1" si="67"/>
        <v>1</v>
      </c>
      <c r="U200">
        <f t="shared" ca="1" si="49"/>
        <v>0.05</v>
      </c>
      <c r="V200">
        <f t="shared" ca="1" si="50"/>
        <v>0.29965000000000003</v>
      </c>
      <c r="W200">
        <f t="shared" ca="1" si="51"/>
        <v>4.9179386180863288E-2</v>
      </c>
      <c r="X200">
        <f t="shared" ca="1" si="52"/>
        <v>170.19856499249121</v>
      </c>
      <c r="Y200">
        <f t="shared" ca="1" si="53"/>
        <v>633.61199999999997</v>
      </c>
      <c r="Z200">
        <f t="shared" ca="1" si="54"/>
        <v>2110.0417413610221</v>
      </c>
      <c r="AA200">
        <f t="shared" ca="1" si="55"/>
        <v>361.72914431210705</v>
      </c>
      <c r="AB200">
        <f t="shared" ca="1" si="56"/>
        <v>377.66868691766422</v>
      </c>
      <c r="AC200">
        <f t="shared" ca="1" si="57"/>
        <v>0</v>
      </c>
      <c r="AD200">
        <f ca="1">IF(V32="Supercritical",L200,U200)</f>
        <v>0.05</v>
      </c>
      <c r="AE200">
        <f t="shared" ca="1" si="58"/>
        <v>633.61199999999997</v>
      </c>
      <c r="AF200">
        <f t="shared" ca="1" si="59"/>
        <v>2110.0417413610221</v>
      </c>
      <c r="AI200">
        <v>0</v>
      </c>
      <c r="AJ200">
        <v>0</v>
      </c>
      <c r="AK200">
        <f t="shared" si="60"/>
        <v>0</v>
      </c>
      <c r="AL200">
        <f t="shared" si="68"/>
        <v>0</v>
      </c>
      <c r="AM200">
        <f t="shared" ca="1" si="61"/>
        <v>243.01685055658359</v>
      </c>
      <c r="AN200" t="str">
        <f t="shared" ca="1" si="62"/>
        <v>Supercritical</v>
      </c>
      <c r="AO200">
        <f ca="1">IF(V32="Supercritical",R200,AA200)</f>
        <v>361.72914431210705</v>
      </c>
    </row>
    <row r="201" spans="1:41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174</v>
      </c>
      <c r="I201">
        <v>0.08</v>
      </c>
      <c r="J201">
        <f t="shared" si="63"/>
        <v>1</v>
      </c>
      <c r="K201">
        <f t="shared" si="64"/>
        <v>51</v>
      </c>
      <c r="L201">
        <f t="shared" ca="1" si="65"/>
        <v>38818.7780835784</v>
      </c>
      <c r="M201">
        <f t="shared" ca="1" si="43"/>
        <v>231631.64882471229</v>
      </c>
      <c r="N201">
        <f t="shared" ca="1" si="44"/>
        <v>2.9832707143651671</v>
      </c>
      <c r="O201">
        <f t="shared" ca="1" si="45"/>
        <v>2.2017716602533167E-4</v>
      </c>
      <c r="P201">
        <f t="shared" ca="1" si="46"/>
        <v>39452.300083578397</v>
      </c>
      <c r="Q201">
        <f t="shared" ca="1" si="47"/>
        <v>39452.300083580871</v>
      </c>
      <c r="R201">
        <f t="shared" ca="1" si="48"/>
        <v>2.539823398883649E-12</v>
      </c>
      <c r="S201">
        <f t="shared" ca="1" si="66"/>
        <v>9.5685650740051642E-4</v>
      </c>
      <c r="T201">
        <f t="shared" ca="1" si="67"/>
        <v>1</v>
      </c>
      <c r="U201">
        <f t="shared" ca="1" si="49"/>
        <v>0.05</v>
      </c>
      <c r="V201">
        <f t="shared" ca="1" si="50"/>
        <v>0.29835</v>
      </c>
      <c r="W201">
        <f t="shared" ca="1" si="51"/>
        <v>4.9175869457722107E-2</v>
      </c>
      <c r="X201">
        <f t="shared" ca="1" si="52"/>
        <v>170.94017094017093</v>
      </c>
      <c r="Y201">
        <f t="shared" ca="1" si="53"/>
        <v>633.572</v>
      </c>
      <c r="Z201">
        <f t="shared" ca="1" si="54"/>
        <v>2122.8962630507062</v>
      </c>
      <c r="AA201">
        <f t="shared" ca="1" si="55"/>
        <v>364.92312866910243</v>
      </c>
      <c r="AB201">
        <f t="shared" ca="1" si="56"/>
        <v>381.69151008467406</v>
      </c>
      <c r="AC201">
        <f t="shared" ca="1" si="57"/>
        <v>0</v>
      </c>
      <c r="AD201">
        <f ca="1">IF(V32="Supercritical",L201,U201)</f>
        <v>0.05</v>
      </c>
      <c r="AE201">
        <f t="shared" ca="1" si="58"/>
        <v>633.572</v>
      </c>
      <c r="AF201">
        <f t="shared" ca="1" si="59"/>
        <v>2122.8962630507062</v>
      </c>
      <c r="AI201">
        <v>0</v>
      </c>
      <c r="AJ201">
        <v>0</v>
      </c>
      <c r="AK201">
        <f t="shared" si="60"/>
        <v>0</v>
      </c>
      <c r="AL201">
        <f t="shared" si="68"/>
        <v>0</v>
      </c>
      <c r="AM201">
        <f t="shared" ca="1" si="61"/>
        <v>244.07574750889987</v>
      </c>
      <c r="AN201" t="str">
        <f t="shared" ca="1" si="62"/>
        <v>Supercritical</v>
      </c>
      <c r="AO201">
        <f ca="1">IF(V32="Supercritical",R201,AA201)</f>
        <v>364.92312866910243</v>
      </c>
    </row>
    <row r="202" spans="1:41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174</v>
      </c>
      <c r="I202">
        <v>0.08</v>
      </c>
      <c r="J202">
        <f t="shared" si="63"/>
        <v>1</v>
      </c>
      <c r="K202">
        <f t="shared" si="64"/>
        <v>51</v>
      </c>
      <c r="L202">
        <f t="shared" ca="1" si="65"/>
        <v>38818.817126721871</v>
      </c>
      <c r="M202">
        <f t="shared" ca="1" si="43"/>
        <v>230583.77373272792</v>
      </c>
      <c r="N202">
        <f t="shared" ca="1" si="44"/>
        <v>2.9697727848032547</v>
      </c>
      <c r="O202">
        <f t="shared" ca="1" si="45"/>
        <v>2.2117774886933127E-4</v>
      </c>
      <c r="P202">
        <f t="shared" ca="1" si="46"/>
        <v>39452.299126721875</v>
      </c>
      <c r="Q202">
        <f t="shared" ca="1" si="47"/>
        <v>39452.299126724371</v>
      </c>
      <c r="R202">
        <f t="shared" ca="1" si="48"/>
        <v>2.5785036735185644E-12</v>
      </c>
      <c r="S202">
        <f t="shared" ca="1" si="66"/>
        <v>9.5685650012455881E-4</v>
      </c>
      <c r="T202">
        <f t="shared" ca="1" si="67"/>
        <v>1</v>
      </c>
      <c r="U202">
        <f t="shared" ca="1" si="49"/>
        <v>0.05</v>
      </c>
      <c r="V202">
        <f t="shared" ca="1" si="50"/>
        <v>0.29700000000000004</v>
      </c>
      <c r="W202">
        <f t="shared" ca="1" si="51"/>
        <v>4.9172185430463582E-2</v>
      </c>
      <c r="X202">
        <f t="shared" ca="1" si="52"/>
        <v>171.71717171717168</v>
      </c>
      <c r="Y202">
        <f t="shared" ca="1" si="53"/>
        <v>633.53199999999993</v>
      </c>
      <c r="Z202">
        <f t="shared" ca="1" si="54"/>
        <v>2136.4263456954445</v>
      </c>
      <c r="AA202">
        <f t="shared" ca="1" si="55"/>
        <v>368.28493785630258</v>
      </c>
      <c r="AB202">
        <f t="shared" ca="1" si="56"/>
        <v>384.65567971074825</v>
      </c>
      <c r="AC202">
        <f t="shared" ca="1" si="57"/>
        <v>0</v>
      </c>
      <c r="AD202">
        <f ca="1">IF(V32="Supercritical",L202,U202)</f>
        <v>0.05</v>
      </c>
      <c r="AE202">
        <f t="shared" ca="1" si="58"/>
        <v>633.53199999999993</v>
      </c>
      <c r="AF202">
        <f t="shared" ca="1" si="59"/>
        <v>2136.4263456954445</v>
      </c>
      <c r="AI202">
        <v>0</v>
      </c>
      <c r="AJ202">
        <v>0</v>
      </c>
      <c r="AK202">
        <f t="shared" si="60"/>
        <v>0</v>
      </c>
      <c r="AL202">
        <f t="shared" si="68"/>
        <v>0</v>
      </c>
      <c r="AM202">
        <f t="shared" ca="1" si="61"/>
        <v>245.1851827248494</v>
      </c>
      <c r="AN202" t="str">
        <f t="shared" ca="1" si="62"/>
        <v>Supercritical</v>
      </c>
      <c r="AO202">
        <f ca="1">IF(V32="Supercritical",R202,AA202)</f>
        <v>368.28493785630258</v>
      </c>
    </row>
    <row r="203" spans="1:41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174</v>
      </c>
      <c r="I203">
        <v>0.08</v>
      </c>
      <c r="J203">
        <f t="shared" si="63"/>
        <v>1</v>
      </c>
      <c r="K203">
        <f t="shared" si="64"/>
        <v>51</v>
      </c>
      <c r="L203">
        <f t="shared" ca="1" si="65"/>
        <v>38818.856169865343</v>
      </c>
      <c r="M203">
        <f t="shared" ca="1" si="43"/>
        <v>229574.71538858363</v>
      </c>
      <c r="N203">
        <f t="shared" ca="1" si="44"/>
        <v>2.9567747696903863</v>
      </c>
      <c r="O203">
        <f t="shared" ca="1" si="45"/>
        <v>2.2214989971206623E-4</v>
      </c>
      <c r="P203">
        <f t="shared" ca="1" si="46"/>
        <v>39452.298169865346</v>
      </c>
      <c r="Q203">
        <f t="shared" ca="1" si="47"/>
        <v>39452.298169867863</v>
      </c>
      <c r="R203">
        <f t="shared" ca="1" si="48"/>
        <v>2.6164780930647573E-12</v>
      </c>
      <c r="S203">
        <f t="shared" ca="1" si="66"/>
        <v>9.5685650740051642E-4</v>
      </c>
      <c r="T203">
        <f t="shared" ca="1" si="67"/>
        <v>1</v>
      </c>
      <c r="U203">
        <f t="shared" ca="1" si="49"/>
        <v>0.05</v>
      </c>
      <c r="V203">
        <f t="shared" ca="1" si="50"/>
        <v>0.29570000000000002</v>
      </c>
      <c r="W203">
        <f t="shared" ca="1" si="51"/>
        <v>4.9168606584635857E-2</v>
      </c>
      <c r="X203">
        <f t="shared" ca="1" si="52"/>
        <v>172.47210010145417</v>
      </c>
      <c r="Y203">
        <f t="shared" ca="1" si="53"/>
        <v>633.49199999999996</v>
      </c>
      <c r="Z203">
        <f t="shared" ca="1" si="54"/>
        <v>2149.6298854947008</v>
      </c>
      <c r="AA203">
        <f t="shared" ca="1" si="55"/>
        <v>371.56633057069774</v>
      </c>
      <c r="AB203">
        <f t="shared" ca="1" si="56"/>
        <v>388.15429604060864</v>
      </c>
      <c r="AC203">
        <f t="shared" ca="1" si="57"/>
        <v>0</v>
      </c>
      <c r="AD203">
        <f ca="1">IF(V32="Supercritical",L203,U203)</f>
        <v>0.05</v>
      </c>
      <c r="AE203">
        <f t="shared" ca="1" si="58"/>
        <v>633.49199999999996</v>
      </c>
      <c r="AF203">
        <f t="shared" ca="1" si="59"/>
        <v>2149.6298854947008</v>
      </c>
      <c r="AI203">
        <v>0</v>
      </c>
      <c r="AJ203">
        <v>0</v>
      </c>
      <c r="AK203">
        <f t="shared" si="60"/>
        <v>0</v>
      </c>
      <c r="AL203">
        <f t="shared" si="68"/>
        <v>0</v>
      </c>
      <c r="AM203">
        <f t="shared" ca="1" si="61"/>
        <v>246.26310202664959</v>
      </c>
      <c r="AN203" t="str">
        <f t="shared" ca="1" si="62"/>
        <v>Supercritical</v>
      </c>
      <c r="AO203">
        <f ca="1">IF(V32="Supercritical",R203,AA203)</f>
        <v>371.56633057069774</v>
      </c>
    </row>
    <row r="204" spans="1:41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174</v>
      </c>
      <c r="I204">
        <v>0.08</v>
      </c>
      <c r="J204">
        <f t="shared" si="63"/>
        <v>1</v>
      </c>
      <c r="K204">
        <f t="shared" si="64"/>
        <v>51</v>
      </c>
      <c r="L204">
        <f t="shared" ca="1" si="65"/>
        <v>38818.895213008815</v>
      </c>
      <c r="M204">
        <f t="shared" ca="1" si="43"/>
        <v>228565.65501419589</v>
      </c>
      <c r="N204">
        <f t="shared" ca="1" si="44"/>
        <v>2.9437767458684156</v>
      </c>
      <c r="O204">
        <f t="shared" ca="1" si="45"/>
        <v>2.2313063612655393E-4</v>
      </c>
      <c r="P204">
        <f t="shared" ca="1" si="46"/>
        <v>39452.297213008816</v>
      </c>
      <c r="Q204">
        <f t="shared" ca="1" si="47"/>
        <v>39452.297213011356</v>
      </c>
      <c r="R204">
        <f t="shared" ca="1" si="48"/>
        <v>2.6551828332120726E-12</v>
      </c>
      <c r="S204">
        <f t="shared" ca="1" si="66"/>
        <v>9.5685650740051642E-4</v>
      </c>
      <c r="T204">
        <f t="shared" ca="1" si="67"/>
        <v>1</v>
      </c>
      <c r="U204">
        <f t="shared" ca="1" si="49"/>
        <v>0.05</v>
      </c>
      <c r="V204">
        <f t="shared" ca="1" si="50"/>
        <v>0.2944</v>
      </c>
      <c r="W204">
        <f t="shared" ca="1" si="51"/>
        <v>4.9164996659986644E-2</v>
      </c>
      <c r="X204">
        <f t="shared" ca="1" si="52"/>
        <v>173.23369565217391</v>
      </c>
      <c r="Y204">
        <f t="shared" ca="1" si="53"/>
        <v>633.452</v>
      </c>
      <c r="Z204">
        <f t="shared" ca="1" si="54"/>
        <v>2163.0092532777785</v>
      </c>
      <c r="AA204">
        <f t="shared" ca="1" si="55"/>
        <v>374.89177045354108</v>
      </c>
      <c r="AB204">
        <f t="shared" ca="1" si="56"/>
        <v>392.34544699135677</v>
      </c>
      <c r="AC204">
        <f t="shared" ca="1" si="57"/>
        <v>0</v>
      </c>
      <c r="AD204">
        <f ca="1">IF(V32="Supercritical",L204,U204)</f>
        <v>0.05</v>
      </c>
      <c r="AE204">
        <f t="shared" ca="1" si="58"/>
        <v>633.452</v>
      </c>
      <c r="AF204">
        <f t="shared" ca="1" si="59"/>
        <v>2163.0092532777785</v>
      </c>
      <c r="AI204">
        <v>0</v>
      </c>
      <c r="AJ204">
        <v>0</v>
      </c>
      <c r="AK204">
        <f t="shared" si="60"/>
        <v>0</v>
      </c>
      <c r="AL204">
        <f t="shared" si="68"/>
        <v>0</v>
      </c>
      <c r="AM204">
        <f t="shared" ca="1" si="61"/>
        <v>247.3505409961966</v>
      </c>
      <c r="AN204" t="str">
        <f t="shared" ca="1" si="62"/>
        <v>Supercritical</v>
      </c>
      <c r="AO204">
        <f ca="1">IF(V32="Supercritical",R204,AA204)</f>
        <v>374.89177045354108</v>
      </c>
    </row>
    <row r="205" spans="1:41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174</v>
      </c>
      <c r="I205">
        <v>0.08</v>
      </c>
      <c r="J205">
        <f t="shared" si="63"/>
        <v>1</v>
      </c>
      <c r="K205">
        <f t="shared" si="64"/>
        <v>51</v>
      </c>
      <c r="L205">
        <f t="shared" ca="1" si="65"/>
        <v>38818.934256152286</v>
      </c>
      <c r="M205">
        <f t="shared" ca="1" si="43"/>
        <v>227517.77367530853</v>
      </c>
      <c r="N205">
        <f t="shared" ca="1" si="44"/>
        <v>2.9302787888267616</v>
      </c>
      <c r="O205">
        <f t="shared" ca="1" si="45"/>
        <v>2.2415831157341707E-4</v>
      </c>
      <c r="P205">
        <f t="shared" ca="1" si="46"/>
        <v>39452.296256152287</v>
      </c>
      <c r="Q205">
        <f t="shared" ca="1" si="47"/>
        <v>39452.296256154848</v>
      </c>
      <c r="R205">
        <f t="shared" ca="1" si="48"/>
        <v>2.6961680400960154E-12</v>
      </c>
      <c r="S205">
        <f t="shared" ca="1" si="66"/>
        <v>9.5685650740051642E-4</v>
      </c>
      <c r="T205">
        <f t="shared" ca="1" si="67"/>
        <v>1</v>
      </c>
      <c r="U205">
        <f t="shared" ca="1" si="49"/>
        <v>0.05</v>
      </c>
      <c r="V205">
        <f t="shared" ca="1" si="50"/>
        <v>0.29304999999999998</v>
      </c>
      <c r="W205">
        <f t="shared" ca="1" si="51"/>
        <v>4.9161214561315218E-2</v>
      </c>
      <c r="X205">
        <f t="shared" ca="1" si="52"/>
        <v>174.03173519877154</v>
      </c>
      <c r="Y205">
        <f t="shared" ca="1" si="53"/>
        <v>633.41199999999992</v>
      </c>
      <c r="Z205">
        <f t="shared" ca="1" si="54"/>
        <v>2177.0942047041453</v>
      </c>
      <c r="AA205">
        <f t="shared" ca="1" si="55"/>
        <v>378.39258180324447</v>
      </c>
      <c r="AB205">
        <f t="shared" ca="1" si="56"/>
        <v>395.43539172208784</v>
      </c>
      <c r="AC205">
        <f t="shared" ca="1" si="57"/>
        <v>0</v>
      </c>
      <c r="AD205">
        <f ca="1">IF(V32="Supercritical",L205,U205)</f>
        <v>0.05</v>
      </c>
      <c r="AE205">
        <f t="shared" ca="1" si="58"/>
        <v>633.41199999999992</v>
      </c>
      <c r="AF205">
        <f t="shared" ca="1" si="59"/>
        <v>2177.0942047041453</v>
      </c>
      <c r="AI205">
        <v>0</v>
      </c>
      <c r="AJ205">
        <v>0</v>
      </c>
      <c r="AK205">
        <f t="shared" si="60"/>
        <v>0</v>
      </c>
      <c r="AL205">
        <f t="shared" si="68"/>
        <v>0</v>
      </c>
      <c r="AM205">
        <f t="shared" ca="1" si="61"/>
        <v>248.49001627462988</v>
      </c>
      <c r="AN205" t="str">
        <f t="shared" ca="1" si="62"/>
        <v>Supercritical</v>
      </c>
      <c r="AO205">
        <f ca="1">IF(V32="Supercritical",R205,AA205)</f>
        <v>378.39258180324447</v>
      </c>
    </row>
    <row r="206" spans="1:41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174</v>
      </c>
      <c r="I206">
        <v>0.08</v>
      </c>
      <c r="J206">
        <f t="shared" si="63"/>
        <v>1</v>
      </c>
      <c r="K206">
        <f t="shared" si="64"/>
        <v>51</v>
      </c>
      <c r="L206">
        <f t="shared" ca="1" si="65"/>
        <v>38818.973299295758</v>
      </c>
      <c r="M206">
        <f t="shared" ca="1" si="43"/>
        <v>226508.70920139074</v>
      </c>
      <c r="N206">
        <f t="shared" ca="1" si="44"/>
        <v>2.9172807472517497</v>
      </c>
      <c r="O206">
        <f t="shared" ca="1" si="45"/>
        <v>2.2515690535614453E-4</v>
      </c>
      <c r="P206">
        <f t="shared" ca="1" si="46"/>
        <v>39452.295299295758</v>
      </c>
      <c r="Q206">
        <f t="shared" ca="1" si="47"/>
        <v>39452.295299298341</v>
      </c>
      <c r="R206">
        <f t="shared" ca="1" si="48"/>
        <v>2.7364158173484701E-12</v>
      </c>
      <c r="S206">
        <f t="shared" ca="1" si="66"/>
        <v>9.5685650740051642E-4</v>
      </c>
      <c r="T206">
        <f t="shared" ca="1" si="67"/>
        <v>1</v>
      </c>
      <c r="U206">
        <f t="shared" ca="1" si="49"/>
        <v>0.05</v>
      </c>
      <c r="V206">
        <f t="shared" ca="1" si="50"/>
        <v>0.29175000000000001</v>
      </c>
      <c r="W206">
        <f t="shared" ca="1" si="51"/>
        <v>4.9157540016849202E-2</v>
      </c>
      <c r="X206">
        <f t="shared" ca="1" si="52"/>
        <v>174.80719794344472</v>
      </c>
      <c r="Y206">
        <f t="shared" ca="1" si="53"/>
        <v>633.37199999999996</v>
      </c>
      <c r="Z206">
        <f t="shared" ca="1" si="54"/>
        <v>2190.8417478511042</v>
      </c>
      <c r="AA206">
        <f t="shared" ca="1" si="55"/>
        <v>381.81028145152817</v>
      </c>
      <c r="AB206">
        <f t="shared" ca="1" si="56"/>
        <v>399.08230885605826</v>
      </c>
      <c r="AC206">
        <f t="shared" ca="1" si="57"/>
        <v>0</v>
      </c>
      <c r="AD206">
        <f ca="1">IF(V32="Supercritical",L206,U206)</f>
        <v>0.05</v>
      </c>
      <c r="AE206">
        <f t="shared" ca="1" si="58"/>
        <v>633.37199999999996</v>
      </c>
      <c r="AF206">
        <f t="shared" ca="1" si="59"/>
        <v>2190.8417478511042</v>
      </c>
      <c r="AI206">
        <v>0</v>
      </c>
      <c r="AJ206">
        <v>0</v>
      </c>
      <c r="AK206">
        <f t="shared" si="60"/>
        <v>0</v>
      </c>
      <c r="AL206">
        <f t="shared" si="68"/>
        <v>0</v>
      </c>
      <c r="AM206">
        <f t="shared" ca="1" si="61"/>
        <v>249.59725542169761</v>
      </c>
      <c r="AN206" t="str">
        <f t="shared" ca="1" si="62"/>
        <v>Supercritical</v>
      </c>
      <c r="AO206">
        <f ca="1">IF(V32="Supercritical",R206,AA206)</f>
        <v>381.81028145152817</v>
      </c>
    </row>
    <row r="207" spans="1:41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174</v>
      </c>
      <c r="I207">
        <v>0.08</v>
      </c>
      <c r="J207">
        <f t="shared" si="63"/>
        <v>1</v>
      </c>
      <c r="K207">
        <f t="shared" si="64"/>
        <v>51</v>
      </c>
      <c r="L207">
        <f t="shared" ca="1" si="65"/>
        <v>38819.01234243923</v>
      </c>
      <c r="M207">
        <f t="shared" ca="1" si="43"/>
        <v>225499.64269722949</v>
      </c>
      <c r="N207">
        <f t="shared" ca="1" si="44"/>
        <v>2.9042826969676891</v>
      </c>
      <c r="O207">
        <f t="shared" ca="1" si="45"/>
        <v>2.2616443817818338E-4</v>
      </c>
      <c r="P207">
        <f t="shared" ca="1" si="46"/>
        <v>39452.294342439229</v>
      </c>
      <c r="Q207">
        <f t="shared" ca="1" si="47"/>
        <v>39452.294342441834</v>
      </c>
      <c r="R207">
        <f t="shared" ca="1" si="48"/>
        <v>2.7774482186259298E-12</v>
      </c>
      <c r="S207">
        <f t="shared" ca="1" si="66"/>
        <v>9.5685650740051642E-4</v>
      </c>
      <c r="T207">
        <f t="shared" ca="1" si="67"/>
        <v>1</v>
      </c>
      <c r="U207">
        <f t="shared" ca="1" si="49"/>
        <v>0.05</v>
      </c>
      <c r="V207">
        <f t="shared" ca="1" si="50"/>
        <v>0.29045000000000004</v>
      </c>
      <c r="W207">
        <f t="shared" ca="1" si="51"/>
        <v>4.9153833135894408E-2</v>
      </c>
      <c r="X207">
        <f t="shared" ca="1" si="52"/>
        <v>175.58960234119468</v>
      </c>
      <c r="Y207">
        <f t="shared" ca="1" si="53"/>
        <v>633.33199999999999</v>
      </c>
      <c r="Z207">
        <f t="shared" ca="1" si="54"/>
        <v>2204.7748364087092</v>
      </c>
      <c r="AA207">
        <f t="shared" ca="1" si="55"/>
        <v>385.27449001081459</v>
      </c>
      <c r="AB207">
        <f t="shared" ca="1" si="56"/>
        <v>403.32705670999985</v>
      </c>
      <c r="AC207">
        <f t="shared" ca="1" si="57"/>
        <v>0</v>
      </c>
      <c r="AD207">
        <f ca="1">IF(V32="Supercritical",L207,U207)</f>
        <v>0.05</v>
      </c>
      <c r="AE207">
        <f t="shared" ca="1" si="58"/>
        <v>633.33199999999999</v>
      </c>
      <c r="AF207">
        <f t="shared" ca="1" si="59"/>
        <v>2204.7748364087092</v>
      </c>
      <c r="AI207">
        <v>0</v>
      </c>
      <c r="AJ207">
        <v>0</v>
      </c>
      <c r="AK207">
        <f t="shared" si="60"/>
        <v>0</v>
      </c>
      <c r="AL207">
        <f t="shared" si="68"/>
        <v>0</v>
      </c>
      <c r="AM207">
        <f t="shared" ca="1" si="61"/>
        <v>250.71440616037279</v>
      </c>
      <c r="AN207" t="str">
        <f t="shared" ca="1" si="62"/>
        <v>Supercritical</v>
      </c>
      <c r="AO207">
        <f ca="1">IF(V32="Supercritical",R207,AA207)</f>
        <v>385.27449001081459</v>
      </c>
    </row>
    <row r="208" spans="1:41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174</v>
      </c>
      <c r="I208">
        <v>3.3000000000000002E-2</v>
      </c>
      <c r="J208">
        <f t="shared" si="63"/>
        <v>1</v>
      </c>
      <c r="K208">
        <f t="shared" si="64"/>
        <v>51</v>
      </c>
      <c r="L208">
        <f t="shared" ca="1" si="65"/>
        <v>38819.051385582694</v>
      </c>
      <c r="M208">
        <f t="shared" ca="1" si="43"/>
        <v>224451.75511143912</v>
      </c>
      <c r="N208">
        <f t="shared" ca="1" si="44"/>
        <v>2.8907847124464561</v>
      </c>
      <c r="O208">
        <f t="shared" ca="1" si="45"/>
        <v>2.2722032168863535E-4</v>
      </c>
      <c r="P208">
        <f t="shared" ca="1" si="46"/>
        <v>39452.293385582692</v>
      </c>
      <c r="Q208">
        <f t="shared" ca="1" si="47"/>
        <v>39452.293385585326</v>
      </c>
      <c r="R208">
        <f t="shared" ca="1" si="48"/>
        <v>2.8209097574591066E-12</v>
      </c>
      <c r="S208">
        <f t="shared" ca="1" si="66"/>
        <v>9.5685650740051642E-4</v>
      </c>
      <c r="T208">
        <f t="shared" ca="1" si="67"/>
        <v>1</v>
      </c>
      <c r="U208">
        <f t="shared" ca="1" si="49"/>
        <v>0.05</v>
      </c>
      <c r="V208">
        <f t="shared" ca="1" si="50"/>
        <v>0.28910000000000002</v>
      </c>
      <c r="W208">
        <f t="shared" ca="1" si="51"/>
        <v>4.9149948996939821E-2</v>
      </c>
      <c r="X208">
        <f t="shared" ca="1" si="52"/>
        <v>176.40954686959529</v>
      </c>
      <c r="Y208">
        <f t="shared" ca="1" si="53"/>
        <v>633.29199999999992</v>
      </c>
      <c r="Z208">
        <f t="shared" ca="1" si="54"/>
        <v>2219.445324502341</v>
      </c>
      <c r="AA208">
        <f t="shared" ca="1" si="55"/>
        <v>388.92207273749904</v>
      </c>
      <c r="AB208">
        <f t="shared" ca="1" si="56"/>
        <v>406.10747488283641</v>
      </c>
      <c r="AC208">
        <f t="shared" ca="1" si="57"/>
        <v>0</v>
      </c>
      <c r="AD208">
        <f ca="1">IF(V32="Supercritical",L208,U208)</f>
        <v>0.05</v>
      </c>
      <c r="AE208">
        <f t="shared" ca="1" si="58"/>
        <v>633.29199999999992</v>
      </c>
      <c r="AF208">
        <f t="shared" ca="1" si="59"/>
        <v>2219.445324502341</v>
      </c>
      <c r="AI208">
        <v>0</v>
      </c>
      <c r="AJ208">
        <v>0</v>
      </c>
      <c r="AK208">
        <f t="shared" si="60"/>
        <v>0</v>
      </c>
      <c r="AL208">
        <f t="shared" si="68"/>
        <v>0</v>
      </c>
      <c r="AM208">
        <f t="shared" ca="1" si="61"/>
        <v>251.88515831643127</v>
      </c>
      <c r="AN208" t="str">
        <f t="shared" ca="1" si="62"/>
        <v>Supercritical</v>
      </c>
      <c r="AO208">
        <f ca="1">IF(V32="Supercritical",R208,AA208)</f>
        <v>388.92207273749904</v>
      </c>
    </row>
    <row r="209" spans="1:41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174</v>
      </c>
      <c r="I209">
        <v>1.4E-2</v>
      </c>
      <c r="J209">
        <f t="shared" si="63"/>
        <v>0.99899999999999523</v>
      </c>
      <c r="K209">
        <f t="shared" si="64"/>
        <v>51</v>
      </c>
      <c r="L209">
        <f t="shared" ca="1" si="65"/>
        <v>38819.090428726166</v>
      </c>
      <c r="M209">
        <f t="shared" ca="1" si="43"/>
        <v>223442.68450774782</v>
      </c>
      <c r="N209">
        <f t="shared" ca="1" si="44"/>
        <v>2.8777866444094613</v>
      </c>
      <c r="O209">
        <f t="shared" ca="1" si="45"/>
        <v>2.2824645216000162E-4</v>
      </c>
      <c r="P209">
        <f t="shared" ca="1" si="46"/>
        <v>39452.292428726163</v>
      </c>
      <c r="Q209">
        <f t="shared" ca="1" si="47"/>
        <v>39452.292428728819</v>
      </c>
      <c r="R209">
        <f t="shared" ca="1" si="48"/>
        <v>2.8636007383726974E-12</v>
      </c>
      <c r="S209">
        <f t="shared" ca="1" si="66"/>
        <v>9.5685650740051642E-4</v>
      </c>
      <c r="T209">
        <f t="shared" ca="1" si="67"/>
        <v>1</v>
      </c>
      <c r="U209">
        <f t="shared" ca="1" si="49"/>
        <v>0.05</v>
      </c>
      <c r="V209">
        <f t="shared" ca="1" si="50"/>
        <v>0.2878</v>
      </c>
      <c r="W209">
        <f t="shared" ca="1" si="51"/>
        <v>4.914617486338798E-2</v>
      </c>
      <c r="X209">
        <f t="shared" ca="1" si="52"/>
        <v>177.2063933287005</v>
      </c>
      <c r="Y209">
        <f t="shared" ca="1" si="53"/>
        <v>633.25199999999995</v>
      </c>
      <c r="Z209">
        <f t="shared" ca="1" si="54"/>
        <v>2233.7670783163153</v>
      </c>
      <c r="AA209">
        <f t="shared" ca="1" si="55"/>
        <v>392.48373374025749</v>
      </c>
      <c r="AB209">
        <f t="shared" ca="1" si="56"/>
        <v>410.69457800344981</v>
      </c>
      <c r="AC209">
        <f t="shared" ca="1" si="57"/>
        <v>0</v>
      </c>
      <c r="AD209">
        <f ca="1">IF(V32="Supercritical",L209,U209)</f>
        <v>0.05</v>
      </c>
      <c r="AE209">
        <f t="shared" ca="1" si="58"/>
        <v>633.25199999999995</v>
      </c>
      <c r="AF209">
        <f t="shared" ca="1" si="59"/>
        <v>2233.7670783163153</v>
      </c>
      <c r="AI209">
        <v>0</v>
      </c>
      <c r="AJ209">
        <v>0</v>
      </c>
      <c r="AK209">
        <f t="shared" si="60"/>
        <v>0</v>
      </c>
      <c r="AL209">
        <f t="shared" si="68"/>
        <v>0</v>
      </c>
      <c r="AM209">
        <f t="shared" ca="1" si="61"/>
        <v>253.02293005309343</v>
      </c>
      <c r="AN209" t="str">
        <f t="shared" ca="1" si="62"/>
        <v>Supercritical</v>
      </c>
      <c r="AO209">
        <f ca="1">IF(V32="Supercritical",R209,AA209)</f>
        <v>392.48373374025749</v>
      </c>
    </row>
    <row r="210" spans="1:41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174</v>
      </c>
      <c r="I210">
        <v>1.4E-2</v>
      </c>
      <c r="J210">
        <f t="shared" si="63"/>
        <v>1.0010000000000048</v>
      </c>
      <c r="K210">
        <f t="shared" si="64"/>
        <v>51</v>
      </c>
      <c r="L210">
        <f t="shared" ca="1" si="65"/>
        <v>38819.129471869637</v>
      </c>
      <c r="M210">
        <f t="shared" ca="1" si="43"/>
        <v>222433.61187381303</v>
      </c>
      <c r="N210">
        <f t="shared" ca="1" si="44"/>
        <v>2.864788567663469</v>
      </c>
      <c r="O210">
        <f t="shared" ca="1" si="45"/>
        <v>2.2928189481062955E-4</v>
      </c>
      <c r="P210">
        <f t="shared" ca="1" si="46"/>
        <v>39452.291471869634</v>
      </c>
      <c r="Q210">
        <f t="shared" ca="1" si="47"/>
        <v>39452.291471872311</v>
      </c>
      <c r="R210">
        <f t="shared" ca="1" si="48"/>
        <v>2.9071355091308678E-12</v>
      </c>
      <c r="S210">
        <f t="shared" ca="1" si="66"/>
        <v>9.5685650740051642E-4</v>
      </c>
      <c r="T210">
        <f t="shared" ca="1" si="67"/>
        <v>1</v>
      </c>
      <c r="U210">
        <f t="shared" ca="1" si="49"/>
        <v>0.05</v>
      </c>
      <c r="V210">
        <f t="shared" ca="1" si="50"/>
        <v>0.28650000000000003</v>
      </c>
      <c r="W210">
        <f t="shared" ca="1" si="51"/>
        <v>4.914236706689537E-2</v>
      </c>
      <c r="X210">
        <f t="shared" ca="1" si="52"/>
        <v>178.01047120418846</v>
      </c>
      <c r="Y210">
        <f t="shared" ca="1" si="53"/>
        <v>633.21199999999999</v>
      </c>
      <c r="Z210">
        <f t="shared" ca="1" si="54"/>
        <v>2248.2847756542919</v>
      </c>
      <c r="AA210">
        <f t="shared" ca="1" si="55"/>
        <v>396.09453978669859</v>
      </c>
      <c r="AB210">
        <f t="shared" ca="1" si="56"/>
        <v>414.4576486436481</v>
      </c>
      <c r="AC210">
        <f t="shared" ca="1" si="57"/>
        <v>0</v>
      </c>
      <c r="AD210">
        <f ca="1">IF(V32="Supercritical",L210,U210)</f>
        <v>0.05</v>
      </c>
      <c r="AE210">
        <f t="shared" ca="1" si="58"/>
        <v>633.21199999999999</v>
      </c>
      <c r="AF210">
        <f t="shared" ca="1" si="59"/>
        <v>2248.2847756542919</v>
      </c>
      <c r="AI210">
        <v>0</v>
      </c>
      <c r="AJ210">
        <v>0</v>
      </c>
      <c r="AK210">
        <f t="shared" si="60"/>
        <v>0</v>
      </c>
      <c r="AL210">
        <f t="shared" si="68"/>
        <v>0</v>
      </c>
      <c r="AM210">
        <f t="shared" ca="1" si="61"/>
        <v>254.17102711790673</v>
      </c>
      <c r="AN210" t="str">
        <f t="shared" ca="1" si="62"/>
        <v>Supercritical</v>
      </c>
      <c r="AO210">
        <f ca="1">IF(V32="Supercritical",R210,AA210)</f>
        <v>396.09453978669859</v>
      </c>
    </row>
    <row r="211" spans="1:41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174</v>
      </c>
      <c r="I211">
        <v>1.4E-2</v>
      </c>
      <c r="J211">
        <f t="shared" si="63"/>
        <v>0.99899999999999523</v>
      </c>
      <c r="K211">
        <f t="shared" si="64"/>
        <v>51</v>
      </c>
      <c r="L211">
        <f t="shared" ca="1" si="65"/>
        <v>38819.168515013094</v>
      </c>
      <c r="M211">
        <f t="shared" ca="1" si="43"/>
        <v>221385.71804111969</v>
      </c>
      <c r="N211">
        <f t="shared" ca="1" si="44"/>
        <v>2.8512905556628212</v>
      </c>
      <c r="O211">
        <f t="shared" ca="1" si="45"/>
        <v>2.3036716393117724E-4</v>
      </c>
      <c r="P211">
        <f t="shared" ca="1" si="46"/>
        <v>39452.290515013097</v>
      </c>
      <c r="Q211">
        <f t="shared" ca="1" si="47"/>
        <v>39452.290515015804</v>
      </c>
      <c r="R211">
        <f t="shared" ca="1" si="48"/>
        <v>2.9532601285595124E-12</v>
      </c>
      <c r="S211">
        <f t="shared" ca="1" si="66"/>
        <v>9.5685650740051642E-4</v>
      </c>
      <c r="T211">
        <f t="shared" ca="1" si="67"/>
        <v>1</v>
      </c>
      <c r="U211">
        <f t="shared" ca="1" si="49"/>
        <v>0.05</v>
      </c>
      <c r="V211">
        <f t="shared" ca="1" si="50"/>
        <v>0.28515000000000001</v>
      </c>
      <c r="W211">
        <f t="shared" ca="1" si="51"/>
        <v>4.9138376701706017E-2</v>
      </c>
      <c r="X211">
        <f t="shared" ca="1" si="52"/>
        <v>178.85323513940031</v>
      </c>
      <c r="Y211">
        <f t="shared" ca="1" si="53"/>
        <v>633.17199999999991</v>
      </c>
      <c r="Z211">
        <f t="shared" ca="1" si="54"/>
        <v>2263.5736167089508</v>
      </c>
      <c r="AA211">
        <f t="shared" ca="1" si="55"/>
        <v>399.89721352488328</v>
      </c>
      <c r="AB211">
        <f t="shared" ca="1" si="56"/>
        <v>418.70989351166281</v>
      </c>
      <c r="AC211">
        <f t="shared" ca="1" si="57"/>
        <v>0</v>
      </c>
      <c r="AD211">
        <f ca="1">IF(V32="Supercritical",L211,U211)</f>
        <v>0.05</v>
      </c>
      <c r="AE211">
        <f t="shared" ca="1" si="58"/>
        <v>633.17199999999991</v>
      </c>
      <c r="AF211">
        <f t="shared" ca="1" si="59"/>
        <v>2263.5736167089508</v>
      </c>
      <c r="AI211">
        <v>0</v>
      </c>
      <c r="AJ211">
        <v>0</v>
      </c>
      <c r="AK211">
        <f t="shared" si="60"/>
        <v>0</v>
      </c>
      <c r="AL211">
        <f t="shared" si="68"/>
        <v>0</v>
      </c>
      <c r="AM211">
        <f t="shared" ca="1" si="61"/>
        <v>255.37436180704992</v>
      </c>
      <c r="AN211" t="str">
        <f t="shared" ca="1" si="62"/>
        <v>Supercritical</v>
      </c>
      <c r="AO211">
        <f ca="1">IF(V32="Supercritical",R211,AA211)</f>
        <v>399.89721352488328</v>
      </c>
    </row>
    <row r="212" spans="1:41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174</v>
      </c>
      <c r="I212">
        <v>4.7E-2</v>
      </c>
      <c r="J212">
        <f t="shared" si="63"/>
        <v>1.0010000000000048</v>
      </c>
      <c r="K212">
        <f t="shared" si="64"/>
        <v>51</v>
      </c>
      <c r="L212">
        <f t="shared" ca="1" si="65"/>
        <v>38819.207558156566</v>
      </c>
      <c r="M212">
        <f t="shared" ca="1" si="43"/>
        <v>220376.64130765482</v>
      </c>
      <c r="N212">
        <f t="shared" ca="1" si="44"/>
        <v>2.8382924611640012</v>
      </c>
      <c r="O212">
        <f t="shared" ca="1" si="45"/>
        <v>2.3142198600259957E-4</v>
      </c>
      <c r="P212">
        <f t="shared" ca="1" si="46"/>
        <v>39452.289558156568</v>
      </c>
      <c r="Q212">
        <f t="shared" ca="1" si="47"/>
        <v>39452.289558159297</v>
      </c>
      <c r="R212">
        <f t="shared" ca="1" si="48"/>
        <v>2.9985794413522221E-12</v>
      </c>
      <c r="S212">
        <f t="shared" ca="1" si="66"/>
        <v>9.5685650740051642E-4</v>
      </c>
      <c r="T212">
        <f t="shared" ca="1" si="67"/>
        <v>1</v>
      </c>
      <c r="U212">
        <f t="shared" ca="1" si="49"/>
        <v>0.05</v>
      </c>
      <c r="V212">
        <f t="shared" ca="1" si="50"/>
        <v>0.28384999999999999</v>
      </c>
      <c r="W212">
        <f t="shared" ca="1" si="51"/>
        <v>4.913449887484854E-2</v>
      </c>
      <c r="X212">
        <f t="shared" ca="1" si="52"/>
        <v>179.67236216311431</v>
      </c>
      <c r="Y212">
        <f t="shared" ca="1" si="53"/>
        <v>633.13199999999995</v>
      </c>
      <c r="Z212">
        <f t="shared" ca="1" si="54"/>
        <v>2278.5019146418608</v>
      </c>
      <c r="AA212">
        <f t="shared" ca="1" si="55"/>
        <v>403.61103517737422</v>
      </c>
      <c r="AB212">
        <f t="shared" ca="1" si="56"/>
        <v>422.36825345592752</v>
      </c>
      <c r="AC212">
        <f t="shared" ca="1" si="57"/>
        <v>0</v>
      </c>
      <c r="AD212">
        <f ca="1">IF(V32="Supercritical",L212,U212)</f>
        <v>0.05</v>
      </c>
      <c r="AE212">
        <f t="shared" ca="1" si="58"/>
        <v>633.13199999999995</v>
      </c>
      <c r="AF212">
        <f t="shared" ca="1" si="59"/>
        <v>2278.5019146418608</v>
      </c>
      <c r="AI212">
        <v>0</v>
      </c>
      <c r="AJ212">
        <v>0</v>
      </c>
      <c r="AK212">
        <f t="shared" si="60"/>
        <v>0</v>
      </c>
      <c r="AL212">
        <f t="shared" si="68"/>
        <v>0</v>
      </c>
      <c r="AM212">
        <f t="shared" ca="1" si="61"/>
        <v>256.54394669466365</v>
      </c>
      <c r="AN212" t="str">
        <f t="shared" ca="1" si="62"/>
        <v>Supercritical</v>
      </c>
      <c r="AO212">
        <f ca="1">IF(V32="Supercritical",R212,AA212)</f>
        <v>403.61103517737422</v>
      </c>
    </row>
    <row r="213" spans="1:41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174</v>
      </c>
      <c r="I213">
        <v>0.08</v>
      </c>
      <c r="J213">
        <f t="shared" si="63"/>
        <v>1</v>
      </c>
      <c r="K213">
        <f t="shared" si="64"/>
        <v>51</v>
      </c>
      <c r="L213">
        <f t="shared" ca="1" si="65"/>
        <v>38819.24660130003</v>
      </c>
      <c r="M213">
        <f t="shared" ca="1" si="43"/>
        <v>219367.56254394646</v>
      </c>
      <c r="N213">
        <f t="shared" ca="1" si="44"/>
        <v>2.8252943579562375</v>
      </c>
      <c r="O213">
        <f t="shared" ca="1" si="45"/>
        <v>2.3248651445348964E-4</v>
      </c>
      <c r="P213">
        <f t="shared" ca="1" si="46"/>
        <v>39452.288601300032</v>
      </c>
      <c r="Q213">
        <f t="shared" ca="1" si="47"/>
        <v>39452.288601302789</v>
      </c>
      <c r="R213">
        <f t="shared" ca="1" si="48"/>
        <v>3.0448070835340185E-12</v>
      </c>
      <c r="S213">
        <f t="shared" ca="1" si="66"/>
        <v>9.5685650740051642E-4</v>
      </c>
      <c r="T213">
        <f t="shared" ca="1" si="67"/>
        <v>1</v>
      </c>
      <c r="U213">
        <f t="shared" ca="1" si="49"/>
        <v>0.05</v>
      </c>
      <c r="V213">
        <f t="shared" ca="1" si="50"/>
        <v>0.28255000000000002</v>
      </c>
      <c r="W213">
        <f t="shared" ca="1" si="51"/>
        <v>4.9130585985046091E-2</v>
      </c>
      <c r="X213">
        <f t="shared" ca="1" si="52"/>
        <v>180.49902672093432</v>
      </c>
      <c r="Y213">
        <f t="shared" ca="1" si="53"/>
        <v>633.09199999999998</v>
      </c>
      <c r="Z213">
        <f t="shared" ca="1" si="54"/>
        <v>2293.6372929258187</v>
      </c>
      <c r="AA213">
        <f t="shared" ca="1" si="55"/>
        <v>407.37682743165988</v>
      </c>
      <c r="AB213">
        <f t="shared" ca="1" si="56"/>
        <v>427.12428165389929</v>
      </c>
      <c r="AC213">
        <f t="shared" ca="1" si="57"/>
        <v>0</v>
      </c>
      <c r="AD213">
        <f ca="1">IF(V32="Supercritical",L213,U213)</f>
        <v>0.05</v>
      </c>
      <c r="AE213">
        <f t="shared" ca="1" si="58"/>
        <v>633.09199999999998</v>
      </c>
      <c r="AF213">
        <f t="shared" ca="1" si="59"/>
        <v>2293.6372929258187</v>
      </c>
      <c r="AI213">
        <v>0</v>
      </c>
      <c r="AJ213">
        <v>0</v>
      </c>
      <c r="AK213">
        <f t="shared" si="60"/>
        <v>0</v>
      </c>
      <c r="AL213">
        <f t="shared" si="68"/>
        <v>0</v>
      </c>
      <c r="AM213">
        <f t="shared" ca="1" si="61"/>
        <v>257.7242939985145</v>
      </c>
      <c r="AN213" t="str">
        <f t="shared" ca="1" si="62"/>
        <v>Supercritical</v>
      </c>
      <c r="AO213">
        <f ca="1">IF(V32="Supercritical",R213,AA213)</f>
        <v>407.37682743165988</v>
      </c>
    </row>
    <row r="214" spans="1:41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174</v>
      </c>
      <c r="I214">
        <v>0.08</v>
      </c>
      <c r="J214">
        <f t="shared" si="63"/>
        <v>1</v>
      </c>
      <c r="K214">
        <f t="shared" si="64"/>
        <v>51</v>
      </c>
      <c r="L214">
        <f t="shared" ca="1" si="65"/>
        <v>38819.285644443502</v>
      </c>
      <c r="M214">
        <f t="shared" ref="M214:M277" ca="1" si="69">((F214)+(G214)*(L214))*(L214)</f>
        <v>218319.66246435023</v>
      </c>
      <c r="N214">
        <f t="shared" ref="N214:N277" ca="1" si="70">(((F214)+(G214)*(L214))*(L214))/MAX((F214)+2*(L214)*SQRT(1+(G214)^2),0.000001)</f>
        <v>2.811796318476337</v>
      </c>
      <c r="O214">
        <f t="shared" ref="O214:O277" ca="1" si="71">ABS(K214)/MAX(((F214)+(G214)*(L214))*(L214),0.000001)</f>
        <v>2.3360241319687764E-4</v>
      </c>
      <c r="P214">
        <f t="shared" ref="P214:P277" ca="1" si="72">E214+L214</f>
        <v>39452.287644443502</v>
      </c>
      <c r="Q214">
        <f t="shared" ref="Q214:Q277" ca="1" si="73">P214+((ABS(K214)/MAX(((F214)+(G214)*(L214))*(L214),0.000001))^2)/(2*$I$5)</f>
        <v>39452.287644446282</v>
      </c>
      <c r="R214">
        <f t="shared" ref="R214:R277" ca="1" si="74">((ABS(K214)*$D$6)/(MAX(((F214)+(G214)*(L214))*(L214),0.000001)*MAX(((((F214)+(G214)*(L214))*(L214))/MAX((F214)+2*(L214)*SQRT(1+(G214)^2),0.000001))^(2/3),0.000001)))^2</f>
        <v>3.0937984954410356E-12</v>
      </c>
      <c r="S214">
        <f t="shared" ca="1" si="66"/>
        <v>9.5685650740051642E-4</v>
      </c>
      <c r="T214">
        <f t="shared" ca="1" si="67"/>
        <v>1</v>
      </c>
      <c r="U214">
        <f t="shared" ref="U214:U277" ca="1" si="75">IF($D$20=0,U215,IF(AC215=0,U215,IF(U214=0,U215,IF(ABS(AB214)&gt;$D$19,MAX($D$16,U214+((AB214)*$D$18*IF((ABS(ABS(K214)/MAX(((F214)+(G214)*(U214))*(U214),0.000001))/SQRT($I$5*MAX((((F214)+(G214)*(U214))*(U214))/MAX((F214)+2*(G214)*(U214),0.000001),0.000001)))&lt;1,1,-1))),U214))))</f>
        <v>0.05</v>
      </c>
      <c r="V214">
        <f t="shared" ref="V214:V277" ca="1" si="76">((F214)+(G214)*(U214))*(U214)</f>
        <v>0.28120000000000001</v>
      </c>
      <c r="W214">
        <f t="shared" ref="W214:W277" ca="1" si="77">(((F214)+(G214)*(U214))*(U214))/MAX((F214)+2*(U214)*SQRT(1+(G214)^2),0.000001)</f>
        <v>4.9126484975541583E-2</v>
      </c>
      <c r="X214">
        <f t="shared" ref="X214:X277" ca="1" si="78">ABS(K214)/MAX(((F214)+(G214)*(U214))*(U214),0.000001)</f>
        <v>181.3655761024182</v>
      </c>
      <c r="Y214">
        <f t="shared" ref="Y214:Y277" ca="1" si="79">E214+U214</f>
        <v>633.05199999999991</v>
      </c>
      <c r="Z214">
        <f t="shared" ref="Z214:Z277" ca="1" si="80">Y214+((ABS(K214)/MAX(((F214)+(G214)*(U214))*(U214),0.000001))^2)/(2*$I$5)</f>
        <v>2309.5796348094827</v>
      </c>
      <c r="AA214">
        <f t="shared" ref="AA214:AA277" ca="1" si="81">((ABS(K214)*$D$6)/(MAX(((F214)+(G214)*(U214))*(U214),0.000001)*MAX(((((F214)+(G214)*(U214))*(U214))/MAX((F214)+2*(U214)*SQRT(1+(G214)^2),0.000001))^(2/3),0.000001)))^2</f>
        <v>411.34350969612797</v>
      </c>
      <c r="AB214">
        <f t="shared" ref="AB214:AB277" ca="1" si="82">Z215+(((AA214+AA215)/2)*J215)+(IF(X214&gt;X215,$D$8*((X214^2-X215^2)/(2*$I$5)),$D$9*((X215^2-X214^2)/(2*$I$5)))+($D$10*(ABS(I215)/90)*(MAX(X214^2,X215^2)/(2*$I$5))))-Z214</f>
        <v>430.63694696760604</v>
      </c>
      <c r="AC214">
        <f t="shared" ref="AC214:AC277" ca="1" si="83">IF(ABS(AB214)&lt;$D$19,1,0)</f>
        <v>0</v>
      </c>
      <c r="AD214">
        <f ca="1">IF(V32="Supercritical",L214,U214)</f>
        <v>0.05</v>
      </c>
      <c r="AE214">
        <f t="shared" ref="AE214:AE277" ca="1" si="84">E214+AD214</f>
        <v>633.05199999999991</v>
      </c>
      <c r="AF214">
        <f t="shared" ref="AF214:AF277" ca="1" si="85">AE214+((ABS(K214)/MAX(((F214)+(G214)*(AD214))*(AD214),0.000001))^2)/(2*$I$5)</f>
        <v>2309.5796348094827</v>
      </c>
      <c r="AI214">
        <v>0</v>
      </c>
      <c r="AJ214">
        <v>0</v>
      </c>
      <c r="AK214">
        <f t="shared" ref="AK214:AK277" si="86">AI214+AJ214</f>
        <v>0</v>
      </c>
      <c r="AL214">
        <f t="shared" si="68"/>
        <v>0</v>
      </c>
      <c r="AM214">
        <f t="shared" ref="AM214:AM277" ca="1" si="87">ABS(ABS(K214)/MAX(((F214)+(G214)*(AD214))*(AD214),0.000001))/SQRT($I$5*MAX((((F214)+(G214)*(AD214))*(AD214))/MAX((F214)+2*(G214)*(AD214),0.000001),0.000001))</f>
        <v>258.96159057354299</v>
      </c>
      <c r="AN214" t="str">
        <f t="shared" ref="AN214:AN277" ca="1" si="88">IF(AM214&lt;1,"Subcritical","Supercritical")</f>
        <v>Supercritical</v>
      </c>
      <c r="AO214">
        <f ca="1">IF(V32="Supercritical",R214,AA214)</f>
        <v>411.34350969612797</v>
      </c>
    </row>
    <row r="215" spans="1:41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174</v>
      </c>
      <c r="I215">
        <v>0.08</v>
      </c>
      <c r="J215">
        <f t="shared" ref="J215:J278" si="89">B215-B214</f>
        <v>0.99999999999999289</v>
      </c>
      <c r="K215">
        <f t="shared" ref="K215:K278" si="90">MAX(0,K214-AK214)</f>
        <v>51</v>
      </c>
      <c r="L215">
        <f t="shared" ref="L215:L278" ca="1" si="91">IF($D$20=0,L214,IF(T214=0,L214,IF(L215=0,L214,IF(ABS(S215)&gt;$D$19,MAX($D$16,L215+((S215)*$D$18*IF((ABS(ABS(K215)/MAX(((F215)+(G215)*(L215))*(L215),0.000001))/SQRT($I$5*MAX((((F215)+(G215)*(L215))*(L215))/MAX((F215)+2*(G215)*(L215),0.000001),0.000001)))&lt;1,1,-1))),L215))))</f>
        <v>38819.324687586966</v>
      </c>
      <c r="M215">
        <f t="shared" ca="1" si="69"/>
        <v>217310.57960111182</v>
      </c>
      <c r="N215">
        <f t="shared" ca="1" si="70"/>
        <v>2.7987981975158531</v>
      </c>
      <c r="O215">
        <f t="shared" ca="1" si="71"/>
        <v>2.3468714727839727E-4</v>
      </c>
      <c r="P215">
        <f t="shared" ca="1" si="72"/>
        <v>39452.286687586966</v>
      </c>
      <c r="Q215">
        <f t="shared" ca="1" si="73"/>
        <v>39452.286687589774</v>
      </c>
      <c r="R215">
        <f t="shared" ca="1" si="74"/>
        <v>3.1419481656369824E-12</v>
      </c>
      <c r="S215">
        <f t="shared" ref="S215:S278" ca="1" si="92">Q214-(((R214+R215)/2)*J215)-(IF(O214&gt;O215,$D$8*((O214^2-O215^2)/(2*$I$5)),$D$9*((O215^2-O214^2)/(2*$I$5)))+($D$10*(ABS(I215)/90)*(MAX(O214^2,O215^2)/(2*$I$5))))-Q215</f>
        <v>9.5685650740051642E-4</v>
      </c>
      <c r="T215">
        <f t="shared" ref="T215:T278" ca="1" si="93">IF(ABS(S215)&lt;$D$19,1,0)</f>
        <v>1</v>
      </c>
      <c r="U215">
        <f t="shared" ca="1" si="75"/>
        <v>0.05</v>
      </c>
      <c r="V215">
        <f t="shared" ca="1" si="76"/>
        <v>0.27989999999999998</v>
      </c>
      <c r="W215">
        <f t="shared" ca="1" si="77"/>
        <v>4.9122499122499122E-2</v>
      </c>
      <c r="X215">
        <f t="shared" ca="1" si="78"/>
        <v>182.20793140407289</v>
      </c>
      <c r="Y215">
        <f t="shared" ca="1" si="79"/>
        <v>633.01199999999994</v>
      </c>
      <c r="Z215">
        <f t="shared" ca="1" si="80"/>
        <v>2325.149118580598</v>
      </c>
      <c r="AA215">
        <f t="shared" ca="1" si="81"/>
        <v>415.21828337768119</v>
      </c>
      <c r="AB215">
        <f t="shared" ca="1" si="82"/>
        <v>434.78225394397487</v>
      </c>
      <c r="AC215">
        <f t="shared" ca="1" si="83"/>
        <v>0</v>
      </c>
      <c r="AD215">
        <f ca="1">IF(V32="Supercritical",L215,U215)</f>
        <v>0.05</v>
      </c>
      <c r="AE215">
        <f t="shared" ca="1" si="84"/>
        <v>633.01199999999994</v>
      </c>
      <c r="AF215">
        <f t="shared" ca="1" si="85"/>
        <v>2325.149118580598</v>
      </c>
      <c r="AI215">
        <v>0</v>
      </c>
      <c r="AJ215">
        <v>0</v>
      </c>
      <c r="AK215">
        <f t="shared" si="86"/>
        <v>0</v>
      </c>
      <c r="AL215">
        <f t="shared" ref="AL215:AL278" si="94">AL214+AK215</f>
        <v>0</v>
      </c>
      <c r="AM215">
        <f t="shared" ca="1" si="87"/>
        <v>260.16434179807175</v>
      </c>
      <c r="AN215" t="str">
        <f t="shared" ca="1" si="88"/>
        <v>Supercritical</v>
      </c>
      <c r="AO215">
        <f ca="1">IF(V32="Supercritical",R215,AA215)</f>
        <v>415.21828337768119</v>
      </c>
    </row>
    <row r="216" spans="1:41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174</v>
      </c>
      <c r="I216">
        <v>0.08</v>
      </c>
      <c r="J216">
        <f t="shared" si="89"/>
        <v>1</v>
      </c>
      <c r="K216">
        <f t="shared" si="90"/>
        <v>51</v>
      </c>
      <c r="L216">
        <f t="shared" ca="1" si="91"/>
        <v>38819.363730730438</v>
      </c>
      <c r="M216">
        <f t="shared" ca="1" si="69"/>
        <v>216301.49470763002</v>
      </c>
      <c r="N216">
        <f t="shared" ca="1" si="70"/>
        <v>2.7858000678464787</v>
      </c>
      <c r="O216">
        <f t="shared" ca="1" si="71"/>
        <v>2.3578200450688323E-4</v>
      </c>
      <c r="P216">
        <f t="shared" ca="1" si="72"/>
        <v>39452.285730730437</v>
      </c>
      <c r="Q216">
        <f t="shared" ca="1" si="73"/>
        <v>39452.285730733267</v>
      </c>
      <c r="R216">
        <f t="shared" ca="1" si="74"/>
        <v>3.1910766518094401E-12</v>
      </c>
      <c r="S216">
        <f t="shared" ca="1" si="92"/>
        <v>9.5685650740051642E-4</v>
      </c>
      <c r="T216">
        <f t="shared" ca="1" si="93"/>
        <v>1</v>
      </c>
      <c r="U216">
        <f t="shared" ca="1" si="75"/>
        <v>0.05</v>
      </c>
      <c r="V216">
        <f t="shared" ca="1" si="76"/>
        <v>0.27860000000000001</v>
      </c>
      <c r="W216">
        <f t="shared" ca="1" si="77"/>
        <v>4.9118476727785618E-2</v>
      </c>
      <c r="X216">
        <f t="shared" ca="1" si="78"/>
        <v>183.05814788226849</v>
      </c>
      <c r="Y216">
        <f t="shared" ca="1" si="79"/>
        <v>632.97199999999998</v>
      </c>
      <c r="Z216">
        <f t="shared" ca="1" si="80"/>
        <v>2340.937622124693</v>
      </c>
      <c r="AA216">
        <f t="shared" ca="1" si="81"/>
        <v>419.14805921402666</v>
      </c>
      <c r="AB216">
        <f t="shared" ca="1" si="82"/>
        <v>439.74901652673998</v>
      </c>
      <c r="AC216">
        <f t="shared" ca="1" si="83"/>
        <v>0</v>
      </c>
      <c r="AD216">
        <f ca="1">IF(V32="Supercritical",L216,U216)</f>
        <v>0.05</v>
      </c>
      <c r="AE216">
        <f t="shared" ca="1" si="84"/>
        <v>632.97199999999998</v>
      </c>
      <c r="AF216">
        <f t="shared" ca="1" si="85"/>
        <v>2340.937622124693</v>
      </c>
      <c r="AI216">
        <v>0</v>
      </c>
      <c r="AJ216">
        <v>0</v>
      </c>
      <c r="AK216">
        <f t="shared" si="86"/>
        <v>0</v>
      </c>
      <c r="AL216">
        <f t="shared" si="94"/>
        <v>0</v>
      </c>
      <c r="AM216">
        <f t="shared" ca="1" si="87"/>
        <v>261.37831754946262</v>
      </c>
      <c r="AN216" t="str">
        <f t="shared" ca="1" si="88"/>
        <v>Supercritical</v>
      </c>
      <c r="AO216">
        <f ca="1">IF(V32="Supercritical",R216,AA216)</f>
        <v>419.14805921402666</v>
      </c>
    </row>
    <row r="217" spans="1:41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174</v>
      </c>
      <c r="I217">
        <v>0.08</v>
      </c>
      <c r="J217">
        <f t="shared" si="89"/>
        <v>1</v>
      </c>
      <c r="K217">
        <f t="shared" si="90"/>
        <v>51</v>
      </c>
      <c r="L217">
        <f t="shared" ca="1" si="91"/>
        <v>38819.402773873902</v>
      </c>
      <c r="M217">
        <f t="shared" ca="1" si="69"/>
        <v>215253.58838113077</v>
      </c>
      <c r="N217">
        <f t="shared" ca="1" si="70"/>
        <v>2.7723020008874881</v>
      </c>
      <c r="O217">
        <f t="shared" ca="1" si="71"/>
        <v>2.3692984810872814E-4</v>
      </c>
      <c r="P217">
        <f t="shared" ca="1" si="72"/>
        <v>39452.2847738739</v>
      </c>
      <c r="Q217">
        <f t="shared" ca="1" si="73"/>
        <v>39452.28477387676</v>
      </c>
      <c r="R217">
        <f t="shared" ca="1" si="74"/>
        <v>3.2431573413337331E-12</v>
      </c>
      <c r="S217">
        <f t="shared" ca="1" si="92"/>
        <v>9.5685650740051642E-4</v>
      </c>
      <c r="T217">
        <f t="shared" ca="1" si="93"/>
        <v>1</v>
      </c>
      <c r="U217">
        <f t="shared" ca="1" si="75"/>
        <v>0.05</v>
      </c>
      <c r="V217">
        <f t="shared" ca="1" si="76"/>
        <v>0.27725</v>
      </c>
      <c r="W217">
        <f t="shared" ca="1" si="77"/>
        <v>4.9114260407440213E-2</v>
      </c>
      <c r="X217">
        <f t="shared" ca="1" si="78"/>
        <v>183.94950405770965</v>
      </c>
      <c r="Y217">
        <f t="shared" ca="1" si="79"/>
        <v>632.9319999999999</v>
      </c>
      <c r="Z217">
        <f t="shared" ca="1" si="80"/>
        <v>2357.5711459264694</v>
      </c>
      <c r="AA217">
        <f t="shared" ca="1" si="81"/>
        <v>423.28831770329879</v>
      </c>
      <c r="AB217">
        <f t="shared" ca="1" si="82"/>
        <v>443.41962412748944</v>
      </c>
      <c r="AC217">
        <f t="shared" ca="1" si="83"/>
        <v>0</v>
      </c>
      <c r="AD217">
        <f ca="1">IF(V32="Supercritical",L217,U217)</f>
        <v>0.05</v>
      </c>
      <c r="AE217">
        <f t="shared" ca="1" si="84"/>
        <v>632.9319999999999</v>
      </c>
      <c r="AF217">
        <f t="shared" ca="1" si="85"/>
        <v>2357.5711459264694</v>
      </c>
      <c r="AI217">
        <v>0</v>
      </c>
      <c r="AJ217">
        <v>0</v>
      </c>
      <c r="AK217">
        <f t="shared" si="86"/>
        <v>0</v>
      </c>
      <c r="AL217">
        <f t="shared" si="94"/>
        <v>0</v>
      </c>
      <c r="AM217">
        <f t="shared" ca="1" si="87"/>
        <v>262.65103433464486</v>
      </c>
      <c r="AN217" t="str">
        <f t="shared" ca="1" si="88"/>
        <v>Supercritical</v>
      </c>
      <c r="AO217">
        <f ca="1">IF(V32="Supercritical",R217,AA217)</f>
        <v>423.28831770329879</v>
      </c>
    </row>
    <row r="218" spans="1:41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174</v>
      </c>
      <c r="I218">
        <v>0.08</v>
      </c>
      <c r="J218">
        <f t="shared" si="89"/>
        <v>1</v>
      </c>
      <c r="K218">
        <f t="shared" si="90"/>
        <v>51</v>
      </c>
      <c r="L218">
        <f t="shared" ca="1" si="91"/>
        <v>38819.441817017367</v>
      </c>
      <c r="M218">
        <f t="shared" ca="1" si="69"/>
        <v>214244.49938811886</v>
      </c>
      <c r="N218">
        <f t="shared" ca="1" si="70"/>
        <v>2.7593038534655001</v>
      </c>
      <c r="O218">
        <f t="shared" ca="1" si="71"/>
        <v>2.3804578481900692E-4</v>
      </c>
      <c r="P218">
        <f t="shared" ca="1" si="72"/>
        <v>39452.283817017364</v>
      </c>
      <c r="Q218">
        <f t="shared" ca="1" si="73"/>
        <v>39452.283817020252</v>
      </c>
      <c r="R218">
        <f t="shared" ca="1" si="74"/>
        <v>3.2943581035858981E-12</v>
      </c>
      <c r="S218">
        <f t="shared" ca="1" si="92"/>
        <v>9.5685650740051642E-4</v>
      </c>
      <c r="T218">
        <f t="shared" ca="1" si="93"/>
        <v>1</v>
      </c>
      <c r="U218">
        <f t="shared" ca="1" si="75"/>
        <v>0.05</v>
      </c>
      <c r="V218">
        <f t="shared" ca="1" si="76"/>
        <v>0.27595000000000003</v>
      </c>
      <c r="W218">
        <f t="shared" ca="1" si="77"/>
        <v>4.9110161950525012E-2</v>
      </c>
      <c r="X218">
        <f t="shared" ca="1" si="78"/>
        <v>184.81608987135348</v>
      </c>
      <c r="Y218">
        <f t="shared" ca="1" si="79"/>
        <v>632.89199999999994</v>
      </c>
      <c r="Z218">
        <f t="shared" ca="1" si="80"/>
        <v>2373.8189661231499</v>
      </c>
      <c r="AA218">
        <f t="shared" ca="1" si="81"/>
        <v>427.33347892801646</v>
      </c>
      <c r="AB218">
        <f t="shared" ca="1" si="82"/>
        <v>447.61346574545678</v>
      </c>
      <c r="AC218">
        <f t="shared" ca="1" si="83"/>
        <v>0</v>
      </c>
      <c r="AD218">
        <f ca="1">IF(V32="Supercritical",L218,U218)</f>
        <v>0.05</v>
      </c>
      <c r="AE218">
        <f t="shared" ca="1" si="84"/>
        <v>632.89199999999994</v>
      </c>
      <c r="AF218">
        <f t="shared" ca="1" si="85"/>
        <v>2373.8189661231499</v>
      </c>
      <c r="AI218">
        <v>0</v>
      </c>
      <c r="AJ218">
        <v>0</v>
      </c>
      <c r="AK218">
        <f t="shared" si="86"/>
        <v>0</v>
      </c>
      <c r="AL218">
        <f t="shared" si="94"/>
        <v>0</v>
      </c>
      <c r="AM218">
        <f t="shared" ca="1" si="87"/>
        <v>263.88838292908235</v>
      </c>
      <c r="AN218" t="str">
        <f t="shared" ca="1" si="88"/>
        <v>Supercritical</v>
      </c>
      <c r="AO218">
        <f ca="1">IF(V32="Supercritical",R218,AA218)</f>
        <v>427.33347892801646</v>
      </c>
    </row>
    <row r="219" spans="1:41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174</v>
      </c>
      <c r="I219">
        <v>3.3000000000000002E-2</v>
      </c>
      <c r="J219">
        <f t="shared" si="89"/>
        <v>1</v>
      </c>
      <c r="K219">
        <f t="shared" si="90"/>
        <v>51</v>
      </c>
      <c r="L219">
        <f t="shared" ca="1" si="91"/>
        <v>38819.480860160824</v>
      </c>
      <c r="M219">
        <f t="shared" ca="1" si="69"/>
        <v>213235.40836486343</v>
      </c>
      <c r="N219">
        <f t="shared" ca="1" si="70"/>
        <v>2.7463056973346736</v>
      </c>
      <c r="O219">
        <f t="shared" ca="1" si="71"/>
        <v>2.3917228564936449E-4</v>
      </c>
      <c r="P219">
        <f t="shared" ca="1" si="72"/>
        <v>39452.282860160827</v>
      </c>
      <c r="Q219">
        <f t="shared" ca="1" si="73"/>
        <v>39452.282860163745</v>
      </c>
      <c r="R219">
        <f t="shared" ca="1" si="74"/>
        <v>3.3466147592920308E-12</v>
      </c>
      <c r="S219">
        <f t="shared" ca="1" si="92"/>
        <v>9.5685650740051642E-4</v>
      </c>
      <c r="T219">
        <f t="shared" ca="1" si="93"/>
        <v>1</v>
      </c>
      <c r="U219">
        <f t="shared" ca="1" si="75"/>
        <v>0.05</v>
      </c>
      <c r="V219">
        <f t="shared" ca="1" si="76"/>
        <v>0.27465000000000001</v>
      </c>
      <c r="W219">
        <f t="shared" ca="1" si="77"/>
        <v>4.9106025388878954E-2</v>
      </c>
      <c r="X219">
        <f t="shared" ca="1" si="78"/>
        <v>185.69087930092846</v>
      </c>
      <c r="Y219">
        <f t="shared" ca="1" si="79"/>
        <v>632.85199999999998</v>
      </c>
      <c r="Z219">
        <f t="shared" ca="1" si="80"/>
        <v>2390.2986185296622</v>
      </c>
      <c r="AA219">
        <f t="shared" ca="1" si="81"/>
        <v>431.43689814053215</v>
      </c>
      <c r="AB219">
        <f t="shared" ca="1" si="82"/>
        <v>452.31242410507639</v>
      </c>
      <c r="AC219">
        <f t="shared" ca="1" si="83"/>
        <v>0</v>
      </c>
      <c r="AD219">
        <f ca="1">IF(V32="Supercritical",L219,U219)</f>
        <v>0.05</v>
      </c>
      <c r="AE219">
        <f t="shared" ca="1" si="84"/>
        <v>632.85199999999998</v>
      </c>
      <c r="AF219">
        <f t="shared" ca="1" si="85"/>
        <v>2390.2986185296622</v>
      </c>
      <c r="AI219">
        <v>0</v>
      </c>
      <c r="AJ219">
        <v>0</v>
      </c>
      <c r="AK219">
        <f t="shared" si="86"/>
        <v>0</v>
      </c>
      <c r="AL219">
        <f t="shared" si="94"/>
        <v>0</v>
      </c>
      <c r="AM219">
        <f t="shared" ca="1" si="87"/>
        <v>265.13744500011029</v>
      </c>
      <c r="AN219" t="str">
        <f t="shared" ca="1" si="88"/>
        <v>Supercritical</v>
      </c>
      <c r="AO219">
        <f ca="1">IF(V32="Supercritical",R219,AA219)</f>
        <v>431.43689814053215</v>
      </c>
    </row>
    <row r="220" spans="1:41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174</v>
      </c>
      <c r="I220">
        <v>1.4E-2</v>
      </c>
      <c r="J220">
        <f t="shared" si="89"/>
        <v>0.99900000000000944</v>
      </c>
      <c r="K220">
        <f t="shared" si="90"/>
        <v>51</v>
      </c>
      <c r="L220">
        <f t="shared" ca="1" si="91"/>
        <v>38819.519903304288</v>
      </c>
      <c r="M220">
        <f t="shared" ca="1" si="69"/>
        <v>212187.49579146126</v>
      </c>
      <c r="N220">
        <f t="shared" ca="1" si="70"/>
        <v>2.7328076028967563</v>
      </c>
      <c r="O220">
        <f t="shared" ca="1" si="71"/>
        <v>2.4035346573920174E-4</v>
      </c>
      <c r="P220">
        <f t="shared" ca="1" si="72"/>
        <v>39452.281903304291</v>
      </c>
      <c r="Q220">
        <f t="shared" ca="1" si="73"/>
        <v>39452.281903307237</v>
      </c>
      <c r="R220">
        <f t="shared" ca="1" si="74"/>
        <v>3.4020280175468651E-12</v>
      </c>
      <c r="S220">
        <f t="shared" ca="1" si="92"/>
        <v>9.5685650740051642E-4</v>
      </c>
      <c r="T220">
        <f t="shared" ca="1" si="93"/>
        <v>1</v>
      </c>
      <c r="U220">
        <f t="shared" ca="1" si="75"/>
        <v>0.05</v>
      </c>
      <c r="V220">
        <f t="shared" ca="1" si="76"/>
        <v>0.27330000000000004</v>
      </c>
      <c r="W220">
        <f t="shared" ca="1" si="77"/>
        <v>4.9101688825008989E-2</v>
      </c>
      <c r="X220">
        <f t="shared" ca="1" si="78"/>
        <v>186.60812294182213</v>
      </c>
      <c r="Y220">
        <f t="shared" ca="1" si="79"/>
        <v>632.8119999999999</v>
      </c>
      <c r="Z220">
        <f t="shared" ca="1" si="80"/>
        <v>2407.663760849653</v>
      </c>
      <c r="AA220">
        <f t="shared" ca="1" si="81"/>
        <v>435.76100845672431</v>
      </c>
      <c r="AB220">
        <f t="shared" ca="1" si="82"/>
        <v>457.02017631270019</v>
      </c>
      <c r="AC220">
        <f t="shared" ca="1" si="83"/>
        <v>0</v>
      </c>
      <c r="AD220">
        <f ca="1">IF(V32="Supercritical",L220,U220)</f>
        <v>0.05</v>
      </c>
      <c r="AE220">
        <f t="shared" ca="1" si="84"/>
        <v>632.8119999999999</v>
      </c>
      <c r="AF220">
        <f t="shared" ca="1" si="85"/>
        <v>2407.663760849653</v>
      </c>
      <c r="AI220">
        <v>0</v>
      </c>
      <c r="AJ220">
        <v>0</v>
      </c>
      <c r="AK220">
        <f t="shared" si="86"/>
        <v>0</v>
      </c>
      <c r="AL220">
        <f t="shared" si="94"/>
        <v>0</v>
      </c>
      <c r="AM220">
        <f t="shared" ca="1" si="87"/>
        <v>266.44712502480888</v>
      </c>
      <c r="AN220" t="str">
        <f t="shared" ca="1" si="88"/>
        <v>Supercritical</v>
      </c>
      <c r="AO220">
        <f ca="1">IF(V32="Supercritical",R220,AA220)</f>
        <v>435.76100845672431</v>
      </c>
    </row>
    <row r="221" spans="1:41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174</v>
      </c>
      <c r="I221">
        <v>1.4E-2</v>
      </c>
      <c r="J221">
        <f t="shared" si="89"/>
        <v>1.0009999999999906</v>
      </c>
      <c r="K221">
        <f t="shared" si="90"/>
        <v>51</v>
      </c>
      <c r="L221">
        <f t="shared" ca="1" si="91"/>
        <v>38819.558946447753</v>
      </c>
      <c r="M221">
        <f t="shared" ca="1" si="69"/>
        <v>211178.40066867578</v>
      </c>
      <c r="N221">
        <f t="shared" ca="1" si="70"/>
        <v>2.7198094290134227</v>
      </c>
      <c r="O221">
        <f t="shared" ca="1" si="71"/>
        <v>2.4150197102787728E-4</v>
      </c>
      <c r="P221">
        <f t="shared" ca="1" si="72"/>
        <v>39452.280946447754</v>
      </c>
      <c r="Q221">
        <f t="shared" ca="1" si="73"/>
        <v>39452.28094645073</v>
      </c>
      <c r="R221">
        <f t="shared" ca="1" si="74"/>
        <v>3.4565213514895563E-12</v>
      </c>
      <c r="S221">
        <f t="shared" ca="1" si="92"/>
        <v>9.5685650740051642E-4</v>
      </c>
      <c r="T221">
        <f t="shared" ca="1" si="93"/>
        <v>1</v>
      </c>
      <c r="U221">
        <f t="shared" ca="1" si="75"/>
        <v>0.05</v>
      </c>
      <c r="V221">
        <f t="shared" ca="1" si="76"/>
        <v>0.27200000000000002</v>
      </c>
      <c r="W221">
        <f t="shared" ca="1" si="77"/>
        <v>4.9097472924187729E-2</v>
      </c>
      <c r="X221">
        <f t="shared" ca="1" si="78"/>
        <v>187.5</v>
      </c>
      <c r="Y221">
        <f t="shared" ca="1" si="79"/>
        <v>632.77199999999993</v>
      </c>
      <c r="Z221">
        <f t="shared" ca="1" si="80"/>
        <v>2424.6297981651373</v>
      </c>
      <c r="AA221">
        <f t="shared" ca="1" si="81"/>
        <v>439.98669434124002</v>
      </c>
      <c r="AB221">
        <f t="shared" ca="1" si="82"/>
        <v>460.6672945576729</v>
      </c>
      <c r="AC221">
        <f t="shared" ca="1" si="83"/>
        <v>0</v>
      </c>
      <c r="AD221">
        <f ca="1">IF(V32="Supercritical",L221,U221)</f>
        <v>0.05</v>
      </c>
      <c r="AE221">
        <f t="shared" ca="1" si="84"/>
        <v>632.77199999999993</v>
      </c>
      <c r="AF221">
        <f t="shared" ca="1" si="85"/>
        <v>2424.6297981651373</v>
      </c>
      <c r="AI221">
        <v>0</v>
      </c>
      <c r="AJ221">
        <v>0</v>
      </c>
      <c r="AK221">
        <f t="shared" si="86"/>
        <v>0</v>
      </c>
      <c r="AL221">
        <f t="shared" si="94"/>
        <v>0</v>
      </c>
      <c r="AM221">
        <f t="shared" ca="1" si="87"/>
        <v>267.72058554882454</v>
      </c>
      <c r="AN221" t="str">
        <f t="shared" ca="1" si="88"/>
        <v>Supercritical</v>
      </c>
      <c r="AO221">
        <f ca="1">IF(V32="Supercritical",R221,AA221)</f>
        <v>439.98669434124002</v>
      </c>
    </row>
    <row r="222" spans="1:41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174</v>
      </c>
      <c r="I222">
        <v>1.4E-2</v>
      </c>
      <c r="J222">
        <f t="shared" si="89"/>
        <v>0.99900000000000944</v>
      </c>
      <c r="K222">
        <f t="shared" si="90"/>
        <v>51</v>
      </c>
      <c r="L222">
        <f t="shared" ca="1" si="91"/>
        <v>38819.597989591224</v>
      </c>
      <c r="M222">
        <f t="shared" ca="1" si="69"/>
        <v>210169.30351564687</v>
      </c>
      <c r="N222">
        <f t="shared" ca="1" si="70"/>
        <v>2.7068112464213039</v>
      </c>
      <c r="O222">
        <f t="shared" ca="1" si="71"/>
        <v>2.4266150739850125E-4</v>
      </c>
      <c r="P222">
        <f t="shared" ca="1" si="72"/>
        <v>39452.279989591225</v>
      </c>
      <c r="Q222">
        <f t="shared" ca="1" si="73"/>
        <v>39452.279989594223</v>
      </c>
      <c r="R222">
        <f t="shared" ca="1" si="74"/>
        <v>3.5121549714924151E-12</v>
      </c>
      <c r="S222">
        <f t="shared" ca="1" si="92"/>
        <v>9.5685650740051642E-4</v>
      </c>
      <c r="T222">
        <f t="shared" ca="1" si="93"/>
        <v>1</v>
      </c>
      <c r="U222">
        <f t="shared" ca="1" si="75"/>
        <v>0.05</v>
      </c>
      <c r="V222">
        <f t="shared" ca="1" si="76"/>
        <v>0.2707</v>
      </c>
      <c r="W222">
        <f t="shared" ca="1" si="77"/>
        <v>4.9093217265143277E-2</v>
      </c>
      <c r="X222">
        <f t="shared" ca="1" si="78"/>
        <v>188.4004432951607</v>
      </c>
      <c r="Y222">
        <f t="shared" ca="1" si="79"/>
        <v>632.73199999999997</v>
      </c>
      <c r="Z222">
        <f t="shared" ca="1" si="80"/>
        <v>2441.8414308773222</v>
      </c>
      <c r="AA222">
        <f t="shared" ca="1" si="81"/>
        <v>444.27413853339169</v>
      </c>
      <c r="AB222">
        <f t="shared" ca="1" si="82"/>
        <v>466.9810318187906</v>
      </c>
      <c r="AC222">
        <f t="shared" ca="1" si="83"/>
        <v>0</v>
      </c>
      <c r="AD222">
        <f ca="1">IF(V32="Supercritical",L222,U222)</f>
        <v>0.05</v>
      </c>
      <c r="AE222">
        <f t="shared" ca="1" si="84"/>
        <v>632.73199999999997</v>
      </c>
      <c r="AF222">
        <f t="shared" ca="1" si="85"/>
        <v>2441.8414308773222</v>
      </c>
      <c r="AI222">
        <v>0</v>
      </c>
      <c r="AJ222">
        <v>0</v>
      </c>
      <c r="AK222">
        <f t="shared" si="86"/>
        <v>0</v>
      </c>
      <c r="AL222">
        <f t="shared" si="94"/>
        <v>0</v>
      </c>
      <c r="AM222">
        <f t="shared" ca="1" si="87"/>
        <v>269.00627731540555</v>
      </c>
      <c r="AN222" t="str">
        <f t="shared" ca="1" si="88"/>
        <v>Supercritical</v>
      </c>
      <c r="AO222">
        <f ca="1">IF(V32="Supercritical",R222,AA222)</f>
        <v>444.27413853339169</v>
      </c>
    </row>
    <row r="223" spans="1:41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174</v>
      </c>
      <c r="I223">
        <v>1.4E-2</v>
      </c>
      <c r="J223">
        <f t="shared" si="89"/>
        <v>1.0009999999999906</v>
      </c>
      <c r="K223">
        <f t="shared" si="90"/>
        <v>51</v>
      </c>
      <c r="L223">
        <f t="shared" ca="1" si="91"/>
        <v>38819.637032734681</v>
      </c>
      <c r="M223">
        <f t="shared" ca="1" si="69"/>
        <v>209121.38469534172</v>
      </c>
      <c r="N223">
        <f t="shared" ca="1" si="70"/>
        <v>2.6933131245046229</v>
      </c>
      <c r="O223">
        <f t="shared" ca="1" si="71"/>
        <v>2.4387749762798912E-4</v>
      </c>
      <c r="P223">
        <f t="shared" ca="1" si="72"/>
        <v>39452.279032734681</v>
      </c>
      <c r="Q223">
        <f t="shared" ca="1" si="73"/>
        <v>39452.279032737715</v>
      </c>
      <c r="R223">
        <f t="shared" ca="1" si="74"/>
        <v>3.5711671821292496E-12</v>
      </c>
      <c r="S223">
        <f t="shared" ca="1" si="92"/>
        <v>9.5685650740051642E-4</v>
      </c>
      <c r="T223">
        <f t="shared" ca="1" si="93"/>
        <v>1</v>
      </c>
      <c r="U223">
        <f t="shared" ca="1" si="75"/>
        <v>0.05</v>
      </c>
      <c r="V223">
        <f t="shared" ca="1" si="76"/>
        <v>0.26934999999999998</v>
      </c>
      <c r="W223">
        <f t="shared" ca="1" si="77"/>
        <v>4.9088755239657375E-2</v>
      </c>
      <c r="X223">
        <f t="shared" ca="1" si="78"/>
        <v>189.34471876740301</v>
      </c>
      <c r="Y223">
        <f t="shared" ca="1" si="79"/>
        <v>632.69200000000001</v>
      </c>
      <c r="Z223">
        <f t="shared" ca="1" si="80"/>
        <v>2459.9816292103433</v>
      </c>
      <c r="AA223">
        <f t="shared" ca="1" si="81"/>
        <v>448.7931479690198</v>
      </c>
      <c r="AB223">
        <f t="shared" ca="1" si="82"/>
        <v>470.09757451741734</v>
      </c>
      <c r="AC223">
        <f t="shared" ca="1" si="83"/>
        <v>0</v>
      </c>
      <c r="AD223">
        <f ca="1">IF(V32="Supercritical",L223,U223)</f>
        <v>0.05</v>
      </c>
      <c r="AE223">
        <f t="shared" ca="1" si="84"/>
        <v>632.69200000000001</v>
      </c>
      <c r="AF223">
        <f t="shared" ca="1" si="85"/>
        <v>2459.9816292103433</v>
      </c>
      <c r="AI223">
        <v>0</v>
      </c>
      <c r="AJ223">
        <v>0</v>
      </c>
      <c r="AK223">
        <f t="shared" si="86"/>
        <v>0</v>
      </c>
      <c r="AL223">
        <f t="shared" si="94"/>
        <v>0</v>
      </c>
      <c r="AM223">
        <f t="shared" ca="1" si="87"/>
        <v>270.35455455459544</v>
      </c>
      <c r="AN223" t="str">
        <f t="shared" ca="1" si="88"/>
        <v>Supercritical</v>
      </c>
      <c r="AO223">
        <f ca="1">IF(V32="Supercritical",R223,AA223)</f>
        <v>448.7931479690198</v>
      </c>
    </row>
    <row r="224" spans="1:41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174</v>
      </c>
      <c r="I224">
        <v>1.4E-2</v>
      </c>
      <c r="J224">
        <f t="shared" si="89"/>
        <v>0.99900000000000944</v>
      </c>
      <c r="K224">
        <f t="shared" si="90"/>
        <v>51</v>
      </c>
      <c r="L224">
        <f t="shared" ca="1" si="91"/>
        <v>38819.676075878146</v>
      </c>
      <c r="M224">
        <f t="shared" ca="1" si="69"/>
        <v>208112.28344278273</v>
      </c>
      <c r="N224">
        <f t="shared" ca="1" si="70"/>
        <v>2.6803149241601045</v>
      </c>
      <c r="O224">
        <f t="shared" ca="1" si="71"/>
        <v>2.4506001835312936E-4</v>
      </c>
      <c r="P224">
        <f t="shared" ca="1" si="72"/>
        <v>39452.278075878145</v>
      </c>
      <c r="Q224">
        <f t="shared" ca="1" si="73"/>
        <v>39452.278075881208</v>
      </c>
      <c r="R224">
        <f t="shared" ca="1" si="74"/>
        <v>3.6292176037509559E-12</v>
      </c>
      <c r="S224">
        <f t="shared" ca="1" si="92"/>
        <v>9.5685650740051642E-4</v>
      </c>
      <c r="T224">
        <f t="shared" ca="1" si="93"/>
        <v>1</v>
      </c>
      <c r="U224">
        <f t="shared" ca="1" si="75"/>
        <v>0.05</v>
      </c>
      <c r="V224">
        <f t="shared" ca="1" si="76"/>
        <v>0.26805000000000001</v>
      </c>
      <c r="W224">
        <f t="shared" ca="1" si="77"/>
        <v>4.9084416773484719E-2</v>
      </c>
      <c r="X224">
        <f t="shared" ca="1" si="78"/>
        <v>190.2630106323447</v>
      </c>
      <c r="Y224">
        <f t="shared" ca="1" si="79"/>
        <v>632.65199999999993</v>
      </c>
      <c r="Z224">
        <f t="shared" ca="1" si="80"/>
        <v>2477.7087387810252</v>
      </c>
      <c r="AA224">
        <f t="shared" ca="1" si="81"/>
        <v>453.21026077123696</v>
      </c>
      <c r="AB224">
        <f t="shared" ca="1" si="82"/>
        <v>475.84322840939603</v>
      </c>
      <c r="AC224">
        <f t="shared" ca="1" si="83"/>
        <v>0</v>
      </c>
      <c r="AD224">
        <f ca="1">IF(V32="Supercritical",L224,U224)</f>
        <v>0.05</v>
      </c>
      <c r="AE224">
        <f t="shared" ca="1" si="84"/>
        <v>632.65199999999993</v>
      </c>
      <c r="AF224">
        <f t="shared" ca="1" si="85"/>
        <v>2477.7087387810252</v>
      </c>
      <c r="AI224">
        <v>0</v>
      </c>
      <c r="AJ224">
        <v>0</v>
      </c>
      <c r="AK224">
        <f t="shared" si="86"/>
        <v>0</v>
      </c>
      <c r="AL224">
        <f t="shared" si="94"/>
        <v>0</v>
      </c>
      <c r="AM224">
        <f t="shared" ca="1" si="87"/>
        <v>271.66573127879229</v>
      </c>
      <c r="AN224" t="str">
        <f t="shared" ca="1" si="88"/>
        <v>Supercritical</v>
      </c>
      <c r="AO224">
        <f ca="1">IF(V32="Supercritical",R224,AA224)</f>
        <v>453.21026077123696</v>
      </c>
    </row>
    <row r="225" spans="1:41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174</v>
      </c>
      <c r="I225">
        <v>4.7E-2</v>
      </c>
      <c r="J225">
        <f t="shared" si="89"/>
        <v>1.0009999999999906</v>
      </c>
      <c r="K225">
        <f t="shared" si="90"/>
        <v>51</v>
      </c>
      <c r="L225">
        <f t="shared" ca="1" si="91"/>
        <v>38819.715119021603</v>
      </c>
      <c r="M225">
        <f t="shared" ca="1" si="69"/>
        <v>207103.18015998026</v>
      </c>
      <c r="N225">
        <f t="shared" ca="1" si="70"/>
        <v>2.6673167151068538</v>
      </c>
      <c r="O225">
        <f t="shared" ca="1" si="71"/>
        <v>2.4625406505397073E-4</v>
      </c>
      <c r="P225">
        <f t="shared" ca="1" si="72"/>
        <v>39452.277119021601</v>
      </c>
      <c r="Q225">
        <f t="shared" ca="1" si="73"/>
        <v>39452.277119024693</v>
      </c>
      <c r="R225">
        <f t="shared" ca="1" si="74"/>
        <v>3.6885008352106266E-12</v>
      </c>
      <c r="S225">
        <f t="shared" ca="1" si="92"/>
        <v>9.5685650740051642E-4</v>
      </c>
      <c r="T225">
        <f t="shared" ca="1" si="93"/>
        <v>1</v>
      </c>
      <c r="U225">
        <f t="shared" ca="1" si="75"/>
        <v>0.05</v>
      </c>
      <c r="V225">
        <f t="shared" ca="1" si="76"/>
        <v>0.26674999999999999</v>
      </c>
      <c r="W225">
        <f t="shared" ca="1" si="77"/>
        <v>4.9080036798528057E-2</v>
      </c>
      <c r="X225">
        <f t="shared" ca="1" si="78"/>
        <v>191.19025304592316</v>
      </c>
      <c r="Y225">
        <f t="shared" ca="1" si="79"/>
        <v>632.61199999999997</v>
      </c>
      <c r="Z225">
        <f t="shared" ca="1" si="80"/>
        <v>2495.6962436169279</v>
      </c>
      <c r="AA225">
        <f t="shared" ca="1" si="81"/>
        <v>457.69289905058935</v>
      </c>
      <c r="AB225">
        <f t="shared" ca="1" si="82"/>
        <v>481.20690334001529</v>
      </c>
      <c r="AC225">
        <f t="shared" ca="1" si="83"/>
        <v>0</v>
      </c>
      <c r="AD225">
        <f ca="1">IF(V32="Supercritical",L225,U225)</f>
        <v>0.05</v>
      </c>
      <c r="AE225">
        <f t="shared" ca="1" si="84"/>
        <v>632.61199999999997</v>
      </c>
      <c r="AF225">
        <f t="shared" ca="1" si="85"/>
        <v>2495.6962436169279</v>
      </c>
      <c r="AI225">
        <v>0</v>
      </c>
      <c r="AJ225">
        <v>0</v>
      </c>
      <c r="AK225">
        <f t="shared" si="86"/>
        <v>0</v>
      </c>
      <c r="AL225">
        <f t="shared" si="94"/>
        <v>0</v>
      </c>
      <c r="AM225">
        <f t="shared" ca="1" si="87"/>
        <v>272.98968798230658</v>
      </c>
      <c r="AN225" t="str">
        <f t="shared" ca="1" si="88"/>
        <v>Supercritical</v>
      </c>
      <c r="AO225">
        <f ca="1">IF(V32="Supercritical",R225,AA225)</f>
        <v>457.69289905058935</v>
      </c>
    </row>
    <row r="226" spans="1:41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174</v>
      </c>
      <c r="I226">
        <v>0.08</v>
      </c>
      <c r="J226">
        <f t="shared" si="89"/>
        <v>1</v>
      </c>
      <c r="K226">
        <f t="shared" si="90"/>
        <v>51</v>
      </c>
      <c r="L226">
        <f t="shared" ca="1" si="91"/>
        <v>38819.716143466532</v>
      </c>
      <c r="M226">
        <f t="shared" ca="1" si="69"/>
        <v>206055.05328952035</v>
      </c>
      <c r="N226">
        <f t="shared" ca="1" si="70"/>
        <v>2.6538185655338924</v>
      </c>
      <c r="O226">
        <f t="shared" ca="1" si="71"/>
        <v>2.4750666962941104E-4</v>
      </c>
      <c r="P226">
        <f t="shared" ca="1" si="72"/>
        <v>39452.27614346653</v>
      </c>
      <c r="Q226">
        <f t="shared" ca="1" si="73"/>
        <v>39452.276143469651</v>
      </c>
      <c r="R226">
        <f t="shared" ca="1" si="74"/>
        <v>3.7514113992020555E-12</v>
      </c>
      <c r="S226">
        <f t="shared" ca="1" si="92"/>
        <v>9.7555503452895209E-4</v>
      </c>
      <c r="T226">
        <f t="shared" ca="1" si="93"/>
        <v>1</v>
      </c>
      <c r="U226">
        <f t="shared" ca="1" si="75"/>
        <v>0.05</v>
      </c>
      <c r="V226">
        <f t="shared" ca="1" si="76"/>
        <v>0.26540000000000002</v>
      </c>
      <c r="W226">
        <f t="shared" ca="1" si="77"/>
        <v>4.907544378698226E-2</v>
      </c>
      <c r="X226">
        <f t="shared" ca="1" si="78"/>
        <v>192.1627731725697</v>
      </c>
      <c r="Y226">
        <f t="shared" ca="1" si="79"/>
        <v>632.6099999999999</v>
      </c>
      <c r="Z226">
        <f t="shared" ca="1" si="80"/>
        <v>2514.6962076132759</v>
      </c>
      <c r="AA226">
        <f t="shared" ca="1" si="81"/>
        <v>462.41869718211188</v>
      </c>
      <c r="AB226">
        <f t="shared" ca="1" si="82"/>
        <v>485.41196712138344</v>
      </c>
      <c r="AC226">
        <f t="shared" ca="1" si="83"/>
        <v>0</v>
      </c>
      <c r="AD226">
        <f ca="1">IF(V32="Supercritical",L226,U226)</f>
        <v>0.05</v>
      </c>
      <c r="AE226">
        <f t="shared" ca="1" si="84"/>
        <v>632.6099999999999</v>
      </c>
      <c r="AF226">
        <f t="shared" ca="1" si="85"/>
        <v>2514.6962076132759</v>
      </c>
      <c r="AI226">
        <v>0</v>
      </c>
      <c r="AJ226">
        <v>0</v>
      </c>
      <c r="AK226">
        <f t="shared" si="86"/>
        <v>0</v>
      </c>
      <c r="AL226">
        <f t="shared" si="94"/>
        <v>0</v>
      </c>
      <c r="AM226">
        <f t="shared" ca="1" si="87"/>
        <v>274.37829415704704</v>
      </c>
      <c r="AN226" t="str">
        <f t="shared" ca="1" si="88"/>
        <v>Supercritical</v>
      </c>
      <c r="AO226">
        <f ca="1">IF(V32="Supercritical",R226,AA226)</f>
        <v>462.41869718211188</v>
      </c>
    </row>
    <row r="227" spans="1:41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174</v>
      </c>
      <c r="I227">
        <v>0.08</v>
      </c>
      <c r="J227">
        <f t="shared" si="89"/>
        <v>1</v>
      </c>
      <c r="K227">
        <f t="shared" si="90"/>
        <v>51</v>
      </c>
      <c r="L227">
        <f t="shared" ca="1" si="91"/>
        <v>38819.717166188973</v>
      </c>
      <c r="M227">
        <f t="shared" ca="1" si="69"/>
        <v>205045.74607181016</v>
      </c>
      <c r="N227">
        <f t="shared" ca="1" si="70"/>
        <v>2.6408203385541356</v>
      </c>
      <c r="O227">
        <f t="shared" ca="1" si="71"/>
        <v>2.4872498443415168E-4</v>
      </c>
      <c r="P227">
        <f t="shared" ca="1" si="72"/>
        <v>39452.275166188971</v>
      </c>
      <c r="Q227">
        <f t="shared" ca="1" si="73"/>
        <v>39452.275166192121</v>
      </c>
      <c r="R227">
        <f t="shared" ca="1" si="74"/>
        <v>3.8133166353710332E-12</v>
      </c>
      <c r="S227">
        <f t="shared" ca="1" si="92"/>
        <v>9.7727752290666103E-4</v>
      </c>
      <c r="T227">
        <f t="shared" ca="1" si="93"/>
        <v>1</v>
      </c>
      <c r="U227">
        <f t="shared" ca="1" si="75"/>
        <v>0.05</v>
      </c>
      <c r="V227">
        <f t="shared" ca="1" si="76"/>
        <v>0.2641</v>
      </c>
      <c r="W227">
        <f t="shared" ca="1" si="77"/>
        <v>4.9070977331846899E-2</v>
      </c>
      <c r="X227">
        <f t="shared" ca="1" si="78"/>
        <v>193.10867095797047</v>
      </c>
      <c r="Y227">
        <f t="shared" ca="1" si="79"/>
        <v>632.60799999999995</v>
      </c>
      <c r="Z227">
        <f t="shared" ca="1" si="80"/>
        <v>2533.2684892535017</v>
      </c>
      <c r="AA227">
        <f t="shared" ca="1" si="81"/>
        <v>467.03897465502394</v>
      </c>
      <c r="AB227">
        <f t="shared" ca="1" si="82"/>
        <v>490.37350979075109</v>
      </c>
      <c r="AC227">
        <f t="shared" ca="1" si="83"/>
        <v>0</v>
      </c>
      <c r="AD227">
        <f ca="1">IF(V32="Supercritical",L227,U227)</f>
        <v>0.05</v>
      </c>
      <c r="AE227">
        <f t="shared" ca="1" si="84"/>
        <v>632.60799999999995</v>
      </c>
      <c r="AF227">
        <f t="shared" ca="1" si="85"/>
        <v>2533.2684892535017</v>
      </c>
      <c r="AI227">
        <v>0</v>
      </c>
      <c r="AJ227">
        <v>0</v>
      </c>
      <c r="AK227">
        <f t="shared" si="86"/>
        <v>0</v>
      </c>
      <c r="AL227">
        <f t="shared" si="94"/>
        <v>0</v>
      </c>
      <c r="AM227">
        <f t="shared" ca="1" si="87"/>
        <v>275.72888780492349</v>
      </c>
      <c r="AN227" t="str">
        <f t="shared" ca="1" si="88"/>
        <v>Supercritical</v>
      </c>
      <c r="AO227">
        <f ca="1">IF(V32="Supercritical",R227,AA227)</f>
        <v>467.03897465502394</v>
      </c>
    </row>
    <row r="228" spans="1:41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174</v>
      </c>
      <c r="I228">
        <v>0.08</v>
      </c>
      <c r="J228">
        <f t="shared" si="89"/>
        <v>1</v>
      </c>
      <c r="K228">
        <f t="shared" si="90"/>
        <v>51</v>
      </c>
      <c r="L228">
        <f t="shared" ca="1" si="91"/>
        <v>38819.71818875274</v>
      </c>
      <c r="M228">
        <f t="shared" ca="1" si="69"/>
        <v>204036.4388000844</v>
      </c>
      <c r="N228">
        <f t="shared" ca="1" si="70"/>
        <v>2.6278221028691462</v>
      </c>
      <c r="O228">
        <f t="shared" ca="1" si="71"/>
        <v>2.499553525827314E-4</v>
      </c>
      <c r="P228">
        <f t="shared" ca="1" si="72"/>
        <v>39452.274188752737</v>
      </c>
      <c r="Q228">
        <f t="shared" ca="1" si="73"/>
        <v>39452.274188755924</v>
      </c>
      <c r="R228">
        <f t="shared" ca="1" si="74"/>
        <v>3.8765565077891759E-12</v>
      </c>
      <c r="S228">
        <f t="shared" ca="1" si="92"/>
        <v>9.7743618971435353E-4</v>
      </c>
      <c r="T228">
        <f t="shared" ca="1" si="93"/>
        <v>1</v>
      </c>
      <c r="U228">
        <f t="shared" ca="1" si="75"/>
        <v>0.05</v>
      </c>
      <c r="V228">
        <f t="shared" ca="1" si="76"/>
        <v>0.26280000000000003</v>
      </c>
      <c r="W228">
        <f t="shared" ca="1" si="77"/>
        <v>4.9066467513069464E-2</v>
      </c>
      <c r="X228">
        <f t="shared" ca="1" si="78"/>
        <v>194.06392694063925</v>
      </c>
      <c r="Y228">
        <f t="shared" ca="1" si="79"/>
        <v>632.60599999999999</v>
      </c>
      <c r="Z228">
        <f t="shared" ca="1" si="80"/>
        <v>2552.1170978400496</v>
      </c>
      <c r="AA228">
        <f t="shared" ca="1" si="81"/>
        <v>471.72883640998185</v>
      </c>
      <c r="AB228">
        <f t="shared" ca="1" si="82"/>
        <v>496.31953250327069</v>
      </c>
      <c r="AC228">
        <f t="shared" ca="1" si="83"/>
        <v>0</v>
      </c>
      <c r="AD228">
        <f ca="1">IF(V32="Supercritical",L228,U228)</f>
        <v>0.05</v>
      </c>
      <c r="AE228">
        <f t="shared" ca="1" si="84"/>
        <v>632.60599999999999</v>
      </c>
      <c r="AF228">
        <f t="shared" ca="1" si="85"/>
        <v>2552.1170978400496</v>
      </c>
      <c r="AI228">
        <v>0</v>
      </c>
      <c r="AJ228">
        <v>0</v>
      </c>
      <c r="AK228">
        <f t="shared" si="86"/>
        <v>0</v>
      </c>
      <c r="AL228">
        <f t="shared" si="94"/>
        <v>0</v>
      </c>
      <c r="AM228">
        <f t="shared" ca="1" si="87"/>
        <v>277.09284349041201</v>
      </c>
      <c r="AN228" t="str">
        <f t="shared" ca="1" si="88"/>
        <v>Supercritical</v>
      </c>
      <c r="AO228">
        <f ca="1">IF(V32="Supercritical",R228,AA228)</f>
        <v>471.72883640998185</v>
      </c>
    </row>
    <row r="229" spans="1:41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174</v>
      </c>
      <c r="I229">
        <v>0.08</v>
      </c>
      <c r="J229">
        <f t="shared" si="89"/>
        <v>1</v>
      </c>
      <c r="K229">
        <f t="shared" si="90"/>
        <v>51</v>
      </c>
      <c r="L229">
        <f t="shared" ca="1" si="91"/>
        <v>38819.719211301883</v>
      </c>
      <c r="M229">
        <f t="shared" ca="1" si="69"/>
        <v>202988.31175589754</v>
      </c>
      <c r="N229">
        <f t="shared" ca="1" si="70"/>
        <v>2.6143239258283431</v>
      </c>
      <c r="O229">
        <f t="shared" ca="1" si="71"/>
        <v>2.5124599322413091E-4</v>
      </c>
      <c r="P229">
        <f t="shared" ca="1" si="72"/>
        <v>39452.273211301879</v>
      </c>
      <c r="Q229">
        <f t="shared" ca="1" si="73"/>
        <v>39452.273211305095</v>
      </c>
      <c r="R229">
        <f t="shared" ca="1" si="74"/>
        <v>3.9436794779486938E-12</v>
      </c>
      <c r="S229">
        <f t="shared" ca="1" si="92"/>
        <v>9.7745081438915804E-4</v>
      </c>
      <c r="T229">
        <f t="shared" ca="1" si="93"/>
        <v>1</v>
      </c>
      <c r="U229">
        <f t="shared" ca="1" si="75"/>
        <v>0.05</v>
      </c>
      <c r="V229">
        <f t="shared" ca="1" si="76"/>
        <v>0.26145000000000002</v>
      </c>
      <c r="W229">
        <f t="shared" ca="1" si="77"/>
        <v>4.9061737661850256E-2</v>
      </c>
      <c r="X229">
        <f t="shared" ca="1" si="78"/>
        <v>195.0659781985083</v>
      </c>
      <c r="Y229">
        <f t="shared" ca="1" si="79"/>
        <v>632.60399999999993</v>
      </c>
      <c r="Z229">
        <f t="shared" ca="1" si="80"/>
        <v>2571.9891096096285</v>
      </c>
      <c r="AA229">
        <f t="shared" ca="1" si="81"/>
        <v>476.67423334092382</v>
      </c>
      <c r="AB229">
        <f t="shared" ca="1" si="82"/>
        <v>495.96885888420593</v>
      </c>
      <c r="AC229">
        <f t="shared" ca="1" si="83"/>
        <v>0</v>
      </c>
      <c r="AD229">
        <f ca="1">IF(V32="Supercritical",L229,U229)</f>
        <v>0.05</v>
      </c>
      <c r="AE229">
        <f t="shared" ca="1" si="84"/>
        <v>632.60399999999993</v>
      </c>
      <c r="AF229">
        <f t="shared" ca="1" si="85"/>
        <v>2571.9891096096285</v>
      </c>
      <c r="AI229">
        <v>0</v>
      </c>
      <c r="AJ229">
        <v>0</v>
      </c>
      <c r="AK229">
        <f t="shared" si="86"/>
        <v>0</v>
      </c>
      <c r="AL229">
        <f t="shared" si="94"/>
        <v>0</v>
      </c>
      <c r="AM229">
        <f t="shared" ca="1" si="87"/>
        <v>278.52361548778077</v>
      </c>
      <c r="AN229" t="str">
        <f t="shared" ca="1" si="88"/>
        <v>Supercritical</v>
      </c>
      <c r="AO229">
        <f ca="1">IF(V32="Supercritical",R229,AA229)</f>
        <v>476.67423334092382</v>
      </c>
    </row>
    <row r="230" spans="1:41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174</v>
      </c>
      <c r="I230">
        <v>3.3000000000000002E-2</v>
      </c>
      <c r="J230">
        <f t="shared" si="89"/>
        <v>1</v>
      </c>
      <c r="K230">
        <f t="shared" si="90"/>
        <v>51</v>
      </c>
      <c r="L230">
        <f t="shared" ca="1" si="91"/>
        <v>38819.720233849686</v>
      </c>
      <c r="M230">
        <f t="shared" ca="1" si="69"/>
        <v>202173.10297788918</v>
      </c>
      <c r="N230">
        <f t="shared" ca="1" si="70"/>
        <v>2.6038253371962186</v>
      </c>
      <c r="O230">
        <f t="shared" ca="1" si="71"/>
        <v>2.5225907526174563E-4</v>
      </c>
      <c r="P230">
        <f t="shared" ca="1" si="72"/>
        <v>39452.27223384969</v>
      </c>
      <c r="Q230">
        <f t="shared" ca="1" si="73"/>
        <v>39452.272233852935</v>
      </c>
      <c r="R230">
        <f t="shared" ca="1" si="74"/>
        <v>3.9969340759088178E-12</v>
      </c>
      <c r="S230">
        <f t="shared" ca="1" si="92"/>
        <v>9.7745215316535905E-4</v>
      </c>
      <c r="T230">
        <f t="shared" ca="1" si="93"/>
        <v>1</v>
      </c>
      <c r="U230">
        <f t="shared" ca="1" si="75"/>
        <v>0.05</v>
      </c>
      <c r="V230">
        <f t="shared" ca="1" si="76"/>
        <v>0.26040000000000002</v>
      </c>
      <c r="W230">
        <f t="shared" ca="1" si="77"/>
        <v>4.9058025621703097E-2</v>
      </c>
      <c r="X230">
        <f t="shared" ca="1" si="78"/>
        <v>195.85253456221196</v>
      </c>
      <c r="Y230">
        <f t="shared" ca="1" si="79"/>
        <v>632.60199999999998</v>
      </c>
      <c r="Z230">
        <f t="shared" ca="1" si="80"/>
        <v>2587.6588447728045</v>
      </c>
      <c r="AA230">
        <f t="shared" ca="1" si="81"/>
        <v>480.57461081557528</v>
      </c>
      <c r="AB230">
        <f t="shared" ca="1" si="82"/>
        <v>483.37858141188144</v>
      </c>
      <c r="AC230">
        <f t="shared" ca="1" si="83"/>
        <v>0</v>
      </c>
      <c r="AD230">
        <f ca="1">IF(V32="Supercritical",L230,U230)</f>
        <v>0.05</v>
      </c>
      <c r="AE230">
        <f t="shared" ca="1" si="84"/>
        <v>632.60199999999998</v>
      </c>
      <c r="AF230">
        <f t="shared" ca="1" si="85"/>
        <v>2587.6588447728045</v>
      </c>
      <c r="AI230">
        <v>0</v>
      </c>
      <c r="AJ230">
        <v>0</v>
      </c>
      <c r="AK230">
        <f t="shared" si="86"/>
        <v>0</v>
      </c>
      <c r="AL230">
        <f t="shared" si="94"/>
        <v>0</v>
      </c>
      <c r="AM230">
        <f t="shared" ca="1" si="87"/>
        <v>279.64669458248954</v>
      </c>
      <c r="AN230" t="str">
        <f t="shared" ca="1" si="88"/>
        <v>Supercritical</v>
      </c>
      <c r="AO230">
        <f ca="1">IF(V32="Supercritical",R230,AA230)</f>
        <v>480.57461081557528</v>
      </c>
    </row>
    <row r="231" spans="1:41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174</v>
      </c>
      <c r="I231">
        <v>1.4E-2</v>
      </c>
      <c r="J231">
        <f t="shared" si="89"/>
        <v>1</v>
      </c>
      <c r="K231">
        <f t="shared" si="90"/>
        <v>51</v>
      </c>
      <c r="L231">
        <f t="shared" ca="1" si="91"/>
        <v>38819.721256397388</v>
      </c>
      <c r="M231">
        <f t="shared" ca="1" si="69"/>
        <v>202056.64913954842</v>
      </c>
      <c r="N231">
        <f t="shared" ca="1" si="70"/>
        <v>2.602325538360545</v>
      </c>
      <c r="O231">
        <f t="shared" ca="1" si="71"/>
        <v>2.5240446289286604E-4</v>
      </c>
      <c r="P231">
        <f t="shared" ca="1" si="72"/>
        <v>39452.271256397391</v>
      </c>
      <c r="Q231">
        <f t="shared" ca="1" si="73"/>
        <v>39452.271256400636</v>
      </c>
      <c r="R231">
        <f t="shared" ca="1" si="74"/>
        <v>4.0046178515617064E-12</v>
      </c>
      <c r="S231">
        <f t="shared" ca="1" si="92"/>
        <v>9.7745229140855372E-4</v>
      </c>
      <c r="T231">
        <f t="shared" ca="1" si="93"/>
        <v>1</v>
      </c>
      <c r="U231">
        <f t="shared" ca="1" si="75"/>
        <v>0.05</v>
      </c>
      <c r="V231">
        <f t="shared" ca="1" si="76"/>
        <v>0.26025000000000004</v>
      </c>
      <c r="W231">
        <f t="shared" ca="1" si="77"/>
        <v>4.9057492931196996E-2</v>
      </c>
      <c r="X231">
        <f t="shared" ca="1" si="78"/>
        <v>195.96541786743512</v>
      </c>
      <c r="Y231">
        <f t="shared" ca="1" si="79"/>
        <v>632.59999999999991</v>
      </c>
      <c r="Z231">
        <f t="shared" ca="1" si="80"/>
        <v>2589.9111620773933</v>
      </c>
      <c r="AA231">
        <f t="shared" ca="1" si="81"/>
        <v>481.13571275052954</v>
      </c>
      <c r="AB231">
        <f t="shared" ca="1" si="82"/>
        <v>489.99632250211516</v>
      </c>
      <c r="AC231">
        <f t="shared" ca="1" si="83"/>
        <v>0</v>
      </c>
      <c r="AD231">
        <f ca="1">IF(V32="Supercritical",L231,U231)</f>
        <v>0.05</v>
      </c>
      <c r="AE231">
        <f t="shared" ca="1" si="84"/>
        <v>632.59999999999991</v>
      </c>
      <c r="AF231">
        <f t="shared" ca="1" si="85"/>
        <v>2589.9111620773933</v>
      </c>
      <c r="AI231">
        <v>0</v>
      </c>
      <c r="AJ231">
        <v>0</v>
      </c>
      <c r="AK231">
        <f t="shared" si="86"/>
        <v>0</v>
      </c>
      <c r="AL231">
        <f t="shared" si="94"/>
        <v>0</v>
      </c>
      <c r="AM231">
        <f t="shared" ca="1" si="87"/>
        <v>279.8078742335457</v>
      </c>
      <c r="AN231" t="str">
        <f t="shared" ca="1" si="88"/>
        <v>Supercritical</v>
      </c>
      <c r="AO231">
        <f ca="1">IF(V32="Supercritical",R231,AA231)</f>
        <v>481.13571275052954</v>
      </c>
    </row>
    <row r="232" spans="1:41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174</v>
      </c>
      <c r="I232">
        <v>1.867</v>
      </c>
      <c r="J232">
        <f t="shared" si="89"/>
        <v>1</v>
      </c>
      <c r="K232">
        <f t="shared" si="90"/>
        <v>51</v>
      </c>
      <c r="L232">
        <f t="shared" ca="1" si="91"/>
        <v>38819.722278945068</v>
      </c>
      <c r="M232">
        <f t="shared" ca="1" si="69"/>
        <v>201940.19529507225</v>
      </c>
      <c r="N232">
        <f t="shared" ca="1" si="70"/>
        <v>2.6008257394089633</v>
      </c>
      <c r="O232">
        <f t="shared" ca="1" si="71"/>
        <v>2.5255001821444957E-4</v>
      </c>
      <c r="P232">
        <f t="shared" ca="1" si="72"/>
        <v>39452.27027894507</v>
      </c>
      <c r="Q232">
        <f t="shared" ca="1" si="73"/>
        <v>39452.270278948323</v>
      </c>
      <c r="R232">
        <f t="shared" ca="1" si="74"/>
        <v>4.0123208416280506E-12</v>
      </c>
      <c r="S232">
        <f t="shared" ca="1" si="92"/>
        <v>9.7745229868451133E-4</v>
      </c>
      <c r="T232">
        <f t="shared" ca="1" si="93"/>
        <v>1</v>
      </c>
      <c r="U232">
        <f t="shared" ca="1" si="75"/>
        <v>0.05</v>
      </c>
      <c r="V232">
        <f t="shared" ca="1" si="76"/>
        <v>0.2601</v>
      </c>
      <c r="W232">
        <f t="shared" ca="1" si="77"/>
        <v>4.9056959637872502E-2</v>
      </c>
      <c r="X232">
        <f t="shared" ca="1" si="78"/>
        <v>196.07843137254903</v>
      </c>
      <c r="Y232">
        <f t="shared" ca="1" si="79"/>
        <v>632.59799999999996</v>
      </c>
      <c r="Z232">
        <f t="shared" ca="1" si="80"/>
        <v>2592.1673807094503</v>
      </c>
      <c r="AA232">
        <f t="shared" ca="1" si="81"/>
        <v>481.69779781722656</v>
      </c>
      <c r="AB232">
        <f t="shared" ca="1" si="82"/>
        <v>266.42501732076153</v>
      </c>
      <c r="AC232">
        <f t="shared" ca="1" si="83"/>
        <v>0</v>
      </c>
      <c r="AD232">
        <f ca="1">IF(V32="Supercritical",L232,U232)</f>
        <v>0.05</v>
      </c>
      <c r="AE232">
        <f t="shared" ca="1" si="84"/>
        <v>632.59799999999996</v>
      </c>
      <c r="AF232">
        <f t="shared" ca="1" si="85"/>
        <v>2592.1673807094503</v>
      </c>
      <c r="AI232">
        <v>0</v>
      </c>
      <c r="AJ232">
        <v>0</v>
      </c>
      <c r="AK232">
        <f t="shared" si="86"/>
        <v>0</v>
      </c>
      <c r="AL232">
        <f t="shared" si="94"/>
        <v>0</v>
      </c>
      <c r="AM232">
        <f t="shared" ca="1" si="87"/>
        <v>279.96923978962047</v>
      </c>
      <c r="AN232" t="str">
        <f t="shared" ca="1" si="88"/>
        <v>Supercritical</v>
      </c>
      <c r="AO232">
        <f ca="1">IF(V32="Supercritical",R232,AA232)</f>
        <v>481.69779781722656</v>
      </c>
    </row>
    <row r="233" spans="1:41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174</v>
      </c>
      <c r="I233">
        <v>24.24</v>
      </c>
      <c r="J233">
        <f t="shared" si="89"/>
        <v>0.99399999999999977</v>
      </c>
      <c r="K233">
        <f t="shared" si="90"/>
        <v>51</v>
      </c>
      <c r="L233">
        <f t="shared" ca="1" si="91"/>
        <v>38819.723301492922</v>
      </c>
      <c r="M233">
        <f t="shared" ca="1" si="69"/>
        <v>223096.94981367982</v>
      </c>
      <c r="N233">
        <f t="shared" ca="1" si="70"/>
        <v>2.8732873145299314</v>
      </c>
      <c r="O233">
        <f t="shared" ca="1" si="71"/>
        <v>2.2860016706903802E-4</v>
      </c>
      <c r="P233">
        <f t="shared" ca="1" si="72"/>
        <v>39452.269301492925</v>
      </c>
      <c r="Q233">
        <f t="shared" ca="1" si="73"/>
        <v>39452.269301495588</v>
      </c>
      <c r="R233">
        <f t="shared" ca="1" si="74"/>
        <v>2.8784820864579488E-12</v>
      </c>
      <c r="S233">
        <f t="shared" ca="1" si="92"/>
        <v>9.7745242965174839E-4</v>
      </c>
      <c r="T233">
        <f t="shared" ca="1" si="93"/>
        <v>1</v>
      </c>
      <c r="U233">
        <f t="shared" ca="1" si="75"/>
        <v>0.05</v>
      </c>
      <c r="V233">
        <f t="shared" ca="1" si="76"/>
        <v>0.28734999999999999</v>
      </c>
      <c r="W233">
        <f t="shared" ca="1" si="77"/>
        <v>4.9144860612279802E-2</v>
      </c>
      <c r="X233">
        <f t="shared" ca="1" si="78"/>
        <v>177.48390464590221</v>
      </c>
      <c r="Y233">
        <f t="shared" ca="1" si="79"/>
        <v>632.596</v>
      </c>
      <c r="Z233">
        <f t="shared" ca="1" si="80"/>
        <v>2238.1279270313817</v>
      </c>
      <c r="AA233">
        <f t="shared" ca="1" si="81"/>
        <v>393.72802092472068</v>
      </c>
      <c r="AB233">
        <f t="shared" ca="1" si="82"/>
        <v>464.98739573769717</v>
      </c>
      <c r="AC233">
        <f t="shared" ca="1" si="83"/>
        <v>0</v>
      </c>
      <c r="AD233">
        <f ca="1">IF(V32="Supercritical",L233,U233)</f>
        <v>0.05</v>
      </c>
      <c r="AE233">
        <f t="shared" ca="1" si="84"/>
        <v>632.596</v>
      </c>
      <c r="AF233">
        <f t="shared" ca="1" si="85"/>
        <v>2238.1279270313817</v>
      </c>
      <c r="AI233">
        <v>0</v>
      </c>
      <c r="AJ233">
        <v>0</v>
      </c>
      <c r="AK233">
        <f t="shared" si="86"/>
        <v>0</v>
      </c>
      <c r="AL233">
        <f t="shared" si="94"/>
        <v>0</v>
      </c>
      <c r="AM233">
        <f t="shared" ca="1" si="87"/>
        <v>253.41917267889434</v>
      </c>
      <c r="AN233" t="str">
        <f t="shared" ca="1" si="88"/>
        <v>Supercritical</v>
      </c>
      <c r="AO233">
        <f ca="1">IF(V32="Supercritical",R233,AA233)</f>
        <v>393.72802092472068</v>
      </c>
    </row>
    <row r="234" spans="1:41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174</v>
      </c>
      <c r="I234">
        <v>0</v>
      </c>
      <c r="J234">
        <f t="shared" si="89"/>
        <v>0.99900000000000944</v>
      </c>
      <c r="K234">
        <f t="shared" si="90"/>
        <v>51</v>
      </c>
      <c r="L234">
        <f t="shared" ca="1" si="91"/>
        <v>38819.724324040544</v>
      </c>
      <c r="M234">
        <f t="shared" ca="1" si="69"/>
        <v>219137.34380920886</v>
      </c>
      <c r="N234">
        <f t="shared" ca="1" si="70"/>
        <v>2.8222947969182415</v>
      </c>
      <c r="O234">
        <f t="shared" ca="1" si="71"/>
        <v>2.3273075740300552E-4</v>
      </c>
      <c r="P234">
        <f t="shared" ca="1" si="72"/>
        <v>39452.268324040546</v>
      </c>
      <c r="Q234">
        <f t="shared" ca="1" si="73"/>
        <v>39452.268324043303</v>
      </c>
      <c r="R234">
        <f t="shared" ca="1" si="74"/>
        <v>3.0555325678646082E-12</v>
      </c>
      <c r="S234">
        <f t="shared" ca="1" si="92"/>
        <v>9.7745227685663849E-4</v>
      </c>
      <c r="T234">
        <f t="shared" ca="1" si="93"/>
        <v>1</v>
      </c>
      <c r="U234">
        <f t="shared" ca="1" si="75"/>
        <v>0.05</v>
      </c>
      <c r="V234">
        <f t="shared" ca="1" si="76"/>
        <v>0.28225</v>
      </c>
      <c r="W234">
        <f t="shared" ca="1" si="77"/>
        <v>4.9129677980852923E-2</v>
      </c>
      <c r="X234">
        <f t="shared" ca="1" si="78"/>
        <v>180.69087688219665</v>
      </c>
      <c r="Y234">
        <f t="shared" ca="1" si="79"/>
        <v>632.59399999999994</v>
      </c>
      <c r="Z234">
        <f t="shared" ca="1" si="80"/>
        <v>2296.6711146002622</v>
      </c>
      <c r="AA234">
        <f t="shared" ca="1" si="81"/>
        <v>408.25333925931312</v>
      </c>
      <c r="AB234">
        <f t="shared" ca="1" si="82"/>
        <v>495.39233720957463</v>
      </c>
      <c r="AC234">
        <f t="shared" ca="1" si="83"/>
        <v>0</v>
      </c>
      <c r="AD234">
        <f ca="1">IF(V32="Supercritical",L234,U234)</f>
        <v>0.05</v>
      </c>
      <c r="AE234">
        <f t="shared" ca="1" si="84"/>
        <v>632.59399999999994</v>
      </c>
      <c r="AF234">
        <f t="shared" ca="1" si="85"/>
        <v>2296.6711146002622</v>
      </c>
      <c r="AI234">
        <v>0</v>
      </c>
      <c r="AJ234">
        <v>0</v>
      </c>
      <c r="AK234">
        <f t="shared" si="86"/>
        <v>0</v>
      </c>
      <c r="AL234">
        <f t="shared" si="94"/>
        <v>0</v>
      </c>
      <c r="AM234">
        <f t="shared" ca="1" si="87"/>
        <v>257.99822593190538</v>
      </c>
      <c r="AN234" t="str">
        <f t="shared" ca="1" si="88"/>
        <v>Supercritical</v>
      </c>
      <c r="AO234">
        <f ca="1">IF(V32="Supercritical",R234,AA234)</f>
        <v>408.25333925931312</v>
      </c>
    </row>
    <row r="235" spans="1:41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174</v>
      </c>
      <c r="I235">
        <v>0</v>
      </c>
      <c r="J235">
        <f t="shared" si="89"/>
        <v>1</v>
      </c>
      <c r="K235">
        <f t="shared" si="90"/>
        <v>51</v>
      </c>
      <c r="L235">
        <f t="shared" ca="1" si="91"/>
        <v>38819.725346588159</v>
      </c>
      <c r="M235">
        <f t="shared" ca="1" si="69"/>
        <v>214595.44171593932</v>
      </c>
      <c r="N235">
        <f t="shared" ca="1" si="70"/>
        <v>2.7638032146797231</v>
      </c>
      <c r="O235">
        <f t="shared" ca="1" si="71"/>
        <v>2.3765649257130478E-4</v>
      </c>
      <c r="P235">
        <f t="shared" ca="1" si="72"/>
        <v>39452.26734658816</v>
      </c>
      <c r="Q235">
        <f t="shared" ca="1" si="73"/>
        <v>39452.267346591041</v>
      </c>
      <c r="R235">
        <f t="shared" ca="1" si="74"/>
        <v>3.2764664701945702E-12</v>
      </c>
      <c r="S235">
        <f t="shared" ca="1" si="92"/>
        <v>9.7745224775280803E-4</v>
      </c>
      <c r="T235">
        <f t="shared" ca="1" si="93"/>
        <v>1</v>
      </c>
      <c r="U235">
        <f t="shared" ca="1" si="75"/>
        <v>0.05</v>
      </c>
      <c r="V235">
        <f t="shared" ca="1" si="76"/>
        <v>0.27639999999999998</v>
      </c>
      <c r="W235">
        <f t="shared" ca="1" si="77"/>
        <v>4.9111584932480461E-2</v>
      </c>
      <c r="X235">
        <f t="shared" ca="1" si="78"/>
        <v>184.51519536903041</v>
      </c>
      <c r="Y235">
        <f t="shared" ca="1" si="79"/>
        <v>632.59199999999998</v>
      </c>
      <c r="Z235">
        <f t="shared" ca="1" si="80"/>
        <v>2367.8548604521638</v>
      </c>
      <c r="AA235">
        <f t="shared" ca="1" si="81"/>
        <v>425.92669428565245</v>
      </c>
      <c r="AB235">
        <f t="shared" ca="1" si="82"/>
        <v>501.0152718783861</v>
      </c>
      <c r="AC235">
        <f t="shared" ca="1" si="83"/>
        <v>0</v>
      </c>
      <c r="AD235">
        <f ca="1">IF(V32="Supercritical",L235,U235)</f>
        <v>0.05</v>
      </c>
      <c r="AE235">
        <f t="shared" ca="1" si="84"/>
        <v>632.59199999999998</v>
      </c>
      <c r="AF235">
        <f t="shared" ca="1" si="85"/>
        <v>2367.8548604521638</v>
      </c>
      <c r="AI235">
        <v>0</v>
      </c>
      <c r="AJ235">
        <v>0</v>
      </c>
      <c r="AK235">
        <f t="shared" si="86"/>
        <v>0</v>
      </c>
      <c r="AL235">
        <f t="shared" si="94"/>
        <v>0</v>
      </c>
      <c r="AM235">
        <f t="shared" ca="1" si="87"/>
        <v>263.45875278321381</v>
      </c>
      <c r="AN235" t="str">
        <f t="shared" ca="1" si="88"/>
        <v>Supercritical</v>
      </c>
      <c r="AO235">
        <f ca="1">IF(V32="Supercritical",R235,AA235)</f>
        <v>425.92669428565245</v>
      </c>
    </row>
    <row r="236" spans="1:41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174</v>
      </c>
      <c r="I236">
        <v>0.05</v>
      </c>
      <c r="J236">
        <f t="shared" si="89"/>
        <v>1</v>
      </c>
      <c r="K236">
        <f t="shared" si="90"/>
        <v>51</v>
      </c>
      <c r="L236">
        <f t="shared" ca="1" si="91"/>
        <v>38819.726369135795</v>
      </c>
      <c r="M236">
        <f t="shared" ca="1" si="69"/>
        <v>210907.57336351476</v>
      </c>
      <c r="N236">
        <f t="shared" ca="1" si="70"/>
        <v>2.7163099199405125</v>
      </c>
      <c r="O236">
        <f t="shared" ca="1" si="71"/>
        <v>2.4181208472821286E-4</v>
      </c>
      <c r="P236">
        <f t="shared" ca="1" si="72"/>
        <v>39452.266369135796</v>
      </c>
      <c r="Q236">
        <f t="shared" ca="1" si="73"/>
        <v>39452.266369138779</v>
      </c>
      <c r="R236">
        <f t="shared" ca="1" si="74"/>
        <v>3.4713581843346953E-12</v>
      </c>
      <c r="S236">
        <f t="shared" ca="1" si="92"/>
        <v>9.7745225502876565E-4</v>
      </c>
      <c r="T236">
        <f t="shared" ca="1" si="93"/>
        <v>1</v>
      </c>
      <c r="U236">
        <f t="shared" ca="1" si="75"/>
        <v>0.05</v>
      </c>
      <c r="V236">
        <f t="shared" ca="1" si="76"/>
        <v>0.27165</v>
      </c>
      <c r="W236">
        <f t="shared" ca="1" si="77"/>
        <v>4.9096331104283394E-2</v>
      </c>
      <c r="X236">
        <f t="shared" ca="1" si="78"/>
        <v>187.74157923799007</v>
      </c>
      <c r="Y236">
        <f t="shared" ca="1" si="79"/>
        <v>632.58999999999992</v>
      </c>
      <c r="Z236">
        <f t="shared" ca="1" si="80"/>
        <v>2429.0681128835117</v>
      </c>
      <c r="AA236">
        <f t="shared" ca="1" si="81"/>
        <v>441.13488110334123</v>
      </c>
      <c r="AB236">
        <f t="shared" ca="1" si="82"/>
        <v>506.67190463105817</v>
      </c>
      <c r="AC236">
        <f t="shared" ca="1" si="83"/>
        <v>0</v>
      </c>
      <c r="AD236">
        <f ca="1">IF(V32="Supercritical",L236,U236)</f>
        <v>0.05</v>
      </c>
      <c r="AE236">
        <f t="shared" ca="1" si="84"/>
        <v>632.58999999999992</v>
      </c>
      <c r="AF236">
        <f t="shared" ca="1" si="85"/>
        <v>2429.0681128835117</v>
      </c>
      <c r="AI236">
        <v>0</v>
      </c>
      <c r="AJ236">
        <v>0</v>
      </c>
      <c r="AK236">
        <f t="shared" si="86"/>
        <v>0</v>
      </c>
      <c r="AL236">
        <f t="shared" si="94"/>
        <v>0</v>
      </c>
      <c r="AM236">
        <f t="shared" ca="1" si="87"/>
        <v>268.06552280243062</v>
      </c>
      <c r="AN236" t="str">
        <f t="shared" ca="1" si="88"/>
        <v>Supercritical</v>
      </c>
      <c r="AO236">
        <f ca="1">IF(V32="Supercritical",R236,AA236)</f>
        <v>441.13488110334123</v>
      </c>
    </row>
    <row r="237" spans="1:41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174</v>
      </c>
      <c r="I237">
        <v>0.05</v>
      </c>
      <c r="J237">
        <f t="shared" si="89"/>
        <v>1</v>
      </c>
      <c r="K237">
        <f t="shared" si="90"/>
        <v>51</v>
      </c>
      <c r="L237">
        <f t="shared" ca="1" si="91"/>
        <v>38819.727391683446</v>
      </c>
      <c r="M237">
        <f t="shared" ca="1" si="69"/>
        <v>207840.82045507318</v>
      </c>
      <c r="N237">
        <f t="shared" ca="1" si="70"/>
        <v>2.6768154073887929</v>
      </c>
      <c r="O237">
        <f t="shared" ca="1" si="71"/>
        <v>2.4538009370985982E-4</v>
      </c>
      <c r="P237">
        <f t="shared" ca="1" si="72"/>
        <v>39452.265391683446</v>
      </c>
      <c r="Q237">
        <f t="shared" ca="1" si="73"/>
        <v>39452.265391686517</v>
      </c>
      <c r="R237">
        <f t="shared" ca="1" si="74"/>
        <v>3.6450482058918026E-12</v>
      </c>
      <c r="S237">
        <f t="shared" ca="1" si="92"/>
        <v>9.7745225502876565E-4</v>
      </c>
      <c r="T237">
        <f t="shared" ca="1" si="93"/>
        <v>1</v>
      </c>
      <c r="U237">
        <f t="shared" ca="1" si="75"/>
        <v>0.05</v>
      </c>
      <c r="V237">
        <f t="shared" ca="1" si="76"/>
        <v>0.26769999999999999</v>
      </c>
      <c r="W237">
        <f t="shared" ca="1" si="77"/>
        <v>4.9083241657499083E-2</v>
      </c>
      <c r="X237">
        <f t="shared" ca="1" si="78"/>
        <v>190.51176690324991</v>
      </c>
      <c r="Y237">
        <f t="shared" ca="1" si="79"/>
        <v>632.58799999999997</v>
      </c>
      <c r="Z237">
        <f t="shared" ca="1" si="80"/>
        <v>2482.4724713862497</v>
      </c>
      <c r="AA237">
        <f t="shared" ca="1" si="81"/>
        <v>454.41062537418787</v>
      </c>
      <c r="AB237">
        <f t="shared" ca="1" si="82"/>
        <v>506.03849159296669</v>
      </c>
      <c r="AC237">
        <f t="shared" ca="1" si="83"/>
        <v>0</v>
      </c>
      <c r="AD237">
        <f ca="1">IF(V32="Supercritical",L237,U237)</f>
        <v>0.05</v>
      </c>
      <c r="AE237">
        <f t="shared" ca="1" si="84"/>
        <v>632.58799999999997</v>
      </c>
      <c r="AF237">
        <f t="shared" ca="1" si="85"/>
        <v>2482.4724713862497</v>
      </c>
      <c r="AI237">
        <v>0</v>
      </c>
      <c r="AJ237">
        <v>0</v>
      </c>
      <c r="AK237">
        <f t="shared" si="86"/>
        <v>0</v>
      </c>
      <c r="AL237">
        <f t="shared" si="94"/>
        <v>0</v>
      </c>
      <c r="AM237">
        <f t="shared" ca="1" si="87"/>
        <v>272.02091620948931</v>
      </c>
      <c r="AN237" t="str">
        <f t="shared" ca="1" si="88"/>
        <v>Supercritical</v>
      </c>
      <c r="AO237">
        <f ca="1">IF(V32="Supercritical",R237,AA237)</f>
        <v>454.41062537418787</v>
      </c>
    </row>
    <row r="238" spans="1:41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174</v>
      </c>
      <c r="I238">
        <v>0</v>
      </c>
      <c r="J238">
        <f t="shared" si="89"/>
        <v>1</v>
      </c>
      <c r="K238">
        <f t="shared" si="90"/>
        <v>51</v>
      </c>
      <c r="L238">
        <f t="shared" ca="1" si="91"/>
        <v>38819.728414231089</v>
      </c>
      <c r="M238">
        <f t="shared" ca="1" si="69"/>
        <v>205511.64222493937</v>
      </c>
      <c r="N238">
        <f t="shared" ca="1" si="70"/>
        <v>2.6468195213732999</v>
      </c>
      <c r="O238">
        <f t="shared" ca="1" si="71"/>
        <v>2.481611233692483E-4</v>
      </c>
      <c r="P238">
        <f t="shared" ca="1" si="72"/>
        <v>39452.264414231089</v>
      </c>
      <c r="Q238">
        <f t="shared" ca="1" si="73"/>
        <v>39452.264414234225</v>
      </c>
      <c r="R238">
        <f t="shared" ca="1" si="74"/>
        <v>3.784578973662364E-12</v>
      </c>
      <c r="S238">
        <f t="shared" ca="1" si="92"/>
        <v>9.7745227685663849E-4</v>
      </c>
      <c r="T238">
        <f t="shared" ca="1" si="93"/>
        <v>1</v>
      </c>
      <c r="U238">
        <f t="shared" ca="1" si="75"/>
        <v>0.05</v>
      </c>
      <c r="V238">
        <f t="shared" ca="1" si="76"/>
        <v>0.26469999999999999</v>
      </c>
      <c r="W238">
        <f t="shared" ca="1" si="77"/>
        <v>4.9073044123099749E-2</v>
      </c>
      <c r="X238">
        <f t="shared" ca="1" si="78"/>
        <v>192.6709482432943</v>
      </c>
      <c r="Y238">
        <f t="shared" ca="1" si="79"/>
        <v>632.5859999999999</v>
      </c>
      <c r="Z238">
        <f t="shared" ca="1" si="80"/>
        <v>2524.6397358292656</v>
      </c>
      <c r="AA238">
        <f t="shared" ca="1" si="81"/>
        <v>464.89797603711133</v>
      </c>
      <c r="AB238">
        <f t="shared" ca="1" si="82"/>
        <v>503.88961416809752</v>
      </c>
      <c r="AC238">
        <f t="shared" ca="1" si="83"/>
        <v>0</v>
      </c>
      <c r="AD238">
        <f ca="1">IF(V32="Supercritical",L238,U238)</f>
        <v>0.05</v>
      </c>
      <c r="AE238">
        <f t="shared" ca="1" si="84"/>
        <v>632.5859999999999</v>
      </c>
      <c r="AF238">
        <f t="shared" ca="1" si="85"/>
        <v>2524.6397358292656</v>
      </c>
      <c r="AI238">
        <v>0</v>
      </c>
      <c r="AJ238">
        <v>0</v>
      </c>
      <c r="AK238">
        <f t="shared" si="86"/>
        <v>0</v>
      </c>
      <c r="AL238">
        <f t="shared" si="94"/>
        <v>0</v>
      </c>
      <c r="AM238">
        <f t="shared" ca="1" si="87"/>
        <v>275.10388843702412</v>
      </c>
      <c r="AN238" t="str">
        <f t="shared" ca="1" si="88"/>
        <v>Supercritical</v>
      </c>
      <c r="AO238">
        <f ca="1">IF(V32="Supercritical",R238,AA238)</f>
        <v>464.89797603711133</v>
      </c>
    </row>
    <row r="239" spans="1:41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174</v>
      </c>
      <c r="I239">
        <v>0</v>
      </c>
      <c r="J239">
        <f t="shared" si="89"/>
        <v>1</v>
      </c>
      <c r="K239">
        <f t="shared" si="90"/>
        <v>51</v>
      </c>
      <c r="L239">
        <f t="shared" ca="1" si="91"/>
        <v>38819.72943677874</v>
      </c>
      <c r="M239">
        <f t="shared" ca="1" si="69"/>
        <v>203803.57954308839</v>
      </c>
      <c r="N239">
        <f t="shared" ca="1" si="70"/>
        <v>2.6248225088328629</v>
      </c>
      <c r="O239">
        <f t="shared" ca="1" si="71"/>
        <v>2.5024094333543108E-4</v>
      </c>
      <c r="P239">
        <f t="shared" ca="1" si="72"/>
        <v>39452.26343677874</v>
      </c>
      <c r="Q239">
        <f t="shared" ca="1" si="73"/>
        <v>39452.263436781934</v>
      </c>
      <c r="R239">
        <f t="shared" ca="1" si="74"/>
        <v>3.8913413864773477E-12</v>
      </c>
      <c r="S239">
        <f t="shared" ca="1" si="92"/>
        <v>9.7745227685663849E-4</v>
      </c>
      <c r="T239">
        <f t="shared" ca="1" si="93"/>
        <v>1</v>
      </c>
      <c r="U239">
        <f t="shared" ca="1" si="75"/>
        <v>0.05</v>
      </c>
      <c r="V239">
        <f t="shared" ca="1" si="76"/>
        <v>0.26250000000000001</v>
      </c>
      <c r="W239">
        <f t="shared" ca="1" si="77"/>
        <v>4.9065420560747669E-2</v>
      </c>
      <c r="X239">
        <f t="shared" ca="1" si="78"/>
        <v>194.28571428571428</v>
      </c>
      <c r="Y239">
        <f t="shared" ca="1" si="79"/>
        <v>632.58399999999995</v>
      </c>
      <c r="Z239">
        <f t="shared" ca="1" si="80"/>
        <v>2556.4850588945055</v>
      </c>
      <c r="AA239">
        <f t="shared" ca="1" si="81"/>
        <v>472.82114155555564</v>
      </c>
      <c r="AB239">
        <f t="shared" ca="1" si="82"/>
        <v>501.96294094301766</v>
      </c>
      <c r="AC239">
        <f t="shared" ca="1" si="83"/>
        <v>0</v>
      </c>
      <c r="AD239">
        <f ca="1">IF(V32="Supercritical",L239,U239)</f>
        <v>0.05</v>
      </c>
      <c r="AE239">
        <f t="shared" ca="1" si="84"/>
        <v>632.58399999999995</v>
      </c>
      <c r="AF239">
        <f t="shared" ca="1" si="85"/>
        <v>2556.4850588945055</v>
      </c>
      <c r="AI239">
        <v>0</v>
      </c>
      <c r="AJ239">
        <v>0</v>
      </c>
      <c r="AK239">
        <f t="shared" si="86"/>
        <v>0</v>
      </c>
      <c r="AL239">
        <f t="shared" si="94"/>
        <v>0</v>
      </c>
      <c r="AM239">
        <f t="shared" ca="1" si="87"/>
        <v>277.40952102582963</v>
      </c>
      <c r="AN239" t="str">
        <f t="shared" ca="1" si="88"/>
        <v>Supercritical</v>
      </c>
      <c r="AO239">
        <f ca="1">IF(V32="Supercritical",R239,AA239)</f>
        <v>472.82114155555564</v>
      </c>
    </row>
    <row r="240" spans="1:41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174</v>
      </c>
      <c r="I240">
        <v>0.05</v>
      </c>
      <c r="J240">
        <f t="shared" si="89"/>
        <v>1</v>
      </c>
      <c r="K240">
        <f t="shared" si="90"/>
        <v>51</v>
      </c>
      <c r="L240">
        <f t="shared" ca="1" si="91"/>
        <v>38819.730459326405</v>
      </c>
      <c r="M240">
        <f t="shared" ca="1" si="69"/>
        <v>202561.35353676518</v>
      </c>
      <c r="N240">
        <f t="shared" ca="1" si="70"/>
        <v>2.6088246658729282</v>
      </c>
      <c r="O240">
        <f t="shared" ca="1" si="71"/>
        <v>2.5177556878214398E-4</v>
      </c>
      <c r="P240">
        <f t="shared" ca="1" si="72"/>
        <v>39452.262459326404</v>
      </c>
      <c r="Q240">
        <f t="shared" ca="1" si="73"/>
        <v>39452.262459329635</v>
      </c>
      <c r="R240">
        <f t="shared" ca="1" si="74"/>
        <v>3.9714567160303025E-12</v>
      </c>
      <c r="S240">
        <f t="shared" ca="1" si="92"/>
        <v>9.7745228413259611E-4</v>
      </c>
      <c r="T240">
        <f t="shared" ca="1" si="93"/>
        <v>1</v>
      </c>
      <c r="U240">
        <f t="shared" ca="1" si="75"/>
        <v>0.05</v>
      </c>
      <c r="V240">
        <f t="shared" ca="1" si="76"/>
        <v>0.26090000000000002</v>
      </c>
      <c r="W240">
        <f t="shared" ca="1" si="77"/>
        <v>4.9059796916133894E-2</v>
      </c>
      <c r="X240">
        <f t="shared" ca="1" si="78"/>
        <v>195.47719432732848</v>
      </c>
      <c r="Y240">
        <f t="shared" ca="1" si="79"/>
        <v>632.58199999999999</v>
      </c>
      <c r="Z240">
        <f t="shared" ca="1" si="80"/>
        <v>2580.152514887061</v>
      </c>
      <c r="AA240">
        <f t="shared" ca="1" si="81"/>
        <v>478.71134206104307</v>
      </c>
      <c r="AB240">
        <f t="shared" ca="1" si="82"/>
        <v>492.64233055559907</v>
      </c>
      <c r="AC240">
        <f t="shared" ca="1" si="83"/>
        <v>0</v>
      </c>
      <c r="AD240">
        <f ca="1">IF(V32="Supercritical",L240,U240)</f>
        <v>0.05</v>
      </c>
      <c r="AE240">
        <f t="shared" ca="1" si="84"/>
        <v>632.58199999999999</v>
      </c>
      <c r="AF240">
        <f t="shared" ca="1" si="85"/>
        <v>2580.152514887061</v>
      </c>
      <c r="AI240">
        <v>0</v>
      </c>
      <c r="AJ240">
        <v>0</v>
      </c>
      <c r="AK240">
        <f t="shared" si="86"/>
        <v>0</v>
      </c>
      <c r="AL240">
        <f t="shared" si="94"/>
        <v>0</v>
      </c>
      <c r="AM240">
        <f t="shared" ca="1" si="87"/>
        <v>279.11076760935333</v>
      </c>
      <c r="AN240" t="str">
        <f t="shared" ca="1" si="88"/>
        <v>Supercritical</v>
      </c>
      <c r="AO240">
        <f ca="1">IF(V32="Supercritical",R240,AA240)</f>
        <v>478.71134206104307</v>
      </c>
    </row>
    <row r="241" spans="1:41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174</v>
      </c>
      <c r="I241">
        <v>0.05</v>
      </c>
      <c r="J241">
        <f t="shared" si="89"/>
        <v>1</v>
      </c>
      <c r="K241">
        <f t="shared" si="90"/>
        <v>51</v>
      </c>
      <c r="L241">
        <f t="shared" ca="1" si="91"/>
        <v>38819.731481874078</v>
      </c>
      <c r="M241">
        <f t="shared" ca="1" si="69"/>
        <v>201979.06290019085</v>
      </c>
      <c r="N241">
        <f t="shared" ca="1" si="70"/>
        <v>2.6013256724485583</v>
      </c>
      <c r="O241">
        <f t="shared" ca="1" si="71"/>
        <v>2.5250141904659666E-4</v>
      </c>
      <c r="P241">
        <f t="shared" ca="1" si="72"/>
        <v>39452.261481874077</v>
      </c>
      <c r="Q241">
        <f t="shared" ca="1" si="73"/>
        <v>39452.261481877329</v>
      </c>
      <c r="R241">
        <f t="shared" ca="1" si="74"/>
        <v>4.0097490680181415E-12</v>
      </c>
      <c r="S241">
        <f t="shared" ca="1" si="92"/>
        <v>9.7745229868451133E-4</v>
      </c>
      <c r="T241">
        <f t="shared" ca="1" si="93"/>
        <v>1</v>
      </c>
      <c r="U241">
        <f t="shared" ca="1" si="75"/>
        <v>0.05</v>
      </c>
      <c r="V241">
        <f t="shared" ca="1" si="76"/>
        <v>0.26015000000000005</v>
      </c>
      <c r="W241">
        <f t="shared" ca="1" si="77"/>
        <v>4.9057137469356978E-2</v>
      </c>
      <c r="X241">
        <f t="shared" ca="1" si="78"/>
        <v>196.04074572362094</v>
      </c>
      <c r="Y241">
        <f t="shared" ca="1" si="79"/>
        <v>632.57999999999993</v>
      </c>
      <c r="Z241">
        <f t="shared" ca="1" si="80"/>
        <v>2591.3962071291235</v>
      </c>
      <c r="AA241">
        <f t="shared" ca="1" si="81"/>
        <v>481.51032674976295</v>
      </c>
      <c r="AB241">
        <f t="shared" ca="1" si="82"/>
        <v>484.2766046032657</v>
      </c>
      <c r="AC241">
        <f t="shared" ca="1" si="83"/>
        <v>0</v>
      </c>
      <c r="AD241">
        <f ca="1">IF(V32="Supercritical",L241,U241)</f>
        <v>0.05</v>
      </c>
      <c r="AE241">
        <f t="shared" ca="1" si="84"/>
        <v>632.57999999999993</v>
      </c>
      <c r="AF241">
        <f t="shared" ca="1" si="85"/>
        <v>2591.3962071291235</v>
      </c>
      <c r="AI241">
        <v>0</v>
      </c>
      <c r="AJ241">
        <v>0</v>
      </c>
      <c r="AK241">
        <f t="shared" si="86"/>
        <v>0</v>
      </c>
      <c r="AL241">
        <f t="shared" si="94"/>
        <v>0</v>
      </c>
      <c r="AM241">
        <f t="shared" ca="1" si="87"/>
        <v>279.91543059496547</v>
      </c>
      <c r="AN241" t="str">
        <f t="shared" ca="1" si="88"/>
        <v>Supercritical</v>
      </c>
      <c r="AO241">
        <f ca="1">IF(V32="Supercritical",R241,AA241)</f>
        <v>481.51032674976295</v>
      </c>
    </row>
    <row r="242" spans="1:41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174</v>
      </c>
      <c r="I242">
        <v>0</v>
      </c>
      <c r="J242">
        <f t="shared" si="89"/>
        <v>1</v>
      </c>
      <c r="K242">
        <f t="shared" si="90"/>
        <v>51</v>
      </c>
      <c r="L242">
        <f t="shared" ca="1" si="91"/>
        <v>38819.732504421765</v>
      </c>
      <c r="M242">
        <f t="shared" ca="1" si="69"/>
        <v>201862.60902299319</v>
      </c>
      <c r="N242">
        <f t="shared" ca="1" si="70"/>
        <v>2.5998258734196553</v>
      </c>
      <c r="O242">
        <f t="shared" ca="1" si="71"/>
        <v>2.5264708628724221E-4</v>
      </c>
      <c r="P242">
        <f t="shared" ca="1" si="72"/>
        <v>39452.260504421763</v>
      </c>
      <c r="Q242">
        <f t="shared" ca="1" si="73"/>
        <v>39452.260504425016</v>
      </c>
      <c r="R242">
        <f t="shared" ca="1" si="74"/>
        <v>4.0174648967591659E-12</v>
      </c>
      <c r="S242">
        <f t="shared" ca="1" si="92"/>
        <v>9.7745230596046895E-4</v>
      </c>
      <c r="T242">
        <f t="shared" ca="1" si="93"/>
        <v>1</v>
      </c>
      <c r="U242">
        <f t="shared" ca="1" si="75"/>
        <v>0.05</v>
      </c>
      <c r="V242">
        <f t="shared" ca="1" si="76"/>
        <v>0.26</v>
      </c>
      <c r="W242">
        <f t="shared" ca="1" si="77"/>
        <v>4.9056603773584909E-2</v>
      </c>
      <c r="X242">
        <f t="shared" ca="1" si="78"/>
        <v>196.15384615384616</v>
      </c>
      <c r="Y242">
        <f t="shared" ca="1" si="79"/>
        <v>632.57799999999997</v>
      </c>
      <c r="Z242">
        <f t="shared" ca="1" si="80"/>
        <v>2593.6550316486619</v>
      </c>
      <c r="AA242">
        <f t="shared" ca="1" si="81"/>
        <v>482.07306851378365</v>
      </c>
      <c r="AB242">
        <f t="shared" ca="1" si="82"/>
        <v>474.79803442339517</v>
      </c>
      <c r="AC242">
        <f t="shared" ca="1" si="83"/>
        <v>0</v>
      </c>
      <c r="AD242">
        <f ca="1">IF(V32="Supercritical",L242,U242)</f>
        <v>0.05</v>
      </c>
      <c r="AE242">
        <f t="shared" ca="1" si="84"/>
        <v>632.57799999999997</v>
      </c>
      <c r="AF242">
        <f t="shared" ca="1" si="85"/>
        <v>2593.6550316486619</v>
      </c>
      <c r="AI242">
        <v>0</v>
      </c>
      <c r="AJ242">
        <v>0</v>
      </c>
      <c r="AK242">
        <f t="shared" si="86"/>
        <v>0</v>
      </c>
      <c r="AL242">
        <f t="shared" si="94"/>
        <v>0</v>
      </c>
      <c r="AM242">
        <f t="shared" ca="1" si="87"/>
        <v>280.07692026646265</v>
      </c>
      <c r="AN242" t="str">
        <f t="shared" ca="1" si="88"/>
        <v>Supercritical</v>
      </c>
      <c r="AO242">
        <f ca="1">IF(V32="Supercritical",R242,AA242)</f>
        <v>482.07306851378365</v>
      </c>
    </row>
    <row r="243" spans="1:41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174</v>
      </c>
      <c r="I243">
        <v>0.05</v>
      </c>
      <c r="J243">
        <f t="shared" si="89"/>
        <v>1</v>
      </c>
      <c r="K243">
        <f t="shared" si="90"/>
        <v>51</v>
      </c>
      <c r="L243">
        <f t="shared" ca="1" si="91"/>
        <v>38819.733526969459</v>
      </c>
      <c r="M243">
        <f t="shared" ca="1" si="69"/>
        <v>202328.45114256482</v>
      </c>
      <c r="N243">
        <f t="shared" ca="1" si="70"/>
        <v>2.605825068862857</v>
      </c>
      <c r="O243">
        <f t="shared" ca="1" si="71"/>
        <v>2.5206539027012242E-4</v>
      </c>
      <c r="P243">
        <f t="shared" ca="1" si="72"/>
        <v>39452.259526969458</v>
      </c>
      <c r="Q243">
        <f t="shared" ca="1" si="73"/>
        <v>39452.259526972695</v>
      </c>
      <c r="R243">
        <f t="shared" ca="1" si="74"/>
        <v>3.9867158183931419E-12</v>
      </c>
      <c r="S243">
        <f t="shared" ca="1" si="92"/>
        <v>9.7745230596046895E-4</v>
      </c>
      <c r="T243">
        <f t="shared" ca="1" si="93"/>
        <v>1</v>
      </c>
      <c r="U243">
        <f t="shared" ca="1" si="75"/>
        <v>0.05</v>
      </c>
      <c r="V243">
        <f t="shared" ca="1" si="76"/>
        <v>0.2606</v>
      </c>
      <c r="W243">
        <f t="shared" ca="1" si="77"/>
        <v>4.9058734939759041E-2</v>
      </c>
      <c r="X243">
        <f t="shared" ca="1" si="78"/>
        <v>195.70222563315426</v>
      </c>
      <c r="Y243">
        <f t="shared" ca="1" si="79"/>
        <v>632.57599999999991</v>
      </c>
      <c r="Z243">
        <f t="shared" ca="1" si="80"/>
        <v>2584.6331415784921</v>
      </c>
      <c r="AA243">
        <f t="shared" ca="1" si="81"/>
        <v>479.82800025930317</v>
      </c>
      <c r="AB243">
        <f t="shared" ca="1" si="82"/>
        <v>464.66021934363334</v>
      </c>
      <c r="AC243">
        <f t="shared" ca="1" si="83"/>
        <v>0</v>
      </c>
      <c r="AD243">
        <f ca="1">IF(V32="Supercritical",L243,U243)</f>
        <v>0.05</v>
      </c>
      <c r="AE243">
        <f t="shared" ca="1" si="84"/>
        <v>632.57599999999991</v>
      </c>
      <c r="AF243">
        <f t="shared" ca="1" si="85"/>
        <v>2584.6331415784921</v>
      </c>
      <c r="AI243">
        <v>0</v>
      </c>
      <c r="AJ243">
        <v>0</v>
      </c>
      <c r="AK243">
        <f t="shared" si="86"/>
        <v>0</v>
      </c>
      <c r="AL243">
        <f t="shared" si="94"/>
        <v>0</v>
      </c>
      <c r="AM243">
        <f t="shared" ca="1" si="87"/>
        <v>279.43207701181996</v>
      </c>
      <c r="AN243" t="str">
        <f t="shared" ca="1" si="88"/>
        <v>Supercritical</v>
      </c>
      <c r="AO243">
        <f ca="1">IF(V32="Supercritical",R243,AA243)</f>
        <v>479.82800025930317</v>
      </c>
    </row>
    <row r="244" spans="1:41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174</v>
      </c>
      <c r="I244">
        <v>0.05</v>
      </c>
      <c r="J244">
        <f t="shared" si="89"/>
        <v>1</v>
      </c>
      <c r="K244">
        <f t="shared" si="90"/>
        <v>51</v>
      </c>
      <c r="L244">
        <f t="shared" ca="1" si="91"/>
        <v>38819.734549517154</v>
      </c>
      <c r="M244">
        <f t="shared" ca="1" si="69"/>
        <v>203298.94983582135</v>
      </c>
      <c r="N244">
        <f t="shared" ca="1" si="70"/>
        <v>2.6183233867421367</v>
      </c>
      <c r="O244">
        <f t="shared" ca="1" si="71"/>
        <v>2.5086209270232924E-4</v>
      </c>
      <c r="P244">
        <f t="shared" ca="1" si="72"/>
        <v>39452.258549517152</v>
      </c>
      <c r="Q244">
        <f t="shared" ca="1" si="73"/>
        <v>39452.25854952036</v>
      </c>
      <c r="R244">
        <f t="shared" ca="1" si="74"/>
        <v>3.9236315678615529E-12</v>
      </c>
      <c r="S244">
        <f t="shared" ca="1" si="92"/>
        <v>9.7745232051238418E-4</v>
      </c>
      <c r="T244">
        <f t="shared" ca="1" si="93"/>
        <v>1</v>
      </c>
      <c r="U244">
        <f t="shared" ca="1" si="75"/>
        <v>0.05</v>
      </c>
      <c r="V244">
        <f t="shared" ca="1" si="76"/>
        <v>0.26185000000000003</v>
      </c>
      <c r="W244">
        <f t="shared" ca="1" si="77"/>
        <v>4.9063144088439203E-2</v>
      </c>
      <c r="X244">
        <f t="shared" ca="1" si="78"/>
        <v>194.76799694481571</v>
      </c>
      <c r="Y244">
        <f t="shared" ca="1" si="79"/>
        <v>632.57399999999996</v>
      </c>
      <c r="Z244">
        <f t="shared" ca="1" si="80"/>
        <v>2566.0384563657358</v>
      </c>
      <c r="AA244">
        <f t="shared" ca="1" si="81"/>
        <v>475.20085486889269</v>
      </c>
      <c r="AB244">
        <f t="shared" ca="1" si="82"/>
        <v>454.70179044340284</v>
      </c>
      <c r="AC244">
        <f t="shared" ca="1" si="83"/>
        <v>0</v>
      </c>
      <c r="AD244">
        <f ca="1">IF(V32="Supercritical",L244,U244)</f>
        <v>0.05</v>
      </c>
      <c r="AE244">
        <f t="shared" ca="1" si="84"/>
        <v>632.57399999999996</v>
      </c>
      <c r="AF244">
        <f t="shared" ca="1" si="85"/>
        <v>2566.0384563657358</v>
      </c>
      <c r="AI244">
        <v>0</v>
      </c>
      <c r="AJ244">
        <v>0</v>
      </c>
      <c r="AK244">
        <f t="shared" si="86"/>
        <v>0</v>
      </c>
      <c r="AL244">
        <f t="shared" si="94"/>
        <v>0</v>
      </c>
      <c r="AM244">
        <f t="shared" ca="1" si="87"/>
        <v>278.09814500393458</v>
      </c>
      <c r="AN244" t="str">
        <f t="shared" ca="1" si="88"/>
        <v>Supercritical</v>
      </c>
      <c r="AO244">
        <f ca="1">IF(V32="Supercritical",R244,AA244)</f>
        <v>475.20085486889269</v>
      </c>
    </row>
    <row r="245" spans="1:41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174</v>
      </c>
      <c r="I245">
        <v>0</v>
      </c>
      <c r="J245">
        <f t="shared" si="89"/>
        <v>1</v>
      </c>
      <c r="K245">
        <f t="shared" si="90"/>
        <v>51</v>
      </c>
      <c r="L245">
        <f t="shared" ca="1" si="91"/>
        <v>38819.735572064856</v>
      </c>
      <c r="M245">
        <f t="shared" ca="1" si="69"/>
        <v>204618.82620035385</v>
      </c>
      <c r="N245">
        <f t="shared" ca="1" si="70"/>
        <v>2.6353210861403316</v>
      </c>
      <c r="O245">
        <f t="shared" ca="1" si="71"/>
        <v>2.4924392807367109E-4</v>
      </c>
      <c r="P245">
        <f t="shared" ca="1" si="72"/>
        <v>39452.257572064853</v>
      </c>
      <c r="Q245">
        <f t="shared" ca="1" si="73"/>
        <v>39452.257572068018</v>
      </c>
      <c r="R245">
        <f t="shared" ca="1" si="74"/>
        <v>3.8399034942010938E-12</v>
      </c>
      <c r="S245">
        <f t="shared" ca="1" si="92"/>
        <v>9.7745232051238418E-4</v>
      </c>
      <c r="T245">
        <f t="shared" ca="1" si="93"/>
        <v>1</v>
      </c>
      <c r="U245">
        <f t="shared" ca="1" si="75"/>
        <v>0.05</v>
      </c>
      <c r="V245">
        <f t="shared" ca="1" si="76"/>
        <v>0.26355000000000001</v>
      </c>
      <c r="W245">
        <f t="shared" ca="1" si="77"/>
        <v>4.9069074660212257E-2</v>
      </c>
      <c r="X245">
        <f t="shared" ca="1" si="78"/>
        <v>193.51166761525326</v>
      </c>
      <c r="Y245">
        <f t="shared" ca="1" si="79"/>
        <v>632.572</v>
      </c>
      <c r="Z245">
        <f t="shared" ca="1" si="80"/>
        <v>2541.1737076063332</v>
      </c>
      <c r="AA245">
        <f t="shared" ca="1" si="81"/>
        <v>469.01457428107653</v>
      </c>
      <c r="AB245">
        <f t="shared" ca="1" si="82"/>
        <v>436.10591003335776</v>
      </c>
      <c r="AC245">
        <f t="shared" ca="1" si="83"/>
        <v>0</v>
      </c>
      <c r="AD245">
        <f ca="1">IF(V32="Supercritical",L245,U245)</f>
        <v>0.05</v>
      </c>
      <c r="AE245">
        <f t="shared" ca="1" si="84"/>
        <v>632.572</v>
      </c>
      <c r="AF245">
        <f t="shared" ca="1" si="85"/>
        <v>2541.1737076063332</v>
      </c>
      <c r="AI245">
        <v>0</v>
      </c>
      <c r="AJ245">
        <v>0</v>
      </c>
      <c r="AK245">
        <f t="shared" si="86"/>
        <v>0</v>
      </c>
      <c r="AL245">
        <f t="shared" si="94"/>
        <v>0</v>
      </c>
      <c r="AM245">
        <f t="shared" ca="1" si="87"/>
        <v>276.30430381058727</v>
      </c>
      <c r="AN245" t="str">
        <f t="shared" ca="1" si="88"/>
        <v>Supercritical</v>
      </c>
      <c r="AO245">
        <f ca="1">IF(V32="Supercritical",R245,AA245)</f>
        <v>469.01457428107653</v>
      </c>
    </row>
    <row r="246" spans="1:41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174</v>
      </c>
      <c r="I246">
        <v>0</v>
      </c>
      <c r="J246">
        <f t="shared" si="89"/>
        <v>1</v>
      </c>
      <c r="K246">
        <f t="shared" si="90"/>
        <v>51</v>
      </c>
      <c r="L246">
        <f t="shared" ca="1" si="91"/>
        <v>38819.736594612565</v>
      </c>
      <c r="M246">
        <f t="shared" ca="1" si="69"/>
        <v>206792.73683950113</v>
      </c>
      <c r="N246">
        <f t="shared" ca="1" si="70"/>
        <v>2.6633172644598808</v>
      </c>
      <c r="O246">
        <f t="shared" ca="1" si="71"/>
        <v>2.4662374887751898E-4</v>
      </c>
      <c r="P246">
        <f t="shared" ca="1" si="72"/>
        <v>39452.256594612561</v>
      </c>
      <c r="Q246">
        <f t="shared" ca="1" si="73"/>
        <v>39452.256594615661</v>
      </c>
      <c r="R246">
        <f t="shared" ca="1" si="74"/>
        <v>3.7069930276994775E-12</v>
      </c>
      <c r="S246">
        <f t="shared" ca="1" si="92"/>
        <v>9.7745232778834179E-4</v>
      </c>
      <c r="T246">
        <f t="shared" ca="1" si="93"/>
        <v>1</v>
      </c>
      <c r="U246">
        <f t="shared" ca="1" si="75"/>
        <v>0.05</v>
      </c>
      <c r="V246">
        <f t="shared" ca="1" si="76"/>
        <v>0.26635000000000003</v>
      </c>
      <c r="W246">
        <f t="shared" ca="1" si="77"/>
        <v>4.9078680670720479E-2</v>
      </c>
      <c r="X246">
        <f t="shared" ca="1" si="78"/>
        <v>191.47737938802325</v>
      </c>
      <c r="Y246">
        <f t="shared" ca="1" si="79"/>
        <v>632.56999999999994</v>
      </c>
      <c r="Z246">
        <f t="shared" ca="1" si="80"/>
        <v>2501.2543433896526</v>
      </c>
      <c r="AA246">
        <f t="shared" ca="1" si="81"/>
        <v>459.08555568899197</v>
      </c>
      <c r="AB246">
        <f t="shared" ca="1" si="82"/>
        <v>420.09651431560451</v>
      </c>
      <c r="AC246">
        <f t="shared" ca="1" si="83"/>
        <v>0</v>
      </c>
      <c r="AD246">
        <f ca="1">IF(V32="Supercritical",L246,U246)</f>
        <v>0.05</v>
      </c>
      <c r="AE246">
        <f t="shared" ca="1" si="84"/>
        <v>632.56999999999994</v>
      </c>
      <c r="AF246">
        <f t="shared" ca="1" si="85"/>
        <v>2501.2543433896526</v>
      </c>
      <c r="AI246">
        <v>0</v>
      </c>
      <c r="AJ246">
        <v>0</v>
      </c>
      <c r="AK246">
        <f t="shared" si="86"/>
        <v>0</v>
      </c>
      <c r="AL246">
        <f t="shared" si="94"/>
        <v>0</v>
      </c>
      <c r="AM246">
        <f t="shared" ca="1" si="87"/>
        <v>273.39965935528545</v>
      </c>
      <c r="AN246" t="str">
        <f t="shared" ca="1" si="88"/>
        <v>Supercritical</v>
      </c>
      <c r="AO246">
        <f ca="1">IF(V32="Supercritical",R246,AA246)</f>
        <v>459.08555568899197</v>
      </c>
    </row>
    <row r="247" spans="1:41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174</v>
      </c>
      <c r="I247">
        <v>0.05</v>
      </c>
      <c r="J247">
        <f t="shared" si="89"/>
        <v>1</v>
      </c>
      <c r="K247">
        <f t="shared" si="90"/>
        <v>51</v>
      </c>
      <c r="L247">
        <f t="shared" ca="1" si="91"/>
        <v>38819.737617160288</v>
      </c>
      <c r="M247">
        <f t="shared" ca="1" si="69"/>
        <v>209471.30418219691</v>
      </c>
      <c r="N247">
        <f t="shared" ca="1" si="70"/>
        <v>2.6978125000689865</v>
      </c>
      <c r="O247">
        <f t="shared" ca="1" si="71"/>
        <v>2.4347010297716244E-4</v>
      </c>
      <c r="P247">
        <f t="shared" ca="1" si="72"/>
        <v>39452.255617160292</v>
      </c>
      <c r="Q247">
        <f t="shared" ca="1" si="73"/>
        <v>39452.255617163311</v>
      </c>
      <c r="R247">
        <f t="shared" ca="1" si="74"/>
        <v>3.551333407871987E-12</v>
      </c>
      <c r="S247">
        <f t="shared" ca="1" si="92"/>
        <v>9.7745232778834179E-4</v>
      </c>
      <c r="T247">
        <f t="shared" ca="1" si="93"/>
        <v>1</v>
      </c>
      <c r="U247">
        <f t="shared" ca="1" si="75"/>
        <v>0.05</v>
      </c>
      <c r="V247">
        <f t="shared" ca="1" si="76"/>
        <v>0.26979999999999998</v>
      </c>
      <c r="W247">
        <f t="shared" ca="1" si="77"/>
        <v>4.9090247452692866E-2</v>
      </c>
      <c r="X247">
        <f t="shared" ca="1" si="78"/>
        <v>189.02891030392885</v>
      </c>
      <c r="Y247">
        <f t="shared" ca="1" si="79"/>
        <v>632.56799999999998</v>
      </c>
      <c r="Z247">
        <f t="shared" ca="1" si="80"/>
        <v>2453.767231941426</v>
      </c>
      <c r="AA247">
        <f t="shared" ca="1" si="81"/>
        <v>447.27918157917003</v>
      </c>
      <c r="AB247">
        <f t="shared" ca="1" si="82"/>
        <v>400.69987432364769</v>
      </c>
      <c r="AC247">
        <f t="shared" ca="1" si="83"/>
        <v>0</v>
      </c>
      <c r="AD247">
        <f ca="1">IF(V32="Supercritical",L247,U247)</f>
        <v>0.05</v>
      </c>
      <c r="AE247">
        <f t="shared" ca="1" si="84"/>
        <v>632.56799999999998</v>
      </c>
      <c r="AF247">
        <f t="shared" ca="1" si="85"/>
        <v>2453.767231941426</v>
      </c>
      <c r="AI247">
        <v>0</v>
      </c>
      <c r="AJ247">
        <v>0</v>
      </c>
      <c r="AK247">
        <f t="shared" si="86"/>
        <v>0</v>
      </c>
      <c r="AL247">
        <f t="shared" si="94"/>
        <v>0</v>
      </c>
      <c r="AM247">
        <f t="shared" ca="1" si="87"/>
        <v>269.90362961186173</v>
      </c>
      <c r="AN247" t="str">
        <f t="shared" ca="1" si="88"/>
        <v>Supercritical</v>
      </c>
      <c r="AO247">
        <f ca="1">IF(V32="Supercritical",R247,AA247)</f>
        <v>447.27918157917003</v>
      </c>
    </row>
    <row r="248" spans="1:41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174</v>
      </c>
      <c r="I248">
        <v>0.05</v>
      </c>
      <c r="J248">
        <f t="shared" si="89"/>
        <v>1</v>
      </c>
      <c r="K248">
        <f t="shared" si="90"/>
        <v>51</v>
      </c>
      <c r="L248">
        <f t="shared" ca="1" si="91"/>
        <v>38819.738639708012</v>
      </c>
      <c r="M248">
        <f t="shared" ca="1" si="69"/>
        <v>212809.80722287932</v>
      </c>
      <c r="N248">
        <f t="shared" ca="1" si="70"/>
        <v>2.7408064760141615</v>
      </c>
      <c r="O248">
        <f t="shared" ca="1" si="71"/>
        <v>2.3965060945986777E-4</v>
      </c>
      <c r="P248">
        <f t="shared" ca="1" si="72"/>
        <v>39452.254639708015</v>
      </c>
      <c r="Q248">
        <f t="shared" ca="1" si="73"/>
        <v>39452.25463971094</v>
      </c>
      <c r="R248">
        <f t="shared" ca="1" si="74"/>
        <v>3.3690058465622645E-12</v>
      </c>
      <c r="S248">
        <f t="shared" ca="1" si="92"/>
        <v>9.7745234234025702E-4</v>
      </c>
      <c r="T248">
        <f t="shared" ca="1" si="93"/>
        <v>1</v>
      </c>
      <c r="U248">
        <f t="shared" ca="1" si="75"/>
        <v>0.05</v>
      </c>
      <c r="V248">
        <f t="shared" ca="1" si="76"/>
        <v>0.27410000000000001</v>
      </c>
      <c r="W248">
        <f t="shared" ca="1" si="77"/>
        <v>4.9104263704765318E-2</v>
      </c>
      <c r="X248">
        <f t="shared" ca="1" si="78"/>
        <v>186.06348048157605</v>
      </c>
      <c r="Y248">
        <f t="shared" ca="1" si="79"/>
        <v>632.56599999999992</v>
      </c>
      <c r="Z248">
        <f t="shared" ca="1" si="80"/>
        <v>2397.0725631456589</v>
      </c>
      <c r="AA248">
        <f t="shared" ca="1" si="81"/>
        <v>433.19077017687607</v>
      </c>
      <c r="AB248">
        <f t="shared" ca="1" si="82"/>
        <v>376.03839217513132</v>
      </c>
      <c r="AC248">
        <f t="shared" ca="1" si="83"/>
        <v>0</v>
      </c>
      <c r="AD248">
        <f ca="1">IF(V32="Supercritical",L248,U248)</f>
        <v>0.05</v>
      </c>
      <c r="AE248">
        <f t="shared" ca="1" si="84"/>
        <v>632.56599999999992</v>
      </c>
      <c r="AF248">
        <f t="shared" ca="1" si="85"/>
        <v>2397.0725631456589</v>
      </c>
      <c r="AI248">
        <v>0</v>
      </c>
      <c r="AJ248">
        <v>0</v>
      </c>
      <c r="AK248">
        <f t="shared" si="86"/>
        <v>0</v>
      </c>
      <c r="AL248">
        <f t="shared" si="94"/>
        <v>0</v>
      </c>
      <c r="AM248">
        <f t="shared" ca="1" si="87"/>
        <v>265.66946103349244</v>
      </c>
      <c r="AN248" t="str">
        <f t="shared" ca="1" si="88"/>
        <v>Supercritical</v>
      </c>
      <c r="AO248">
        <f ca="1">IF(V32="Supercritical",R248,AA248)</f>
        <v>433.19077017687607</v>
      </c>
    </row>
    <row r="249" spans="1:41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174</v>
      </c>
      <c r="I249">
        <v>0</v>
      </c>
      <c r="J249">
        <f t="shared" si="89"/>
        <v>1</v>
      </c>
      <c r="K249">
        <f t="shared" si="90"/>
        <v>51</v>
      </c>
      <c r="L249">
        <f t="shared" ca="1" si="91"/>
        <v>38819.739662255743</v>
      </c>
      <c r="M249">
        <f t="shared" ca="1" si="69"/>
        <v>217118.80393099636</v>
      </c>
      <c r="N249">
        <f t="shared" ca="1" si="70"/>
        <v>2.7962985599854346</v>
      </c>
      <c r="O249">
        <f t="shared" ca="1" si="71"/>
        <v>2.3489444063172238E-4</v>
      </c>
      <c r="P249">
        <f t="shared" ca="1" si="72"/>
        <v>39452.253662255745</v>
      </c>
      <c r="Q249">
        <f t="shared" ca="1" si="73"/>
        <v>39452.253662258561</v>
      </c>
      <c r="R249">
        <f t="shared" ca="1" si="74"/>
        <v>3.1512530268811885E-12</v>
      </c>
      <c r="S249">
        <f t="shared" ca="1" si="92"/>
        <v>9.7745234234025702E-4</v>
      </c>
      <c r="T249">
        <f t="shared" ca="1" si="93"/>
        <v>1</v>
      </c>
      <c r="U249">
        <f t="shared" ca="1" si="75"/>
        <v>0.05</v>
      </c>
      <c r="V249">
        <f t="shared" ca="1" si="76"/>
        <v>0.27965000000000001</v>
      </c>
      <c r="W249">
        <f t="shared" ca="1" si="77"/>
        <v>4.9121728438433168E-2</v>
      </c>
      <c r="X249">
        <f t="shared" ca="1" si="78"/>
        <v>182.370820668693</v>
      </c>
      <c r="Y249">
        <f t="shared" ca="1" si="79"/>
        <v>632.56399999999996</v>
      </c>
      <c r="Z249">
        <f t="shared" ca="1" si="80"/>
        <v>2327.7279261657786</v>
      </c>
      <c r="AA249">
        <f t="shared" ca="1" si="81"/>
        <v>415.96970594521855</v>
      </c>
      <c r="AB249">
        <f t="shared" ca="1" si="82"/>
        <v>394.53182723286864</v>
      </c>
      <c r="AC249">
        <f t="shared" ca="1" si="83"/>
        <v>0</v>
      </c>
      <c r="AD249">
        <f ca="1">IF(V32="Supercritical",L249,U249)</f>
        <v>0.05</v>
      </c>
      <c r="AE249">
        <f t="shared" ca="1" si="84"/>
        <v>632.56399999999996</v>
      </c>
      <c r="AF249">
        <f t="shared" ca="1" si="85"/>
        <v>2327.7279261657786</v>
      </c>
      <c r="AI249">
        <v>0</v>
      </c>
      <c r="AJ249">
        <v>0</v>
      </c>
      <c r="AK249">
        <f t="shared" si="86"/>
        <v>0</v>
      </c>
      <c r="AL249">
        <f t="shared" si="94"/>
        <v>0</v>
      </c>
      <c r="AM249">
        <f t="shared" ca="1" si="87"/>
        <v>260.39692211435823</v>
      </c>
      <c r="AN249" t="str">
        <f t="shared" ca="1" si="88"/>
        <v>Supercritical</v>
      </c>
      <c r="AO249">
        <f ca="1">IF(V32="Supercritical",R249,AA249)</f>
        <v>415.96970594521855</v>
      </c>
    </row>
    <row r="250" spans="1:41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174</v>
      </c>
      <c r="I250">
        <v>12.302</v>
      </c>
      <c r="J250">
        <f t="shared" si="89"/>
        <v>1</v>
      </c>
      <c r="K250">
        <f t="shared" si="90"/>
        <v>51</v>
      </c>
      <c r="L250">
        <f t="shared" ca="1" si="91"/>
        <v>38819.740684803444</v>
      </c>
      <c r="M250">
        <f t="shared" ca="1" si="69"/>
        <v>221621.89956954285</v>
      </c>
      <c r="N250">
        <f t="shared" ca="1" si="70"/>
        <v>2.8542901178370168</v>
      </c>
      <c r="O250">
        <f t="shared" ca="1" si="71"/>
        <v>2.301216626112199E-4</v>
      </c>
      <c r="P250">
        <f t="shared" ca="1" si="72"/>
        <v>39452.252684803447</v>
      </c>
      <c r="Q250">
        <f t="shared" ca="1" si="73"/>
        <v>39452.252684806146</v>
      </c>
      <c r="R250">
        <f t="shared" ca="1" si="74"/>
        <v>2.9428403748624108E-12</v>
      </c>
      <c r="S250">
        <f t="shared" ca="1" si="92"/>
        <v>9.7745232051238418E-4</v>
      </c>
      <c r="T250">
        <f t="shared" ca="1" si="93"/>
        <v>1</v>
      </c>
      <c r="U250">
        <f t="shared" ca="1" si="75"/>
        <v>0.05</v>
      </c>
      <c r="V250">
        <f t="shared" ca="1" si="76"/>
        <v>0.28544999999999998</v>
      </c>
      <c r="W250">
        <f t="shared" ca="1" si="77"/>
        <v>4.9139266655190222E-2</v>
      </c>
      <c r="X250">
        <f t="shared" ca="1" si="78"/>
        <v>178.66526537046769</v>
      </c>
      <c r="Y250">
        <f t="shared" ca="1" si="79"/>
        <v>632.5619999999999</v>
      </c>
      <c r="Z250">
        <f t="shared" ca="1" si="80"/>
        <v>2259.5384041742936</v>
      </c>
      <c r="AA250">
        <f t="shared" ca="1" si="81"/>
        <v>399.04745724295981</v>
      </c>
      <c r="AB250">
        <f t="shared" ca="1" si="82"/>
        <v>841.80236953623944</v>
      </c>
      <c r="AC250">
        <f t="shared" ca="1" si="83"/>
        <v>0</v>
      </c>
      <c r="AD250">
        <f ca="1">IF(V32="Supercritical",L250,U250)</f>
        <v>0.05</v>
      </c>
      <c r="AE250">
        <f t="shared" ca="1" si="84"/>
        <v>632.5619999999999</v>
      </c>
      <c r="AF250">
        <f t="shared" ca="1" si="85"/>
        <v>2259.5384041742936</v>
      </c>
      <c r="AI250">
        <v>0</v>
      </c>
      <c r="AJ250">
        <v>0</v>
      </c>
      <c r="AK250">
        <f t="shared" si="86"/>
        <v>0</v>
      </c>
      <c r="AL250">
        <f t="shared" si="94"/>
        <v>0</v>
      </c>
      <c r="AM250">
        <f t="shared" ca="1" si="87"/>
        <v>255.10597046516128</v>
      </c>
      <c r="AN250" t="str">
        <f t="shared" ca="1" si="88"/>
        <v>Supercritical</v>
      </c>
      <c r="AO250">
        <f ca="1">IF(V32="Supercritical",R250,AA250)</f>
        <v>399.04745724295981</v>
      </c>
    </row>
    <row r="251" spans="1:41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174</v>
      </c>
      <c r="I251">
        <v>13.824999999999999</v>
      </c>
      <c r="J251">
        <f t="shared" si="89"/>
        <v>0.97399999999998954</v>
      </c>
      <c r="K251">
        <f t="shared" si="90"/>
        <v>51</v>
      </c>
      <c r="L251">
        <f t="shared" ca="1" si="91"/>
        <v>38819.740512311859</v>
      </c>
      <c r="M251">
        <f t="shared" ca="1" si="69"/>
        <v>201862.65066402167</v>
      </c>
      <c r="N251">
        <f t="shared" ca="1" si="70"/>
        <v>2.5998258734555724</v>
      </c>
      <c r="O251">
        <f t="shared" ca="1" si="71"/>
        <v>2.5264703417019889E-4</v>
      </c>
      <c r="P251">
        <f t="shared" ca="1" si="72"/>
        <v>39452.252012311859</v>
      </c>
      <c r="Q251">
        <f t="shared" ca="1" si="73"/>
        <v>39452.252012315112</v>
      </c>
      <c r="R251">
        <f t="shared" ca="1" si="74"/>
        <v>4.0174632392081384E-12</v>
      </c>
      <c r="S251">
        <f t="shared" ca="1" si="92"/>
        <v>6.7249090352561325E-4</v>
      </c>
      <c r="T251">
        <f t="shared" ca="1" si="93"/>
        <v>1</v>
      </c>
      <c r="U251">
        <f t="shared" ca="1" si="75"/>
        <v>0.05</v>
      </c>
      <c r="V251">
        <f t="shared" ca="1" si="76"/>
        <v>0.26</v>
      </c>
      <c r="W251">
        <f t="shared" ca="1" si="77"/>
        <v>4.9056603773584909E-2</v>
      </c>
      <c r="X251">
        <f t="shared" ca="1" si="78"/>
        <v>196.15384615384616</v>
      </c>
      <c r="Y251">
        <f t="shared" ca="1" si="79"/>
        <v>632.56149999999991</v>
      </c>
      <c r="Z251">
        <f t="shared" ca="1" si="80"/>
        <v>2593.6385316486621</v>
      </c>
      <c r="AA251">
        <f t="shared" ca="1" si="81"/>
        <v>482.07306851378365</v>
      </c>
      <c r="AB251">
        <f t="shared" ca="1" si="82"/>
        <v>482.25887083179032</v>
      </c>
      <c r="AC251">
        <f t="shared" ca="1" si="83"/>
        <v>0</v>
      </c>
      <c r="AD251">
        <f ca="1">IF(V32="Supercritical",L251,U251)</f>
        <v>0.05</v>
      </c>
      <c r="AE251">
        <f t="shared" ca="1" si="84"/>
        <v>632.56149999999991</v>
      </c>
      <c r="AF251">
        <f t="shared" ca="1" si="85"/>
        <v>2593.6385316486621</v>
      </c>
      <c r="AI251">
        <v>0</v>
      </c>
      <c r="AJ251">
        <v>0</v>
      </c>
      <c r="AK251">
        <f t="shared" si="86"/>
        <v>0</v>
      </c>
      <c r="AL251">
        <f t="shared" si="94"/>
        <v>0</v>
      </c>
      <c r="AM251">
        <f t="shared" ca="1" si="87"/>
        <v>280.07692026646265</v>
      </c>
      <c r="AN251" t="str">
        <f t="shared" ca="1" si="88"/>
        <v>Supercritical</v>
      </c>
      <c r="AO251">
        <f ca="1">IF(V32="Supercritical",R251,AA251)</f>
        <v>482.07306851378365</v>
      </c>
    </row>
    <row r="252" spans="1:41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174</v>
      </c>
      <c r="I252">
        <v>5.7000000000000002E-2</v>
      </c>
      <c r="J252">
        <f t="shared" si="89"/>
        <v>1</v>
      </c>
      <c r="K252">
        <f t="shared" si="90"/>
        <v>51</v>
      </c>
      <c r="L252">
        <f t="shared" ca="1" si="91"/>
        <v>38819.740146259988</v>
      </c>
      <c r="M252">
        <f t="shared" ca="1" si="69"/>
        <v>201862.64876055194</v>
      </c>
      <c r="N252">
        <f t="shared" ca="1" si="70"/>
        <v>2.5998258734539306</v>
      </c>
      <c r="O252">
        <f t="shared" ca="1" si="71"/>
        <v>2.5264703655254143E-4</v>
      </c>
      <c r="P252">
        <f t="shared" ca="1" si="72"/>
        <v>39452.251146259987</v>
      </c>
      <c r="Q252">
        <f t="shared" ca="1" si="73"/>
        <v>39452.251146263239</v>
      </c>
      <c r="R252">
        <f t="shared" ca="1" si="74"/>
        <v>4.017463314977095E-12</v>
      </c>
      <c r="S252">
        <f t="shared" ca="1" si="92"/>
        <v>8.6605186515953392E-4</v>
      </c>
      <c r="T252">
        <f t="shared" ca="1" si="93"/>
        <v>1</v>
      </c>
      <c r="U252">
        <f t="shared" ca="1" si="75"/>
        <v>0.05</v>
      </c>
      <c r="V252">
        <f t="shared" ca="1" si="76"/>
        <v>0.26</v>
      </c>
      <c r="W252">
        <f t="shared" ca="1" si="77"/>
        <v>4.9056603773584909E-2</v>
      </c>
      <c r="X252">
        <f t="shared" ca="1" si="78"/>
        <v>196.15384615384616</v>
      </c>
      <c r="Y252">
        <f t="shared" ca="1" si="79"/>
        <v>632.56099999999992</v>
      </c>
      <c r="Z252">
        <f t="shared" ca="1" si="80"/>
        <v>2593.638031648662</v>
      </c>
      <c r="AA252">
        <f t="shared" ca="1" si="81"/>
        <v>482.07306851378365</v>
      </c>
      <c r="AB252">
        <f t="shared" ca="1" si="82"/>
        <v>482.07256851378361</v>
      </c>
      <c r="AC252">
        <f t="shared" ca="1" si="83"/>
        <v>0</v>
      </c>
      <c r="AD252">
        <f ca="1">IF(V32="Supercritical",L252,U252)</f>
        <v>0.05</v>
      </c>
      <c r="AE252">
        <f t="shared" ca="1" si="84"/>
        <v>632.56099999999992</v>
      </c>
      <c r="AF252">
        <f t="shared" ca="1" si="85"/>
        <v>2593.638031648662</v>
      </c>
      <c r="AI252">
        <v>0</v>
      </c>
      <c r="AJ252">
        <v>0</v>
      </c>
      <c r="AK252">
        <f t="shared" si="86"/>
        <v>0</v>
      </c>
      <c r="AL252">
        <f t="shared" si="94"/>
        <v>0</v>
      </c>
      <c r="AM252">
        <f t="shared" ca="1" si="87"/>
        <v>280.07692026646265</v>
      </c>
      <c r="AN252" t="str">
        <f t="shared" ca="1" si="88"/>
        <v>Supercritical</v>
      </c>
      <c r="AO252">
        <f ca="1">IF(V32="Supercritical",R252,AA252)</f>
        <v>482.07306851378365</v>
      </c>
    </row>
    <row r="253" spans="1:41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174</v>
      </c>
      <c r="I253">
        <v>0</v>
      </c>
      <c r="J253">
        <f t="shared" si="89"/>
        <v>1</v>
      </c>
      <c r="K253">
        <f t="shared" si="90"/>
        <v>51</v>
      </c>
      <c r="L253">
        <f t="shared" ca="1" si="91"/>
        <v>38819.739993427305</v>
      </c>
      <c r="M253">
        <f t="shared" ca="1" si="69"/>
        <v>201862.64796582199</v>
      </c>
      <c r="N253">
        <f t="shared" ca="1" si="70"/>
        <v>2.5998258734532453</v>
      </c>
      <c r="O253">
        <f t="shared" ca="1" si="71"/>
        <v>2.5264703754720872E-4</v>
      </c>
      <c r="P253">
        <f t="shared" ca="1" si="72"/>
        <v>39452.250493427302</v>
      </c>
      <c r="Q253">
        <f t="shared" ca="1" si="73"/>
        <v>39452.250493430554</v>
      </c>
      <c r="R253">
        <f t="shared" ca="1" si="74"/>
        <v>4.0174633466118824E-12</v>
      </c>
      <c r="S253">
        <f t="shared" ca="1" si="92"/>
        <v>6.5283267758786678E-4</v>
      </c>
      <c r="T253">
        <f t="shared" ca="1" si="93"/>
        <v>1</v>
      </c>
      <c r="U253">
        <f t="shared" ca="1" si="75"/>
        <v>0.05</v>
      </c>
      <c r="V253">
        <f t="shared" ca="1" si="76"/>
        <v>0.26</v>
      </c>
      <c r="W253">
        <f t="shared" ca="1" si="77"/>
        <v>4.9056603773584909E-2</v>
      </c>
      <c r="X253">
        <f t="shared" ca="1" si="78"/>
        <v>196.15384615384616</v>
      </c>
      <c r="Y253">
        <f t="shared" ca="1" si="79"/>
        <v>632.56049999999993</v>
      </c>
      <c r="Z253">
        <f t="shared" ca="1" si="80"/>
        <v>2593.6375316486619</v>
      </c>
      <c r="AA253">
        <f t="shared" ca="1" si="81"/>
        <v>482.07306851378365</v>
      </c>
      <c r="AB253">
        <f t="shared" ca="1" si="82"/>
        <v>482.73440697686738</v>
      </c>
      <c r="AC253">
        <f t="shared" ca="1" si="83"/>
        <v>0</v>
      </c>
      <c r="AD253">
        <f ca="1">IF(V32="Supercritical",L253,U253)</f>
        <v>0.05</v>
      </c>
      <c r="AE253">
        <f t="shared" ca="1" si="84"/>
        <v>632.56049999999993</v>
      </c>
      <c r="AF253">
        <f t="shared" ca="1" si="85"/>
        <v>2593.6375316486619</v>
      </c>
      <c r="AI253">
        <v>0</v>
      </c>
      <c r="AJ253">
        <v>0</v>
      </c>
      <c r="AK253">
        <f t="shared" si="86"/>
        <v>0</v>
      </c>
      <c r="AL253">
        <f t="shared" si="94"/>
        <v>0</v>
      </c>
      <c r="AM253">
        <f t="shared" ca="1" si="87"/>
        <v>280.07692026646265</v>
      </c>
      <c r="AN253" t="str">
        <f t="shared" ca="1" si="88"/>
        <v>Supercritical</v>
      </c>
      <c r="AO253">
        <f ca="1">IF(V32="Supercritical",R253,AA253)</f>
        <v>482.07306851378365</v>
      </c>
    </row>
    <row r="254" spans="1:41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174</v>
      </c>
      <c r="I254">
        <v>5.5E-2</v>
      </c>
      <c r="J254">
        <f t="shared" si="89"/>
        <v>1.0010000000000048</v>
      </c>
      <c r="K254">
        <f t="shared" si="90"/>
        <v>51</v>
      </c>
      <c r="L254">
        <f t="shared" ca="1" si="91"/>
        <v>38819.739518076756</v>
      </c>
      <c r="M254">
        <f t="shared" ca="1" si="69"/>
        <v>201862.64549399915</v>
      </c>
      <c r="N254">
        <f t="shared" ca="1" si="70"/>
        <v>2.5998258734511133</v>
      </c>
      <c r="O254">
        <f t="shared" ca="1" si="71"/>
        <v>2.5264704064089012E-4</v>
      </c>
      <c r="P254">
        <f t="shared" ca="1" si="72"/>
        <v>39452.249518076758</v>
      </c>
      <c r="Q254">
        <f t="shared" ca="1" si="73"/>
        <v>39452.249518080011</v>
      </c>
      <c r="R254">
        <f t="shared" ca="1" si="74"/>
        <v>4.017463445004538E-12</v>
      </c>
      <c r="S254">
        <f t="shared" ca="1" si="92"/>
        <v>9.7535053646424785E-4</v>
      </c>
      <c r="T254">
        <f t="shared" ca="1" si="93"/>
        <v>1</v>
      </c>
      <c r="U254">
        <f t="shared" ca="1" si="75"/>
        <v>0.05</v>
      </c>
      <c r="V254">
        <f t="shared" ca="1" si="76"/>
        <v>0.26</v>
      </c>
      <c r="W254">
        <f t="shared" ca="1" si="77"/>
        <v>4.9056603773584909E-2</v>
      </c>
      <c r="X254">
        <f t="shared" ca="1" si="78"/>
        <v>196.15384615384616</v>
      </c>
      <c r="Y254">
        <f t="shared" ca="1" si="79"/>
        <v>632.55999999999995</v>
      </c>
      <c r="Z254">
        <f t="shared" ca="1" si="80"/>
        <v>2593.6370316486618</v>
      </c>
      <c r="AA254">
        <f t="shared" ca="1" si="81"/>
        <v>482.07306851378365</v>
      </c>
      <c r="AB254">
        <f t="shared" ca="1" si="82"/>
        <v>481.77026083983583</v>
      </c>
      <c r="AC254">
        <f t="shared" ca="1" si="83"/>
        <v>0</v>
      </c>
      <c r="AD254">
        <f ca="1">IF(V32="Supercritical",L254,U254)</f>
        <v>0.05</v>
      </c>
      <c r="AE254">
        <f t="shared" ca="1" si="84"/>
        <v>632.55999999999995</v>
      </c>
      <c r="AF254">
        <f t="shared" ca="1" si="85"/>
        <v>2593.6370316486618</v>
      </c>
      <c r="AI254">
        <v>0</v>
      </c>
      <c r="AJ254">
        <v>0</v>
      </c>
      <c r="AK254">
        <f t="shared" si="86"/>
        <v>0</v>
      </c>
      <c r="AL254">
        <f t="shared" si="94"/>
        <v>0</v>
      </c>
      <c r="AM254">
        <f t="shared" ca="1" si="87"/>
        <v>280.07692026646265</v>
      </c>
      <c r="AN254" t="str">
        <f t="shared" ca="1" si="88"/>
        <v>Supercritical</v>
      </c>
      <c r="AO254">
        <f ca="1">IF(V32="Supercritical",R254,AA254)</f>
        <v>482.07306851378365</v>
      </c>
    </row>
    <row r="255" spans="1:41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174</v>
      </c>
      <c r="I255">
        <v>5.5E-2</v>
      </c>
      <c r="J255">
        <f t="shared" si="89"/>
        <v>0.99899999999999523</v>
      </c>
      <c r="K255">
        <f t="shared" si="90"/>
        <v>51</v>
      </c>
      <c r="L255">
        <f t="shared" ca="1" si="91"/>
        <v>38819.73934595607</v>
      </c>
      <c r="M255">
        <f t="shared" ca="1" si="69"/>
        <v>201862.64459897156</v>
      </c>
      <c r="N255">
        <f t="shared" ca="1" si="70"/>
        <v>2.599825873450341</v>
      </c>
      <c r="O255">
        <f t="shared" ca="1" si="71"/>
        <v>2.5264704176108786E-4</v>
      </c>
      <c r="P255">
        <f t="shared" ca="1" si="72"/>
        <v>39452.24884595607</v>
      </c>
      <c r="Q255">
        <f t="shared" ca="1" si="73"/>
        <v>39452.248845959322</v>
      </c>
      <c r="R255">
        <f t="shared" ca="1" si="74"/>
        <v>4.0174634806317474E-12</v>
      </c>
      <c r="S255">
        <f t="shared" ca="1" si="92"/>
        <v>6.7212068097433075E-4</v>
      </c>
      <c r="T255">
        <f t="shared" ca="1" si="93"/>
        <v>1</v>
      </c>
      <c r="U255">
        <f t="shared" ca="1" si="75"/>
        <v>0.05</v>
      </c>
      <c r="V255">
        <f t="shared" ca="1" si="76"/>
        <v>0.26</v>
      </c>
      <c r="W255">
        <f t="shared" ca="1" si="77"/>
        <v>4.9056603773584909E-2</v>
      </c>
      <c r="X255">
        <f t="shared" ca="1" si="78"/>
        <v>196.15384615384616</v>
      </c>
      <c r="Y255">
        <f t="shared" ca="1" si="79"/>
        <v>632.55949999999996</v>
      </c>
      <c r="Z255">
        <f t="shared" ca="1" si="80"/>
        <v>2593.6365316486622</v>
      </c>
      <c r="AA255">
        <f t="shared" ca="1" si="81"/>
        <v>482.07306851378365</v>
      </c>
      <c r="AB255">
        <f t="shared" ca="1" si="82"/>
        <v>482.07256851378361</v>
      </c>
      <c r="AC255">
        <f t="shared" ca="1" si="83"/>
        <v>0</v>
      </c>
      <c r="AD255">
        <f ca="1">IF(V32="Supercritical",L255,U255)</f>
        <v>0.05</v>
      </c>
      <c r="AE255">
        <f t="shared" ca="1" si="84"/>
        <v>632.55949999999996</v>
      </c>
      <c r="AF255">
        <f t="shared" ca="1" si="85"/>
        <v>2593.6365316486622</v>
      </c>
      <c r="AI255">
        <v>0</v>
      </c>
      <c r="AJ255">
        <v>0</v>
      </c>
      <c r="AK255">
        <f t="shared" si="86"/>
        <v>0</v>
      </c>
      <c r="AL255">
        <f t="shared" si="94"/>
        <v>0</v>
      </c>
      <c r="AM255">
        <f t="shared" ca="1" si="87"/>
        <v>280.07692026646265</v>
      </c>
      <c r="AN255" t="str">
        <f t="shared" ca="1" si="88"/>
        <v>Supercritical</v>
      </c>
      <c r="AO255">
        <f ca="1">IF(V32="Supercritical",R255,AA255)</f>
        <v>482.07306851378365</v>
      </c>
    </row>
    <row r="256" spans="1:41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174</v>
      </c>
      <c r="I256">
        <v>0</v>
      </c>
      <c r="J256">
        <f t="shared" si="89"/>
        <v>1</v>
      </c>
      <c r="K256">
        <f t="shared" si="90"/>
        <v>51</v>
      </c>
      <c r="L256">
        <f t="shared" ca="1" si="91"/>
        <v>38819.738994492989</v>
      </c>
      <c r="M256">
        <f t="shared" ca="1" si="69"/>
        <v>201862.64277136355</v>
      </c>
      <c r="N256">
        <f t="shared" ca="1" si="70"/>
        <v>2.5998258734487649</v>
      </c>
      <c r="O256">
        <f t="shared" ca="1" si="71"/>
        <v>2.5264704404848361E-4</v>
      </c>
      <c r="P256">
        <f t="shared" ca="1" si="72"/>
        <v>39452.247994492987</v>
      </c>
      <c r="Q256">
        <f t="shared" ca="1" si="73"/>
        <v>39452.24799449624</v>
      </c>
      <c r="R256">
        <f t="shared" ca="1" si="74"/>
        <v>4.0174635533809801E-12</v>
      </c>
      <c r="S256">
        <f t="shared" ca="1" si="92"/>
        <v>8.5146307537797838E-4</v>
      </c>
      <c r="T256">
        <f t="shared" ca="1" si="93"/>
        <v>1</v>
      </c>
      <c r="U256">
        <f t="shared" ca="1" si="75"/>
        <v>0.05</v>
      </c>
      <c r="V256">
        <f t="shared" ca="1" si="76"/>
        <v>0.26</v>
      </c>
      <c r="W256">
        <f t="shared" ca="1" si="77"/>
        <v>4.9056603773584909E-2</v>
      </c>
      <c r="X256">
        <f t="shared" ca="1" si="78"/>
        <v>196.15384615384616</v>
      </c>
      <c r="Y256">
        <f t="shared" ca="1" si="79"/>
        <v>632.55899999999997</v>
      </c>
      <c r="Z256">
        <f t="shared" ca="1" si="80"/>
        <v>2593.6360316486621</v>
      </c>
      <c r="AA256">
        <f t="shared" ca="1" si="81"/>
        <v>482.07306851378365</v>
      </c>
      <c r="AB256">
        <f t="shared" ca="1" si="82"/>
        <v>482.25887083179032</v>
      </c>
      <c r="AC256">
        <f t="shared" ca="1" si="83"/>
        <v>0</v>
      </c>
      <c r="AD256">
        <f ca="1">IF(V32="Supercritical",L256,U256)</f>
        <v>0.05</v>
      </c>
      <c r="AE256">
        <f t="shared" ca="1" si="84"/>
        <v>632.55899999999997</v>
      </c>
      <c r="AF256">
        <f t="shared" ca="1" si="85"/>
        <v>2593.6360316486621</v>
      </c>
      <c r="AI256">
        <v>0</v>
      </c>
      <c r="AJ256">
        <v>0</v>
      </c>
      <c r="AK256">
        <f t="shared" si="86"/>
        <v>0</v>
      </c>
      <c r="AL256">
        <f t="shared" si="94"/>
        <v>0</v>
      </c>
      <c r="AM256">
        <f t="shared" ca="1" si="87"/>
        <v>280.07692026646265</v>
      </c>
      <c r="AN256" t="str">
        <f t="shared" ca="1" si="88"/>
        <v>Supercritical</v>
      </c>
      <c r="AO256">
        <f ca="1">IF(V32="Supercritical",R256,AA256)</f>
        <v>482.07306851378365</v>
      </c>
    </row>
    <row r="257" spans="1:41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174</v>
      </c>
      <c r="I257">
        <v>5.7000000000000002E-2</v>
      </c>
      <c r="J257">
        <f t="shared" si="89"/>
        <v>1</v>
      </c>
      <c r="K257">
        <f t="shared" si="90"/>
        <v>51</v>
      </c>
      <c r="L257">
        <f t="shared" ca="1" si="91"/>
        <v>38819.738844234802</v>
      </c>
      <c r="M257">
        <f t="shared" ca="1" si="69"/>
        <v>201862.64199002099</v>
      </c>
      <c r="N257">
        <f t="shared" ca="1" si="70"/>
        <v>2.5998258734480912</v>
      </c>
      <c r="O257">
        <f t="shared" ca="1" si="71"/>
        <v>2.5264704502639558E-4</v>
      </c>
      <c r="P257">
        <f t="shared" ca="1" si="72"/>
        <v>39452.247344234805</v>
      </c>
      <c r="Q257">
        <f t="shared" ca="1" si="73"/>
        <v>39452.247344238058</v>
      </c>
      <c r="R257">
        <f t="shared" ca="1" si="74"/>
        <v>4.0174635844828759E-12</v>
      </c>
      <c r="S257">
        <f t="shared" ca="1" si="92"/>
        <v>6.5025817457353696E-4</v>
      </c>
      <c r="T257">
        <f t="shared" ca="1" si="93"/>
        <v>1</v>
      </c>
      <c r="U257">
        <f t="shared" ca="1" si="75"/>
        <v>0.05</v>
      </c>
      <c r="V257">
        <f t="shared" ca="1" si="76"/>
        <v>0.26</v>
      </c>
      <c r="W257">
        <f t="shared" ca="1" si="77"/>
        <v>4.9056603773584909E-2</v>
      </c>
      <c r="X257">
        <f t="shared" ca="1" si="78"/>
        <v>196.15384615384616</v>
      </c>
      <c r="Y257">
        <f t="shared" ca="1" si="79"/>
        <v>632.55849999999998</v>
      </c>
      <c r="Z257">
        <f t="shared" ca="1" si="80"/>
        <v>2593.635531648662</v>
      </c>
      <c r="AA257">
        <f t="shared" ca="1" si="81"/>
        <v>482.07306851378365</v>
      </c>
      <c r="AB257">
        <f t="shared" ca="1" si="82"/>
        <v>482.25887083179077</v>
      </c>
      <c r="AC257">
        <f t="shared" ca="1" si="83"/>
        <v>0</v>
      </c>
      <c r="AD257">
        <f ca="1">IF(V32="Supercritical",L257,U257)</f>
        <v>0.05</v>
      </c>
      <c r="AE257">
        <f t="shared" ca="1" si="84"/>
        <v>632.55849999999998</v>
      </c>
      <c r="AF257">
        <f t="shared" ca="1" si="85"/>
        <v>2593.635531648662</v>
      </c>
      <c r="AI257">
        <v>0</v>
      </c>
      <c r="AJ257">
        <v>0</v>
      </c>
      <c r="AK257">
        <f t="shared" si="86"/>
        <v>0</v>
      </c>
      <c r="AL257">
        <f t="shared" si="94"/>
        <v>0</v>
      </c>
      <c r="AM257">
        <f t="shared" ca="1" si="87"/>
        <v>280.07692026646265</v>
      </c>
      <c r="AN257" t="str">
        <f t="shared" ca="1" si="88"/>
        <v>Supercritical</v>
      </c>
      <c r="AO257">
        <f ca="1">IF(V32="Supercritical",R257,AA257)</f>
        <v>482.07306851378365</v>
      </c>
    </row>
    <row r="258" spans="1:41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174</v>
      </c>
      <c r="I258">
        <v>5.7000000000000002E-2</v>
      </c>
      <c r="J258">
        <f t="shared" si="89"/>
        <v>1</v>
      </c>
      <c r="K258">
        <f t="shared" si="90"/>
        <v>51</v>
      </c>
      <c r="L258">
        <f t="shared" ca="1" si="91"/>
        <v>38819.738377400237</v>
      </c>
      <c r="M258">
        <f t="shared" ca="1" si="69"/>
        <v>201862.63956248123</v>
      </c>
      <c r="N258">
        <f t="shared" ca="1" si="70"/>
        <v>2.5998258734459969</v>
      </c>
      <c r="O258">
        <f t="shared" ca="1" si="71"/>
        <v>2.5264704806465338E-4</v>
      </c>
      <c r="P258">
        <f t="shared" ca="1" si="72"/>
        <v>39452.246377400239</v>
      </c>
      <c r="Q258">
        <f t="shared" ca="1" si="73"/>
        <v>39452.246377403491</v>
      </c>
      <c r="R258">
        <f t="shared" ca="1" si="74"/>
        <v>4.0174636811128234E-12</v>
      </c>
      <c r="S258">
        <f t="shared" ca="1" si="92"/>
        <v>9.6683455922175199E-4</v>
      </c>
      <c r="T258">
        <f t="shared" ca="1" si="93"/>
        <v>1</v>
      </c>
      <c r="U258">
        <f t="shared" ca="1" si="75"/>
        <v>0.05</v>
      </c>
      <c r="V258">
        <f t="shared" ca="1" si="76"/>
        <v>0.26</v>
      </c>
      <c r="W258">
        <f t="shared" ca="1" si="77"/>
        <v>4.9056603773584909E-2</v>
      </c>
      <c r="X258">
        <f t="shared" ca="1" si="78"/>
        <v>196.15384615384616</v>
      </c>
      <c r="Y258">
        <f t="shared" ca="1" si="79"/>
        <v>632.55799999999999</v>
      </c>
      <c r="Z258">
        <f t="shared" ca="1" si="80"/>
        <v>2593.6350316486623</v>
      </c>
      <c r="AA258">
        <f t="shared" ca="1" si="81"/>
        <v>482.07306851378365</v>
      </c>
      <c r="AB258">
        <f t="shared" ca="1" si="82"/>
        <v>482.25887083179032</v>
      </c>
      <c r="AC258">
        <f t="shared" ca="1" si="83"/>
        <v>0</v>
      </c>
      <c r="AD258">
        <f ca="1">IF(V32="Supercritical",L258,U258)</f>
        <v>0.05</v>
      </c>
      <c r="AE258">
        <f t="shared" ca="1" si="84"/>
        <v>632.55799999999999</v>
      </c>
      <c r="AF258">
        <f t="shared" ca="1" si="85"/>
        <v>2593.6350316486623</v>
      </c>
      <c r="AI258">
        <v>0</v>
      </c>
      <c r="AJ258">
        <v>0</v>
      </c>
      <c r="AK258">
        <f t="shared" si="86"/>
        <v>0</v>
      </c>
      <c r="AL258">
        <f t="shared" si="94"/>
        <v>0</v>
      </c>
      <c r="AM258">
        <f t="shared" ca="1" si="87"/>
        <v>280.07692026646265</v>
      </c>
      <c r="AN258" t="str">
        <f t="shared" ca="1" si="88"/>
        <v>Supercritical</v>
      </c>
      <c r="AO258">
        <f ca="1">IF(V32="Supercritical",R258,AA258)</f>
        <v>482.07306851378365</v>
      </c>
    </row>
    <row r="259" spans="1:41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174</v>
      </c>
      <c r="I259">
        <v>5.7000000000000002E-2</v>
      </c>
      <c r="J259">
        <f t="shared" si="89"/>
        <v>1</v>
      </c>
      <c r="K259">
        <f t="shared" si="90"/>
        <v>51</v>
      </c>
      <c r="L259">
        <f t="shared" ca="1" si="91"/>
        <v>38819.738206782378</v>
      </c>
      <c r="M259">
        <f t="shared" ca="1" si="69"/>
        <v>201862.63867526836</v>
      </c>
      <c r="N259">
        <f t="shared" ca="1" si="70"/>
        <v>2.5998258734452317</v>
      </c>
      <c r="O259">
        <f t="shared" ca="1" si="71"/>
        <v>2.5264704917507042E-4</v>
      </c>
      <c r="P259">
        <f t="shared" ca="1" si="72"/>
        <v>39452.245706782378</v>
      </c>
      <c r="Q259">
        <f t="shared" ca="1" si="73"/>
        <v>39452.24570678563</v>
      </c>
      <c r="R259">
        <f t="shared" ca="1" si="74"/>
        <v>4.0174637164289636E-12</v>
      </c>
      <c r="S259">
        <f t="shared" ca="1" si="92"/>
        <v>6.7061785375699401E-4</v>
      </c>
      <c r="T259">
        <f t="shared" ca="1" si="93"/>
        <v>1</v>
      </c>
      <c r="U259">
        <f t="shared" ca="1" si="75"/>
        <v>0.05</v>
      </c>
      <c r="V259">
        <f t="shared" ca="1" si="76"/>
        <v>0.26</v>
      </c>
      <c r="W259">
        <f t="shared" ca="1" si="77"/>
        <v>4.9056603773584909E-2</v>
      </c>
      <c r="X259">
        <f t="shared" ca="1" si="78"/>
        <v>196.15384615384616</v>
      </c>
      <c r="Y259">
        <f t="shared" ca="1" si="79"/>
        <v>632.5575</v>
      </c>
      <c r="Z259">
        <f t="shared" ca="1" si="80"/>
        <v>2593.6345316486622</v>
      </c>
      <c r="AA259">
        <f t="shared" ca="1" si="81"/>
        <v>482.07306851378365</v>
      </c>
      <c r="AB259">
        <f t="shared" ca="1" si="82"/>
        <v>482.25887083179032</v>
      </c>
      <c r="AC259">
        <f t="shared" ca="1" si="83"/>
        <v>0</v>
      </c>
      <c r="AD259">
        <f ca="1">IF(V32="Supercritical",L259,U259)</f>
        <v>0.05</v>
      </c>
      <c r="AE259">
        <f t="shared" ca="1" si="84"/>
        <v>632.5575</v>
      </c>
      <c r="AF259">
        <f t="shared" ca="1" si="85"/>
        <v>2593.6345316486622</v>
      </c>
      <c r="AI259">
        <v>0</v>
      </c>
      <c r="AJ259">
        <v>0</v>
      </c>
      <c r="AK259">
        <f t="shared" si="86"/>
        <v>0</v>
      </c>
      <c r="AL259">
        <f t="shared" si="94"/>
        <v>0</v>
      </c>
      <c r="AM259">
        <f t="shared" ca="1" si="87"/>
        <v>280.07692026646265</v>
      </c>
      <c r="AN259" t="str">
        <f t="shared" ca="1" si="88"/>
        <v>Supercritical</v>
      </c>
      <c r="AO259">
        <f ca="1">IF(V32="Supercritical",R259,AA259)</f>
        <v>482.07306851378365</v>
      </c>
    </row>
    <row r="260" spans="1:41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174</v>
      </c>
      <c r="I260">
        <v>5.7000000000000002E-2</v>
      </c>
      <c r="J260">
        <f t="shared" si="89"/>
        <v>1</v>
      </c>
      <c r="K260">
        <f t="shared" si="90"/>
        <v>51</v>
      </c>
      <c r="L260">
        <f t="shared" ca="1" si="91"/>
        <v>38819.737708888999</v>
      </c>
      <c r="M260">
        <f t="shared" ca="1" si="69"/>
        <v>201862.6360862228</v>
      </c>
      <c r="N260">
        <f t="shared" ca="1" si="70"/>
        <v>2.5998258734429989</v>
      </c>
      <c r="O260">
        <f t="shared" ca="1" si="71"/>
        <v>2.5264705241546563E-4</v>
      </c>
      <c r="P260">
        <f t="shared" ca="1" si="72"/>
        <v>39452.244708888997</v>
      </c>
      <c r="Q260">
        <f t="shared" ca="1" si="73"/>
        <v>39452.244708892249</v>
      </c>
      <c r="R260">
        <f t="shared" ca="1" si="74"/>
        <v>4.0174638194877677E-12</v>
      </c>
      <c r="S260">
        <f t="shared" ca="1" si="92"/>
        <v>9.9789337400579825E-4</v>
      </c>
      <c r="T260">
        <f t="shared" ca="1" si="93"/>
        <v>1</v>
      </c>
      <c r="U260">
        <f t="shared" ca="1" si="75"/>
        <v>0.05</v>
      </c>
      <c r="V260">
        <f t="shared" ca="1" si="76"/>
        <v>0.26</v>
      </c>
      <c r="W260">
        <f t="shared" ca="1" si="77"/>
        <v>4.9056603773584909E-2</v>
      </c>
      <c r="X260">
        <f t="shared" ca="1" si="78"/>
        <v>196.15384615384616</v>
      </c>
      <c r="Y260">
        <f t="shared" ca="1" si="79"/>
        <v>632.5569999999999</v>
      </c>
      <c r="Z260">
        <f t="shared" ca="1" si="80"/>
        <v>2593.6340316486621</v>
      </c>
      <c r="AA260">
        <f t="shared" ca="1" si="81"/>
        <v>482.07306851378365</v>
      </c>
      <c r="AB260">
        <f t="shared" ca="1" si="82"/>
        <v>482.55464158229961</v>
      </c>
      <c r="AC260">
        <f t="shared" ca="1" si="83"/>
        <v>0</v>
      </c>
      <c r="AD260">
        <f ca="1">IF(V32="Supercritical",L260,U260)</f>
        <v>0.05</v>
      </c>
      <c r="AE260">
        <f t="shared" ca="1" si="84"/>
        <v>632.5569999999999</v>
      </c>
      <c r="AF260">
        <f t="shared" ca="1" si="85"/>
        <v>2593.6340316486621</v>
      </c>
      <c r="AI260">
        <v>0</v>
      </c>
      <c r="AJ260">
        <v>0</v>
      </c>
      <c r="AK260">
        <f t="shared" si="86"/>
        <v>0</v>
      </c>
      <c r="AL260">
        <f t="shared" si="94"/>
        <v>0</v>
      </c>
      <c r="AM260">
        <f t="shared" ca="1" si="87"/>
        <v>280.07692026646265</v>
      </c>
      <c r="AN260" t="str">
        <f t="shared" ca="1" si="88"/>
        <v>Supercritical</v>
      </c>
      <c r="AO260">
        <f ca="1">IF(V32="Supercritical",R260,AA260)</f>
        <v>482.07306851378365</v>
      </c>
    </row>
    <row r="261" spans="1:41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174</v>
      </c>
      <c r="I261">
        <v>0</v>
      </c>
      <c r="J261">
        <f t="shared" si="89"/>
        <v>1.0010000000000048</v>
      </c>
      <c r="K261">
        <f t="shared" si="90"/>
        <v>51</v>
      </c>
      <c r="L261">
        <f t="shared" ca="1" si="91"/>
        <v>38819.737532790168</v>
      </c>
      <c r="M261">
        <f t="shared" ca="1" si="69"/>
        <v>201862.63517050887</v>
      </c>
      <c r="N261">
        <f t="shared" ca="1" si="70"/>
        <v>2.5998258734422088</v>
      </c>
      <c r="O261">
        <f t="shared" ca="1" si="71"/>
        <v>2.5264705356155406E-4</v>
      </c>
      <c r="P261">
        <f t="shared" ca="1" si="72"/>
        <v>39452.244032790171</v>
      </c>
      <c r="Q261">
        <f t="shared" ca="1" si="73"/>
        <v>39452.244032793424</v>
      </c>
      <c r="R261">
        <f t="shared" ca="1" si="74"/>
        <v>4.0174638559384144E-12</v>
      </c>
      <c r="S261">
        <f t="shared" ca="1" si="92"/>
        <v>6.7609881807584316E-4</v>
      </c>
      <c r="T261">
        <f t="shared" ca="1" si="93"/>
        <v>1</v>
      </c>
      <c r="U261">
        <f t="shared" ca="1" si="75"/>
        <v>0.05</v>
      </c>
      <c r="V261">
        <f t="shared" ca="1" si="76"/>
        <v>0.26</v>
      </c>
      <c r="W261">
        <f t="shared" ca="1" si="77"/>
        <v>4.9056603773584909E-2</v>
      </c>
      <c r="X261">
        <f t="shared" ca="1" si="78"/>
        <v>196.15384615384616</v>
      </c>
      <c r="Y261">
        <f t="shared" ca="1" si="79"/>
        <v>632.55649999999991</v>
      </c>
      <c r="Z261">
        <f t="shared" ca="1" si="80"/>
        <v>2593.633531648662</v>
      </c>
      <c r="AA261">
        <f t="shared" ca="1" si="81"/>
        <v>482.07306851378365</v>
      </c>
      <c r="AB261">
        <f t="shared" ca="1" si="82"/>
        <v>482.25233390835137</v>
      </c>
      <c r="AC261">
        <f t="shared" ca="1" si="83"/>
        <v>0</v>
      </c>
      <c r="AD261">
        <f ca="1">IF(V32="Supercritical",L261,U261)</f>
        <v>0.05</v>
      </c>
      <c r="AE261">
        <f t="shared" ca="1" si="84"/>
        <v>632.55649999999991</v>
      </c>
      <c r="AF261">
        <f t="shared" ca="1" si="85"/>
        <v>2593.633531648662</v>
      </c>
      <c r="AI261">
        <v>0</v>
      </c>
      <c r="AJ261">
        <v>0</v>
      </c>
      <c r="AK261">
        <f t="shared" si="86"/>
        <v>0</v>
      </c>
      <c r="AL261">
        <f t="shared" si="94"/>
        <v>0</v>
      </c>
      <c r="AM261">
        <f t="shared" ca="1" si="87"/>
        <v>280.07692026646265</v>
      </c>
      <c r="AN261" t="str">
        <f t="shared" ca="1" si="88"/>
        <v>Supercritical</v>
      </c>
      <c r="AO261">
        <f ca="1">IF(V32="Supercritical",R261,AA261)</f>
        <v>482.07306851378365</v>
      </c>
    </row>
    <row r="262" spans="1:41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174</v>
      </c>
      <c r="I262">
        <v>5.5E-2</v>
      </c>
      <c r="J262">
        <f t="shared" si="89"/>
        <v>1</v>
      </c>
      <c r="K262">
        <f t="shared" si="90"/>
        <v>51</v>
      </c>
      <c r="L262">
        <f t="shared" ca="1" si="91"/>
        <v>38819.737175362541</v>
      </c>
      <c r="M262">
        <f t="shared" ca="1" si="69"/>
        <v>201862.63331188523</v>
      </c>
      <c r="N262">
        <f t="shared" ca="1" si="70"/>
        <v>2.5998258734406057</v>
      </c>
      <c r="O262">
        <f t="shared" ca="1" si="71"/>
        <v>2.5264705588776858E-4</v>
      </c>
      <c r="P262">
        <f t="shared" ca="1" si="72"/>
        <v>39452.243175362542</v>
      </c>
      <c r="Q262">
        <f t="shared" ca="1" si="73"/>
        <v>39452.243175365795</v>
      </c>
      <c r="R262">
        <f t="shared" ca="1" si="74"/>
        <v>4.0174639299222586E-12</v>
      </c>
      <c r="S262">
        <f t="shared" ca="1" si="92"/>
        <v>8.57427621667739E-4</v>
      </c>
      <c r="T262">
        <f t="shared" ca="1" si="93"/>
        <v>1</v>
      </c>
      <c r="U262">
        <f t="shared" ca="1" si="75"/>
        <v>0.05</v>
      </c>
      <c r="V262">
        <f t="shared" ca="1" si="76"/>
        <v>0.26</v>
      </c>
      <c r="W262">
        <f t="shared" ca="1" si="77"/>
        <v>4.9056603773584909E-2</v>
      </c>
      <c r="X262">
        <f t="shared" ca="1" si="78"/>
        <v>196.15384615384616</v>
      </c>
      <c r="Y262">
        <f t="shared" ca="1" si="79"/>
        <v>632.55599999999993</v>
      </c>
      <c r="Z262">
        <f t="shared" ca="1" si="80"/>
        <v>2593.6330316486619</v>
      </c>
      <c r="AA262">
        <f t="shared" ca="1" si="81"/>
        <v>482.07306851378365</v>
      </c>
      <c r="AB262">
        <f t="shared" ca="1" si="82"/>
        <v>481.77026083983537</v>
      </c>
      <c r="AC262">
        <f t="shared" ca="1" si="83"/>
        <v>0</v>
      </c>
      <c r="AD262">
        <f ca="1">IF(V32="Supercritical",L262,U262)</f>
        <v>0.05</v>
      </c>
      <c r="AE262">
        <f t="shared" ca="1" si="84"/>
        <v>632.55599999999993</v>
      </c>
      <c r="AF262">
        <f t="shared" ca="1" si="85"/>
        <v>2593.6330316486619</v>
      </c>
      <c r="AI262">
        <v>0</v>
      </c>
      <c r="AJ262">
        <v>0</v>
      </c>
      <c r="AK262">
        <f t="shared" si="86"/>
        <v>0</v>
      </c>
      <c r="AL262">
        <f t="shared" si="94"/>
        <v>0</v>
      </c>
      <c r="AM262">
        <f t="shared" ca="1" si="87"/>
        <v>280.07692026646265</v>
      </c>
      <c r="AN262" t="str">
        <f t="shared" ca="1" si="88"/>
        <v>Supercritical</v>
      </c>
      <c r="AO262">
        <f ca="1">IF(V32="Supercritical",R262,AA262)</f>
        <v>482.07306851378365</v>
      </c>
    </row>
    <row r="263" spans="1:41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174</v>
      </c>
      <c r="I263">
        <v>5.5E-2</v>
      </c>
      <c r="J263">
        <f t="shared" si="89"/>
        <v>0.99899999999999523</v>
      </c>
      <c r="K263">
        <f t="shared" si="90"/>
        <v>51</v>
      </c>
      <c r="L263">
        <f t="shared" ca="1" si="91"/>
        <v>38819.737024051785</v>
      </c>
      <c r="M263">
        <f t="shared" ca="1" si="69"/>
        <v>201862.63252506929</v>
      </c>
      <c r="N263">
        <f t="shared" ca="1" si="70"/>
        <v>2.5998258734399271</v>
      </c>
      <c r="O263">
        <f t="shared" ca="1" si="71"/>
        <v>2.5264705687253099E-4</v>
      </c>
      <c r="P263">
        <f t="shared" ca="1" si="72"/>
        <v>39452.242524051784</v>
      </c>
      <c r="Q263">
        <f t="shared" ca="1" si="73"/>
        <v>39452.242524055036</v>
      </c>
      <c r="R263">
        <f t="shared" ca="1" si="74"/>
        <v>4.0174639612420307E-12</v>
      </c>
      <c r="S263">
        <f t="shared" ca="1" si="92"/>
        <v>6.5131075098179281E-4</v>
      </c>
      <c r="T263">
        <f t="shared" ca="1" si="93"/>
        <v>1</v>
      </c>
      <c r="U263">
        <f t="shared" ca="1" si="75"/>
        <v>0.05</v>
      </c>
      <c r="V263">
        <f t="shared" ca="1" si="76"/>
        <v>0.26</v>
      </c>
      <c r="W263">
        <f t="shared" ca="1" si="77"/>
        <v>4.9056603773584909E-2</v>
      </c>
      <c r="X263">
        <f t="shared" ca="1" si="78"/>
        <v>196.15384615384616</v>
      </c>
      <c r="Y263">
        <f t="shared" ca="1" si="79"/>
        <v>632.55549999999994</v>
      </c>
      <c r="Z263">
        <f t="shared" ca="1" si="80"/>
        <v>2593.6325316486618</v>
      </c>
      <c r="AA263">
        <f t="shared" ca="1" si="81"/>
        <v>482.07306851378365</v>
      </c>
      <c r="AB263">
        <f t="shared" ca="1" si="82"/>
        <v>482.07256851378406</v>
      </c>
      <c r="AC263">
        <f t="shared" ca="1" si="83"/>
        <v>0</v>
      </c>
      <c r="AD263">
        <f ca="1">IF(V32="Supercritical",L263,U263)</f>
        <v>0.05</v>
      </c>
      <c r="AE263">
        <f t="shared" ca="1" si="84"/>
        <v>632.55549999999994</v>
      </c>
      <c r="AF263">
        <f t="shared" ca="1" si="85"/>
        <v>2593.6325316486618</v>
      </c>
      <c r="AI263">
        <v>0</v>
      </c>
      <c r="AJ263">
        <v>0</v>
      </c>
      <c r="AK263">
        <f t="shared" si="86"/>
        <v>0</v>
      </c>
      <c r="AL263">
        <f t="shared" si="94"/>
        <v>0</v>
      </c>
      <c r="AM263">
        <f t="shared" ca="1" si="87"/>
        <v>280.07692026646265</v>
      </c>
      <c r="AN263" t="str">
        <f t="shared" ca="1" si="88"/>
        <v>Supercritical</v>
      </c>
      <c r="AO263">
        <f ca="1">IF(V32="Supercritical",R263,AA263)</f>
        <v>482.07306851378365</v>
      </c>
    </row>
    <row r="264" spans="1:41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174</v>
      </c>
      <c r="I264">
        <v>0</v>
      </c>
      <c r="J264">
        <f t="shared" si="89"/>
        <v>1</v>
      </c>
      <c r="K264">
        <f t="shared" si="90"/>
        <v>51</v>
      </c>
      <c r="L264">
        <f t="shared" ca="1" si="91"/>
        <v>38819.736552636772</v>
      </c>
      <c r="M264">
        <f t="shared" ca="1" si="69"/>
        <v>201862.63007371122</v>
      </c>
      <c r="N264">
        <f t="shared" ca="1" si="70"/>
        <v>2.5998258734378124</v>
      </c>
      <c r="O264">
        <f t="shared" ca="1" si="71"/>
        <v>2.5264705994059957E-4</v>
      </c>
      <c r="P264">
        <f t="shared" ca="1" si="72"/>
        <v>39452.241552636769</v>
      </c>
      <c r="Q264">
        <f t="shared" ca="1" si="73"/>
        <v>39452.241552640022</v>
      </c>
      <c r="R264">
        <f t="shared" ca="1" si="74"/>
        <v>4.0174640588200985E-12</v>
      </c>
      <c r="S264">
        <f t="shared" ca="1" si="92"/>
        <v>9.7141500737052411E-4</v>
      </c>
      <c r="T264">
        <f t="shared" ca="1" si="93"/>
        <v>1</v>
      </c>
      <c r="U264">
        <f t="shared" ca="1" si="75"/>
        <v>0.05</v>
      </c>
      <c r="V264">
        <f t="shared" ca="1" si="76"/>
        <v>0.26</v>
      </c>
      <c r="W264">
        <f t="shared" ca="1" si="77"/>
        <v>4.9056603773584909E-2</v>
      </c>
      <c r="X264">
        <f t="shared" ca="1" si="78"/>
        <v>196.15384615384616</v>
      </c>
      <c r="Y264">
        <f t="shared" ca="1" si="79"/>
        <v>632.55499999999995</v>
      </c>
      <c r="Z264">
        <f t="shared" ca="1" si="80"/>
        <v>2593.6320316486622</v>
      </c>
      <c r="AA264">
        <f t="shared" ca="1" si="81"/>
        <v>482.07306851378365</v>
      </c>
      <c r="AB264">
        <f t="shared" ca="1" si="82"/>
        <v>482.25887083179032</v>
      </c>
      <c r="AC264">
        <f t="shared" ca="1" si="83"/>
        <v>0</v>
      </c>
      <c r="AD264">
        <f ca="1">IF(V32="Supercritical",L264,U264)</f>
        <v>0.05</v>
      </c>
      <c r="AE264">
        <f t="shared" ca="1" si="84"/>
        <v>632.55499999999995</v>
      </c>
      <c r="AF264">
        <f t="shared" ca="1" si="85"/>
        <v>2593.6320316486622</v>
      </c>
      <c r="AI264">
        <v>0</v>
      </c>
      <c r="AJ264">
        <v>0</v>
      </c>
      <c r="AK264">
        <f t="shared" si="86"/>
        <v>0</v>
      </c>
      <c r="AL264">
        <f t="shared" si="94"/>
        <v>0</v>
      </c>
      <c r="AM264">
        <f t="shared" ca="1" si="87"/>
        <v>280.07692026646265</v>
      </c>
      <c r="AN264" t="str">
        <f t="shared" ca="1" si="88"/>
        <v>Supercritical</v>
      </c>
      <c r="AO264">
        <f ca="1">IF(V32="Supercritical",R264,AA264)</f>
        <v>482.07306851378365</v>
      </c>
    </row>
    <row r="265" spans="1:41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174</v>
      </c>
      <c r="I265">
        <v>5.7000000000000002E-2</v>
      </c>
      <c r="J265">
        <f t="shared" si="89"/>
        <v>1</v>
      </c>
      <c r="K265">
        <f t="shared" si="90"/>
        <v>51</v>
      </c>
      <c r="L265">
        <f t="shared" ca="1" si="91"/>
        <v>38819.73638121059</v>
      </c>
      <c r="M265">
        <f t="shared" ca="1" si="69"/>
        <v>201862.62918229509</v>
      </c>
      <c r="N265">
        <f t="shared" ca="1" si="70"/>
        <v>2.5998258734370441</v>
      </c>
      <c r="O265">
        <f t="shared" ca="1" si="71"/>
        <v>2.5264706105627743E-4</v>
      </c>
      <c r="P265">
        <f t="shared" ca="1" si="72"/>
        <v>39452.240881210593</v>
      </c>
      <c r="Q265">
        <f t="shared" ca="1" si="73"/>
        <v>39452.240881213846</v>
      </c>
      <c r="R265">
        <f t="shared" ca="1" si="74"/>
        <v>4.0174640943035545E-12</v>
      </c>
      <c r="S265">
        <f t="shared" ca="1" si="92"/>
        <v>6.714261689921841E-4</v>
      </c>
      <c r="T265">
        <f t="shared" ca="1" si="93"/>
        <v>1</v>
      </c>
      <c r="U265">
        <f t="shared" ca="1" si="75"/>
        <v>0.05</v>
      </c>
      <c r="V265">
        <f t="shared" ca="1" si="76"/>
        <v>0.26</v>
      </c>
      <c r="W265">
        <f t="shared" ca="1" si="77"/>
        <v>4.9056603773584909E-2</v>
      </c>
      <c r="X265">
        <f t="shared" ca="1" si="78"/>
        <v>196.15384615384616</v>
      </c>
      <c r="Y265">
        <f t="shared" ca="1" si="79"/>
        <v>632.55449999999996</v>
      </c>
      <c r="Z265">
        <f t="shared" ca="1" si="80"/>
        <v>2593.6315316486621</v>
      </c>
      <c r="AA265">
        <f t="shared" ca="1" si="81"/>
        <v>482.07306851378365</v>
      </c>
      <c r="AB265">
        <f t="shared" ca="1" si="82"/>
        <v>482.25887083179032</v>
      </c>
      <c r="AC265">
        <f t="shared" ca="1" si="83"/>
        <v>0</v>
      </c>
      <c r="AD265">
        <f ca="1">IF(V32="Supercritical",L265,U265)</f>
        <v>0.05</v>
      </c>
      <c r="AE265">
        <f t="shared" ca="1" si="84"/>
        <v>632.55449999999996</v>
      </c>
      <c r="AF265">
        <f t="shared" ca="1" si="85"/>
        <v>2593.6315316486621</v>
      </c>
      <c r="AI265">
        <v>0</v>
      </c>
      <c r="AJ265">
        <v>0</v>
      </c>
      <c r="AK265">
        <f t="shared" si="86"/>
        <v>0</v>
      </c>
      <c r="AL265">
        <f t="shared" si="94"/>
        <v>0</v>
      </c>
      <c r="AM265">
        <f t="shared" ca="1" si="87"/>
        <v>280.07692026646265</v>
      </c>
      <c r="AN265" t="str">
        <f t="shared" ca="1" si="88"/>
        <v>Supercritical</v>
      </c>
      <c r="AO265">
        <f ca="1">IF(V32="Supercritical",R265,AA265)</f>
        <v>482.07306851378365</v>
      </c>
    </row>
    <row r="266" spans="1:41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174</v>
      </c>
      <c r="I266">
        <v>5.7000000000000002E-2</v>
      </c>
      <c r="J266">
        <f t="shared" si="89"/>
        <v>1</v>
      </c>
      <c r="K266">
        <f t="shared" si="90"/>
        <v>51</v>
      </c>
      <c r="L266">
        <f t="shared" ca="1" si="91"/>
        <v>38819.736027286795</v>
      </c>
      <c r="M266">
        <f t="shared" ca="1" si="69"/>
        <v>201862.62734189135</v>
      </c>
      <c r="N266">
        <f t="shared" ca="1" si="70"/>
        <v>2.5998258734354565</v>
      </c>
      <c r="O266">
        <f t="shared" ca="1" si="71"/>
        <v>2.5264706335968842E-4</v>
      </c>
      <c r="P266">
        <f t="shared" ca="1" si="72"/>
        <v>39452.240027286796</v>
      </c>
      <c r="Q266">
        <f t="shared" ca="1" si="73"/>
        <v>39452.240027290049</v>
      </c>
      <c r="R266">
        <f t="shared" ca="1" si="74"/>
        <v>4.0174641675621496E-12</v>
      </c>
      <c r="S266">
        <f t="shared" ca="1" si="92"/>
        <v>8.5392378969117999E-4</v>
      </c>
      <c r="T266">
        <f t="shared" ca="1" si="93"/>
        <v>1</v>
      </c>
      <c r="U266">
        <f t="shared" ca="1" si="75"/>
        <v>0.05</v>
      </c>
      <c r="V266">
        <f t="shared" ca="1" si="76"/>
        <v>0.26</v>
      </c>
      <c r="W266">
        <f t="shared" ca="1" si="77"/>
        <v>4.9056603773584909E-2</v>
      </c>
      <c r="X266">
        <f t="shared" ca="1" si="78"/>
        <v>196.15384615384616</v>
      </c>
      <c r="Y266">
        <f t="shared" ca="1" si="79"/>
        <v>632.55399999999997</v>
      </c>
      <c r="Z266">
        <f t="shared" ca="1" si="80"/>
        <v>2593.631031648662</v>
      </c>
      <c r="AA266">
        <f t="shared" ca="1" si="81"/>
        <v>482.07306851378365</v>
      </c>
      <c r="AB266">
        <f t="shared" ca="1" si="82"/>
        <v>482.25887083179077</v>
      </c>
      <c r="AC266">
        <f t="shared" ca="1" si="83"/>
        <v>0</v>
      </c>
      <c r="AD266">
        <f ca="1">IF(V32="Supercritical",L266,U266)</f>
        <v>0.05</v>
      </c>
      <c r="AE266">
        <f t="shared" ca="1" si="84"/>
        <v>632.55399999999997</v>
      </c>
      <c r="AF266">
        <f t="shared" ca="1" si="85"/>
        <v>2593.631031648662</v>
      </c>
      <c r="AI266">
        <v>0</v>
      </c>
      <c r="AJ266">
        <v>0</v>
      </c>
      <c r="AK266">
        <f t="shared" si="86"/>
        <v>0</v>
      </c>
      <c r="AL266">
        <f t="shared" si="94"/>
        <v>0</v>
      </c>
      <c r="AM266">
        <f t="shared" ca="1" si="87"/>
        <v>280.07692026646265</v>
      </c>
      <c r="AN266" t="str">
        <f t="shared" ca="1" si="88"/>
        <v>Supercritical</v>
      </c>
      <c r="AO266">
        <f ca="1">IF(V32="Supercritical",R266,AA266)</f>
        <v>482.07306851378365</v>
      </c>
    </row>
    <row r="267" spans="1:41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174</v>
      </c>
      <c r="I267">
        <v>5.7000000000000002E-2</v>
      </c>
      <c r="J267">
        <f t="shared" si="89"/>
        <v>1</v>
      </c>
      <c r="K267">
        <f t="shared" si="90"/>
        <v>51</v>
      </c>
      <c r="L267">
        <f t="shared" ca="1" si="91"/>
        <v>38819.735876594365</v>
      </c>
      <c r="M267">
        <f t="shared" ca="1" si="69"/>
        <v>201862.62655829071</v>
      </c>
      <c r="N267">
        <f t="shared" ca="1" si="70"/>
        <v>2.5998258734347806</v>
      </c>
      <c r="O267">
        <f t="shared" ca="1" si="71"/>
        <v>2.526470643404267E-4</v>
      </c>
      <c r="P267">
        <f t="shared" ca="1" si="72"/>
        <v>39452.239376594363</v>
      </c>
      <c r="Q267">
        <f t="shared" ca="1" si="73"/>
        <v>39452.239376597616</v>
      </c>
      <c r="R267">
        <f t="shared" ca="1" si="74"/>
        <v>4.0174641987539357E-12</v>
      </c>
      <c r="S267">
        <f t="shared" ca="1" si="92"/>
        <v>6.5069242555182427E-4</v>
      </c>
      <c r="T267">
        <f t="shared" ca="1" si="93"/>
        <v>1</v>
      </c>
      <c r="U267">
        <f t="shared" ca="1" si="75"/>
        <v>0.05</v>
      </c>
      <c r="V267">
        <f t="shared" ca="1" si="76"/>
        <v>0.26</v>
      </c>
      <c r="W267">
        <f t="shared" ca="1" si="77"/>
        <v>4.9056603773584909E-2</v>
      </c>
      <c r="X267">
        <f t="shared" ca="1" si="78"/>
        <v>196.15384615384616</v>
      </c>
      <c r="Y267">
        <f t="shared" ca="1" si="79"/>
        <v>632.55349999999999</v>
      </c>
      <c r="Z267">
        <f t="shared" ca="1" si="80"/>
        <v>2593.6305316486623</v>
      </c>
      <c r="AA267">
        <f t="shared" ca="1" si="81"/>
        <v>482.07306851378365</v>
      </c>
      <c r="AB267">
        <f t="shared" ca="1" si="82"/>
        <v>482.25887083179032</v>
      </c>
      <c r="AC267">
        <f t="shared" ca="1" si="83"/>
        <v>0</v>
      </c>
      <c r="AD267">
        <f ca="1">IF(V32="Supercritical",L267,U267)</f>
        <v>0.05</v>
      </c>
      <c r="AE267">
        <f t="shared" ca="1" si="84"/>
        <v>632.55349999999999</v>
      </c>
      <c r="AF267">
        <f t="shared" ca="1" si="85"/>
        <v>2593.6305316486623</v>
      </c>
      <c r="AI267">
        <v>0</v>
      </c>
      <c r="AJ267">
        <v>0</v>
      </c>
      <c r="AK267">
        <f t="shared" si="86"/>
        <v>0</v>
      </c>
      <c r="AL267">
        <f t="shared" si="94"/>
        <v>0</v>
      </c>
      <c r="AM267">
        <f t="shared" ca="1" si="87"/>
        <v>280.07692026646265</v>
      </c>
      <c r="AN267" t="str">
        <f t="shared" ca="1" si="88"/>
        <v>Supercritical</v>
      </c>
      <c r="AO267">
        <f ca="1">IF(V32="Supercritical",R267,AA267)</f>
        <v>482.07306851378365</v>
      </c>
    </row>
    <row r="268" spans="1:41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174</v>
      </c>
      <c r="I268">
        <v>5.7000000000000002E-2</v>
      </c>
      <c r="J268">
        <f t="shared" si="89"/>
        <v>1</v>
      </c>
      <c r="K268">
        <f t="shared" si="90"/>
        <v>51</v>
      </c>
      <c r="L268">
        <f t="shared" ca="1" si="91"/>
        <v>38819.735398953351</v>
      </c>
      <c r="M268">
        <f t="shared" ca="1" si="69"/>
        <v>201862.62407455745</v>
      </c>
      <c r="N268">
        <f t="shared" ca="1" si="70"/>
        <v>2.5998258734326383</v>
      </c>
      <c r="O268">
        <f t="shared" ca="1" si="71"/>
        <v>2.5264706744901561E-4</v>
      </c>
      <c r="P268">
        <f t="shared" ca="1" si="72"/>
        <v>39452.238398953348</v>
      </c>
      <c r="Q268">
        <f t="shared" ca="1" si="73"/>
        <v>39452.238398956601</v>
      </c>
      <c r="R268">
        <f t="shared" ca="1" si="74"/>
        <v>4.0174642976207282E-12</v>
      </c>
      <c r="S268">
        <f t="shared" ca="1" si="92"/>
        <v>9.776410079211928E-4</v>
      </c>
      <c r="T268">
        <f t="shared" ca="1" si="93"/>
        <v>1</v>
      </c>
      <c r="U268">
        <f t="shared" ca="1" si="75"/>
        <v>0.05</v>
      </c>
      <c r="V268">
        <f t="shared" ca="1" si="76"/>
        <v>0.26</v>
      </c>
      <c r="W268">
        <f t="shared" ca="1" si="77"/>
        <v>4.9056603773584909E-2</v>
      </c>
      <c r="X268">
        <f t="shared" ca="1" si="78"/>
        <v>196.15384615384616</v>
      </c>
      <c r="Y268">
        <f t="shared" ca="1" si="79"/>
        <v>632.553</v>
      </c>
      <c r="Z268">
        <f t="shared" ca="1" si="80"/>
        <v>2593.6300316486622</v>
      </c>
      <c r="AA268">
        <f t="shared" ca="1" si="81"/>
        <v>482.07306851378365</v>
      </c>
      <c r="AB268">
        <f t="shared" ca="1" si="82"/>
        <v>482.56444696745803</v>
      </c>
      <c r="AC268">
        <f t="shared" ca="1" si="83"/>
        <v>0</v>
      </c>
      <c r="AD268">
        <f ca="1">IF(V32="Supercritical",L268,U268)</f>
        <v>0.05</v>
      </c>
      <c r="AE268">
        <f t="shared" ca="1" si="84"/>
        <v>632.553</v>
      </c>
      <c r="AF268">
        <f t="shared" ca="1" si="85"/>
        <v>2593.6300316486622</v>
      </c>
      <c r="AI268">
        <v>0</v>
      </c>
      <c r="AJ268">
        <v>0</v>
      </c>
      <c r="AK268">
        <f t="shared" si="86"/>
        <v>0</v>
      </c>
      <c r="AL268">
        <f t="shared" si="94"/>
        <v>0</v>
      </c>
      <c r="AM268">
        <f t="shared" ca="1" si="87"/>
        <v>280.07692026646265</v>
      </c>
      <c r="AN268" t="str">
        <f t="shared" ca="1" si="88"/>
        <v>Supercritical</v>
      </c>
      <c r="AO268">
        <f ca="1">IF(V32="Supercritical",R268,AA268)</f>
        <v>482.07306851378365</v>
      </c>
    </row>
    <row r="269" spans="1:41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174</v>
      </c>
      <c r="I269">
        <v>3.0000000000000001E-3</v>
      </c>
      <c r="J269">
        <f t="shared" si="89"/>
        <v>1.0010000000000048</v>
      </c>
      <c r="K269">
        <f t="shared" si="90"/>
        <v>51</v>
      </c>
      <c r="L269">
        <f t="shared" ca="1" si="91"/>
        <v>38819.735226428464</v>
      </c>
      <c r="M269">
        <f t="shared" ca="1" si="69"/>
        <v>201862.62317742803</v>
      </c>
      <c r="N269">
        <f t="shared" ca="1" si="70"/>
        <v>2.5998258734318647</v>
      </c>
      <c r="O269">
        <f t="shared" ca="1" si="71"/>
        <v>2.5264706857184416E-4</v>
      </c>
      <c r="P269">
        <f t="shared" ca="1" si="72"/>
        <v>39452.237726428466</v>
      </c>
      <c r="Q269">
        <f t="shared" ca="1" si="73"/>
        <v>39452.237726431718</v>
      </c>
      <c r="R269">
        <f t="shared" ca="1" si="74"/>
        <v>4.0174643333316105E-12</v>
      </c>
      <c r="S269">
        <f t="shared" ca="1" si="92"/>
        <v>6.7252487497171387E-4</v>
      </c>
      <c r="T269">
        <f t="shared" ca="1" si="93"/>
        <v>1</v>
      </c>
      <c r="U269">
        <f t="shared" ca="1" si="75"/>
        <v>0.05</v>
      </c>
      <c r="V269">
        <f t="shared" ca="1" si="76"/>
        <v>0.26</v>
      </c>
      <c r="W269">
        <f t="shared" ca="1" si="77"/>
        <v>4.9056603773584909E-2</v>
      </c>
      <c r="X269">
        <f t="shared" ca="1" si="78"/>
        <v>196.15384615384616</v>
      </c>
      <c r="Y269">
        <f t="shared" ca="1" si="79"/>
        <v>632.55250000000001</v>
      </c>
      <c r="Z269">
        <f t="shared" ca="1" si="80"/>
        <v>2593.6295316486621</v>
      </c>
      <c r="AA269">
        <f t="shared" ca="1" si="81"/>
        <v>482.07306851378365</v>
      </c>
      <c r="AB269">
        <f t="shared" ca="1" si="82"/>
        <v>481.78660314843228</v>
      </c>
      <c r="AC269">
        <f t="shared" ca="1" si="83"/>
        <v>0</v>
      </c>
      <c r="AD269">
        <f ca="1">IF(V32="Supercritical",L269,U269)</f>
        <v>0.05</v>
      </c>
      <c r="AE269">
        <f t="shared" ca="1" si="84"/>
        <v>632.55250000000001</v>
      </c>
      <c r="AF269">
        <f t="shared" ca="1" si="85"/>
        <v>2593.6295316486621</v>
      </c>
      <c r="AI269">
        <v>0</v>
      </c>
      <c r="AJ269">
        <v>0</v>
      </c>
      <c r="AK269">
        <f t="shared" si="86"/>
        <v>0</v>
      </c>
      <c r="AL269">
        <f t="shared" si="94"/>
        <v>0</v>
      </c>
      <c r="AM269">
        <f t="shared" ca="1" si="87"/>
        <v>280.07692026646265</v>
      </c>
      <c r="AN269" t="str">
        <f t="shared" ca="1" si="88"/>
        <v>Supercritical</v>
      </c>
      <c r="AO269">
        <f ca="1">IF(V32="Supercritical",R269,AA269)</f>
        <v>482.07306851378365</v>
      </c>
    </row>
    <row r="270" spans="1:41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174</v>
      </c>
      <c r="I270">
        <v>0.06</v>
      </c>
      <c r="J270">
        <f t="shared" si="89"/>
        <v>0.99899999999999523</v>
      </c>
      <c r="K270">
        <f t="shared" si="90"/>
        <v>51</v>
      </c>
      <c r="L270">
        <f t="shared" ca="1" si="91"/>
        <v>38819.734856838841</v>
      </c>
      <c r="M270">
        <f t="shared" ca="1" si="69"/>
        <v>201862.62125556197</v>
      </c>
      <c r="N270">
        <f t="shared" ca="1" si="70"/>
        <v>2.5998258734302064</v>
      </c>
      <c r="O270">
        <f t="shared" ca="1" si="71"/>
        <v>2.5264707097721184E-4</v>
      </c>
      <c r="P270">
        <f t="shared" ca="1" si="72"/>
        <v>39452.236856838841</v>
      </c>
      <c r="Q270">
        <f t="shared" ca="1" si="73"/>
        <v>39452.236856842093</v>
      </c>
      <c r="R270">
        <f t="shared" ca="1" si="74"/>
        <v>4.0174644098328787E-12</v>
      </c>
      <c r="S270">
        <f t="shared" ca="1" si="92"/>
        <v>8.6958961765049025E-4</v>
      </c>
      <c r="T270">
        <f t="shared" ca="1" si="93"/>
        <v>1</v>
      </c>
      <c r="U270">
        <f t="shared" ca="1" si="75"/>
        <v>0.05</v>
      </c>
      <c r="V270">
        <f t="shared" ca="1" si="76"/>
        <v>0.26</v>
      </c>
      <c r="W270">
        <f t="shared" ca="1" si="77"/>
        <v>4.9056603773584909E-2</v>
      </c>
      <c r="X270">
        <f t="shared" ca="1" si="78"/>
        <v>196.15384615384616</v>
      </c>
      <c r="Y270">
        <f t="shared" ca="1" si="79"/>
        <v>632.55199999999991</v>
      </c>
      <c r="Z270">
        <f t="shared" ca="1" si="80"/>
        <v>2593.629031648662</v>
      </c>
      <c r="AA270">
        <f t="shared" ca="1" si="81"/>
        <v>482.07306851378365</v>
      </c>
      <c r="AB270">
        <f t="shared" ca="1" si="82"/>
        <v>482.25887083179032</v>
      </c>
      <c r="AC270">
        <f t="shared" ca="1" si="83"/>
        <v>0</v>
      </c>
      <c r="AD270">
        <f ca="1">IF(V32="Supercritical",L270,U270)</f>
        <v>0.05</v>
      </c>
      <c r="AE270">
        <f t="shared" ca="1" si="84"/>
        <v>632.55199999999991</v>
      </c>
      <c r="AF270">
        <f t="shared" ca="1" si="85"/>
        <v>2593.629031648662</v>
      </c>
      <c r="AI270">
        <v>0</v>
      </c>
      <c r="AJ270">
        <v>0</v>
      </c>
      <c r="AK270">
        <f t="shared" si="86"/>
        <v>0</v>
      </c>
      <c r="AL270">
        <f t="shared" si="94"/>
        <v>0</v>
      </c>
      <c r="AM270">
        <f t="shared" ca="1" si="87"/>
        <v>280.07692026646265</v>
      </c>
      <c r="AN270" t="str">
        <f t="shared" ca="1" si="88"/>
        <v>Supercritical</v>
      </c>
      <c r="AO270">
        <f ca="1">IF(V32="Supercritical",R270,AA270)</f>
        <v>482.07306851378365</v>
      </c>
    </row>
    <row r="271" spans="1:41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174</v>
      </c>
      <c r="I271">
        <v>5.7000000000000002E-2</v>
      </c>
      <c r="J271">
        <f t="shared" si="89"/>
        <v>1</v>
      </c>
      <c r="K271">
        <f t="shared" si="90"/>
        <v>51</v>
      </c>
      <c r="L271">
        <f t="shared" ca="1" si="91"/>
        <v>38819.734703381851</v>
      </c>
      <c r="M271">
        <f t="shared" ca="1" si="69"/>
        <v>201862.62045758564</v>
      </c>
      <c r="N271">
        <f t="shared" ca="1" si="70"/>
        <v>2.5998258734295185</v>
      </c>
      <c r="O271">
        <f t="shared" ca="1" si="71"/>
        <v>2.5264707197594251E-4</v>
      </c>
      <c r="P271">
        <f t="shared" ca="1" si="72"/>
        <v>39452.23620338185</v>
      </c>
      <c r="Q271">
        <f t="shared" ca="1" si="73"/>
        <v>39452.236203385102</v>
      </c>
      <c r="R271">
        <f t="shared" ca="1" si="74"/>
        <v>4.0174644415969027E-12</v>
      </c>
      <c r="S271">
        <f t="shared" ca="1" si="92"/>
        <v>6.5345698385499418E-4</v>
      </c>
      <c r="T271">
        <f t="shared" ca="1" si="93"/>
        <v>1</v>
      </c>
      <c r="U271">
        <f t="shared" ca="1" si="75"/>
        <v>0.05</v>
      </c>
      <c r="V271">
        <f t="shared" ca="1" si="76"/>
        <v>0.26</v>
      </c>
      <c r="W271">
        <f t="shared" ca="1" si="77"/>
        <v>4.9056603773584909E-2</v>
      </c>
      <c r="X271">
        <f t="shared" ca="1" si="78"/>
        <v>196.15384615384616</v>
      </c>
      <c r="Y271">
        <f t="shared" ca="1" si="79"/>
        <v>632.55149999999992</v>
      </c>
      <c r="Z271">
        <f t="shared" ca="1" si="80"/>
        <v>2593.6285316486619</v>
      </c>
      <c r="AA271">
        <f t="shared" ca="1" si="81"/>
        <v>482.07306851378365</v>
      </c>
      <c r="AB271">
        <f t="shared" ca="1" si="82"/>
        <v>482.25887083179032</v>
      </c>
      <c r="AC271">
        <f t="shared" ca="1" si="83"/>
        <v>0</v>
      </c>
      <c r="AD271">
        <f ca="1">IF(V32="Supercritical",L271,U271)</f>
        <v>0.05</v>
      </c>
      <c r="AE271">
        <f t="shared" ca="1" si="84"/>
        <v>632.55149999999992</v>
      </c>
      <c r="AF271">
        <f t="shared" ca="1" si="85"/>
        <v>2593.6285316486619</v>
      </c>
      <c r="AI271">
        <v>0</v>
      </c>
      <c r="AJ271">
        <v>0</v>
      </c>
      <c r="AK271">
        <f t="shared" si="86"/>
        <v>0</v>
      </c>
      <c r="AL271">
        <f t="shared" si="94"/>
        <v>0</v>
      </c>
      <c r="AM271">
        <f t="shared" ca="1" si="87"/>
        <v>280.07692026646265</v>
      </c>
      <c r="AN271" t="str">
        <f t="shared" ca="1" si="88"/>
        <v>Supercritical</v>
      </c>
      <c r="AO271">
        <f ca="1">IF(V32="Supercritical",R271,AA271)</f>
        <v>482.07306851378365</v>
      </c>
    </row>
    <row r="272" spans="1:41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174</v>
      </c>
      <c r="I272">
        <v>5.7000000000000002E-2</v>
      </c>
      <c r="J272">
        <f t="shared" si="89"/>
        <v>1</v>
      </c>
      <c r="K272">
        <f t="shared" si="90"/>
        <v>51</v>
      </c>
      <c r="L272">
        <f t="shared" ca="1" si="91"/>
        <v>38819.73434466336</v>
      </c>
      <c r="M272">
        <f t="shared" ca="1" si="69"/>
        <v>201862.61859224949</v>
      </c>
      <c r="N272">
        <f t="shared" ca="1" si="70"/>
        <v>2.5998258734279096</v>
      </c>
      <c r="O272">
        <f t="shared" ca="1" si="71"/>
        <v>2.5264707431055857E-4</v>
      </c>
      <c r="P272">
        <f t="shared" ca="1" si="72"/>
        <v>39452.235344663357</v>
      </c>
      <c r="Q272">
        <f t="shared" ca="1" si="73"/>
        <v>39452.235344666609</v>
      </c>
      <c r="R272">
        <f t="shared" ca="1" si="74"/>
        <v>4.0174645158479569E-12</v>
      </c>
      <c r="S272">
        <f t="shared" ca="1" si="92"/>
        <v>8.5871848568785936E-4</v>
      </c>
      <c r="T272">
        <f t="shared" ca="1" si="93"/>
        <v>1</v>
      </c>
      <c r="U272">
        <f t="shared" ca="1" si="75"/>
        <v>0.05</v>
      </c>
      <c r="V272">
        <f t="shared" ca="1" si="76"/>
        <v>0.26</v>
      </c>
      <c r="W272">
        <f t="shared" ca="1" si="77"/>
        <v>4.9056603773584909E-2</v>
      </c>
      <c r="X272">
        <f t="shared" ca="1" si="78"/>
        <v>196.15384615384616</v>
      </c>
      <c r="Y272">
        <f t="shared" ca="1" si="79"/>
        <v>632.55099999999993</v>
      </c>
      <c r="Z272">
        <f t="shared" ca="1" si="80"/>
        <v>2593.6280316486618</v>
      </c>
      <c r="AA272">
        <f t="shared" ca="1" si="81"/>
        <v>482.07306851378365</v>
      </c>
      <c r="AB272">
        <f t="shared" ca="1" si="82"/>
        <v>482.25887083179077</v>
      </c>
      <c r="AC272">
        <f t="shared" ca="1" si="83"/>
        <v>0</v>
      </c>
      <c r="AD272">
        <f ca="1">IF(V32="Supercritical",L272,U272)</f>
        <v>0.05</v>
      </c>
      <c r="AE272">
        <f t="shared" ca="1" si="84"/>
        <v>632.55099999999993</v>
      </c>
      <c r="AF272">
        <f t="shared" ca="1" si="85"/>
        <v>2593.6280316486618</v>
      </c>
      <c r="AI272">
        <v>0</v>
      </c>
      <c r="AJ272">
        <v>0</v>
      </c>
      <c r="AK272">
        <f t="shared" si="86"/>
        <v>0</v>
      </c>
      <c r="AL272">
        <f t="shared" si="94"/>
        <v>0</v>
      </c>
      <c r="AM272">
        <f t="shared" ca="1" si="87"/>
        <v>280.07692026646265</v>
      </c>
      <c r="AN272" t="str">
        <f t="shared" ca="1" si="88"/>
        <v>Supercritical</v>
      </c>
      <c r="AO272">
        <f ca="1">IF(V32="Supercritical",R272,AA272)</f>
        <v>482.07306851378365</v>
      </c>
    </row>
    <row r="273" spans="1:41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174</v>
      </c>
      <c r="I273">
        <v>5.7000000000000002E-2</v>
      </c>
      <c r="J273">
        <f t="shared" si="89"/>
        <v>1</v>
      </c>
      <c r="K273">
        <f t="shared" si="90"/>
        <v>51</v>
      </c>
      <c r="L273">
        <f t="shared" ca="1" si="91"/>
        <v>38819.734193124808</v>
      </c>
      <c r="M273">
        <f t="shared" ca="1" si="69"/>
        <v>201862.61780424902</v>
      </c>
      <c r="N273">
        <f t="shared" ca="1" si="70"/>
        <v>2.5998258734272297</v>
      </c>
      <c r="O273">
        <f t="shared" ca="1" si="71"/>
        <v>2.5264707529680367E-4</v>
      </c>
      <c r="P273">
        <f t="shared" ca="1" si="72"/>
        <v>39452.23469312481</v>
      </c>
      <c r="Q273">
        <f t="shared" ca="1" si="73"/>
        <v>39452.234693128063</v>
      </c>
      <c r="R273">
        <f t="shared" ca="1" si="74"/>
        <v>4.0174645472148889E-12</v>
      </c>
      <c r="S273">
        <f t="shared" ca="1" si="92"/>
        <v>6.5153853938682005E-4</v>
      </c>
      <c r="T273">
        <f t="shared" ca="1" si="93"/>
        <v>1</v>
      </c>
      <c r="U273">
        <f t="shared" ca="1" si="75"/>
        <v>0.05</v>
      </c>
      <c r="V273">
        <f t="shared" ca="1" si="76"/>
        <v>0.26</v>
      </c>
      <c r="W273">
        <f t="shared" ca="1" si="77"/>
        <v>4.9056603773584909E-2</v>
      </c>
      <c r="X273">
        <f t="shared" ca="1" si="78"/>
        <v>196.15384615384616</v>
      </c>
      <c r="Y273">
        <f t="shared" ca="1" si="79"/>
        <v>632.55049999999994</v>
      </c>
      <c r="Z273">
        <f t="shared" ca="1" si="80"/>
        <v>2593.6275316486622</v>
      </c>
      <c r="AA273">
        <f t="shared" ca="1" si="81"/>
        <v>482.07306851378365</v>
      </c>
      <c r="AB273">
        <f t="shared" ca="1" si="82"/>
        <v>482.07256851378361</v>
      </c>
      <c r="AC273">
        <f t="shared" ca="1" si="83"/>
        <v>0</v>
      </c>
      <c r="AD273">
        <f ca="1">IF(V32="Supercritical",L273,U273)</f>
        <v>0.05</v>
      </c>
      <c r="AE273">
        <f t="shared" ca="1" si="84"/>
        <v>632.55049999999994</v>
      </c>
      <c r="AF273">
        <f t="shared" ca="1" si="85"/>
        <v>2593.6275316486622</v>
      </c>
      <c r="AI273">
        <v>0</v>
      </c>
      <c r="AJ273">
        <v>0</v>
      </c>
      <c r="AK273">
        <f t="shared" si="86"/>
        <v>0</v>
      </c>
      <c r="AL273">
        <f t="shared" si="94"/>
        <v>0</v>
      </c>
      <c r="AM273">
        <f t="shared" ca="1" si="87"/>
        <v>280.07692026646265</v>
      </c>
      <c r="AN273" t="str">
        <f t="shared" ca="1" si="88"/>
        <v>Supercritical</v>
      </c>
      <c r="AO273">
        <f ca="1">IF(V32="Supercritical",R273,AA273)</f>
        <v>482.07306851378365</v>
      </c>
    </row>
    <row r="274" spans="1:41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174</v>
      </c>
      <c r="I274">
        <v>0</v>
      </c>
      <c r="J274">
        <f t="shared" si="89"/>
        <v>1</v>
      </c>
      <c r="K274">
        <f t="shared" si="90"/>
        <v>51</v>
      </c>
      <c r="L274">
        <f t="shared" ca="1" si="91"/>
        <v>38819.733819747998</v>
      </c>
      <c r="M274">
        <f t="shared" ca="1" si="69"/>
        <v>201862.61586268959</v>
      </c>
      <c r="N274">
        <f t="shared" ca="1" si="70"/>
        <v>2.599825873425555</v>
      </c>
      <c r="O274">
        <f t="shared" ca="1" si="71"/>
        <v>2.5264707772681928E-4</v>
      </c>
      <c r="P274">
        <f t="shared" ca="1" si="72"/>
        <v>39452.233819747998</v>
      </c>
      <c r="Q274">
        <f t="shared" ca="1" si="73"/>
        <v>39452.233819751251</v>
      </c>
      <c r="R274">
        <f t="shared" ca="1" si="74"/>
        <v>4.0174646245000707E-12</v>
      </c>
      <c r="S274">
        <f t="shared" ca="1" si="92"/>
        <v>8.7337680452037603E-4</v>
      </c>
      <c r="T274">
        <f t="shared" ca="1" si="93"/>
        <v>1</v>
      </c>
      <c r="U274">
        <f t="shared" ca="1" si="75"/>
        <v>0.05</v>
      </c>
      <c r="V274">
        <f t="shared" ca="1" si="76"/>
        <v>0.26</v>
      </c>
      <c r="W274">
        <f t="shared" ca="1" si="77"/>
        <v>4.9056603773584909E-2</v>
      </c>
      <c r="X274">
        <f t="shared" ca="1" si="78"/>
        <v>196.15384615384616</v>
      </c>
      <c r="Y274">
        <f t="shared" ca="1" si="79"/>
        <v>632.54999999999995</v>
      </c>
      <c r="Z274">
        <f t="shared" ca="1" si="80"/>
        <v>2593.6270316486621</v>
      </c>
      <c r="AA274">
        <f t="shared" ca="1" si="81"/>
        <v>482.07306851378365</v>
      </c>
      <c r="AB274">
        <f t="shared" ca="1" si="82"/>
        <v>482.25887083179032</v>
      </c>
      <c r="AC274">
        <f t="shared" ca="1" si="83"/>
        <v>0</v>
      </c>
      <c r="AD274">
        <f ca="1">IF(V32="Supercritical",L274,U274)</f>
        <v>0.05</v>
      </c>
      <c r="AE274">
        <f t="shared" ca="1" si="84"/>
        <v>632.54999999999995</v>
      </c>
      <c r="AF274">
        <f t="shared" ca="1" si="85"/>
        <v>2593.6270316486621</v>
      </c>
      <c r="AI274">
        <v>0</v>
      </c>
      <c r="AJ274">
        <v>0</v>
      </c>
      <c r="AK274">
        <f t="shared" si="86"/>
        <v>0</v>
      </c>
      <c r="AL274">
        <f t="shared" si="94"/>
        <v>0</v>
      </c>
      <c r="AM274">
        <f t="shared" ca="1" si="87"/>
        <v>280.07692026646265</v>
      </c>
      <c r="AN274" t="str">
        <f t="shared" ca="1" si="88"/>
        <v>Supercritical</v>
      </c>
      <c r="AO274">
        <f ca="1">IF(V32="Supercritical",R274,AA274)</f>
        <v>482.07306851378365</v>
      </c>
    </row>
    <row r="275" spans="1:41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174</v>
      </c>
      <c r="I275">
        <v>5.7000000000000002E-2</v>
      </c>
      <c r="J275">
        <f t="shared" si="89"/>
        <v>1</v>
      </c>
      <c r="K275">
        <f t="shared" si="90"/>
        <v>51</v>
      </c>
      <c r="L275">
        <f t="shared" ca="1" si="91"/>
        <v>38819.733665622683</v>
      </c>
      <c r="M275">
        <f t="shared" ca="1" si="69"/>
        <v>201862.61506123797</v>
      </c>
      <c r="N275">
        <f t="shared" ca="1" si="70"/>
        <v>2.599825873424864</v>
      </c>
      <c r="O275">
        <f t="shared" ca="1" si="71"/>
        <v>2.5264707872989955E-4</v>
      </c>
      <c r="P275">
        <f t="shared" ca="1" si="72"/>
        <v>39452.233165622682</v>
      </c>
      <c r="Q275">
        <f t="shared" ca="1" si="73"/>
        <v>39452.233165625934</v>
      </c>
      <c r="R275">
        <f t="shared" ca="1" si="74"/>
        <v>4.0174646564024341E-12</v>
      </c>
      <c r="S275">
        <f t="shared" ca="1" si="92"/>
        <v>6.5412530966568738E-4</v>
      </c>
      <c r="T275">
        <f t="shared" ca="1" si="93"/>
        <v>1</v>
      </c>
      <c r="U275">
        <f t="shared" ca="1" si="75"/>
        <v>0.05</v>
      </c>
      <c r="V275">
        <f t="shared" ca="1" si="76"/>
        <v>0.26</v>
      </c>
      <c r="W275">
        <f t="shared" ca="1" si="77"/>
        <v>4.9056603773584909E-2</v>
      </c>
      <c r="X275">
        <f t="shared" ca="1" si="78"/>
        <v>196.15384615384616</v>
      </c>
      <c r="Y275">
        <f t="shared" ca="1" si="79"/>
        <v>632.54949999999997</v>
      </c>
      <c r="Z275">
        <f t="shared" ca="1" si="80"/>
        <v>2593.626531648662</v>
      </c>
      <c r="AA275">
        <f t="shared" ca="1" si="81"/>
        <v>482.07306851378365</v>
      </c>
      <c r="AB275">
        <f t="shared" ca="1" si="82"/>
        <v>482.74094390030677</v>
      </c>
      <c r="AC275">
        <f t="shared" ca="1" si="83"/>
        <v>0</v>
      </c>
      <c r="AD275">
        <f ca="1">IF(V32="Supercritical",L275,U275)</f>
        <v>0.05</v>
      </c>
      <c r="AE275">
        <f t="shared" ca="1" si="84"/>
        <v>632.54949999999997</v>
      </c>
      <c r="AF275">
        <f t="shared" ca="1" si="85"/>
        <v>2593.626531648662</v>
      </c>
      <c r="AI275">
        <v>0</v>
      </c>
      <c r="AJ275">
        <v>0</v>
      </c>
      <c r="AK275">
        <f t="shared" si="86"/>
        <v>0</v>
      </c>
      <c r="AL275">
        <f t="shared" si="94"/>
        <v>0</v>
      </c>
      <c r="AM275">
        <f t="shared" ca="1" si="87"/>
        <v>280.07692026646265</v>
      </c>
      <c r="AN275" t="str">
        <f t="shared" ca="1" si="88"/>
        <v>Supercritical</v>
      </c>
      <c r="AO275">
        <f ca="1">IF(V32="Supercritical",R275,AA275)</f>
        <v>482.07306851378365</v>
      </c>
    </row>
    <row r="276" spans="1:41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174</v>
      </c>
      <c r="I276">
        <v>5.7000000000000002E-2</v>
      </c>
      <c r="J276">
        <f t="shared" si="89"/>
        <v>1.0010000000000048</v>
      </c>
      <c r="K276">
        <f t="shared" si="90"/>
        <v>51</v>
      </c>
      <c r="L276">
        <f t="shared" ca="1" si="91"/>
        <v>38819.733260430075</v>
      </c>
      <c r="M276">
        <f t="shared" ca="1" si="69"/>
        <v>201862.61295423639</v>
      </c>
      <c r="N276">
        <f t="shared" ca="1" si="70"/>
        <v>2.5998258734230464</v>
      </c>
      <c r="O276">
        <f t="shared" ca="1" si="71"/>
        <v>2.5264708136697923E-4</v>
      </c>
      <c r="P276">
        <f t="shared" ca="1" si="72"/>
        <v>39452.232260430079</v>
      </c>
      <c r="Q276">
        <f t="shared" ca="1" si="73"/>
        <v>39452.232260433331</v>
      </c>
      <c r="R276">
        <f t="shared" ca="1" si="74"/>
        <v>4.0174647402731642E-12</v>
      </c>
      <c r="S276">
        <f t="shared" ca="1" si="92"/>
        <v>9.051925953826867E-4</v>
      </c>
      <c r="T276">
        <f t="shared" ca="1" si="93"/>
        <v>1</v>
      </c>
      <c r="U276">
        <f t="shared" ca="1" si="75"/>
        <v>0.05</v>
      </c>
      <c r="V276">
        <f t="shared" ca="1" si="76"/>
        <v>0.26</v>
      </c>
      <c r="W276">
        <f t="shared" ca="1" si="77"/>
        <v>4.9056603773584909E-2</v>
      </c>
      <c r="X276">
        <f t="shared" ca="1" si="78"/>
        <v>196.15384615384616</v>
      </c>
      <c r="Y276">
        <f t="shared" ca="1" si="79"/>
        <v>632.54899999999998</v>
      </c>
      <c r="Z276">
        <f t="shared" ca="1" si="80"/>
        <v>2593.6260316486623</v>
      </c>
      <c r="AA276">
        <f t="shared" ca="1" si="81"/>
        <v>482.07306851378365</v>
      </c>
      <c r="AB276">
        <f t="shared" ca="1" si="82"/>
        <v>482.08237389894202</v>
      </c>
      <c r="AC276">
        <f t="shared" ca="1" si="83"/>
        <v>0</v>
      </c>
      <c r="AD276">
        <f ca="1">IF(V32="Supercritical",L276,U276)</f>
        <v>0.05</v>
      </c>
      <c r="AE276">
        <f t="shared" ca="1" si="84"/>
        <v>632.54899999999998</v>
      </c>
      <c r="AF276">
        <f t="shared" ca="1" si="85"/>
        <v>2593.6260316486623</v>
      </c>
      <c r="AI276">
        <v>0</v>
      </c>
      <c r="AJ276">
        <v>0</v>
      </c>
      <c r="AK276">
        <f t="shared" si="86"/>
        <v>0</v>
      </c>
      <c r="AL276">
        <f t="shared" si="94"/>
        <v>0</v>
      </c>
      <c r="AM276">
        <f t="shared" ca="1" si="87"/>
        <v>280.07692026646265</v>
      </c>
      <c r="AN276" t="str">
        <f t="shared" ca="1" si="88"/>
        <v>Supercritical</v>
      </c>
      <c r="AO276">
        <f ca="1">IF(V32="Supercritical",R276,AA276)</f>
        <v>482.07306851378365</v>
      </c>
    </row>
    <row r="277" spans="1:41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174</v>
      </c>
      <c r="I277">
        <v>3.0000000000000001E-3</v>
      </c>
      <c r="J277">
        <f t="shared" si="89"/>
        <v>1</v>
      </c>
      <c r="K277">
        <f t="shared" si="90"/>
        <v>51</v>
      </c>
      <c r="L277">
        <f t="shared" ca="1" si="91"/>
        <v>38819.73310069021</v>
      </c>
      <c r="M277">
        <f t="shared" ca="1" si="69"/>
        <v>201862.61212358909</v>
      </c>
      <c r="N277">
        <f t="shared" ca="1" si="70"/>
        <v>2.5998258734223296</v>
      </c>
      <c r="O277">
        <f t="shared" ca="1" si="71"/>
        <v>2.5264708240660026E-4</v>
      </c>
      <c r="P277">
        <f t="shared" ca="1" si="72"/>
        <v>39452.231600690211</v>
      </c>
      <c r="Q277">
        <f t="shared" ca="1" si="73"/>
        <v>39452.231600693463</v>
      </c>
      <c r="R277">
        <f t="shared" ca="1" si="74"/>
        <v>4.0174647733376857E-12</v>
      </c>
      <c r="S277">
        <f t="shared" ca="1" si="92"/>
        <v>6.5973986056633294E-4</v>
      </c>
      <c r="T277">
        <f t="shared" ca="1" si="93"/>
        <v>1</v>
      </c>
      <c r="U277">
        <f t="shared" ca="1" si="75"/>
        <v>0.05</v>
      </c>
      <c r="V277">
        <f t="shared" ca="1" si="76"/>
        <v>0.26</v>
      </c>
      <c r="W277">
        <f t="shared" ca="1" si="77"/>
        <v>4.9056603773584909E-2</v>
      </c>
      <c r="X277">
        <f t="shared" ca="1" si="78"/>
        <v>196.15384615384616</v>
      </c>
      <c r="Y277">
        <f t="shared" ca="1" si="79"/>
        <v>632.54849999999999</v>
      </c>
      <c r="Z277">
        <f t="shared" ca="1" si="80"/>
        <v>2593.6255316486622</v>
      </c>
      <c r="AA277">
        <f t="shared" ca="1" si="81"/>
        <v>482.07306851378365</v>
      </c>
      <c r="AB277">
        <f t="shared" ca="1" si="82"/>
        <v>481.78660314843228</v>
      </c>
      <c r="AC277">
        <f t="shared" ca="1" si="83"/>
        <v>0</v>
      </c>
      <c r="AD277">
        <f ca="1">IF(V32="Supercritical",L277,U277)</f>
        <v>0.05</v>
      </c>
      <c r="AE277">
        <f t="shared" ca="1" si="84"/>
        <v>632.54849999999999</v>
      </c>
      <c r="AF277">
        <f t="shared" ca="1" si="85"/>
        <v>2593.6255316486622</v>
      </c>
      <c r="AI277">
        <v>0</v>
      </c>
      <c r="AJ277">
        <v>0</v>
      </c>
      <c r="AK277">
        <f t="shared" si="86"/>
        <v>0</v>
      </c>
      <c r="AL277">
        <f t="shared" si="94"/>
        <v>0</v>
      </c>
      <c r="AM277">
        <f t="shared" ca="1" si="87"/>
        <v>280.07692026646265</v>
      </c>
      <c r="AN277" t="str">
        <f t="shared" ca="1" si="88"/>
        <v>Supercritical</v>
      </c>
      <c r="AO277">
        <f ca="1">IF(V32="Supercritical",R277,AA277)</f>
        <v>482.07306851378365</v>
      </c>
    </row>
    <row r="278" spans="1:41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174</v>
      </c>
      <c r="I278">
        <v>0.06</v>
      </c>
      <c r="J278">
        <f t="shared" si="89"/>
        <v>0.99899999999999523</v>
      </c>
      <c r="K278">
        <f t="shared" si="90"/>
        <v>51</v>
      </c>
      <c r="L278">
        <f t="shared" ca="1" si="91"/>
        <v>38819.732647141653</v>
      </c>
      <c r="M278">
        <f t="shared" ref="M278:M341" ca="1" si="95">((F278)+(G278)*(L278))*(L278)</f>
        <v>201862.60976513661</v>
      </c>
      <c r="N278">
        <f t="shared" ref="N278:N341" ca="1" si="96">(((F278)+(G278)*(L278))*(L278))/MAX((F278)+2*(L278)*SQRT(1+(G278)^2),0.000001)</f>
        <v>2.5998258734202957</v>
      </c>
      <c r="O278">
        <f t="shared" ref="O278:O341" ca="1" si="97">ABS(K278)/MAX(((F278)+(G278)*(L278))*(L278),0.000001)</f>
        <v>2.5264708535839076E-4</v>
      </c>
      <c r="P278">
        <f t="shared" ref="P278:P341" ca="1" si="98">E278+L278</f>
        <v>39452.230647141652</v>
      </c>
      <c r="Q278">
        <f t="shared" ref="Q278:Q341" ca="1" si="99">P278+((ABS(K278)/MAX(((F278)+(G278)*(L278))*(L278),0.000001))^2)/(2*$I$5)</f>
        <v>39452.230647144905</v>
      </c>
      <c r="R278">
        <f t="shared" ref="R278:R341" ca="1" si="100">((ABS(K278)*$D$6)/(MAX(((F278)+(G278)*(L278))*(L278),0.000001)*MAX(((((F278)+(G278)*(L278))*(L278))/MAX((F278)+2*(L278)*SQRT(1+(G278)^2),0.000001))^(2/3),0.000001)))^2</f>
        <v>4.017464867217605E-12</v>
      </c>
      <c r="S278">
        <f t="shared" ca="1" si="92"/>
        <v>9.5354855147888884E-4</v>
      </c>
      <c r="T278">
        <f t="shared" ca="1" si="93"/>
        <v>1</v>
      </c>
      <c r="U278">
        <f t="shared" ref="U278:U341" ca="1" si="101">IF($D$20=0,U279,IF(AC279=0,U279,IF(U278=0,U279,IF(ABS(AB278)&gt;$D$19,MAX($D$16,U278+((AB278)*$D$18*IF((ABS(ABS(K278)/MAX(((F278)+(G278)*(U278))*(U278),0.000001))/SQRT($I$5*MAX((((F278)+(G278)*(U278))*(U278))/MAX((F278)+2*(G278)*(U278),0.000001),0.000001)))&lt;1,1,-1))),U278))))</f>
        <v>0.05</v>
      </c>
      <c r="V278">
        <f t="shared" ref="V278:V341" ca="1" si="102">((F278)+(G278)*(U278))*(U278)</f>
        <v>0.26</v>
      </c>
      <c r="W278">
        <f t="shared" ref="W278:W341" ca="1" si="103">(((F278)+(G278)*(U278))*(U278))/MAX((F278)+2*(U278)*SQRT(1+(G278)^2),0.000001)</f>
        <v>4.9056603773584909E-2</v>
      </c>
      <c r="X278">
        <f t="shared" ref="X278:X341" ca="1" si="104">ABS(K278)/MAX(((F278)+(G278)*(U278))*(U278),0.000001)</f>
        <v>196.15384615384616</v>
      </c>
      <c r="Y278">
        <f t="shared" ref="Y278:Y341" ca="1" si="105">E278+U278</f>
        <v>632.548</v>
      </c>
      <c r="Z278">
        <f t="shared" ref="Z278:Z341" ca="1" si="106">Y278+((ABS(K278)/MAX(((F278)+(G278)*(U278))*(U278),0.000001))^2)/(2*$I$5)</f>
        <v>2593.6250316486621</v>
      </c>
      <c r="AA278">
        <f t="shared" ref="AA278:AA341" ca="1" si="107">((ABS(K278)*$D$6)/(MAX(((F278)+(G278)*(U278))*(U278),0.000001)*MAX(((((F278)+(G278)*(U278))*(U278))/MAX((F278)+2*(U278)*SQRT(1+(G278)^2),0.000001))^(2/3),0.000001)))^2</f>
        <v>482.07306851378365</v>
      </c>
      <c r="AB278">
        <f t="shared" ref="AB278:AB341" ca="1" si="108">Z279+(((AA278+AA279)/2)*J279)+(IF(X278&gt;X279,$D$8*((X278^2-X279^2)/(2*$I$5)),$D$9*((X279^2-X278^2)/(2*$I$5)))+($D$10*(ABS(I279)/90)*(MAX(X278^2,X279^2)/(2*$I$5))))-Z278</f>
        <v>482.25887083179714</v>
      </c>
      <c r="AC278">
        <f t="shared" ref="AC278:AC341" ca="1" si="109">IF(ABS(AB278)&lt;$D$19,1,0)</f>
        <v>0</v>
      </c>
      <c r="AD278">
        <f ca="1">IF(V32="Supercritical",L278,U278)</f>
        <v>0.05</v>
      </c>
      <c r="AE278">
        <f t="shared" ref="AE278:AE341" ca="1" si="110">E278+AD278</f>
        <v>632.548</v>
      </c>
      <c r="AF278">
        <f t="shared" ref="AF278:AF341" ca="1" si="111">AE278+((ABS(K278)/MAX(((F278)+(G278)*(AD278))*(AD278),0.000001))^2)/(2*$I$5)</f>
        <v>2593.6250316486621</v>
      </c>
      <c r="AI278">
        <v>0</v>
      </c>
      <c r="AJ278">
        <v>0</v>
      </c>
      <c r="AK278">
        <f t="shared" ref="AK278:AK341" si="112">AI278+AJ278</f>
        <v>0</v>
      </c>
      <c r="AL278">
        <f t="shared" si="94"/>
        <v>0</v>
      </c>
      <c r="AM278">
        <f t="shared" ref="AM278:AM341" ca="1" si="113">ABS(ABS(K278)/MAX(((F278)+(G278)*(AD278))*(AD278),0.000001))/SQRT($I$5*MAX((((F278)+(G278)*(AD278))*(AD278))/MAX((F278)+2*(G278)*(AD278),0.000001),0.000001))</f>
        <v>280.07692026646265</v>
      </c>
      <c r="AN278" t="str">
        <f t="shared" ref="AN278:AN341" ca="1" si="114">IF(AM278&lt;1,"Subcritical","Supercritical")</f>
        <v>Supercritical</v>
      </c>
      <c r="AO278">
        <f ca="1">IF(V32="Supercritical",R278,AA278)</f>
        <v>482.07306851378365</v>
      </c>
    </row>
    <row r="279" spans="1:41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174</v>
      </c>
      <c r="I279">
        <v>5.7000000000000002E-2</v>
      </c>
      <c r="J279">
        <f t="shared" ref="J279:J342" si="115">B279-B278</f>
        <v>1.0000000000000142</v>
      </c>
      <c r="K279">
        <f t="shared" ref="K279:K342" si="116">MAX(0,K278-AK278)</f>
        <v>51</v>
      </c>
      <c r="L279">
        <f t="shared" ref="L279:L342" ca="1" si="117">IF($D$20=0,L278,IF(T278=0,L278,IF(L279=0,L278,IF(ABS(S279)&gt;$D$19,MAX($D$16,L279+((S279)*$D$18*IF((ABS(ABS(K279)/MAX(((F279)+(G279)*(L279))*(L279),0.000001))/SQRT($I$5*MAX((((F279)+(G279)*(L279))*(L279))/MAX((F279)+2*(G279)*(L279),0.000001),0.000001)))&lt;1,1,-1))),L279))))</f>
        <v>38819.732478868376</v>
      </c>
      <c r="M279">
        <f t="shared" ca="1" si="95"/>
        <v>201862.60889011557</v>
      </c>
      <c r="N279">
        <f t="shared" ca="1" si="96"/>
        <v>2.5998258734195412</v>
      </c>
      <c r="O279">
        <f t="shared" ca="1" si="97"/>
        <v>2.5264708645354912E-4</v>
      </c>
      <c r="P279">
        <f t="shared" ca="1" si="98"/>
        <v>39452.229978868374</v>
      </c>
      <c r="Q279">
        <f t="shared" ca="1" si="99"/>
        <v>39452.229978871626</v>
      </c>
      <c r="R279">
        <f t="shared" ca="1" si="100"/>
        <v>4.017464902048456E-12</v>
      </c>
      <c r="S279">
        <f t="shared" ref="S279:S342" ca="1" si="118">Q278-(((R278+R279)/2)*J279)-(IF(O278&gt;O279,$D$8*((O278^2-O279^2)/(2*$I$5)),$D$9*((O279^2-O278^2)/(2*$I$5)))+($D$10*(ABS(I279)/90)*(MAX(O278^2,O279^2)/(2*$I$5))))-Q279</f>
        <v>6.6827327100327238E-4</v>
      </c>
      <c r="T279">
        <f t="shared" ref="T279:T342" ca="1" si="119">IF(ABS(S279)&lt;$D$19,1,0)</f>
        <v>1</v>
      </c>
      <c r="U279">
        <f t="shared" ca="1" si="101"/>
        <v>0.05</v>
      </c>
      <c r="V279">
        <f t="shared" ca="1" si="102"/>
        <v>0.26</v>
      </c>
      <c r="W279">
        <f t="shared" ca="1" si="103"/>
        <v>4.9056603773584909E-2</v>
      </c>
      <c r="X279">
        <f t="shared" ca="1" si="104"/>
        <v>196.15384615384616</v>
      </c>
      <c r="Y279">
        <f t="shared" ca="1" si="105"/>
        <v>632.5474999999999</v>
      </c>
      <c r="Z279">
        <f t="shared" ca="1" si="106"/>
        <v>2593.624531648662</v>
      </c>
      <c r="AA279">
        <f t="shared" ca="1" si="107"/>
        <v>482.07306851378365</v>
      </c>
      <c r="AB279">
        <f t="shared" ca="1" si="108"/>
        <v>482.25887083179032</v>
      </c>
      <c r="AC279">
        <f t="shared" ca="1" si="109"/>
        <v>0</v>
      </c>
      <c r="AD279">
        <f ca="1">IF(V32="Supercritical",L279,U279)</f>
        <v>0.05</v>
      </c>
      <c r="AE279">
        <f t="shared" ca="1" si="110"/>
        <v>632.5474999999999</v>
      </c>
      <c r="AF279">
        <f t="shared" ca="1" si="111"/>
        <v>2593.624531648662</v>
      </c>
      <c r="AI279">
        <v>0</v>
      </c>
      <c r="AJ279">
        <v>0</v>
      </c>
      <c r="AK279">
        <f t="shared" si="112"/>
        <v>0</v>
      </c>
      <c r="AL279">
        <f t="shared" ref="AL279:AL342" si="120">AL278+AK279</f>
        <v>0</v>
      </c>
      <c r="AM279">
        <f t="shared" ca="1" si="113"/>
        <v>280.07692026646265</v>
      </c>
      <c r="AN279" t="str">
        <f t="shared" ca="1" si="114"/>
        <v>Supercritical</v>
      </c>
      <c r="AO279">
        <f ca="1">IF(V32="Supercritical",R279,AA279)</f>
        <v>482.07306851378365</v>
      </c>
    </row>
    <row r="280" spans="1:41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174</v>
      </c>
      <c r="I280">
        <v>5.7000000000000002E-2</v>
      </c>
      <c r="J280">
        <f t="shared" si="115"/>
        <v>1</v>
      </c>
      <c r="K280">
        <f t="shared" si="116"/>
        <v>51</v>
      </c>
      <c r="L280">
        <f t="shared" ca="1" si="117"/>
        <v>38819.732112194717</v>
      </c>
      <c r="M280">
        <f t="shared" ca="1" si="95"/>
        <v>201862.60698341252</v>
      </c>
      <c r="N280">
        <f t="shared" ca="1" si="96"/>
        <v>2.5998258734178963</v>
      </c>
      <c r="O280">
        <f t="shared" ca="1" si="97"/>
        <v>2.5264708883993942E-4</v>
      </c>
      <c r="P280">
        <f t="shared" ca="1" si="98"/>
        <v>39452.22911219472</v>
      </c>
      <c r="Q280">
        <f t="shared" ca="1" si="99"/>
        <v>39452.229112197972</v>
      </c>
      <c r="R280">
        <f t="shared" ca="1" si="100"/>
        <v>4.0174649779461659E-12</v>
      </c>
      <c r="S280">
        <f t="shared" ca="1" si="118"/>
        <v>8.6667364666936919E-4</v>
      </c>
      <c r="T280">
        <f t="shared" ca="1" si="119"/>
        <v>1</v>
      </c>
      <c r="U280">
        <f t="shared" ca="1" si="101"/>
        <v>0.05</v>
      </c>
      <c r="V280">
        <f t="shared" ca="1" si="102"/>
        <v>0.26</v>
      </c>
      <c r="W280">
        <f t="shared" ca="1" si="103"/>
        <v>4.9056603773584909E-2</v>
      </c>
      <c r="X280">
        <f t="shared" ca="1" si="104"/>
        <v>196.15384615384616</v>
      </c>
      <c r="Y280">
        <f t="shared" ca="1" si="105"/>
        <v>632.54699999999991</v>
      </c>
      <c r="Z280">
        <f t="shared" ca="1" si="106"/>
        <v>2593.6240316486619</v>
      </c>
      <c r="AA280">
        <f t="shared" ca="1" si="107"/>
        <v>482.07306851378365</v>
      </c>
      <c r="AB280">
        <f t="shared" ca="1" si="108"/>
        <v>482.25887083179032</v>
      </c>
      <c r="AC280">
        <f t="shared" ca="1" si="109"/>
        <v>0</v>
      </c>
      <c r="AD280">
        <f ca="1">IF(V32="Supercritical",L280,U280)</f>
        <v>0.05</v>
      </c>
      <c r="AE280">
        <f t="shared" ca="1" si="110"/>
        <v>632.54699999999991</v>
      </c>
      <c r="AF280">
        <f t="shared" ca="1" si="111"/>
        <v>2593.6240316486619</v>
      </c>
      <c r="AI280">
        <v>0</v>
      </c>
      <c r="AJ280">
        <v>0</v>
      </c>
      <c r="AK280">
        <f t="shared" si="112"/>
        <v>0</v>
      </c>
      <c r="AL280">
        <f t="shared" si="120"/>
        <v>0</v>
      </c>
      <c r="AM280">
        <f t="shared" ca="1" si="113"/>
        <v>280.07692026646265</v>
      </c>
      <c r="AN280" t="str">
        <f t="shared" ca="1" si="114"/>
        <v>Supercritical</v>
      </c>
      <c r="AO280">
        <f ca="1">IF(V32="Supercritical",R280,AA280)</f>
        <v>482.07306851378365</v>
      </c>
    </row>
    <row r="281" spans="1:41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174</v>
      </c>
      <c r="I281">
        <v>5.7000000000000002E-2</v>
      </c>
      <c r="J281">
        <f t="shared" si="115"/>
        <v>1</v>
      </c>
      <c r="K281">
        <f t="shared" si="116"/>
        <v>51</v>
      </c>
      <c r="L281">
        <f t="shared" ca="1" si="117"/>
        <v>38819.731959252313</v>
      </c>
      <c r="M281">
        <f t="shared" ca="1" si="95"/>
        <v>201862.60618811203</v>
      </c>
      <c r="N281">
        <f t="shared" ca="1" si="96"/>
        <v>2.5998258734172102</v>
      </c>
      <c r="O281">
        <f t="shared" ca="1" si="97"/>
        <v>2.526470898353212E-4</v>
      </c>
      <c r="P281">
        <f t="shared" ca="1" si="98"/>
        <v>39452.228459252314</v>
      </c>
      <c r="Q281">
        <f t="shared" ca="1" si="99"/>
        <v>39452.228459255566</v>
      </c>
      <c r="R281">
        <f t="shared" ca="1" si="100"/>
        <v>4.0174650096036846E-12</v>
      </c>
      <c r="S281">
        <f t="shared" ca="1" si="118"/>
        <v>6.5294239902868867E-4</v>
      </c>
      <c r="T281">
        <f t="shared" ca="1" si="119"/>
        <v>1</v>
      </c>
      <c r="U281">
        <f t="shared" ca="1" si="101"/>
        <v>0.05</v>
      </c>
      <c r="V281">
        <f t="shared" ca="1" si="102"/>
        <v>0.26</v>
      </c>
      <c r="W281">
        <f t="shared" ca="1" si="103"/>
        <v>4.9056603773584909E-2</v>
      </c>
      <c r="X281">
        <f t="shared" ca="1" si="104"/>
        <v>196.15384615384616</v>
      </c>
      <c r="Y281">
        <f t="shared" ca="1" si="105"/>
        <v>632.54649999999992</v>
      </c>
      <c r="Z281">
        <f t="shared" ca="1" si="106"/>
        <v>2593.6235316486618</v>
      </c>
      <c r="AA281">
        <f t="shared" ca="1" si="107"/>
        <v>482.07306851378365</v>
      </c>
      <c r="AB281">
        <f t="shared" ca="1" si="108"/>
        <v>482.07256851378406</v>
      </c>
      <c r="AC281">
        <f t="shared" ca="1" si="109"/>
        <v>0</v>
      </c>
      <c r="AD281">
        <f ca="1">IF(V32="Supercritical",L281,U281)</f>
        <v>0.05</v>
      </c>
      <c r="AE281">
        <f t="shared" ca="1" si="110"/>
        <v>632.54649999999992</v>
      </c>
      <c r="AF281">
        <f t="shared" ca="1" si="111"/>
        <v>2593.6235316486618</v>
      </c>
      <c r="AI281">
        <v>0</v>
      </c>
      <c r="AJ281">
        <v>0</v>
      </c>
      <c r="AK281">
        <f t="shared" si="112"/>
        <v>0</v>
      </c>
      <c r="AL281">
        <f t="shared" si="120"/>
        <v>0</v>
      </c>
      <c r="AM281">
        <f t="shared" ca="1" si="113"/>
        <v>280.07692026646265</v>
      </c>
      <c r="AN281" t="str">
        <f t="shared" ca="1" si="114"/>
        <v>Supercritical</v>
      </c>
      <c r="AO281">
        <f ca="1">IF(V32="Supercritical",R281,AA281)</f>
        <v>482.07306851378365</v>
      </c>
    </row>
    <row r="282" spans="1:41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174</v>
      </c>
      <c r="I282">
        <v>0</v>
      </c>
      <c r="J282">
        <f t="shared" si="115"/>
        <v>1</v>
      </c>
      <c r="K282">
        <f t="shared" si="116"/>
        <v>51</v>
      </c>
      <c r="L282">
        <f t="shared" ca="1" si="117"/>
        <v>38819.73158116643</v>
      </c>
      <c r="M282">
        <f t="shared" ca="1" si="95"/>
        <v>201862.60422206545</v>
      </c>
      <c r="N282">
        <f t="shared" ca="1" si="96"/>
        <v>2.5998258734155146</v>
      </c>
      <c r="O282">
        <f t="shared" ca="1" si="97"/>
        <v>2.5264709229598471E-4</v>
      </c>
      <c r="P282">
        <f t="shared" ca="1" si="98"/>
        <v>39452.227581166429</v>
      </c>
      <c r="Q282">
        <f t="shared" ca="1" si="99"/>
        <v>39452.227581169682</v>
      </c>
      <c r="R282">
        <f t="shared" ca="1" si="100"/>
        <v>4.0174650878636059E-12</v>
      </c>
      <c r="S282">
        <f t="shared" ca="1" si="118"/>
        <v>8.7808587704785168E-4</v>
      </c>
      <c r="T282">
        <f t="shared" ca="1" si="119"/>
        <v>1</v>
      </c>
      <c r="U282">
        <f t="shared" ca="1" si="101"/>
        <v>0.05</v>
      </c>
      <c r="V282">
        <f t="shared" ca="1" si="102"/>
        <v>0.26</v>
      </c>
      <c r="W282">
        <f t="shared" ca="1" si="103"/>
        <v>4.9056603773584909E-2</v>
      </c>
      <c r="X282">
        <f t="shared" ca="1" si="104"/>
        <v>196.15384615384616</v>
      </c>
      <c r="Y282">
        <f t="shared" ca="1" si="105"/>
        <v>632.54599999999994</v>
      </c>
      <c r="Z282">
        <f t="shared" ca="1" si="106"/>
        <v>2593.6230316486622</v>
      </c>
      <c r="AA282">
        <f t="shared" ca="1" si="107"/>
        <v>482.07306851378365</v>
      </c>
      <c r="AB282">
        <f t="shared" ca="1" si="108"/>
        <v>482.74094390030632</v>
      </c>
      <c r="AC282">
        <f t="shared" ca="1" si="109"/>
        <v>0</v>
      </c>
      <c r="AD282">
        <f ca="1">IF(V32="Supercritical",L282,U282)</f>
        <v>0.05</v>
      </c>
      <c r="AE282">
        <f t="shared" ca="1" si="110"/>
        <v>632.54599999999994</v>
      </c>
      <c r="AF282">
        <f t="shared" ca="1" si="111"/>
        <v>2593.6230316486622</v>
      </c>
      <c r="AI282">
        <v>0</v>
      </c>
      <c r="AJ282">
        <v>0</v>
      </c>
      <c r="AK282">
        <f t="shared" si="112"/>
        <v>0</v>
      </c>
      <c r="AL282">
        <f t="shared" si="120"/>
        <v>0</v>
      </c>
      <c r="AM282">
        <f t="shared" ca="1" si="113"/>
        <v>280.07692026646265</v>
      </c>
      <c r="AN282" t="str">
        <f t="shared" ca="1" si="114"/>
        <v>Supercritical</v>
      </c>
      <c r="AO282">
        <f ca="1">IF(V32="Supercritical",R282,AA282)</f>
        <v>482.07306851378365</v>
      </c>
    </row>
    <row r="283" spans="1:41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174</v>
      </c>
      <c r="I283">
        <v>5.7000000000000002E-2</v>
      </c>
      <c r="J283">
        <f t="shared" si="115"/>
        <v>1.0010000000000048</v>
      </c>
      <c r="K283">
        <f t="shared" si="116"/>
        <v>51</v>
      </c>
      <c r="L283">
        <f t="shared" ca="1" si="117"/>
        <v>38819.731426210099</v>
      </c>
      <c r="M283">
        <f t="shared" ca="1" si="95"/>
        <v>201862.60341629252</v>
      </c>
      <c r="N283">
        <f t="shared" ca="1" si="96"/>
        <v>2.5998258734148196</v>
      </c>
      <c r="O283">
        <f t="shared" ca="1" si="97"/>
        <v>2.5264709330447357E-4</v>
      </c>
      <c r="P283">
        <f t="shared" ca="1" si="98"/>
        <v>39452.226926210096</v>
      </c>
      <c r="Q283">
        <f t="shared" ca="1" si="99"/>
        <v>39452.226926213349</v>
      </c>
      <c r="R283">
        <f t="shared" ca="1" si="100"/>
        <v>4.0174651199379881E-12</v>
      </c>
      <c r="S283">
        <f t="shared" ca="1" si="118"/>
        <v>6.5495632588863373E-4</v>
      </c>
      <c r="T283">
        <f t="shared" ca="1" si="119"/>
        <v>1</v>
      </c>
      <c r="U283">
        <f t="shared" ca="1" si="101"/>
        <v>0.05</v>
      </c>
      <c r="V283">
        <f t="shared" ca="1" si="102"/>
        <v>0.26</v>
      </c>
      <c r="W283">
        <f t="shared" ca="1" si="103"/>
        <v>4.9056603773584909E-2</v>
      </c>
      <c r="X283">
        <f t="shared" ca="1" si="104"/>
        <v>196.15384615384616</v>
      </c>
      <c r="Y283">
        <f t="shared" ca="1" si="105"/>
        <v>632.54549999999995</v>
      </c>
      <c r="Z283">
        <f t="shared" ca="1" si="106"/>
        <v>2593.6225316486621</v>
      </c>
      <c r="AA283">
        <f t="shared" ca="1" si="107"/>
        <v>482.07306851378365</v>
      </c>
      <c r="AB283">
        <f t="shared" ca="1" si="108"/>
        <v>482.26867621694828</v>
      </c>
      <c r="AC283">
        <f t="shared" ca="1" si="109"/>
        <v>0</v>
      </c>
      <c r="AD283">
        <f ca="1">IF(V32="Supercritical",L283,U283)</f>
        <v>0.05</v>
      </c>
      <c r="AE283">
        <f t="shared" ca="1" si="110"/>
        <v>632.54549999999995</v>
      </c>
      <c r="AF283">
        <f t="shared" ca="1" si="111"/>
        <v>2593.6225316486621</v>
      </c>
      <c r="AI283">
        <v>0</v>
      </c>
      <c r="AJ283">
        <v>0</v>
      </c>
      <c r="AK283">
        <f t="shared" si="112"/>
        <v>0</v>
      </c>
      <c r="AL283">
        <f t="shared" si="120"/>
        <v>0</v>
      </c>
      <c r="AM283">
        <f t="shared" ca="1" si="113"/>
        <v>280.07692026646265</v>
      </c>
      <c r="AN283" t="str">
        <f t="shared" ca="1" si="114"/>
        <v>Supercritical</v>
      </c>
      <c r="AO283">
        <f ca="1">IF(V32="Supercritical",R283,AA283)</f>
        <v>482.07306851378365</v>
      </c>
    </row>
    <row r="284" spans="1:41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174</v>
      </c>
      <c r="I284">
        <v>0.06</v>
      </c>
      <c r="J284">
        <f t="shared" si="115"/>
        <v>1</v>
      </c>
      <c r="K284">
        <f t="shared" si="116"/>
        <v>51</v>
      </c>
      <c r="L284">
        <f t="shared" ca="1" si="117"/>
        <v>38819.731006416267</v>
      </c>
      <c r="M284">
        <f t="shared" ca="1" si="95"/>
        <v>201862.60123336461</v>
      </c>
      <c r="N284">
        <f t="shared" ca="1" si="96"/>
        <v>2.5998258734129367</v>
      </c>
      <c r="O284">
        <f t="shared" ca="1" si="97"/>
        <v>2.5264709603658141E-4</v>
      </c>
      <c r="P284">
        <f t="shared" ca="1" si="98"/>
        <v>39452.226006416269</v>
      </c>
      <c r="Q284">
        <f t="shared" ca="1" si="99"/>
        <v>39452.226006419522</v>
      </c>
      <c r="R284">
        <f t="shared" ca="1" si="100"/>
        <v>4.0174652068310375E-12</v>
      </c>
      <c r="S284">
        <f t="shared" ca="1" si="118"/>
        <v>9.1979381977580488E-4</v>
      </c>
      <c r="T284">
        <f t="shared" ca="1" si="119"/>
        <v>1</v>
      </c>
      <c r="U284">
        <f t="shared" ca="1" si="101"/>
        <v>0.05</v>
      </c>
      <c r="V284">
        <f t="shared" ca="1" si="102"/>
        <v>0.26</v>
      </c>
      <c r="W284">
        <f t="shared" ca="1" si="103"/>
        <v>4.9056603773584909E-2</v>
      </c>
      <c r="X284">
        <f t="shared" ca="1" si="104"/>
        <v>196.15384615384616</v>
      </c>
      <c r="Y284">
        <f t="shared" ca="1" si="105"/>
        <v>632.54499999999996</v>
      </c>
      <c r="Z284">
        <f t="shared" ca="1" si="106"/>
        <v>2593.622031648662</v>
      </c>
      <c r="AA284">
        <f t="shared" ca="1" si="107"/>
        <v>482.07306851378365</v>
      </c>
      <c r="AB284">
        <f t="shared" ca="1" si="108"/>
        <v>481.78660314843273</v>
      </c>
      <c r="AC284">
        <f t="shared" ca="1" si="109"/>
        <v>0</v>
      </c>
      <c r="AD284">
        <f ca="1">IF(V32="Supercritical",L284,U284)</f>
        <v>0.05</v>
      </c>
      <c r="AE284">
        <f t="shared" ca="1" si="110"/>
        <v>632.54499999999996</v>
      </c>
      <c r="AF284">
        <f t="shared" ca="1" si="111"/>
        <v>2593.622031648662</v>
      </c>
      <c r="AI284">
        <v>0</v>
      </c>
      <c r="AJ284">
        <v>0</v>
      </c>
      <c r="AK284">
        <f t="shared" si="112"/>
        <v>0</v>
      </c>
      <c r="AL284">
        <f t="shared" si="120"/>
        <v>0</v>
      </c>
      <c r="AM284">
        <f t="shared" ca="1" si="113"/>
        <v>280.07692026646265</v>
      </c>
      <c r="AN284" t="str">
        <f t="shared" ca="1" si="114"/>
        <v>Supercritical</v>
      </c>
      <c r="AO284">
        <f ca="1">IF(V32="Supercritical",R284,AA284)</f>
        <v>482.07306851378365</v>
      </c>
    </row>
    <row r="285" spans="1:41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174</v>
      </c>
      <c r="I285">
        <v>0.06</v>
      </c>
      <c r="J285">
        <f t="shared" si="115"/>
        <v>0.99899999999999523</v>
      </c>
      <c r="K285">
        <f t="shared" si="116"/>
        <v>51</v>
      </c>
      <c r="L285">
        <f t="shared" ca="1" si="117"/>
        <v>38819.730844099708</v>
      </c>
      <c r="M285">
        <f t="shared" ca="1" si="95"/>
        <v>201862.60038931848</v>
      </c>
      <c r="N285">
        <f t="shared" ca="1" si="96"/>
        <v>2.5998258734122084</v>
      </c>
      <c r="O285">
        <f t="shared" ca="1" si="97"/>
        <v>2.5264709709297222E-4</v>
      </c>
      <c r="P285">
        <f t="shared" ca="1" si="98"/>
        <v>39452.225344099708</v>
      </c>
      <c r="Q285">
        <f t="shared" ca="1" si="99"/>
        <v>39452.225344102961</v>
      </c>
      <c r="R285">
        <f t="shared" ca="1" si="100"/>
        <v>4.0174652404289136E-12</v>
      </c>
      <c r="S285">
        <f t="shared" ca="1" si="118"/>
        <v>6.6231655364390463E-4</v>
      </c>
      <c r="T285">
        <f t="shared" ca="1" si="119"/>
        <v>1</v>
      </c>
      <c r="U285">
        <f t="shared" ca="1" si="101"/>
        <v>0.05</v>
      </c>
      <c r="V285">
        <f t="shared" ca="1" si="102"/>
        <v>0.26</v>
      </c>
      <c r="W285">
        <f t="shared" ca="1" si="103"/>
        <v>4.9056603773584909E-2</v>
      </c>
      <c r="X285">
        <f t="shared" ca="1" si="104"/>
        <v>196.15384615384616</v>
      </c>
      <c r="Y285">
        <f t="shared" ca="1" si="105"/>
        <v>632.54449999999997</v>
      </c>
      <c r="Z285">
        <f t="shared" ca="1" si="106"/>
        <v>2593.6215316486623</v>
      </c>
      <c r="AA285">
        <f t="shared" ca="1" si="107"/>
        <v>482.07306851378365</v>
      </c>
      <c r="AB285">
        <f t="shared" ca="1" si="108"/>
        <v>482.25887083179032</v>
      </c>
      <c r="AC285">
        <f t="shared" ca="1" si="109"/>
        <v>0</v>
      </c>
      <c r="AD285">
        <f ca="1">IF(V32="Supercritical",L285,U285)</f>
        <v>0.05</v>
      </c>
      <c r="AE285">
        <f t="shared" ca="1" si="110"/>
        <v>632.54449999999997</v>
      </c>
      <c r="AF285">
        <f t="shared" ca="1" si="111"/>
        <v>2593.6215316486623</v>
      </c>
      <c r="AI285">
        <v>0</v>
      </c>
      <c r="AJ285">
        <v>0</v>
      </c>
      <c r="AK285">
        <f t="shared" si="112"/>
        <v>0</v>
      </c>
      <c r="AL285">
        <f t="shared" si="120"/>
        <v>0</v>
      </c>
      <c r="AM285">
        <f t="shared" ca="1" si="113"/>
        <v>280.07692026646265</v>
      </c>
      <c r="AN285" t="str">
        <f t="shared" ca="1" si="114"/>
        <v>Supercritical</v>
      </c>
      <c r="AO285">
        <f ca="1">IF(V32="Supercritical",R285,AA285)</f>
        <v>482.07306851378365</v>
      </c>
    </row>
    <row r="286" spans="1:41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174</v>
      </c>
      <c r="I286">
        <v>5.7000000000000002E-2</v>
      </c>
      <c r="J286">
        <f t="shared" si="115"/>
        <v>1</v>
      </c>
      <c r="K286">
        <f t="shared" si="116"/>
        <v>51</v>
      </c>
      <c r="L286">
        <f t="shared" ca="1" si="117"/>
        <v>38819.730365072101</v>
      </c>
      <c r="M286">
        <f t="shared" ca="1" si="95"/>
        <v>201862.59789837492</v>
      </c>
      <c r="N286">
        <f t="shared" ca="1" si="96"/>
        <v>2.5998258734100599</v>
      </c>
      <c r="O286">
        <f t="shared" ca="1" si="97"/>
        <v>2.5264710021058624E-4</v>
      </c>
      <c r="P286">
        <f t="shared" ca="1" si="98"/>
        <v>39452.224365072099</v>
      </c>
      <c r="Q286">
        <f t="shared" ca="1" si="99"/>
        <v>39452.224365075352</v>
      </c>
      <c r="R286">
        <f t="shared" ca="1" si="100"/>
        <v>4.0174653395827555E-12</v>
      </c>
      <c r="S286">
        <f t="shared" ca="1" si="118"/>
        <v>9.7902760171564296E-4</v>
      </c>
      <c r="T286">
        <f t="shared" ca="1" si="119"/>
        <v>1</v>
      </c>
      <c r="U286">
        <f t="shared" ca="1" si="101"/>
        <v>0.05</v>
      </c>
      <c r="V286">
        <f t="shared" ca="1" si="102"/>
        <v>0.26</v>
      </c>
      <c r="W286">
        <f t="shared" ca="1" si="103"/>
        <v>4.9056603773584909E-2</v>
      </c>
      <c r="X286">
        <f t="shared" ca="1" si="104"/>
        <v>196.15384615384616</v>
      </c>
      <c r="Y286">
        <f t="shared" ca="1" si="105"/>
        <v>632.54399999999998</v>
      </c>
      <c r="Z286">
        <f t="shared" ca="1" si="106"/>
        <v>2593.6210316486622</v>
      </c>
      <c r="AA286">
        <f t="shared" ca="1" si="107"/>
        <v>482.07306851378365</v>
      </c>
      <c r="AB286">
        <f t="shared" ca="1" si="108"/>
        <v>482.07256851378361</v>
      </c>
      <c r="AC286">
        <f t="shared" ca="1" si="109"/>
        <v>0</v>
      </c>
      <c r="AD286">
        <f ca="1">IF(V32="Supercritical",L286,U286)</f>
        <v>0.05</v>
      </c>
      <c r="AE286">
        <f t="shared" ca="1" si="110"/>
        <v>632.54399999999998</v>
      </c>
      <c r="AF286">
        <f t="shared" ca="1" si="111"/>
        <v>2593.6210316486622</v>
      </c>
      <c r="AI286">
        <v>0</v>
      </c>
      <c r="AJ286">
        <v>0</v>
      </c>
      <c r="AK286">
        <f t="shared" si="112"/>
        <v>0</v>
      </c>
      <c r="AL286">
        <f t="shared" si="120"/>
        <v>0</v>
      </c>
      <c r="AM286">
        <f t="shared" ca="1" si="113"/>
        <v>280.07692026646265</v>
      </c>
      <c r="AN286" t="str">
        <f t="shared" ca="1" si="114"/>
        <v>Supercritical</v>
      </c>
      <c r="AO286">
        <f ca="1">IF(V32="Supercritical",R286,AA286)</f>
        <v>482.07306851378365</v>
      </c>
    </row>
    <row r="287" spans="1:41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174</v>
      </c>
      <c r="I287">
        <v>0</v>
      </c>
      <c r="J287">
        <f t="shared" si="115"/>
        <v>1</v>
      </c>
      <c r="K287">
        <f t="shared" si="116"/>
        <v>51</v>
      </c>
      <c r="L287">
        <f t="shared" ca="1" si="117"/>
        <v>38819.730192302522</v>
      </c>
      <c r="M287">
        <f t="shared" ca="1" si="95"/>
        <v>201862.59699997312</v>
      </c>
      <c r="N287">
        <f t="shared" ca="1" si="96"/>
        <v>2.5998258734092849</v>
      </c>
      <c r="O287">
        <f t="shared" ca="1" si="97"/>
        <v>2.5264710133500755E-4</v>
      </c>
      <c r="P287">
        <f t="shared" ca="1" si="98"/>
        <v>39452.223692302519</v>
      </c>
      <c r="Q287">
        <f t="shared" ca="1" si="99"/>
        <v>39452.223692305772</v>
      </c>
      <c r="R287">
        <f t="shared" ca="1" si="100"/>
        <v>4.017465375344301E-12</v>
      </c>
      <c r="S287">
        <f t="shared" ca="1" si="118"/>
        <v>6.7276957270223647E-4</v>
      </c>
      <c r="T287">
        <f t="shared" ca="1" si="119"/>
        <v>1</v>
      </c>
      <c r="U287">
        <f t="shared" ca="1" si="101"/>
        <v>0.05</v>
      </c>
      <c r="V287">
        <f t="shared" ca="1" si="102"/>
        <v>0.26</v>
      </c>
      <c r="W287">
        <f t="shared" ca="1" si="103"/>
        <v>4.9056603773584909E-2</v>
      </c>
      <c r="X287">
        <f t="shared" ca="1" si="104"/>
        <v>196.15384615384616</v>
      </c>
      <c r="Y287">
        <f t="shared" ca="1" si="105"/>
        <v>632.54349999999999</v>
      </c>
      <c r="Z287">
        <f t="shared" ca="1" si="106"/>
        <v>2593.6205316486621</v>
      </c>
      <c r="AA287">
        <f t="shared" ca="1" si="107"/>
        <v>482.07306851378365</v>
      </c>
      <c r="AB287">
        <f t="shared" ca="1" si="108"/>
        <v>482.25887083179032</v>
      </c>
      <c r="AC287">
        <f t="shared" ca="1" si="109"/>
        <v>0</v>
      </c>
      <c r="AD287">
        <f ca="1">IF(V32="Supercritical",L287,U287)</f>
        <v>0.05</v>
      </c>
      <c r="AE287">
        <f t="shared" ca="1" si="110"/>
        <v>632.54349999999999</v>
      </c>
      <c r="AF287">
        <f t="shared" ca="1" si="111"/>
        <v>2593.6205316486621</v>
      </c>
      <c r="AI287">
        <v>0</v>
      </c>
      <c r="AJ287">
        <v>0</v>
      </c>
      <c r="AK287">
        <f t="shared" si="112"/>
        <v>0</v>
      </c>
      <c r="AL287">
        <f t="shared" si="120"/>
        <v>0</v>
      </c>
      <c r="AM287">
        <f t="shared" ca="1" si="113"/>
        <v>280.07692026646265</v>
      </c>
      <c r="AN287" t="str">
        <f t="shared" ca="1" si="114"/>
        <v>Supercritical</v>
      </c>
      <c r="AO287">
        <f ca="1">IF(V32="Supercritical",R287,AA287)</f>
        <v>482.07306851378365</v>
      </c>
    </row>
    <row r="288" spans="1:41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174</v>
      </c>
      <c r="I288">
        <v>5.7000000000000002E-2</v>
      </c>
      <c r="J288">
        <f t="shared" si="115"/>
        <v>1</v>
      </c>
      <c r="K288">
        <f t="shared" si="116"/>
        <v>51</v>
      </c>
      <c r="L288">
        <f t="shared" ca="1" si="117"/>
        <v>38819.729798847889</v>
      </c>
      <c r="M288">
        <f t="shared" ca="1" si="95"/>
        <v>201862.59495400902</v>
      </c>
      <c r="N288">
        <f t="shared" ca="1" si="96"/>
        <v>2.5998258734075201</v>
      </c>
      <c r="O288">
        <f t="shared" ca="1" si="97"/>
        <v>2.5264710389569445E-4</v>
      </c>
      <c r="P288">
        <f t="shared" ca="1" si="98"/>
        <v>39452.222798847892</v>
      </c>
      <c r="Q288">
        <f t="shared" ca="1" si="99"/>
        <v>39452.222798851144</v>
      </c>
      <c r="R288">
        <f t="shared" ca="1" si="100"/>
        <v>4.0174654567854111E-12</v>
      </c>
      <c r="S288">
        <f t="shared" ca="1" si="118"/>
        <v>8.9345462038181722E-4</v>
      </c>
      <c r="T288">
        <f t="shared" ca="1" si="119"/>
        <v>1</v>
      </c>
      <c r="U288">
        <f t="shared" ca="1" si="101"/>
        <v>0.05</v>
      </c>
      <c r="V288">
        <f t="shared" ca="1" si="102"/>
        <v>0.26</v>
      </c>
      <c r="W288">
        <f t="shared" ca="1" si="103"/>
        <v>4.9056603773584909E-2</v>
      </c>
      <c r="X288">
        <f t="shared" ca="1" si="104"/>
        <v>196.15384615384616</v>
      </c>
      <c r="Y288">
        <f t="shared" ca="1" si="105"/>
        <v>632.54300000000001</v>
      </c>
      <c r="Z288">
        <f t="shared" ca="1" si="106"/>
        <v>2593.620031648662</v>
      </c>
      <c r="AA288">
        <f t="shared" ca="1" si="107"/>
        <v>482.07306851378365</v>
      </c>
      <c r="AB288">
        <f t="shared" ca="1" si="108"/>
        <v>482.25887083179032</v>
      </c>
      <c r="AC288">
        <f t="shared" ca="1" si="109"/>
        <v>0</v>
      </c>
      <c r="AD288">
        <f ca="1">IF(V32="Supercritical",L288,U288)</f>
        <v>0.05</v>
      </c>
      <c r="AE288">
        <f t="shared" ca="1" si="110"/>
        <v>632.54300000000001</v>
      </c>
      <c r="AF288">
        <f t="shared" ca="1" si="111"/>
        <v>2593.620031648662</v>
      </c>
      <c r="AI288">
        <v>0</v>
      </c>
      <c r="AJ288">
        <v>0</v>
      </c>
      <c r="AK288">
        <f t="shared" si="112"/>
        <v>0</v>
      </c>
      <c r="AL288">
        <f t="shared" si="120"/>
        <v>0</v>
      </c>
      <c r="AM288">
        <f t="shared" ca="1" si="113"/>
        <v>280.07692026646265</v>
      </c>
      <c r="AN288" t="str">
        <f t="shared" ca="1" si="114"/>
        <v>Supercritical</v>
      </c>
      <c r="AO288">
        <f ca="1">IF(V32="Supercritical",R288,AA288)</f>
        <v>482.07306851378365</v>
      </c>
    </row>
    <row r="289" spans="1:41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174</v>
      </c>
      <c r="I289">
        <v>5.7000000000000002E-2</v>
      </c>
      <c r="J289">
        <f t="shared" si="115"/>
        <v>1</v>
      </c>
      <c r="K289">
        <f t="shared" si="116"/>
        <v>51</v>
      </c>
      <c r="L289">
        <f t="shared" ca="1" si="117"/>
        <v>38819.72964117943</v>
      </c>
      <c r="M289">
        <f t="shared" ca="1" si="95"/>
        <v>201862.59413413305</v>
      </c>
      <c r="N289">
        <f t="shared" ca="1" si="96"/>
        <v>2.5998258734068131</v>
      </c>
      <c r="O289">
        <f t="shared" ca="1" si="97"/>
        <v>2.5264710492183445E-4</v>
      </c>
      <c r="P289">
        <f t="shared" ca="1" si="98"/>
        <v>39452.222141179431</v>
      </c>
      <c r="Q289">
        <f t="shared" ca="1" si="99"/>
        <v>39452.222141182683</v>
      </c>
      <c r="R289">
        <f t="shared" ca="1" si="100"/>
        <v>4.0174654894211816E-12</v>
      </c>
      <c r="S289">
        <f t="shared" ca="1" si="118"/>
        <v>6.5766845364123583E-4</v>
      </c>
      <c r="T289">
        <f t="shared" ca="1" si="119"/>
        <v>1</v>
      </c>
      <c r="U289">
        <f t="shared" ca="1" si="101"/>
        <v>0.05</v>
      </c>
      <c r="V289">
        <f t="shared" ca="1" si="102"/>
        <v>0.26</v>
      </c>
      <c r="W289">
        <f t="shared" ca="1" si="103"/>
        <v>4.9056603773584909E-2</v>
      </c>
      <c r="X289">
        <f t="shared" ca="1" si="104"/>
        <v>196.15384615384616</v>
      </c>
      <c r="Y289">
        <f t="shared" ca="1" si="105"/>
        <v>632.5424999999999</v>
      </c>
      <c r="Z289">
        <f t="shared" ca="1" si="106"/>
        <v>2593.6195316486619</v>
      </c>
      <c r="AA289">
        <f t="shared" ca="1" si="107"/>
        <v>482.07306851378365</v>
      </c>
      <c r="AB289">
        <f t="shared" ca="1" si="108"/>
        <v>482.07256851378361</v>
      </c>
      <c r="AC289">
        <f t="shared" ca="1" si="109"/>
        <v>0</v>
      </c>
      <c r="AD289">
        <f ca="1">IF(V32="Supercritical",L289,U289)</f>
        <v>0.05</v>
      </c>
      <c r="AE289">
        <f t="shared" ca="1" si="110"/>
        <v>632.5424999999999</v>
      </c>
      <c r="AF289">
        <f t="shared" ca="1" si="111"/>
        <v>2593.6195316486619</v>
      </c>
      <c r="AI289">
        <v>0</v>
      </c>
      <c r="AJ289">
        <v>0</v>
      </c>
      <c r="AK289">
        <f t="shared" si="112"/>
        <v>0</v>
      </c>
      <c r="AL289">
        <f t="shared" si="120"/>
        <v>0</v>
      </c>
      <c r="AM289">
        <f t="shared" ca="1" si="113"/>
        <v>280.07692026646265</v>
      </c>
      <c r="AN289" t="str">
        <f t="shared" ca="1" si="114"/>
        <v>Supercritical</v>
      </c>
      <c r="AO289">
        <f ca="1">IF(V32="Supercritical",R289,AA289)</f>
        <v>482.07306851378365</v>
      </c>
    </row>
    <row r="290" spans="1:41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174</v>
      </c>
      <c r="I290">
        <v>0</v>
      </c>
      <c r="J290">
        <f t="shared" si="115"/>
        <v>1</v>
      </c>
      <c r="K290">
        <f t="shared" si="116"/>
        <v>51</v>
      </c>
      <c r="L290">
        <f t="shared" ca="1" si="117"/>
        <v>38819.729252179568</v>
      </c>
      <c r="M290">
        <f t="shared" ca="1" si="95"/>
        <v>201862.59211133377</v>
      </c>
      <c r="N290">
        <f t="shared" ca="1" si="96"/>
        <v>2.5998258734050688</v>
      </c>
      <c r="O290">
        <f t="shared" ca="1" si="97"/>
        <v>2.5264710745352882E-4</v>
      </c>
      <c r="P290">
        <f t="shared" ca="1" si="98"/>
        <v>39452.221252179566</v>
      </c>
      <c r="Q290">
        <f t="shared" ca="1" si="99"/>
        <v>39452.221252182819</v>
      </c>
      <c r="R290">
        <f t="shared" ca="1" si="100"/>
        <v>4.0174655699402001E-12</v>
      </c>
      <c r="S290">
        <f t="shared" ca="1" si="118"/>
        <v>8.8899985712487251E-4</v>
      </c>
      <c r="T290">
        <f t="shared" ca="1" si="119"/>
        <v>1</v>
      </c>
      <c r="U290">
        <f t="shared" ca="1" si="101"/>
        <v>0.05</v>
      </c>
      <c r="V290">
        <f t="shared" ca="1" si="102"/>
        <v>0.26</v>
      </c>
      <c r="W290">
        <f t="shared" ca="1" si="103"/>
        <v>4.9056603773584909E-2</v>
      </c>
      <c r="X290">
        <f t="shared" ca="1" si="104"/>
        <v>196.15384615384616</v>
      </c>
      <c r="Y290">
        <f t="shared" ca="1" si="105"/>
        <v>632.54199999999992</v>
      </c>
      <c r="Z290">
        <f t="shared" ca="1" si="106"/>
        <v>2593.6190316486618</v>
      </c>
      <c r="AA290">
        <f t="shared" ca="1" si="107"/>
        <v>482.07306851378365</v>
      </c>
      <c r="AB290">
        <f t="shared" ca="1" si="108"/>
        <v>482.73440697686783</v>
      </c>
      <c r="AC290">
        <f t="shared" ca="1" si="109"/>
        <v>0</v>
      </c>
      <c r="AD290">
        <f ca="1">IF(V32="Supercritical",L290,U290)</f>
        <v>0.05</v>
      </c>
      <c r="AE290">
        <f t="shared" ca="1" si="110"/>
        <v>632.54199999999992</v>
      </c>
      <c r="AF290">
        <f t="shared" ca="1" si="111"/>
        <v>2593.6190316486618</v>
      </c>
      <c r="AI290">
        <v>0</v>
      </c>
      <c r="AJ290">
        <v>0</v>
      </c>
      <c r="AK290">
        <f t="shared" si="112"/>
        <v>0</v>
      </c>
      <c r="AL290">
        <f t="shared" si="120"/>
        <v>0</v>
      </c>
      <c r="AM290">
        <f t="shared" ca="1" si="113"/>
        <v>280.07692026646265</v>
      </c>
      <c r="AN290" t="str">
        <f t="shared" ca="1" si="114"/>
        <v>Supercritical</v>
      </c>
      <c r="AO290">
        <f ca="1">IF(V32="Supercritical",R290,AA290)</f>
        <v>482.07306851378365</v>
      </c>
    </row>
    <row r="291" spans="1:41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174</v>
      </c>
      <c r="I291">
        <v>5.5E-2</v>
      </c>
      <c r="J291">
        <f t="shared" si="115"/>
        <v>1.0010000000000048</v>
      </c>
      <c r="K291">
        <f t="shared" si="116"/>
        <v>51</v>
      </c>
      <c r="L291">
        <f t="shared" ca="1" si="117"/>
        <v>38819.72909529724</v>
      </c>
      <c r="M291">
        <f t="shared" ca="1" si="95"/>
        <v>201862.59129554566</v>
      </c>
      <c r="N291">
        <f t="shared" ca="1" si="96"/>
        <v>2.5998258734043649</v>
      </c>
      <c r="O291">
        <f t="shared" ca="1" si="97"/>
        <v>2.5264710847455258E-4</v>
      </c>
      <c r="P291">
        <f t="shared" ca="1" si="98"/>
        <v>39452.220595297236</v>
      </c>
      <c r="Q291">
        <f t="shared" ca="1" si="99"/>
        <v>39452.220595300489</v>
      </c>
      <c r="R291">
        <f t="shared" ca="1" si="100"/>
        <v>4.0174656024132503E-12</v>
      </c>
      <c r="S291">
        <f t="shared" ca="1" si="118"/>
        <v>6.5688232280081138E-4</v>
      </c>
      <c r="T291">
        <f t="shared" ca="1" si="119"/>
        <v>1</v>
      </c>
      <c r="U291">
        <f t="shared" ca="1" si="101"/>
        <v>0.05</v>
      </c>
      <c r="V291">
        <f t="shared" ca="1" si="102"/>
        <v>0.26</v>
      </c>
      <c r="W291">
        <f t="shared" ca="1" si="103"/>
        <v>4.9056603773584909E-2</v>
      </c>
      <c r="X291">
        <f t="shared" ca="1" si="104"/>
        <v>196.15384615384616</v>
      </c>
      <c r="Y291">
        <f t="shared" ca="1" si="105"/>
        <v>632.54149999999993</v>
      </c>
      <c r="Z291">
        <f t="shared" ca="1" si="106"/>
        <v>2593.6185316486622</v>
      </c>
      <c r="AA291">
        <f t="shared" ca="1" si="107"/>
        <v>482.07306851378365</v>
      </c>
      <c r="AB291">
        <f t="shared" ca="1" si="108"/>
        <v>481.77026083983537</v>
      </c>
      <c r="AC291">
        <f t="shared" ca="1" si="109"/>
        <v>0</v>
      </c>
      <c r="AD291">
        <f ca="1">IF(V32="Supercritical",L291,U291)</f>
        <v>0.05</v>
      </c>
      <c r="AE291">
        <f t="shared" ca="1" si="110"/>
        <v>632.54149999999993</v>
      </c>
      <c r="AF291">
        <f t="shared" ca="1" si="111"/>
        <v>2593.6185316486622</v>
      </c>
      <c r="AI291">
        <v>0</v>
      </c>
      <c r="AJ291">
        <v>0</v>
      </c>
      <c r="AK291">
        <f t="shared" si="112"/>
        <v>0</v>
      </c>
      <c r="AL291">
        <f t="shared" si="120"/>
        <v>0</v>
      </c>
      <c r="AM291">
        <f t="shared" ca="1" si="113"/>
        <v>280.07692026646265</v>
      </c>
      <c r="AN291" t="str">
        <f t="shared" ca="1" si="114"/>
        <v>Supercritical</v>
      </c>
      <c r="AO291">
        <f ca="1">IF(V32="Supercritical",R291,AA291)</f>
        <v>482.07306851378365</v>
      </c>
    </row>
    <row r="292" spans="1:41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174</v>
      </c>
      <c r="I292">
        <v>5.5E-2</v>
      </c>
      <c r="J292">
        <f t="shared" si="115"/>
        <v>0.99899999999999523</v>
      </c>
      <c r="K292">
        <f t="shared" si="116"/>
        <v>51</v>
      </c>
      <c r="L292">
        <f t="shared" ca="1" si="117"/>
        <v>38819.728687451352</v>
      </c>
      <c r="M292">
        <f t="shared" ca="1" si="95"/>
        <v>201862.58917474703</v>
      </c>
      <c r="N292">
        <f t="shared" ca="1" si="96"/>
        <v>2.5998258734025352</v>
      </c>
      <c r="O292">
        <f t="shared" ca="1" si="97"/>
        <v>2.52647111128901E-4</v>
      </c>
      <c r="P292">
        <f t="shared" ca="1" si="98"/>
        <v>39452.219687451354</v>
      </c>
      <c r="Q292">
        <f t="shared" ca="1" si="99"/>
        <v>39452.219687454606</v>
      </c>
      <c r="R292">
        <f t="shared" ca="1" si="100"/>
        <v>4.017465686833213E-12</v>
      </c>
      <c r="S292">
        <f t="shared" ca="1" si="118"/>
        <v>9.0784587519010529E-4</v>
      </c>
      <c r="T292">
        <f t="shared" ca="1" si="119"/>
        <v>1</v>
      </c>
      <c r="U292">
        <f t="shared" ca="1" si="101"/>
        <v>0.05</v>
      </c>
      <c r="V292">
        <f t="shared" ca="1" si="102"/>
        <v>0.26</v>
      </c>
      <c r="W292">
        <f t="shared" ca="1" si="103"/>
        <v>4.9056603773584909E-2</v>
      </c>
      <c r="X292">
        <f t="shared" ca="1" si="104"/>
        <v>196.15384615384616</v>
      </c>
      <c r="Y292">
        <f t="shared" ca="1" si="105"/>
        <v>632.54099999999994</v>
      </c>
      <c r="Z292">
        <f t="shared" ca="1" si="106"/>
        <v>2593.6180316486621</v>
      </c>
      <c r="AA292">
        <f t="shared" ca="1" si="107"/>
        <v>482.07306851378365</v>
      </c>
      <c r="AB292">
        <f t="shared" ca="1" si="108"/>
        <v>482.25887083179032</v>
      </c>
      <c r="AC292">
        <f t="shared" ca="1" si="109"/>
        <v>0</v>
      </c>
      <c r="AD292">
        <f ca="1">IF(V32="Supercritical",L292,U292)</f>
        <v>0.05</v>
      </c>
      <c r="AE292">
        <f t="shared" ca="1" si="110"/>
        <v>632.54099999999994</v>
      </c>
      <c r="AF292">
        <f t="shared" ca="1" si="111"/>
        <v>2593.6180316486621</v>
      </c>
      <c r="AI292">
        <v>0</v>
      </c>
      <c r="AJ292">
        <v>0</v>
      </c>
      <c r="AK292">
        <f t="shared" si="112"/>
        <v>0</v>
      </c>
      <c r="AL292">
        <f t="shared" si="120"/>
        <v>0</v>
      </c>
      <c r="AM292">
        <f t="shared" ca="1" si="113"/>
        <v>280.07692026646265</v>
      </c>
      <c r="AN292" t="str">
        <f t="shared" ca="1" si="114"/>
        <v>Supercritical</v>
      </c>
      <c r="AO292">
        <f ca="1">IF(V32="Supercritical",R292,AA292)</f>
        <v>482.07306851378365</v>
      </c>
    </row>
    <row r="293" spans="1:41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174</v>
      </c>
      <c r="I293">
        <v>5.7000000000000002E-2</v>
      </c>
      <c r="J293">
        <f t="shared" si="115"/>
        <v>1</v>
      </c>
      <c r="K293">
        <f t="shared" si="116"/>
        <v>51</v>
      </c>
      <c r="L293">
        <f t="shared" ca="1" si="117"/>
        <v>38819.728527243256</v>
      </c>
      <c r="M293">
        <f t="shared" ca="1" si="95"/>
        <v>201862.58834166493</v>
      </c>
      <c r="N293">
        <f t="shared" ca="1" si="96"/>
        <v>2.5998258734018167</v>
      </c>
      <c r="O293">
        <f t="shared" ca="1" si="97"/>
        <v>2.5264711217156961E-4</v>
      </c>
      <c r="P293">
        <f t="shared" ca="1" si="98"/>
        <v>39452.219027243256</v>
      </c>
      <c r="Q293">
        <f t="shared" ca="1" si="99"/>
        <v>39452.219027246509</v>
      </c>
      <c r="R293">
        <f t="shared" ca="1" si="100"/>
        <v>4.0174657199946649E-12</v>
      </c>
      <c r="S293">
        <f t="shared" ca="1" si="118"/>
        <v>6.6020809026667848E-4</v>
      </c>
      <c r="T293">
        <f t="shared" ca="1" si="119"/>
        <v>1</v>
      </c>
      <c r="U293">
        <f t="shared" ca="1" si="101"/>
        <v>0.05</v>
      </c>
      <c r="V293">
        <f t="shared" ca="1" si="102"/>
        <v>0.26</v>
      </c>
      <c r="W293">
        <f t="shared" ca="1" si="103"/>
        <v>4.9056603773584909E-2</v>
      </c>
      <c r="X293">
        <f t="shared" ca="1" si="104"/>
        <v>196.15384615384616</v>
      </c>
      <c r="Y293">
        <f t="shared" ca="1" si="105"/>
        <v>632.54049999999995</v>
      </c>
      <c r="Z293">
        <f t="shared" ca="1" si="106"/>
        <v>2593.617531648662</v>
      </c>
      <c r="AA293">
        <f t="shared" ca="1" si="107"/>
        <v>482.07306851378365</v>
      </c>
      <c r="AB293">
        <f t="shared" ca="1" si="108"/>
        <v>482.25887083179077</v>
      </c>
      <c r="AC293">
        <f t="shared" ca="1" si="109"/>
        <v>0</v>
      </c>
      <c r="AD293">
        <f ca="1">IF(V32="Supercritical",L293,U293)</f>
        <v>0.05</v>
      </c>
      <c r="AE293">
        <f t="shared" ca="1" si="110"/>
        <v>632.54049999999995</v>
      </c>
      <c r="AF293">
        <f t="shared" ca="1" si="111"/>
        <v>2593.617531648662</v>
      </c>
      <c r="AI293">
        <v>0</v>
      </c>
      <c r="AJ293">
        <v>0</v>
      </c>
      <c r="AK293">
        <f t="shared" si="112"/>
        <v>0</v>
      </c>
      <c r="AL293">
        <f t="shared" si="120"/>
        <v>0</v>
      </c>
      <c r="AM293">
        <f t="shared" ca="1" si="113"/>
        <v>280.07692026646265</v>
      </c>
      <c r="AN293" t="str">
        <f t="shared" ca="1" si="114"/>
        <v>Supercritical</v>
      </c>
      <c r="AO293">
        <f ca="1">IF(V32="Supercritical",R293,AA293)</f>
        <v>482.07306851378365</v>
      </c>
    </row>
    <row r="294" spans="1:41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174</v>
      </c>
      <c r="I294">
        <v>5.7000000000000002E-2</v>
      </c>
      <c r="J294">
        <f t="shared" si="115"/>
        <v>1</v>
      </c>
      <c r="K294">
        <f t="shared" si="116"/>
        <v>51</v>
      </c>
      <c r="L294">
        <f t="shared" ca="1" si="117"/>
        <v>38819.728089525561</v>
      </c>
      <c r="M294">
        <f t="shared" ca="1" si="95"/>
        <v>201862.58606553293</v>
      </c>
      <c r="N294">
        <f t="shared" ca="1" si="96"/>
        <v>2.5998258733998538</v>
      </c>
      <c r="O294">
        <f t="shared" ca="1" si="97"/>
        <v>2.5264711502033017E-4</v>
      </c>
      <c r="P294">
        <f t="shared" ca="1" si="98"/>
        <v>39452.218089525559</v>
      </c>
      <c r="Q294">
        <f t="shared" ca="1" si="99"/>
        <v>39452.218089528811</v>
      </c>
      <c r="R294">
        <f t="shared" ca="1" si="100"/>
        <v>4.017465810597789E-12</v>
      </c>
      <c r="S294">
        <f t="shared" ca="1" si="118"/>
        <v>9.3771769024897367E-4</v>
      </c>
      <c r="T294">
        <f t="shared" ca="1" si="119"/>
        <v>1</v>
      </c>
      <c r="U294">
        <f t="shared" ca="1" si="101"/>
        <v>0.05</v>
      </c>
      <c r="V294">
        <f t="shared" ca="1" si="102"/>
        <v>0.26</v>
      </c>
      <c r="W294">
        <f t="shared" ca="1" si="103"/>
        <v>4.9056603773584909E-2</v>
      </c>
      <c r="X294">
        <f t="shared" ca="1" si="104"/>
        <v>196.15384615384616</v>
      </c>
      <c r="Y294">
        <f t="shared" ca="1" si="105"/>
        <v>632.54</v>
      </c>
      <c r="Z294">
        <f t="shared" ca="1" si="106"/>
        <v>2593.6170316486623</v>
      </c>
      <c r="AA294">
        <f t="shared" ca="1" si="107"/>
        <v>482.07306851378365</v>
      </c>
      <c r="AB294">
        <f t="shared" ca="1" si="108"/>
        <v>482.07256851378361</v>
      </c>
      <c r="AC294">
        <f t="shared" ca="1" si="109"/>
        <v>0</v>
      </c>
      <c r="AD294">
        <f ca="1">IF(V32="Supercritical",L294,U294)</f>
        <v>0.05</v>
      </c>
      <c r="AE294">
        <f t="shared" ca="1" si="110"/>
        <v>632.54</v>
      </c>
      <c r="AF294">
        <f t="shared" ca="1" si="111"/>
        <v>2593.6170316486623</v>
      </c>
      <c r="AI294">
        <v>0</v>
      </c>
      <c r="AJ294">
        <v>0</v>
      </c>
      <c r="AK294">
        <f t="shared" si="112"/>
        <v>0</v>
      </c>
      <c r="AL294">
        <f t="shared" si="120"/>
        <v>0</v>
      </c>
      <c r="AM294">
        <f t="shared" ca="1" si="113"/>
        <v>280.07692026646265</v>
      </c>
      <c r="AN294" t="str">
        <f t="shared" ca="1" si="114"/>
        <v>Supercritical</v>
      </c>
      <c r="AO294">
        <f ca="1">IF(V32="Supercritical",R294,AA294)</f>
        <v>482.07306851378365</v>
      </c>
    </row>
    <row r="295" spans="1:41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174</v>
      </c>
      <c r="I295">
        <v>0</v>
      </c>
      <c r="J295">
        <f t="shared" si="115"/>
        <v>1</v>
      </c>
      <c r="K295">
        <f t="shared" si="116"/>
        <v>51</v>
      </c>
      <c r="L295">
        <f t="shared" ca="1" si="117"/>
        <v>38819.727924045968</v>
      </c>
      <c r="M295">
        <f t="shared" ca="1" si="95"/>
        <v>201862.58520503904</v>
      </c>
      <c r="N295">
        <f t="shared" ca="1" si="96"/>
        <v>2.5998258733991113</v>
      </c>
      <c r="O295">
        <f t="shared" ca="1" si="97"/>
        <v>2.5264711609730689E-4</v>
      </c>
      <c r="P295">
        <f t="shared" ca="1" si="98"/>
        <v>39452.217424045972</v>
      </c>
      <c r="Q295">
        <f t="shared" ca="1" si="99"/>
        <v>39452.217424049224</v>
      </c>
      <c r="R295">
        <f t="shared" ca="1" si="100"/>
        <v>4.0174658448503882E-12</v>
      </c>
      <c r="S295">
        <f t="shared" ca="1" si="118"/>
        <v>6.6547957976581529E-4</v>
      </c>
      <c r="T295">
        <f t="shared" ca="1" si="119"/>
        <v>1</v>
      </c>
      <c r="U295">
        <f t="shared" ca="1" si="101"/>
        <v>0.05</v>
      </c>
      <c r="V295">
        <f t="shared" ca="1" si="102"/>
        <v>0.26</v>
      </c>
      <c r="W295">
        <f t="shared" ca="1" si="103"/>
        <v>4.9056603773584909E-2</v>
      </c>
      <c r="X295">
        <f t="shared" ca="1" si="104"/>
        <v>196.15384615384616</v>
      </c>
      <c r="Y295">
        <f t="shared" ca="1" si="105"/>
        <v>632.53949999999998</v>
      </c>
      <c r="Z295">
        <f t="shared" ca="1" si="106"/>
        <v>2593.6165316486622</v>
      </c>
      <c r="AA295">
        <f t="shared" ca="1" si="107"/>
        <v>482.07306851378365</v>
      </c>
      <c r="AB295">
        <f t="shared" ca="1" si="108"/>
        <v>482.25887083179032</v>
      </c>
      <c r="AC295">
        <f t="shared" ca="1" si="109"/>
        <v>0</v>
      </c>
      <c r="AD295">
        <f ca="1">IF(V32="Supercritical",L295,U295)</f>
        <v>0.05</v>
      </c>
      <c r="AE295">
        <f t="shared" ca="1" si="110"/>
        <v>632.53949999999998</v>
      </c>
      <c r="AF295">
        <f t="shared" ca="1" si="111"/>
        <v>2593.6165316486622</v>
      </c>
      <c r="AI295">
        <v>0</v>
      </c>
      <c r="AJ295">
        <v>0</v>
      </c>
      <c r="AK295">
        <f t="shared" si="112"/>
        <v>0</v>
      </c>
      <c r="AL295">
        <f t="shared" si="120"/>
        <v>0</v>
      </c>
      <c r="AM295">
        <f t="shared" ca="1" si="113"/>
        <v>280.07692026646265</v>
      </c>
      <c r="AN295" t="str">
        <f t="shared" ca="1" si="114"/>
        <v>Supercritical</v>
      </c>
      <c r="AO295">
        <f ca="1">IF(V32="Supercritical",R295,AA295)</f>
        <v>482.07306851378365</v>
      </c>
    </row>
    <row r="296" spans="1:41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174</v>
      </c>
      <c r="I296">
        <v>5.7000000000000002E-2</v>
      </c>
      <c r="J296">
        <f t="shared" si="115"/>
        <v>1</v>
      </c>
      <c r="K296">
        <f t="shared" si="116"/>
        <v>51</v>
      </c>
      <c r="L296">
        <f t="shared" ca="1" si="117"/>
        <v>38819.727450135295</v>
      </c>
      <c r="M296">
        <f t="shared" ca="1" si="95"/>
        <v>201862.58274070354</v>
      </c>
      <c r="N296">
        <f t="shared" ca="1" si="96"/>
        <v>2.5998258733969859</v>
      </c>
      <c r="O296">
        <f t="shared" ca="1" si="97"/>
        <v>2.5264711918161921E-4</v>
      </c>
      <c r="P296">
        <f t="shared" ca="1" si="98"/>
        <v>39452.216450135296</v>
      </c>
      <c r="Q296">
        <f t="shared" ca="1" si="99"/>
        <v>39452.216450138549</v>
      </c>
      <c r="R296">
        <f t="shared" ca="1" si="100"/>
        <v>4.0174659429451005E-12</v>
      </c>
      <c r="S296">
        <f t="shared" ca="1" si="118"/>
        <v>9.7391066810814664E-4</v>
      </c>
      <c r="T296">
        <f t="shared" ca="1" si="119"/>
        <v>1</v>
      </c>
      <c r="U296">
        <f t="shared" ca="1" si="101"/>
        <v>0.05</v>
      </c>
      <c r="V296">
        <f t="shared" ca="1" si="102"/>
        <v>0.26</v>
      </c>
      <c r="W296">
        <f t="shared" ca="1" si="103"/>
        <v>4.9056603773584909E-2</v>
      </c>
      <c r="X296">
        <f t="shared" ca="1" si="104"/>
        <v>196.15384615384616</v>
      </c>
      <c r="Y296">
        <f t="shared" ca="1" si="105"/>
        <v>632.53899999999999</v>
      </c>
      <c r="Z296">
        <f t="shared" ca="1" si="106"/>
        <v>2593.6160316486621</v>
      </c>
      <c r="AA296">
        <f t="shared" ca="1" si="107"/>
        <v>482.07306851378365</v>
      </c>
      <c r="AB296">
        <f t="shared" ca="1" si="108"/>
        <v>482.25887083179032</v>
      </c>
      <c r="AC296">
        <f t="shared" ca="1" si="109"/>
        <v>0</v>
      </c>
      <c r="AD296">
        <f ca="1">IF(V32="Supercritical",L296,U296)</f>
        <v>0.05</v>
      </c>
      <c r="AE296">
        <f t="shared" ca="1" si="110"/>
        <v>632.53899999999999</v>
      </c>
      <c r="AF296">
        <f t="shared" ca="1" si="111"/>
        <v>2593.6160316486621</v>
      </c>
      <c r="AI296">
        <v>0</v>
      </c>
      <c r="AJ296">
        <v>0</v>
      </c>
      <c r="AK296">
        <f t="shared" si="112"/>
        <v>0</v>
      </c>
      <c r="AL296">
        <f t="shared" si="120"/>
        <v>0</v>
      </c>
      <c r="AM296">
        <f t="shared" ca="1" si="113"/>
        <v>280.07692026646265</v>
      </c>
      <c r="AN296" t="str">
        <f t="shared" ca="1" si="114"/>
        <v>Supercritical</v>
      </c>
      <c r="AO296">
        <f ca="1">IF(V32="Supercritical",R296,AA296)</f>
        <v>482.07306851378365</v>
      </c>
    </row>
    <row r="297" spans="1:41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174</v>
      </c>
      <c r="I297">
        <v>5.7000000000000002E-2</v>
      </c>
      <c r="J297">
        <f t="shared" si="115"/>
        <v>1</v>
      </c>
      <c r="K297">
        <f t="shared" si="116"/>
        <v>51</v>
      </c>
      <c r="L297">
        <f t="shared" ca="1" si="117"/>
        <v>38819.727278268707</v>
      </c>
      <c r="M297">
        <f t="shared" ca="1" si="95"/>
        <v>201862.58184699729</v>
      </c>
      <c r="N297">
        <f t="shared" ca="1" si="96"/>
        <v>2.599825873396215</v>
      </c>
      <c r="O297">
        <f t="shared" ca="1" si="97"/>
        <v>2.5264712030016387E-4</v>
      </c>
      <c r="P297">
        <f t="shared" ca="1" si="98"/>
        <v>39452.215778268706</v>
      </c>
      <c r="Q297">
        <f t="shared" ca="1" si="99"/>
        <v>39452.215778271959</v>
      </c>
      <c r="R297">
        <f t="shared" ca="1" si="100"/>
        <v>4.0174659785197435E-12</v>
      </c>
      <c r="S297">
        <f t="shared" ca="1" si="118"/>
        <v>6.7186658270657063E-4</v>
      </c>
      <c r="T297">
        <f t="shared" ca="1" si="119"/>
        <v>1</v>
      </c>
      <c r="U297">
        <f t="shared" ca="1" si="101"/>
        <v>0.05</v>
      </c>
      <c r="V297">
        <f t="shared" ca="1" si="102"/>
        <v>0.26</v>
      </c>
      <c r="W297">
        <f t="shared" ca="1" si="103"/>
        <v>4.9056603773584909E-2</v>
      </c>
      <c r="X297">
        <f t="shared" ca="1" si="104"/>
        <v>196.15384615384616</v>
      </c>
      <c r="Y297">
        <f t="shared" ca="1" si="105"/>
        <v>632.5385</v>
      </c>
      <c r="Z297">
        <f t="shared" ca="1" si="106"/>
        <v>2593.615531648662</v>
      </c>
      <c r="AA297">
        <f t="shared" ca="1" si="107"/>
        <v>482.07306851378365</v>
      </c>
      <c r="AB297">
        <f t="shared" ca="1" si="108"/>
        <v>482.55464158229961</v>
      </c>
      <c r="AC297">
        <f t="shared" ca="1" si="109"/>
        <v>0</v>
      </c>
      <c r="AD297">
        <f ca="1">IF(V32="Supercritical",L297,U297)</f>
        <v>0.05</v>
      </c>
      <c r="AE297">
        <f t="shared" ca="1" si="110"/>
        <v>632.5385</v>
      </c>
      <c r="AF297">
        <f t="shared" ca="1" si="111"/>
        <v>2593.615531648662</v>
      </c>
      <c r="AI297">
        <v>0</v>
      </c>
      <c r="AJ297">
        <v>0</v>
      </c>
      <c r="AK297">
        <f t="shared" si="112"/>
        <v>0</v>
      </c>
      <c r="AL297">
        <f t="shared" si="120"/>
        <v>0</v>
      </c>
      <c r="AM297">
        <f t="shared" ca="1" si="113"/>
        <v>280.07692026646265</v>
      </c>
      <c r="AN297" t="str">
        <f t="shared" ca="1" si="114"/>
        <v>Supercritical</v>
      </c>
      <c r="AO297">
        <f ca="1">IF(V32="Supercritical",R297,AA297)</f>
        <v>482.07306851378365</v>
      </c>
    </row>
    <row r="298" spans="1:41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174</v>
      </c>
      <c r="I298">
        <v>0</v>
      </c>
      <c r="J298">
        <f t="shared" si="115"/>
        <v>1.0010000000000048</v>
      </c>
      <c r="K298">
        <f t="shared" si="116"/>
        <v>51</v>
      </c>
      <c r="L298">
        <f t="shared" ca="1" si="117"/>
        <v>38819.726916311018</v>
      </c>
      <c r="M298">
        <f t="shared" ca="1" si="95"/>
        <v>201862.5799648173</v>
      </c>
      <c r="N298">
        <f t="shared" ca="1" si="96"/>
        <v>2.5998258733945914</v>
      </c>
      <c r="O298">
        <f t="shared" ca="1" si="97"/>
        <v>2.5264712265586224E-4</v>
      </c>
      <c r="P298">
        <f t="shared" ca="1" si="98"/>
        <v>39452.214916311015</v>
      </c>
      <c r="Q298">
        <f t="shared" ca="1" si="99"/>
        <v>39452.214916314268</v>
      </c>
      <c r="R298">
        <f t="shared" ca="1" si="100"/>
        <v>4.0174660534413238E-12</v>
      </c>
      <c r="S298">
        <f t="shared" ca="1" si="118"/>
        <v>8.619576838100329E-4</v>
      </c>
      <c r="T298">
        <f t="shared" ca="1" si="119"/>
        <v>1</v>
      </c>
      <c r="U298">
        <f t="shared" ca="1" si="101"/>
        <v>0.05</v>
      </c>
      <c r="V298">
        <f t="shared" ca="1" si="102"/>
        <v>0.26</v>
      </c>
      <c r="W298">
        <f t="shared" ca="1" si="103"/>
        <v>4.9056603773584909E-2</v>
      </c>
      <c r="X298">
        <f t="shared" ca="1" si="104"/>
        <v>196.15384615384616</v>
      </c>
      <c r="Y298">
        <f t="shared" ca="1" si="105"/>
        <v>632.53800000000001</v>
      </c>
      <c r="Z298">
        <f t="shared" ca="1" si="106"/>
        <v>2593.6150316486619</v>
      </c>
      <c r="AA298">
        <f t="shared" ca="1" si="107"/>
        <v>482.07306851378365</v>
      </c>
      <c r="AB298">
        <f t="shared" ca="1" si="108"/>
        <v>482.25233390835137</v>
      </c>
      <c r="AC298">
        <f t="shared" ca="1" si="109"/>
        <v>0</v>
      </c>
      <c r="AD298">
        <f ca="1">IF(V32="Supercritical",L298,U298)</f>
        <v>0.05</v>
      </c>
      <c r="AE298">
        <f t="shared" ca="1" si="110"/>
        <v>632.53800000000001</v>
      </c>
      <c r="AF298">
        <f t="shared" ca="1" si="111"/>
        <v>2593.6150316486619</v>
      </c>
      <c r="AI298">
        <v>0</v>
      </c>
      <c r="AJ298">
        <v>0</v>
      </c>
      <c r="AK298">
        <f t="shared" si="112"/>
        <v>0</v>
      </c>
      <c r="AL298">
        <f t="shared" si="120"/>
        <v>0</v>
      </c>
      <c r="AM298">
        <f t="shared" ca="1" si="113"/>
        <v>280.07692026646265</v>
      </c>
      <c r="AN298" t="str">
        <f t="shared" ca="1" si="114"/>
        <v>Supercritical</v>
      </c>
      <c r="AO298">
        <f ca="1">IF(V32="Supercritical",R298,AA298)</f>
        <v>482.07306851378365</v>
      </c>
    </row>
    <row r="299" spans="1:41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174</v>
      </c>
      <c r="I299">
        <v>5.5E-2</v>
      </c>
      <c r="J299">
        <f t="shared" si="115"/>
        <v>1</v>
      </c>
      <c r="K299">
        <f t="shared" si="116"/>
        <v>51</v>
      </c>
      <c r="L299">
        <f t="shared" ca="1" si="117"/>
        <v>38819.726764200837</v>
      </c>
      <c r="M299">
        <f t="shared" ca="1" si="95"/>
        <v>201862.57917384437</v>
      </c>
      <c r="N299">
        <f t="shared" ca="1" si="96"/>
        <v>2.5998258733939092</v>
      </c>
      <c r="O299">
        <f t="shared" ca="1" si="97"/>
        <v>2.52647123645828E-4</v>
      </c>
      <c r="P299">
        <f t="shared" ca="1" si="98"/>
        <v>39452.21426420084</v>
      </c>
      <c r="Q299">
        <f t="shared" ca="1" si="99"/>
        <v>39452.214264204093</v>
      </c>
      <c r="R299">
        <f t="shared" ca="1" si="100"/>
        <v>4.0174660849265935E-12</v>
      </c>
      <c r="S299">
        <f t="shared" ca="1" si="118"/>
        <v>6.5211016772082075E-4</v>
      </c>
      <c r="T299">
        <f t="shared" ca="1" si="119"/>
        <v>1</v>
      </c>
      <c r="U299">
        <f t="shared" ca="1" si="101"/>
        <v>0.05</v>
      </c>
      <c r="V299">
        <f t="shared" ca="1" si="102"/>
        <v>0.26</v>
      </c>
      <c r="W299">
        <f t="shared" ca="1" si="103"/>
        <v>4.9056603773584909E-2</v>
      </c>
      <c r="X299">
        <f t="shared" ca="1" si="104"/>
        <v>196.15384615384616</v>
      </c>
      <c r="Y299">
        <f t="shared" ca="1" si="105"/>
        <v>632.53749999999991</v>
      </c>
      <c r="Z299">
        <f t="shared" ca="1" si="106"/>
        <v>2593.6145316486618</v>
      </c>
      <c r="AA299">
        <f t="shared" ca="1" si="107"/>
        <v>482.07306851378365</v>
      </c>
      <c r="AB299">
        <f t="shared" ca="1" si="108"/>
        <v>481.77026083983583</v>
      </c>
      <c r="AC299">
        <f t="shared" ca="1" si="109"/>
        <v>0</v>
      </c>
      <c r="AD299">
        <f ca="1">IF(V32="Supercritical",L299,U299)</f>
        <v>0.05</v>
      </c>
      <c r="AE299">
        <f t="shared" ca="1" si="110"/>
        <v>632.53749999999991</v>
      </c>
      <c r="AF299">
        <f t="shared" ca="1" si="111"/>
        <v>2593.6145316486618</v>
      </c>
      <c r="AI299">
        <v>0</v>
      </c>
      <c r="AJ299">
        <v>0</v>
      </c>
      <c r="AK299">
        <f t="shared" si="112"/>
        <v>0</v>
      </c>
      <c r="AL299">
        <f t="shared" si="120"/>
        <v>0</v>
      </c>
      <c r="AM299">
        <f t="shared" ca="1" si="113"/>
        <v>280.07692026646265</v>
      </c>
      <c r="AN299" t="str">
        <f t="shared" ca="1" si="114"/>
        <v>Supercritical</v>
      </c>
      <c r="AO299">
        <f ca="1">IF(V32="Supercritical",R299,AA299)</f>
        <v>482.07306851378365</v>
      </c>
    </row>
    <row r="300" spans="1:41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174</v>
      </c>
      <c r="I300">
        <v>5.5E-2</v>
      </c>
      <c r="J300">
        <f t="shared" si="115"/>
        <v>0.99899999999999523</v>
      </c>
      <c r="K300">
        <f t="shared" si="116"/>
        <v>51</v>
      </c>
      <c r="L300">
        <f t="shared" ca="1" si="117"/>
        <v>38819.726298427893</v>
      </c>
      <c r="M300">
        <f t="shared" ca="1" si="95"/>
        <v>201862.57675182505</v>
      </c>
      <c r="N300">
        <f t="shared" ca="1" si="96"/>
        <v>2.5998258733918203</v>
      </c>
      <c r="O300">
        <f t="shared" ca="1" si="97"/>
        <v>2.5264712667717845E-4</v>
      </c>
      <c r="P300">
        <f t="shared" ca="1" si="98"/>
        <v>39452.213298427894</v>
      </c>
      <c r="Q300">
        <f t="shared" ca="1" si="99"/>
        <v>39452.213298431147</v>
      </c>
      <c r="R300">
        <f t="shared" ca="1" si="100"/>
        <v>4.0174661813368825E-12</v>
      </c>
      <c r="S300">
        <f t="shared" ca="1" si="118"/>
        <v>9.6577293879818171E-4</v>
      </c>
      <c r="T300">
        <f t="shared" ca="1" si="119"/>
        <v>1</v>
      </c>
      <c r="U300">
        <f t="shared" ca="1" si="101"/>
        <v>0.05</v>
      </c>
      <c r="V300">
        <f t="shared" ca="1" si="102"/>
        <v>0.26</v>
      </c>
      <c r="W300">
        <f t="shared" ca="1" si="103"/>
        <v>4.9056603773584909E-2</v>
      </c>
      <c r="X300">
        <f t="shared" ca="1" si="104"/>
        <v>196.15384615384616</v>
      </c>
      <c r="Y300">
        <f t="shared" ca="1" si="105"/>
        <v>632.53699999999992</v>
      </c>
      <c r="Z300">
        <f t="shared" ca="1" si="106"/>
        <v>2593.6140316486621</v>
      </c>
      <c r="AA300">
        <f t="shared" ca="1" si="107"/>
        <v>482.07306851378365</v>
      </c>
      <c r="AB300">
        <f t="shared" ca="1" si="108"/>
        <v>482.25887083179032</v>
      </c>
      <c r="AC300">
        <f t="shared" ca="1" si="109"/>
        <v>0</v>
      </c>
      <c r="AD300">
        <f ca="1">IF(V32="Supercritical",L300,U300)</f>
        <v>0.05</v>
      </c>
      <c r="AE300">
        <f t="shared" ca="1" si="110"/>
        <v>632.53699999999992</v>
      </c>
      <c r="AF300">
        <f t="shared" ca="1" si="111"/>
        <v>2593.6140316486621</v>
      </c>
      <c r="AI300">
        <v>0</v>
      </c>
      <c r="AJ300">
        <v>0</v>
      </c>
      <c r="AK300">
        <f t="shared" si="112"/>
        <v>0</v>
      </c>
      <c r="AL300">
        <f t="shared" si="120"/>
        <v>0</v>
      </c>
      <c r="AM300">
        <f t="shared" ca="1" si="113"/>
        <v>280.07692026646265</v>
      </c>
      <c r="AN300" t="str">
        <f t="shared" ca="1" si="114"/>
        <v>Supercritical</v>
      </c>
      <c r="AO300">
        <f ca="1">IF(V32="Supercritical",R300,AA300)</f>
        <v>482.07306851378365</v>
      </c>
    </row>
    <row r="301" spans="1:41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174</v>
      </c>
      <c r="I301">
        <v>5.7000000000000002E-2</v>
      </c>
      <c r="J301">
        <f t="shared" si="115"/>
        <v>1</v>
      </c>
      <c r="K301">
        <f t="shared" si="116"/>
        <v>51</v>
      </c>
      <c r="L301">
        <f t="shared" ca="1" si="117"/>
        <v>38819.726127997375</v>
      </c>
      <c r="M301">
        <f t="shared" ca="1" si="95"/>
        <v>201862.57586558635</v>
      </c>
      <c r="N301">
        <f t="shared" ca="1" si="96"/>
        <v>2.5998258733910555</v>
      </c>
      <c r="O301">
        <f t="shared" ca="1" si="97"/>
        <v>2.5264712778637691E-4</v>
      </c>
      <c r="P301">
        <f t="shared" ca="1" si="98"/>
        <v>39452.212627997375</v>
      </c>
      <c r="Q301">
        <f t="shared" ca="1" si="99"/>
        <v>39452.212628000627</v>
      </c>
      <c r="R301">
        <f t="shared" ca="1" si="100"/>
        <v>4.0174662166142809E-12</v>
      </c>
      <c r="S301">
        <f t="shared" ca="1" si="118"/>
        <v>6.7043051240034401E-4</v>
      </c>
      <c r="T301">
        <f t="shared" ca="1" si="119"/>
        <v>1</v>
      </c>
      <c r="U301">
        <f t="shared" ca="1" si="101"/>
        <v>0.05</v>
      </c>
      <c r="V301">
        <f t="shared" ca="1" si="102"/>
        <v>0.26</v>
      </c>
      <c r="W301">
        <f t="shared" ca="1" si="103"/>
        <v>4.9056603773584909E-2</v>
      </c>
      <c r="X301">
        <f t="shared" ca="1" si="104"/>
        <v>196.15384615384616</v>
      </c>
      <c r="Y301">
        <f t="shared" ca="1" si="105"/>
        <v>632.53649999999993</v>
      </c>
      <c r="Z301">
        <f t="shared" ca="1" si="106"/>
        <v>2593.613531648662</v>
      </c>
      <c r="AA301">
        <f t="shared" ca="1" si="107"/>
        <v>482.07306851378365</v>
      </c>
      <c r="AB301">
        <f t="shared" ca="1" si="108"/>
        <v>482.25887083179032</v>
      </c>
      <c r="AC301">
        <f t="shared" ca="1" si="109"/>
        <v>0</v>
      </c>
      <c r="AD301">
        <f ca="1">IF(V32="Supercritical",L301,U301)</f>
        <v>0.05</v>
      </c>
      <c r="AE301">
        <f t="shared" ca="1" si="110"/>
        <v>632.53649999999993</v>
      </c>
      <c r="AF301">
        <f t="shared" ca="1" si="111"/>
        <v>2593.613531648662</v>
      </c>
      <c r="AI301">
        <v>0</v>
      </c>
      <c r="AJ301">
        <v>0</v>
      </c>
      <c r="AK301">
        <f t="shared" si="112"/>
        <v>0</v>
      </c>
      <c r="AL301">
        <f t="shared" si="120"/>
        <v>0</v>
      </c>
      <c r="AM301">
        <f t="shared" ca="1" si="113"/>
        <v>280.07692026646265</v>
      </c>
      <c r="AN301" t="str">
        <f t="shared" ca="1" si="114"/>
        <v>Supercritical</v>
      </c>
      <c r="AO301">
        <f ca="1">IF(V32="Supercritical",R301,AA301)</f>
        <v>482.07306851378365</v>
      </c>
    </row>
    <row r="302" spans="1:41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174</v>
      </c>
      <c r="I302">
        <v>5.7000000000000002E-2</v>
      </c>
      <c r="J302">
        <f t="shared" si="115"/>
        <v>1</v>
      </c>
      <c r="K302">
        <f t="shared" si="116"/>
        <v>51</v>
      </c>
      <c r="L302">
        <f t="shared" ca="1" si="117"/>
        <v>38819.725750135724</v>
      </c>
      <c r="M302">
        <f t="shared" ca="1" si="95"/>
        <v>201862.57390070576</v>
      </c>
      <c r="N302">
        <f t="shared" ca="1" si="96"/>
        <v>2.5998258733893609</v>
      </c>
      <c r="O302">
        <f t="shared" ca="1" si="97"/>
        <v>2.5264713024558184E-4</v>
      </c>
      <c r="P302">
        <f t="shared" ca="1" si="98"/>
        <v>39452.211750135721</v>
      </c>
      <c r="Q302">
        <f t="shared" ca="1" si="99"/>
        <v>39452.211750138973</v>
      </c>
      <c r="R302">
        <f t="shared" ca="1" si="100"/>
        <v>4.017466294827826E-12</v>
      </c>
      <c r="S302">
        <f t="shared" ca="1" si="118"/>
        <v>8.7786164658609778E-4</v>
      </c>
      <c r="T302">
        <f t="shared" ca="1" si="119"/>
        <v>1</v>
      </c>
      <c r="U302">
        <f t="shared" ca="1" si="101"/>
        <v>0.05</v>
      </c>
      <c r="V302">
        <f t="shared" ca="1" si="102"/>
        <v>0.26</v>
      </c>
      <c r="W302">
        <f t="shared" ca="1" si="103"/>
        <v>4.9056603773584909E-2</v>
      </c>
      <c r="X302">
        <f t="shared" ca="1" si="104"/>
        <v>196.15384615384616</v>
      </c>
      <c r="Y302">
        <f t="shared" ca="1" si="105"/>
        <v>632.53599999999994</v>
      </c>
      <c r="Z302">
        <f t="shared" ca="1" si="106"/>
        <v>2593.6130316486619</v>
      </c>
      <c r="AA302">
        <f t="shared" ca="1" si="107"/>
        <v>482.07306851378365</v>
      </c>
      <c r="AB302">
        <f t="shared" ca="1" si="108"/>
        <v>482.07256851378406</v>
      </c>
      <c r="AC302">
        <f t="shared" ca="1" si="109"/>
        <v>0</v>
      </c>
      <c r="AD302">
        <f ca="1">IF(V32="Supercritical",L302,U302)</f>
        <v>0.05</v>
      </c>
      <c r="AE302">
        <f t="shared" ca="1" si="110"/>
        <v>632.53599999999994</v>
      </c>
      <c r="AF302">
        <f t="shared" ca="1" si="111"/>
        <v>2593.6130316486619</v>
      </c>
      <c r="AI302">
        <v>0</v>
      </c>
      <c r="AJ302">
        <v>0</v>
      </c>
      <c r="AK302">
        <f t="shared" si="112"/>
        <v>0</v>
      </c>
      <c r="AL302">
        <f t="shared" si="120"/>
        <v>0</v>
      </c>
      <c r="AM302">
        <f t="shared" ca="1" si="113"/>
        <v>280.07692026646265</v>
      </c>
      <c r="AN302" t="str">
        <f t="shared" ca="1" si="114"/>
        <v>Supercritical</v>
      </c>
      <c r="AO302">
        <f ca="1">IF(V32="Supercritical",R302,AA302)</f>
        <v>482.07306851378365</v>
      </c>
    </row>
    <row r="303" spans="1:41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174</v>
      </c>
      <c r="I303">
        <v>0</v>
      </c>
      <c r="J303">
        <f t="shared" si="115"/>
        <v>1</v>
      </c>
      <c r="K303">
        <f t="shared" si="116"/>
        <v>51</v>
      </c>
      <c r="L303">
        <f t="shared" ca="1" si="117"/>
        <v>38819.725595218966</v>
      </c>
      <c r="M303">
        <f t="shared" ca="1" si="95"/>
        <v>201862.57309513862</v>
      </c>
      <c r="N303">
        <f t="shared" ca="1" si="96"/>
        <v>2.5998258733886659</v>
      </c>
      <c r="O303">
        <f t="shared" ca="1" si="97"/>
        <v>2.5264713125381348E-4</v>
      </c>
      <c r="P303">
        <f t="shared" ca="1" si="98"/>
        <v>39452.211095218969</v>
      </c>
      <c r="Q303">
        <f t="shared" ca="1" si="99"/>
        <v>39452.211095222221</v>
      </c>
      <c r="R303">
        <f t="shared" ca="1" si="100"/>
        <v>4.0174663268940317E-12</v>
      </c>
      <c r="S303">
        <f t="shared" ca="1" si="118"/>
        <v>6.5491674467921257E-4</v>
      </c>
      <c r="T303">
        <f t="shared" ca="1" si="119"/>
        <v>1</v>
      </c>
      <c r="U303">
        <f t="shared" ca="1" si="101"/>
        <v>0.05</v>
      </c>
      <c r="V303">
        <f t="shared" ca="1" si="102"/>
        <v>0.26</v>
      </c>
      <c r="W303">
        <f t="shared" ca="1" si="103"/>
        <v>4.9056603773584909E-2</v>
      </c>
      <c r="X303">
        <f t="shared" ca="1" si="104"/>
        <v>196.15384615384616</v>
      </c>
      <c r="Y303">
        <f t="shared" ca="1" si="105"/>
        <v>632.53549999999996</v>
      </c>
      <c r="Z303">
        <f t="shared" ca="1" si="106"/>
        <v>2593.6125316486623</v>
      </c>
      <c r="AA303">
        <f t="shared" ca="1" si="107"/>
        <v>482.07306851378365</v>
      </c>
      <c r="AB303">
        <f t="shared" ca="1" si="108"/>
        <v>482.25887083179032</v>
      </c>
      <c r="AC303">
        <f t="shared" ca="1" si="109"/>
        <v>0</v>
      </c>
      <c r="AD303">
        <f ca="1">IF(V32="Supercritical",L303,U303)</f>
        <v>0.05</v>
      </c>
      <c r="AE303">
        <f t="shared" ca="1" si="110"/>
        <v>632.53549999999996</v>
      </c>
      <c r="AF303">
        <f t="shared" ca="1" si="111"/>
        <v>2593.6125316486623</v>
      </c>
      <c r="AI303">
        <v>0</v>
      </c>
      <c r="AJ303">
        <v>0</v>
      </c>
      <c r="AK303">
        <f t="shared" si="112"/>
        <v>0</v>
      </c>
      <c r="AL303">
        <f t="shared" si="120"/>
        <v>0</v>
      </c>
      <c r="AM303">
        <f t="shared" ca="1" si="113"/>
        <v>280.07692026646265</v>
      </c>
      <c r="AN303" t="str">
        <f t="shared" ca="1" si="114"/>
        <v>Supercritical</v>
      </c>
      <c r="AO303">
        <f ca="1">IF(V32="Supercritical",R303,AA303)</f>
        <v>482.07306851378365</v>
      </c>
    </row>
    <row r="304" spans="1:41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174</v>
      </c>
      <c r="I304">
        <v>5.7000000000000002E-2</v>
      </c>
      <c r="J304">
        <f t="shared" si="115"/>
        <v>1</v>
      </c>
      <c r="K304">
        <f t="shared" si="116"/>
        <v>51</v>
      </c>
      <c r="L304">
        <f t="shared" ca="1" si="117"/>
        <v>38819.725100038086</v>
      </c>
      <c r="M304">
        <f t="shared" ca="1" si="95"/>
        <v>201862.57052019806</v>
      </c>
      <c r="N304">
        <f t="shared" ca="1" si="96"/>
        <v>2.5998258733864454</v>
      </c>
      <c r="O304">
        <f t="shared" ca="1" si="97"/>
        <v>2.5264713447655727E-4</v>
      </c>
      <c r="P304">
        <f t="shared" ca="1" si="98"/>
        <v>39452.210100038086</v>
      </c>
      <c r="Q304">
        <f t="shared" ca="1" si="99"/>
        <v>39452.210100041339</v>
      </c>
      <c r="R304">
        <f t="shared" ca="1" si="100"/>
        <v>4.0174664293914758E-12</v>
      </c>
      <c r="S304">
        <f t="shared" ca="1" si="118"/>
        <v>9.9518087517935783E-4</v>
      </c>
      <c r="T304">
        <f t="shared" ca="1" si="119"/>
        <v>1</v>
      </c>
      <c r="U304">
        <f t="shared" ca="1" si="101"/>
        <v>0.05</v>
      </c>
      <c r="V304">
        <f t="shared" ca="1" si="102"/>
        <v>0.26</v>
      </c>
      <c r="W304">
        <f t="shared" ca="1" si="103"/>
        <v>4.9056603773584909E-2</v>
      </c>
      <c r="X304">
        <f t="shared" ca="1" si="104"/>
        <v>196.15384615384616</v>
      </c>
      <c r="Y304">
        <f t="shared" ca="1" si="105"/>
        <v>632.53499999999997</v>
      </c>
      <c r="Z304">
        <f t="shared" ca="1" si="106"/>
        <v>2593.6120316486622</v>
      </c>
      <c r="AA304">
        <f t="shared" ca="1" si="107"/>
        <v>482.07306851378365</v>
      </c>
      <c r="AB304">
        <f t="shared" ca="1" si="108"/>
        <v>482.25887083179032</v>
      </c>
      <c r="AC304">
        <f t="shared" ca="1" si="109"/>
        <v>0</v>
      </c>
      <c r="AD304">
        <f ca="1">IF(V32="Supercritical",L304,U304)</f>
        <v>0.05</v>
      </c>
      <c r="AE304">
        <f t="shared" ca="1" si="110"/>
        <v>632.53499999999997</v>
      </c>
      <c r="AF304">
        <f t="shared" ca="1" si="111"/>
        <v>2593.6120316486622</v>
      </c>
      <c r="AI304">
        <v>0</v>
      </c>
      <c r="AJ304">
        <v>0</v>
      </c>
      <c r="AK304">
        <f t="shared" si="112"/>
        <v>0</v>
      </c>
      <c r="AL304">
        <f t="shared" si="120"/>
        <v>0</v>
      </c>
      <c r="AM304">
        <f t="shared" ca="1" si="113"/>
        <v>280.07692026646265</v>
      </c>
      <c r="AN304" t="str">
        <f t="shared" ca="1" si="114"/>
        <v>Supercritical</v>
      </c>
      <c r="AO304">
        <f ca="1">IF(V32="Supercritical",R304,AA304)</f>
        <v>482.07306851378365</v>
      </c>
    </row>
    <row r="305" spans="1:41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174</v>
      </c>
      <c r="I305">
        <v>5.7000000000000002E-2</v>
      </c>
      <c r="J305">
        <f t="shared" si="115"/>
        <v>1</v>
      </c>
      <c r="K305">
        <f t="shared" si="116"/>
        <v>51</v>
      </c>
      <c r="L305">
        <f t="shared" ca="1" si="117"/>
        <v>38819.724924417933</v>
      </c>
      <c r="M305">
        <f t="shared" ca="1" si="95"/>
        <v>201862.56960697327</v>
      </c>
      <c r="N305">
        <f t="shared" ca="1" si="96"/>
        <v>2.5998258733856576</v>
      </c>
      <c r="O305">
        <f t="shared" ca="1" si="97"/>
        <v>2.5264713561953106E-4</v>
      </c>
      <c r="P305">
        <f t="shared" ca="1" si="98"/>
        <v>39452.209424417932</v>
      </c>
      <c r="Q305">
        <f t="shared" ca="1" si="99"/>
        <v>39452.209424421184</v>
      </c>
      <c r="R305">
        <f t="shared" ca="1" si="100"/>
        <v>4.0174664657430749E-12</v>
      </c>
      <c r="S305">
        <f t="shared" ca="1" si="118"/>
        <v>6.7562014737632126E-4</v>
      </c>
      <c r="T305">
        <f t="shared" ca="1" si="119"/>
        <v>1</v>
      </c>
      <c r="U305">
        <f t="shared" ca="1" si="101"/>
        <v>0.05</v>
      </c>
      <c r="V305">
        <f t="shared" ca="1" si="102"/>
        <v>0.26</v>
      </c>
      <c r="W305">
        <f t="shared" ca="1" si="103"/>
        <v>4.9056603773584909E-2</v>
      </c>
      <c r="X305">
        <f t="shared" ca="1" si="104"/>
        <v>196.15384615384616</v>
      </c>
      <c r="Y305">
        <f t="shared" ca="1" si="105"/>
        <v>632.53449999999998</v>
      </c>
      <c r="Z305">
        <f t="shared" ca="1" si="106"/>
        <v>2593.6115316486621</v>
      </c>
      <c r="AA305">
        <f t="shared" ca="1" si="107"/>
        <v>482.07306851378365</v>
      </c>
      <c r="AB305">
        <f t="shared" ca="1" si="108"/>
        <v>482.73440697686738</v>
      </c>
      <c r="AC305">
        <f t="shared" ca="1" si="109"/>
        <v>0</v>
      </c>
      <c r="AD305">
        <f ca="1">IF(V32="Supercritical",L305,U305)</f>
        <v>0.05</v>
      </c>
      <c r="AE305">
        <f t="shared" ca="1" si="110"/>
        <v>632.53449999999998</v>
      </c>
      <c r="AF305">
        <f t="shared" ca="1" si="111"/>
        <v>2593.6115316486621</v>
      </c>
      <c r="AI305">
        <v>0</v>
      </c>
      <c r="AJ305">
        <v>0</v>
      </c>
      <c r="AK305">
        <f t="shared" si="112"/>
        <v>0</v>
      </c>
      <c r="AL305">
        <f t="shared" si="120"/>
        <v>0</v>
      </c>
      <c r="AM305">
        <f t="shared" ca="1" si="113"/>
        <v>280.07692026646265</v>
      </c>
      <c r="AN305" t="str">
        <f t="shared" ca="1" si="114"/>
        <v>Supercritical</v>
      </c>
      <c r="AO305">
        <f ca="1">IF(V32="Supercritical",R305,AA305)</f>
        <v>482.07306851378365</v>
      </c>
    </row>
    <row r="306" spans="1:41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174</v>
      </c>
      <c r="I306">
        <v>5.5E-2</v>
      </c>
      <c r="J306">
        <f t="shared" si="115"/>
        <v>1.0010000000000048</v>
      </c>
      <c r="K306">
        <f t="shared" si="116"/>
        <v>51</v>
      </c>
      <c r="L306">
        <f t="shared" ca="1" si="117"/>
        <v>38819.724514053079</v>
      </c>
      <c r="M306">
        <f t="shared" ca="1" si="95"/>
        <v>201862.56747307602</v>
      </c>
      <c r="N306">
        <f t="shared" ca="1" si="96"/>
        <v>2.5998258733838169</v>
      </c>
      <c r="O306">
        <f t="shared" ca="1" si="97"/>
        <v>2.5264713829027398E-4</v>
      </c>
      <c r="P306">
        <f t="shared" ca="1" si="98"/>
        <v>39452.208514053076</v>
      </c>
      <c r="Q306">
        <f t="shared" ca="1" si="99"/>
        <v>39452.208514056329</v>
      </c>
      <c r="R306">
        <f t="shared" ca="1" si="100"/>
        <v>4.017466550684466E-12</v>
      </c>
      <c r="S306">
        <f t="shared" ca="1" si="118"/>
        <v>9.1036484809592366E-4</v>
      </c>
      <c r="T306">
        <f t="shared" ca="1" si="119"/>
        <v>1</v>
      </c>
      <c r="U306">
        <f t="shared" ca="1" si="101"/>
        <v>0.05</v>
      </c>
      <c r="V306">
        <f t="shared" ca="1" si="102"/>
        <v>0.26</v>
      </c>
      <c r="W306">
        <f t="shared" ca="1" si="103"/>
        <v>4.9056603773584909E-2</v>
      </c>
      <c r="X306">
        <f t="shared" ca="1" si="104"/>
        <v>196.15384615384616</v>
      </c>
      <c r="Y306">
        <f t="shared" ca="1" si="105"/>
        <v>632.53399999999999</v>
      </c>
      <c r="Z306">
        <f t="shared" ca="1" si="106"/>
        <v>2593.611031648662</v>
      </c>
      <c r="AA306">
        <f t="shared" ca="1" si="107"/>
        <v>482.07306851378365</v>
      </c>
      <c r="AB306">
        <f t="shared" ca="1" si="108"/>
        <v>481.77026083983537</v>
      </c>
      <c r="AC306">
        <f t="shared" ca="1" si="109"/>
        <v>0</v>
      </c>
      <c r="AD306">
        <f ca="1">IF(V32="Supercritical",L306,U306)</f>
        <v>0.05</v>
      </c>
      <c r="AE306">
        <f t="shared" ca="1" si="110"/>
        <v>632.53399999999999</v>
      </c>
      <c r="AF306">
        <f t="shared" ca="1" si="111"/>
        <v>2593.611031648662</v>
      </c>
      <c r="AI306">
        <v>0</v>
      </c>
      <c r="AJ306">
        <v>0</v>
      </c>
      <c r="AK306">
        <f t="shared" si="112"/>
        <v>0</v>
      </c>
      <c r="AL306">
        <f t="shared" si="120"/>
        <v>0</v>
      </c>
      <c r="AM306">
        <f t="shared" ca="1" si="113"/>
        <v>280.07692026646265</v>
      </c>
      <c r="AN306" t="str">
        <f t="shared" ca="1" si="114"/>
        <v>Supercritical</v>
      </c>
      <c r="AO306">
        <f ca="1">IF(V32="Supercritical",R306,AA306)</f>
        <v>482.07306851378365</v>
      </c>
    </row>
    <row r="307" spans="1:41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174</v>
      </c>
      <c r="I307">
        <v>5.5E-2</v>
      </c>
      <c r="J307">
        <f t="shared" si="115"/>
        <v>0.99899999999999523</v>
      </c>
      <c r="K307">
        <f t="shared" si="116"/>
        <v>51</v>
      </c>
      <c r="L307">
        <f t="shared" ca="1" si="117"/>
        <v>38819.724353400459</v>
      </c>
      <c r="M307">
        <f t="shared" ca="1" si="95"/>
        <v>201862.56663768241</v>
      </c>
      <c r="N307">
        <f t="shared" ca="1" si="96"/>
        <v>2.5998258733830966</v>
      </c>
      <c r="O307">
        <f t="shared" ca="1" si="97"/>
        <v>2.5264713933583589E-4</v>
      </c>
      <c r="P307">
        <f t="shared" ca="1" si="98"/>
        <v>39452.207853400461</v>
      </c>
      <c r="Q307">
        <f t="shared" ca="1" si="99"/>
        <v>39452.207853403714</v>
      </c>
      <c r="R307">
        <f t="shared" ca="1" si="100"/>
        <v>4.0174665839379384E-12</v>
      </c>
      <c r="S307">
        <f t="shared" ca="1" si="118"/>
        <v>6.606526076211594E-4</v>
      </c>
      <c r="T307">
        <f t="shared" ca="1" si="119"/>
        <v>1</v>
      </c>
      <c r="U307">
        <f t="shared" ca="1" si="101"/>
        <v>0.05</v>
      </c>
      <c r="V307">
        <f t="shared" ca="1" si="102"/>
        <v>0.26</v>
      </c>
      <c r="W307">
        <f t="shared" ca="1" si="103"/>
        <v>4.9056603773584909E-2</v>
      </c>
      <c r="X307">
        <f t="shared" ca="1" si="104"/>
        <v>196.15384615384616</v>
      </c>
      <c r="Y307">
        <f t="shared" ca="1" si="105"/>
        <v>632.5335</v>
      </c>
      <c r="Z307">
        <f t="shared" ca="1" si="106"/>
        <v>2593.6105316486619</v>
      </c>
      <c r="AA307">
        <f t="shared" ca="1" si="107"/>
        <v>482.07306851378365</v>
      </c>
      <c r="AB307">
        <f t="shared" ca="1" si="108"/>
        <v>482.07256851378361</v>
      </c>
      <c r="AC307">
        <f t="shared" ca="1" si="109"/>
        <v>0</v>
      </c>
      <c r="AD307">
        <f ca="1">IF(V32="Supercritical",L307,U307)</f>
        <v>0.05</v>
      </c>
      <c r="AE307">
        <f t="shared" ca="1" si="110"/>
        <v>632.5335</v>
      </c>
      <c r="AF307">
        <f t="shared" ca="1" si="111"/>
        <v>2593.6105316486619</v>
      </c>
      <c r="AI307">
        <v>0</v>
      </c>
      <c r="AJ307">
        <v>0</v>
      </c>
      <c r="AK307">
        <f t="shared" si="112"/>
        <v>0</v>
      </c>
      <c r="AL307">
        <f t="shared" si="120"/>
        <v>0</v>
      </c>
      <c r="AM307">
        <f t="shared" ca="1" si="113"/>
        <v>280.07692026646265</v>
      </c>
      <c r="AN307" t="str">
        <f t="shared" ca="1" si="114"/>
        <v>Supercritical</v>
      </c>
      <c r="AO307">
        <f ca="1">IF(V32="Supercritical",R307,AA307)</f>
        <v>482.07306851378365</v>
      </c>
    </row>
    <row r="308" spans="1:41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174</v>
      </c>
      <c r="I308">
        <v>0</v>
      </c>
      <c r="J308">
        <f t="shared" si="115"/>
        <v>1</v>
      </c>
      <c r="K308">
        <f t="shared" si="116"/>
        <v>51</v>
      </c>
      <c r="L308">
        <f t="shared" ca="1" si="117"/>
        <v>38819.723973466113</v>
      </c>
      <c r="M308">
        <f t="shared" ca="1" si="95"/>
        <v>201862.5646620238</v>
      </c>
      <c r="N308">
        <f t="shared" ca="1" si="96"/>
        <v>2.5998258733813921</v>
      </c>
      <c r="O308">
        <f t="shared" ca="1" si="97"/>
        <v>2.5264714180853057E-4</v>
      </c>
      <c r="P308">
        <f t="shared" ca="1" si="98"/>
        <v>39452.206973466113</v>
      </c>
      <c r="Q308">
        <f t="shared" ca="1" si="99"/>
        <v>39452.206973469365</v>
      </c>
      <c r="R308">
        <f t="shared" ca="1" si="100"/>
        <v>4.017466662580522E-12</v>
      </c>
      <c r="S308">
        <f t="shared" ca="1" si="118"/>
        <v>8.799343413556926E-4</v>
      </c>
      <c r="T308">
        <f t="shared" ca="1" si="119"/>
        <v>1</v>
      </c>
      <c r="U308">
        <f t="shared" ca="1" si="101"/>
        <v>0.05</v>
      </c>
      <c r="V308">
        <f t="shared" ca="1" si="102"/>
        <v>0.26</v>
      </c>
      <c r="W308">
        <f t="shared" ca="1" si="103"/>
        <v>4.9056603773584909E-2</v>
      </c>
      <c r="X308">
        <f t="shared" ca="1" si="104"/>
        <v>196.15384615384616</v>
      </c>
      <c r="Y308">
        <f t="shared" ca="1" si="105"/>
        <v>632.5329999999999</v>
      </c>
      <c r="Z308">
        <f t="shared" ca="1" si="106"/>
        <v>2593.6100316486618</v>
      </c>
      <c r="AA308">
        <f t="shared" ca="1" si="107"/>
        <v>482.07306851378365</v>
      </c>
      <c r="AB308">
        <f t="shared" ca="1" si="108"/>
        <v>482.25887083179077</v>
      </c>
      <c r="AC308">
        <f t="shared" ca="1" si="109"/>
        <v>0</v>
      </c>
      <c r="AD308">
        <f ca="1">IF(V32="Supercritical",L308,U308)</f>
        <v>0.05</v>
      </c>
      <c r="AE308">
        <f t="shared" ca="1" si="110"/>
        <v>632.5329999999999</v>
      </c>
      <c r="AF308">
        <f t="shared" ca="1" si="111"/>
        <v>2593.6100316486618</v>
      </c>
      <c r="AI308">
        <v>0</v>
      </c>
      <c r="AJ308">
        <v>0</v>
      </c>
      <c r="AK308">
        <f t="shared" si="112"/>
        <v>0</v>
      </c>
      <c r="AL308">
        <f t="shared" si="120"/>
        <v>0</v>
      </c>
      <c r="AM308">
        <f t="shared" ca="1" si="113"/>
        <v>280.07692026646265</v>
      </c>
      <c r="AN308" t="str">
        <f t="shared" ca="1" si="114"/>
        <v>Supercritical</v>
      </c>
      <c r="AO308">
        <f ca="1">IF(V32="Supercritical",R308,AA308)</f>
        <v>482.07306851378365</v>
      </c>
    </row>
    <row r="309" spans="1:41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174</v>
      </c>
      <c r="I309">
        <v>5.7000000000000002E-2</v>
      </c>
      <c r="J309">
        <f t="shared" si="115"/>
        <v>1</v>
      </c>
      <c r="K309">
        <f t="shared" si="116"/>
        <v>51</v>
      </c>
      <c r="L309">
        <f t="shared" ca="1" si="117"/>
        <v>38819.723818183578</v>
      </c>
      <c r="M309">
        <f t="shared" ca="1" si="95"/>
        <v>201862.56385455461</v>
      </c>
      <c r="N309">
        <f t="shared" ca="1" si="96"/>
        <v>2.5998258733806958</v>
      </c>
      <c r="O309">
        <f t="shared" ca="1" si="97"/>
        <v>2.5264714281914285E-4</v>
      </c>
      <c r="P309">
        <f t="shared" ca="1" si="98"/>
        <v>39452.206318183577</v>
      </c>
      <c r="Q309">
        <f t="shared" ca="1" si="99"/>
        <v>39452.206318186829</v>
      </c>
      <c r="R309">
        <f t="shared" ca="1" si="100"/>
        <v>4.0174666947224439E-12</v>
      </c>
      <c r="S309">
        <f t="shared" ca="1" si="118"/>
        <v>6.5528252889635041E-4</v>
      </c>
      <c r="T309">
        <f t="shared" ca="1" si="119"/>
        <v>1</v>
      </c>
      <c r="U309">
        <f t="shared" ca="1" si="101"/>
        <v>0.05</v>
      </c>
      <c r="V309">
        <f t="shared" ca="1" si="102"/>
        <v>0.26</v>
      </c>
      <c r="W309">
        <f t="shared" ca="1" si="103"/>
        <v>4.9056603773584909E-2</v>
      </c>
      <c r="X309">
        <f t="shared" ca="1" si="104"/>
        <v>196.15384615384616</v>
      </c>
      <c r="Y309">
        <f t="shared" ca="1" si="105"/>
        <v>632.53249999999991</v>
      </c>
      <c r="Z309">
        <f t="shared" ca="1" si="106"/>
        <v>2593.6095316486621</v>
      </c>
      <c r="AA309">
        <f t="shared" ca="1" si="107"/>
        <v>482.07306851378365</v>
      </c>
      <c r="AB309">
        <f t="shared" ca="1" si="108"/>
        <v>482.25887083179032</v>
      </c>
      <c r="AC309">
        <f t="shared" ca="1" si="109"/>
        <v>0</v>
      </c>
      <c r="AD309">
        <f ca="1">IF(V32="Supercritical",L309,U309)</f>
        <v>0.05</v>
      </c>
      <c r="AE309">
        <f t="shared" ca="1" si="110"/>
        <v>632.53249999999991</v>
      </c>
      <c r="AF309">
        <f t="shared" ca="1" si="111"/>
        <v>2593.6095316486621</v>
      </c>
      <c r="AI309">
        <v>0</v>
      </c>
      <c r="AJ309">
        <v>0</v>
      </c>
      <c r="AK309">
        <f t="shared" si="112"/>
        <v>0</v>
      </c>
      <c r="AL309">
        <f t="shared" si="120"/>
        <v>0</v>
      </c>
      <c r="AM309">
        <f t="shared" ca="1" si="113"/>
        <v>280.07692026646265</v>
      </c>
      <c r="AN309" t="str">
        <f t="shared" ca="1" si="114"/>
        <v>Supercritical</v>
      </c>
      <c r="AO309">
        <f ca="1">IF(V32="Supercritical",R309,AA309)</f>
        <v>482.07306851378365</v>
      </c>
    </row>
    <row r="310" spans="1:41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174</v>
      </c>
      <c r="I310">
        <v>5.7000000000000002E-2</v>
      </c>
      <c r="J310">
        <f t="shared" si="115"/>
        <v>1</v>
      </c>
      <c r="K310">
        <f t="shared" si="116"/>
        <v>51</v>
      </c>
      <c r="L310">
        <f t="shared" ca="1" si="117"/>
        <v>38819.723453490071</v>
      </c>
      <c r="M310">
        <f t="shared" ca="1" si="95"/>
        <v>201862.56195814838</v>
      </c>
      <c r="N310">
        <f t="shared" ca="1" si="96"/>
        <v>2.5998258733790602</v>
      </c>
      <c r="O310">
        <f t="shared" ca="1" si="97"/>
        <v>2.5264714519264691E-4</v>
      </c>
      <c r="P310">
        <f t="shared" ca="1" si="98"/>
        <v>39452.205453490067</v>
      </c>
      <c r="Q310">
        <f t="shared" ca="1" si="99"/>
        <v>39452.20545349332</v>
      </c>
      <c r="R310">
        <f t="shared" ca="1" si="100"/>
        <v>4.017466770210331E-12</v>
      </c>
      <c r="S310">
        <f t="shared" ca="1" si="118"/>
        <v>8.6469350208062679E-4</v>
      </c>
      <c r="T310">
        <f t="shared" ca="1" si="119"/>
        <v>1</v>
      </c>
      <c r="U310">
        <f t="shared" ca="1" si="101"/>
        <v>0.05</v>
      </c>
      <c r="V310">
        <f t="shared" ca="1" si="102"/>
        <v>0.26</v>
      </c>
      <c r="W310">
        <f t="shared" ca="1" si="103"/>
        <v>4.9056603773584909E-2</v>
      </c>
      <c r="X310">
        <f t="shared" ca="1" si="104"/>
        <v>196.15384615384616</v>
      </c>
      <c r="Y310">
        <f t="shared" ca="1" si="105"/>
        <v>632.53199999999993</v>
      </c>
      <c r="Z310">
        <f t="shared" ca="1" si="106"/>
        <v>2593.609031648662</v>
      </c>
      <c r="AA310">
        <f t="shared" ca="1" si="107"/>
        <v>482.07306851378365</v>
      </c>
      <c r="AB310">
        <f t="shared" ca="1" si="108"/>
        <v>482.07256851378361</v>
      </c>
      <c r="AC310">
        <f t="shared" ca="1" si="109"/>
        <v>0</v>
      </c>
      <c r="AD310">
        <f ca="1">IF(V32="Supercritical",L310,U310)</f>
        <v>0.05</v>
      </c>
      <c r="AE310">
        <f t="shared" ca="1" si="110"/>
        <v>632.53199999999993</v>
      </c>
      <c r="AF310">
        <f t="shared" ca="1" si="111"/>
        <v>2593.609031648662</v>
      </c>
      <c r="AI310">
        <v>0</v>
      </c>
      <c r="AJ310">
        <v>0</v>
      </c>
      <c r="AK310">
        <f t="shared" si="112"/>
        <v>0</v>
      </c>
      <c r="AL310">
        <f t="shared" si="120"/>
        <v>0</v>
      </c>
      <c r="AM310">
        <f t="shared" ca="1" si="113"/>
        <v>280.07692026646265</v>
      </c>
      <c r="AN310" t="str">
        <f t="shared" ca="1" si="114"/>
        <v>Supercritical</v>
      </c>
      <c r="AO310">
        <f ca="1">IF(V32="Supercritical",R310,AA310)</f>
        <v>482.07306851378365</v>
      </c>
    </row>
    <row r="311" spans="1:41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174</v>
      </c>
      <c r="I311">
        <v>0</v>
      </c>
      <c r="J311">
        <f t="shared" si="115"/>
        <v>1</v>
      </c>
      <c r="K311">
        <f t="shared" si="116"/>
        <v>51</v>
      </c>
      <c r="L311">
        <f t="shared" ca="1" si="117"/>
        <v>38819.723300897102</v>
      </c>
      <c r="M311">
        <f t="shared" ca="1" si="95"/>
        <v>201862.56116466495</v>
      </c>
      <c r="N311">
        <f t="shared" ca="1" si="96"/>
        <v>2.5998258733783759</v>
      </c>
      <c r="O311">
        <f t="shared" ca="1" si="97"/>
        <v>2.526471461857549E-4</v>
      </c>
      <c r="P311">
        <f t="shared" ca="1" si="98"/>
        <v>39452.204800897103</v>
      </c>
      <c r="Q311">
        <f t="shared" ca="1" si="99"/>
        <v>39452.204800900356</v>
      </c>
      <c r="R311">
        <f t="shared" ca="1" si="100"/>
        <v>4.0174668017955426E-12</v>
      </c>
      <c r="S311">
        <f t="shared" ca="1" si="118"/>
        <v>6.5259295661235228E-4</v>
      </c>
      <c r="T311">
        <f t="shared" ca="1" si="119"/>
        <v>1</v>
      </c>
      <c r="U311">
        <f t="shared" ca="1" si="101"/>
        <v>0.05</v>
      </c>
      <c r="V311">
        <f t="shared" ca="1" si="102"/>
        <v>0.26</v>
      </c>
      <c r="W311">
        <f t="shared" ca="1" si="103"/>
        <v>4.9056603773584909E-2</v>
      </c>
      <c r="X311">
        <f t="shared" ca="1" si="104"/>
        <v>196.15384615384616</v>
      </c>
      <c r="Y311">
        <f t="shared" ca="1" si="105"/>
        <v>632.53149999999994</v>
      </c>
      <c r="Z311">
        <f t="shared" ca="1" si="106"/>
        <v>2593.6085316486619</v>
      </c>
      <c r="AA311">
        <f t="shared" ca="1" si="107"/>
        <v>482.07306851378365</v>
      </c>
      <c r="AB311">
        <f t="shared" ca="1" si="108"/>
        <v>482.25887083179077</v>
      </c>
      <c r="AC311">
        <f t="shared" ca="1" si="109"/>
        <v>0</v>
      </c>
      <c r="AD311">
        <f ca="1">IF(V32="Supercritical",L311,U311)</f>
        <v>0.05</v>
      </c>
      <c r="AE311">
        <f t="shared" ca="1" si="110"/>
        <v>632.53149999999994</v>
      </c>
      <c r="AF311">
        <f t="shared" ca="1" si="111"/>
        <v>2593.6085316486619</v>
      </c>
      <c r="AI311">
        <v>0</v>
      </c>
      <c r="AJ311">
        <v>0</v>
      </c>
      <c r="AK311">
        <f t="shared" si="112"/>
        <v>0</v>
      </c>
      <c r="AL311">
        <f t="shared" si="120"/>
        <v>0</v>
      </c>
      <c r="AM311">
        <f t="shared" ca="1" si="113"/>
        <v>280.07692026646265</v>
      </c>
      <c r="AN311" t="str">
        <f t="shared" ca="1" si="114"/>
        <v>Supercritical</v>
      </c>
      <c r="AO311">
        <f ca="1">IF(V32="Supercritical",R311,AA311)</f>
        <v>482.07306851378365</v>
      </c>
    </row>
    <row r="312" spans="1:41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174</v>
      </c>
      <c r="I312">
        <v>5.7000000000000002E-2</v>
      </c>
      <c r="J312">
        <f t="shared" si="115"/>
        <v>1</v>
      </c>
      <c r="K312">
        <f t="shared" si="116"/>
        <v>51</v>
      </c>
      <c r="L312">
        <f t="shared" ca="1" si="117"/>
        <v>38819.722944393543</v>
      </c>
      <c r="M312">
        <f t="shared" ca="1" si="95"/>
        <v>201862.55931084644</v>
      </c>
      <c r="N312">
        <f t="shared" ca="1" si="96"/>
        <v>2.5998258733767767</v>
      </c>
      <c r="O312">
        <f t="shared" ca="1" si="97"/>
        <v>2.5264714850595715E-4</v>
      </c>
      <c r="P312">
        <f t="shared" ca="1" si="98"/>
        <v>39452.203944393543</v>
      </c>
      <c r="Q312">
        <f t="shared" ca="1" si="99"/>
        <v>39452.203944396795</v>
      </c>
      <c r="R312">
        <f t="shared" ca="1" si="100"/>
        <v>4.0174668755881949E-12</v>
      </c>
      <c r="S312">
        <f t="shared" ca="1" si="118"/>
        <v>8.5650355322286487E-4</v>
      </c>
      <c r="T312">
        <f t="shared" ca="1" si="119"/>
        <v>1</v>
      </c>
      <c r="U312">
        <f t="shared" ca="1" si="101"/>
        <v>0.05</v>
      </c>
      <c r="V312">
        <f t="shared" ca="1" si="102"/>
        <v>0.26</v>
      </c>
      <c r="W312">
        <f t="shared" ca="1" si="103"/>
        <v>4.9056603773584909E-2</v>
      </c>
      <c r="X312">
        <f t="shared" ca="1" si="104"/>
        <v>196.15384615384616</v>
      </c>
      <c r="Y312">
        <f t="shared" ca="1" si="105"/>
        <v>632.53099999999995</v>
      </c>
      <c r="Z312">
        <f t="shared" ca="1" si="106"/>
        <v>2593.6080316486623</v>
      </c>
      <c r="AA312">
        <f t="shared" ca="1" si="107"/>
        <v>482.07306851378365</v>
      </c>
      <c r="AB312">
        <f t="shared" ca="1" si="108"/>
        <v>482.74094390030632</v>
      </c>
      <c r="AC312">
        <f t="shared" ca="1" si="109"/>
        <v>0</v>
      </c>
      <c r="AD312">
        <f ca="1">IF(V32="Supercritical",L312,U312)</f>
        <v>0.05</v>
      </c>
      <c r="AE312">
        <f t="shared" ca="1" si="110"/>
        <v>632.53099999999995</v>
      </c>
      <c r="AF312">
        <f t="shared" ca="1" si="111"/>
        <v>2593.6080316486623</v>
      </c>
      <c r="AI312">
        <v>0</v>
      </c>
      <c r="AJ312">
        <v>0</v>
      </c>
      <c r="AK312">
        <f t="shared" si="112"/>
        <v>0</v>
      </c>
      <c r="AL312">
        <f t="shared" si="120"/>
        <v>0</v>
      </c>
      <c r="AM312">
        <f t="shared" ca="1" si="113"/>
        <v>280.07692026646265</v>
      </c>
      <c r="AN312" t="str">
        <f t="shared" ca="1" si="114"/>
        <v>Supercritical</v>
      </c>
      <c r="AO312">
        <f ca="1">IF(V32="Supercritical",R312,AA312)</f>
        <v>482.07306851378365</v>
      </c>
    </row>
    <row r="313" spans="1:41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174</v>
      </c>
      <c r="I313">
        <v>5.7000000000000002E-2</v>
      </c>
      <c r="J313">
        <f t="shared" si="115"/>
        <v>1.0010000000000048</v>
      </c>
      <c r="K313">
        <f t="shared" si="116"/>
        <v>51</v>
      </c>
      <c r="L313">
        <f t="shared" ca="1" si="117"/>
        <v>38819.722793245855</v>
      </c>
      <c r="M313">
        <f t="shared" ca="1" si="95"/>
        <v>201862.55852487846</v>
      </c>
      <c r="N313">
        <f t="shared" ca="1" si="96"/>
        <v>2.5998258733760991</v>
      </c>
      <c r="O313">
        <f t="shared" ca="1" si="97"/>
        <v>2.5264714948965898E-4</v>
      </c>
      <c r="P313">
        <f t="shared" ca="1" si="98"/>
        <v>39452.203293245853</v>
      </c>
      <c r="Q313">
        <f t="shared" ca="1" si="99"/>
        <v>39452.203293249106</v>
      </c>
      <c r="R313">
        <f t="shared" ca="1" si="100"/>
        <v>4.0174669068742458E-12</v>
      </c>
      <c r="S313">
        <f t="shared" ca="1" si="118"/>
        <v>6.5114768221974373E-4</v>
      </c>
      <c r="T313">
        <f t="shared" ca="1" si="119"/>
        <v>1</v>
      </c>
      <c r="U313">
        <f t="shared" ca="1" si="101"/>
        <v>0.05</v>
      </c>
      <c r="V313">
        <f t="shared" ca="1" si="102"/>
        <v>0.26</v>
      </c>
      <c r="W313">
        <f t="shared" ca="1" si="103"/>
        <v>4.9056603773584909E-2</v>
      </c>
      <c r="X313">
        <f t="shared" ca="1" si="104"/>
        <v>196.15384615384616</v>
      </c>
      <c r="Y313">
        <f t="shared" ca="1" si="105"/>
        <v>632.53049999999996</v>
      </c>
      <c r="Z313">
        <f t="shared" ca="1" si="106"/>
        <v>2593.6075316486622</v>
      </c>
      <c r="AA313">
        <f t="shared" ca="1" si="107"/>
        <v>482.07306851378365</v>
      </c>
      <c r="AB313">
        <f t="shared" ca="1" si="108"/>
        <v>482.25233390835137</v>
      </c>
      <c r="AC313">
        <f t="shared" ca="1" si="109"/>
        <v>0</v>
      </c>
      <c r="AD313">
        <f ca="1">IF(V32="Supercritical",L313,U313)</f>
        <v>0.05</v>
      </c>
      <c r="AE313">
        <f t="shared" ca="1" si="110"/>
        <v>632.53049999999996</v>
      </c>
      <c r="AF313">
        <f t="shared" ca="1" si="111"/>
        <v>2593.6075316486622</v>
      </c>
      <c r="AI313">
        <v>0</v>
      </c>
      <c r="AJ313">
        <v>0</v>
      </c>
      <c r="AK313">
        <f t="shared" si="112"/>
        <v>0</v>
      </c>
      <c r="AL313">
        <f t="shared" si="120"/>
        <v>0</v>
      </c>
      <c r="AM313">
        <f t="shared" ca="1" si="113"/>
        <v>280.07692026646265</v>
      </c>
      <c r="AN313" t="str">
        <f t="shared" ca="1" si="114"/>
        <v>Supercritical</v>
      </c>
      <c r="AO313">
        <f ca="1">IF(V32="Supercritical",R313,AA313)</f>
        <v>482.07306851378365</v>
      </c>
    </row>
    <row r="314" spans="1:41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174</v>
      </c>
      <c r="I314">
        <v>5.5E-2</v>
      </c>
      <c r="J314">
        <f t="shared" si="115"/>
        <v>1</v>
      </c>
      <c r="K314">
        <f t="shared" si="116"/>
        <v>51</v>
      </c>
      <c r="L314">
        <f t="shared" ca="1" si="117"/>
        <v>38819.722440958445</v>
      </c>
      <c r="M314">
        <f t="shared" ca="1" si="95"/>
        <v>201862.55669298393</v>
      </c>
      <c r="N314">
        <f t="shared" ca="1" si="96"/>
        <v>2.5998258733745185</v>
      </c>
      <c r="O314">
        <f t="shared" ca="1" si="97"/>
        <v>2.5264715178242164E-4</v>
      </c>
      <c r="P314">
        <f t="shared" ca="1" si="98"/>
        <v>39452.202440958448</v>
      </c>
      <c r="Q314">
        <f t="shared" ca="1" si="99"/>
        <v>39452.202440961701</v>
      </c>
      <c r="R314">
        <f t="shared" ca="1" si="100"/>
        <v>4.0174669797942024E-12</v>
      </c>
      <c r="S314">
        <f t="shared" ca="1" si="118"/>
        <v>8.5228739771991968E-4</v>
      </c>
      <c r="T314">
        <f t="shared" ca="1" si="119"/>
        <v>1</v>
      </c>
      <c r="U314">
        <f t="shared" ca="1" si="101"/>
        <v>0.05</v>
      </c>
      <c r="V314">
        <f t="shared" ca="1" si="102"/>
        <v>0.26</v>
      </c>
      <c r="W314">
        <f t="shared" ca="1" si="103"/>
        <v>4.9056603773584909E-2</v>
      </c>
      <c r="X314">
        <f t="shared" ca="1" si="104"/>
        <v>196.15384615384616</v>
      </c>
      <c r="Y314">
        <f t="shared" ca="1" si="105"/>
        <v>632.53</v>
      </c>
      <c r="Z314">
        <f t="shared" ca="1" si="106"/>
        <v>2593.6070316486621</v>
      </c>
      <c r="AA314">
        <f t="shared" ca="1" si="107"/>
        <v>482.07306851378365</v>
      </c>
      <c r="AB314">
        <f t="shared" ca="1" si="108"/>
        <v>481.77026083983537</v>
      </c>
      <c r="AC314">
        <f t="shared" ca="1" si="109"/>
        <v>0</v>
      </c>
      <c r="AD314">
        <f ca="1">IF(V32="Supercritical",L314,U314)</f>
        <v>0.05</v>
      </c>
      <c r="AE314">
        <f t="shared" ca="1" si="110"/>
        <v>632.53</v>
      </c>
      <c r="AF314">
        <f t="shared" ca="1" si="111"/>
        <v>2593.6070316486621</v>
      </c>
      <c r="AI314">
        <v>0</v>
      </c>
      <c r="AJ314">
        <v>0</v>
      </c>
      <c r="AK314">
        <f t="shared" si="112"/>
        <v>0</v>
      </c>
      <c r="AL314">
        <f t="shared" si="120"/>
        <v>0</v>
      </c>
      <c r="AM314">
        <f t="shared" ca="1" si="113"/>
        <v>280.07692026646265</v>
      </c>
      <c r="AN314" t="str">
        <f t="shared" ca="1" si="114"/>
        <v>Supercritical</v>
      </c>
      <c r="AO314">
        <f ca="1">IF(V32="Supercritical",R314,AA314)</f>
        <v>482.07306851378365</v>
      </c>
    </row>
    <row r="315" spans="1:41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174</v>
      </c>
      <c r="I315">
        <v>5.5E-2</v>
      </c>
      <c r="J315">
        <f t="shared" si="115"/>
        <v>0.99899999999999523</v>
      </c>
      <c r="K315">
        <f t="shared" si="116"/>
        <v>51</v>
      </c>
      <c r="L315">
        <f t="shared" ca="1" si="117"/>
        <v>38819.722290554782</v>
      </c>
      <c r="M315">
        <f t="shared" ca="1" si="95"/>
        <v>201862.55591088487</v>
      </c>
      <c r="N315">
        <f t="shared" ca="1" si="96"/>
        <v>2.599825873373844</v>
      </c>
      <c r="O315">
        <f t="shared" ca="1" si="97"/>
        <v>2.5264715276128121E-4</v>
      </c>
      <c r="P315">
        <f t="shared" ca="1" si="98"/>
        <v>39452.201790554784</v>
      </c>
      <c r="Q315">
        <f t="shared" ca="1" si="99"/>
        <v>39452.201790558036</v>
      </c>
      <c r="R315">
        <f t="shared" ca="1" si="100"/>
        <v>4.0174670109262515E-12</v>
      </c>
      <c r="S315">
        <f t="shared" ca="1" si="118"/>
        <v>6.5040365734603256E-4</v>
      </c>
      <c r="T315">
        <f t="shared" ca="1" si="119"/>
        <v>1</v>
      </c>
      <c r="U315">
        <f t="shared" ca="1" si="101"/>
        <v>0.05</v>
      </c>
      <c r="V315">
        <f t="shared" ca="1" si="102"/>
        <v>0.26</v>
      </c>
      <c r="W315">
        <f t="shared" ca="1" si="103"/>
        <v>4.9056603773584909E-2</v>
      </c>
      <c r="X315">
        <f t="shared" ca="1" si="104"/>
        <v>196.15384615384616</v>
      </c>
      <c r="Y315">
        <f t="shared" ca="1" si="105"/>
        <v>632.52949999999998</v>
      </c>
      <c r="Z315">
        <f t="shared" ca="1" si="106"/>
        <v>2593.606531648662</v>
      </c>
      <c r="AA315">
        <f t="shared" ca="1" si="107"/>
        <v>482.07306851378365</v>
      </c>
      <c r="AB315">
        <f t="shared" ca="1" si="108"/>
        <v>482.07256851378361</v>
      </c>
      <c r="AC315">
        <f t="shared" ca="1" si="109"/>
        <v>0</v>
      </c>
      <c r="AD315">
        <f ca="1">IF(V32="Supercritical",L315,U315)</f>
        <v>0.05</v>
      </c>
      <c r="AE315">
        <f t="shared" ca="1" si="110"/>
        <v>632.52949999999998</v>
      </c>
      <c r="AF315">
        <f t="shared" ca="1" si="111"/>
        <v>2593.606531648662</v>
      </c>
      <c r="AI315">
        <v>0</v>
      </c>
      <c r="AJ315">
        <v>0</v>
      </c>
      <c r="AK315">
        <f t="shared" si="112"/>
        <v>0</v>
      </c>
      <c r="AL315">
        <f t="shared" si="120"/>
        <v>0</v>
      </c>
      <c r="AM315">
        <f t="shared" ca="1" si="113"/>
        <v>280.07692026646265</v>
      </c>
      <c r="AN315" t="str">
        <f t="shared" ca="1" si="114"/>
        <v>Supercritical</v>
      </c>
      <c r="AO315">
        <f ca="1">IF(V32="Supercritical",R315,AA315)</f>
        <v>482.07306851378365</v>
      </c>
    </row>
    <row r="316" spans="1:41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174</v>
      </c>
      <c r="I316">
        <v>0</v>
      </c>
      <c r="J316">
        <f t="shared" si="115"/>
        <v>1</v>
      </c>
      <c r="K316">
        <f t="shared" si="116"/>
        <v>51</v>
      </c>
      <c r="L316">
        <f t="shared" ca="1" si="117"/>
        <v>38819.721940010772</v>
      </c>
      <c r="M316">
        <f t="shared" ca="1" si="95"/>
        <v>201862.55408805603</v>
      </c>
      <c r="N316">
        <f t="shared" ca="1" si="96"/>
        <v>2.5998258733722719</v>
      </c>
      <c r="O316">
        <f t="shared" ca="1" si="97"/>
        <v>2.5264715504269748E-4</v>
      </c>
      <c r="P316">
        <f t="shared" ca="1" si="98"/>
        <v>39452.200940010771</v>
      </c>
      <c r="Q316">
        <f t="shared" ca="1" si="99"/>
        <v>39452.200940014023</v>
      </c>
      <c r="R316">
        <f t="shared" ca="1" si="100"/>
        <v>4.0174670834853417E-12</v>
      </c>
      <c r="S316">
        <f t="shared" ca="1" si="118"/>
        <v>8.5054400551598519E-4</v>
      </c>
      <c r="T316">
        <f t="shared" ca="1" si="119"/>
        <v>1</v>
      </c>
      <c r="U316">
        <f t="shared" ca="1" si="101"/>
        <v>0.05</v>
      </c>
      <c r="V316">
        <f t="shared" ca="1" si="102"/>
        <v>0.26</v>
      </c>
      <c r="W316">
        <f t="shared" ca="1" si="103"/>
        <v>4.9056603773584909E-2</v>
      </c>
      <c r="X316">
        <f t="shared" ca="1" si="104"/>
        <v>196.15384615384616</v>
      </c>
      <c r="Y316">
        <f t="shared" ca="1" si="105"/>
        <v>632.529</v>
      </c>
      <c r="Z316">
        <f t="shared" ca="1" si="106"/>
        <v>2593.6060316486619</v>
      </c>
      <c r="AA316">
        <f t="shared" ca="1" si="107"/>
        <v>482.07306851378365</v>
      </c>
      <c r="AB316">
        <f t="shared" ca="1" si="108"/>
        <v>482.25887083179077</v>
      </c>
      <c r="AC316">
        <f t="shared" ca="1" si="109"/>
        <v>0</v>
      </c>
      <c r="AD316">
        <f ca="1">IF(V32="Supercritical",L316,U316)</f>
        <v>0.05</v>
      </c>
      <c r="AE316">
        <f t="shared" ca="1" si="110"/>
        <v>632.529</v>
      </c>
      <c r="AF316">
        <f t="shared" ca="1" si="111"/>
        <v>2593.6060316486619</v>
      </c>
      <c r="AI316">
        <v>0</v>
      </c>
      <c r="AJ316">
        <v>0</v>
      </c>
      <c r="AK316">
        <f t="shared" si="112"/>
        <v>0</v>
      </c>
      <c r="AL316">
        <f t="shared" si="120"/>
        <v>0</v>
      </c>
      <c r="AM316">
        <f t="shared" ca="1" si="113"/>
        <v>280.07692026646265</v>
      </c>
      <c r="AN316" t="str">
        <f t="shared" ca="1" si="114"/>
        <v>Supercritical</v>
      </c>
      <c r="AO316">
        <f ca="1">IF(V32="Supercritical",R316,AA316)</f>
        <v>482.07306851378365</v>
      </c>
    </row>
    <row r="317" spans="1:41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174</v>
      </c>
      <c r="I317">
        <v>5.7000000000000002E-2</v>
      </c>
      <c r="J317">
        <f t="shared" si="115"/>
        <v>1</v>
      </c>
      <c r="K317">
        <f t="shared" si="116"/>
        <v>51</v>
      </c>
      <c r="L317">
        <f t="shared" ca="1" si="117"/>
        <v>38819.721789914773</v>
      </c>
      <c r="M317">
        <f t="shared" ca="1" si="95"/>
        <v>201862.55330755684</v>
      </c>
      <c r="N317">
        <f t="shared" ca="1" si="96"/>
        <v>2.5998258733715987</v>
      </c>
      <c r="O317">
        <f t="shared" ca="1" si="97"/>
        <v>2.5264715601955475E-4</v>
      </c>
      <c r="P317">
        <f t="shared" ca="1" si="98"/>
        <v>39452.20028991477</v>
      </c>
      <c r="Q317">
        <f t="shared" ca="1" si="99"/>
        <v>39452.200289918022</v>
      </c>
      <c r="R317">
        <f t="shared" ca="1" si="100"/>
        <v>4.0174671145537067E-12</v>
      </c>
      <c r="S317">
        <f t="shared" ca="1" si="118"/>
        <v>6.5009599347831681E-4</v>
      </c>
      <c r="T317">
        <f t="shared" ca="1" si="119"/>
        <v>1</v>
      </c>
      <c r="U317">
        <f t="shared" ca="1" si="101"/>
        <v>0.05</v>
      </c>
      <c r="V317">
        <f t="shared" ca="1" si="102"/>
        <v>0.26</v>
      </c>
      <c r="W317">
        <f t="shared" ca="1" si="103"/>
        <v>4.9056603773584909E-2</v>
      </c>
      <c r="X317">
        <f t="shared" ca="1" si="104"/>
        <v>196.15384615384616</v>
      </c>
      <c r="Y317">
        <f t="shared" ca="1" si="105"/>
        <v>632.52850000000001</v>
      </c>
      <c r="Z317">
        <f t="shared" ca="1" si="106"/>
        <v>2593.6055316486622</v>
      </c>
      <c r="AA317">
        <f t="shared" ca="1" si="107"/>
        <v>482.07306851378365</v>
      </c>
      <c r="AB317">
        <f t="shared" ca="1" si="108"/>
        <v>482.25887083179032</v>
      </c>
      <c r="AC317">
        <f t="shared" ca="1" si="109"/>
        <v>0</v>
      </c>
      <c r="AD317">
        <f ca="1">IF(V32="Supercritical",L317,U317)</f>
        <v>0.05</v>
      </c>
      <c r="AE317">
        <f t="shared" ca="1" si="110"/>
        <v>632.52850000000001</v>
      </c>
      <c r="AF317">
        <f t="shared" ca="1" si="111"/>
        <v>2593.6055316486622</v>
      </c>
      <c r="AI317">
        <v>0</v>
      </c>
      <c r="AJ317">
        <v>0</v>
      </c>
      <c r="AK317">
        <f t="shared" si="112"/>
        <v>0</v>
      </c>
      <c r="AL317">
        <f t="shared" si="120"/>
        <v>0</v>
      </c>
      <c r="AM317">
        <f t="shared" ca="1" si="113"/>
        <v>280.07692026646265</v>
      </c>
      <c r="AN317" t="str">
        <f t="shared" ca="1" si="114"/>
        <v>Supercritical</v>
      </c>
      <c r="AO317">
        <f ca="1">IF(V32="Supercritical",R317,AA317)</f>
        <v>482.07306851378365</v>
      </c>
    </row>
    <row r="318" spans="1:41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174</v>
      </c>
      <c r="I318">
        <v>5.7000000000000002E-2</v>
      </c>
      <c r="J318">
        <f t="shared" si="115"/>
        <v>1</v>
      </c>
      <c r="K318">
        <f t="shared" si="116"/>
        <v>51</v>
      </c>
      <c r="L318">
        <f t="shared" ca="1" si="117"/>
        <v>38819.721439484762</v>
      </c>
      <c r="M318">
        <f t="shared" ca="1" si="95"/>
        <v>201862.55148532076</v>
      </c>
      <c r="N318">
        <f t="shared" ca="1" si="96"/>
        <v>2.5998258733700266</v>
      </c>
      <c r="O318">
        <f t="shared" ca="1" si="97"/>
        <v>2.526471583002292E-4</v>
      </c>
      <c r="P318">
        <f t="shared" ca="1" si="98"/>
        <v>39452.199439484764</v>
      </c>
      <c r="Q318">
        <f t="shared" ca="1" si="99"/>
        <v>39452.199439488017</v>
      </c>
      <c r="R318">
        <f t="shared" ca="1" si="100"/>
        <v>4.0174671870892077E-12</v>
      </c>
      <c r="S318">
        <f t="shared" ca="1" si="118"/>
        <v>8.5042999853612855E-4</v>
      </c>
      <c r="T318">
        <f t="shared" ca="1" si="119"/>
        <v>1</v>
      </c>
      <c r="U318">
        <f t="shared" ca="1" si="101"/>
        <v>0.05</v>
      </c>
      <c r="V318">
        <f t="shared" ca="1" si="102"/>
        <v>0.26</v>
      </c>
      <c r="W318">
        <f t="shared" ca="1" si="103"/>
        <v>4.9056603773584909E-2</v>
      </c>
      <c r="X318">
        <f t="shared" ca="1" si="104"/>
        <v>196.15384615384616</v>
      </c>
      <c r="Y318">
        <f t="shared" ca="1" si="105"/>
        <v>632.52799999999991</v>
      </c>
      <c r="Z318">
        <f t="shared" ca="1" si="106"/>
        <v>2593.6050316486621</v>
      </c>
      <c r="AA318">
        <f t="shared" ca="1" si="107"/>
        <v>482.07306851378365</v>
      </c>
      <c r="AB318">
        <f t="shared" ca="1" si="108"/>
        <v>482.07256851378361</v>
      </c>
      <c r="AC318">
        <f t="shared" ca="1" si="109"/>
        <v>0</v>
      </c>
      <c r="AD318">
        <f ca="1">IF(V32="Supercritical",L318,U318)</f>
        <v>0.05</v>
      </c>
      <c r="AE318">
        <f t="shared" ca="1" si="110"/>
        <v>632.52799999999991</v>
      </c>
      <c r="AF318">
        <f t="shared" ca="1" si="111"/>
        <v>2593.6050316486621</v>
      </c>
      <c r="AI318">
        <v>0</v>
      </c>
      <c r="AJ318">
        <v>0</v>
      </c>
      <c r="AK318">
        <f t="shared" si="112"/>
        <v>0</v>
      </c>
      <c r="AL318">
        <f t="shared" si="120"/>
        <v>0</v>
      </c>
      <c r="AM318">
        <f t="shared" ca="1" si="113"/>
        <v>280.07692026646265</v>
      </c>
      <c r="AN318" t="str">
        <f t="shared" ca="1" si="114"/>
        <v>Supercritical</v>
      </c>
      <c r="AO318">
        <f ca="1">IF(V32="Supercritical",R318,AA318)</f>
        <v>482.07306851378365</v>
      </c>
    </row>
    <row r="319" spans="1:41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174</v>
      </c>
      <c r="I319">
        <v>0</v>
      </c>
      <c r="J319">
        <f t="shared" si="115"/>
        <v>1</v>
      </c>
      <c r="K319">
        <f t="shared" si="116"/>
        <v>51</v>
      </c>
      <c r="L319">
        <f t="shared" ca="1" si="117"/>
        <v>38819.721289408881</v>
      </c>
      <c r="M319">
        <f t="shared" ca="1" si="95"/>
        <v>201862.55070492619</v>
      </c>
      <c r="N319">
        <f t="shared" ca="1" si="96"/>
        <v>2.5998258733693538</v>
      </c>
      <c r="O319">
        <f t="shared" ca="1" si="97"/>
        <v>2.5264715927695555E-4</v>
      </c>
      <c r="P319">
        <f t="shared" ca="1" si="98"/>
        <v>39452.198789408882</v>
      </c>
      <c r="Q319">
        <f t="shared" ca="1" si="99"/>
        <v>39452.198789412134</v>
      </c>
      <c r="R319">
        <f t="shared" ca="1" si="100"/>
        <v>4.0174672181534078E-12</v>
      </c>
      <c r="S319">
        <f t="shared" ca="1" si="118"/>
        <v>6.500758754555136E-4</v>
      </c>
      <c r="T319">
        <f t="shared" ca="1" si="119"/>
        <v>1</v>
      </c>
      <c r="U319">
        <f t="shared" ca="1" si="101"/>
        <v>0.05</v>
      </c>
      <c r="V319">
        <f t="shared" ca="1" si="102"/>
        <v>0.26</v>
      </c>
      <c r="W319">
        <f t="shared" ca="1" si="103"/>
        <v>4.9056603773584909E-2</v>
      </c>
      <c r="X319">
        <f t="shared" ca="1" si="104"/>
        <v>196.15384615384616</v>
      </c>
      <c r="Y319">
        <f t="shared" ca="1" si="105"/>
        <v>632.52749999999992</v>
      </c>
      <c r="Z319">
        <f t="shared" ca="1" si="106"/>
        <v>2593.604531648662</v>
      </c>
      <c r="AA319">
        <f t="shared" ca="1" si="107"/>
        <v>482.07306851378365</v>
      </c>
      <c r="AB319">
        <f t="shared" ca="1" si="108"/>
        <v>482.25887083179032</v>
      </c>
      <c r="AC319">
        <f t="shared" ca="1" si="109"/>
        <v>0</v>
      </c>
      <c r="AD319">
        <f ca="1">IF(V32="Supercritical",L319,U319)</f>
        <v>0.05</v>
      </c>
      <c r="AE319">
        <f t="shared" ca="1" si="110"/>
        <v>632.52749999999992</v>
      </c>
      <c r="AF319">
        <f t="shared" ca="1" si="111"/>
        <v>2593.604531648662</v>
      </c>
      <c r="AI319">
        <v>0</v>
      </c>
      <c r="AJ319">
        <v>0</v>
      </c>
      <c r="AK319">
        <f t="shared" si="112"/>
        <v>0</v>
      </c>
      <c r="AL319">
        <f t="shared" si="120"/>
        <v>0</v>
      </c>
      <c r="AM319">
        <f t="shared" ca="1" si="113"/>
        <v>280.07692026646265</v>
      </c>
      <c r="AN319" t="str">
        <f t="shared" ca="1" si="114"/>
        <v>Supercritical</v>
      </c>
      <c r="AO319">
        <f ca="1">IF(V32="Supercritical",R319,AA319)</f>
        <v>482.07306851378365</v>
      </c>
    </row>
    <row r="320" spans="1:41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174</v>
      </c>
      <c r="I320">
        <v>5.7000000000000002E-2</v>
      </c>
      <c r="J320">
        <f t="shared" si="115"/>
        <v>1</v>
      </c>
      <c r="K320">
        <f t="shared" si="116"/>
        <v>51</v>
      </c>
      <c r="L320">
        <f t="shared" ca="1" si="117"/>
        <v>38819.720937981438</v>
      </c>
      <c r="M320">
        <f t="shared" ca="1" si="95"/>
        <v>201862.54887750349</v>
      </c>
      <c r="N320">
        <f t="shared" ca="1" si="96"/>
        <v>2.5998258733677777</v>
      </c>
      <c r="O320">
        <f t="shared" ca="1" si="97"/>
        <v>2.5264716156412151E-4</v>
      </c>
      <c r="P320">
        <f t="shared" ca="1" si="98"/>
        <v>39452.197937981437</v>
      </c>
      <c r="Q320">
        <f t="shared" ca="1" si="99"/>
        <v>39452.197937984689</v>
      </c>
      <c r="R320">
        <f t="shared" ca="1" si="100"/>
        <v>4.0174672908953679E-12</v>
      </c>
      <c r="S320">
        <f t="shared" ca="1" si="118"/>
        <v>8.5142743773758411E-4</v>
      </c>
      <c r="T320">
        <f t="shared" ca="1" si="119"/>
        <v>1</v>
      </c>
      <c r="U320">
        <f t="shared" ca="1" si="101"/>
        <v>0.05</v>
      </c>
      <c r="V320">
        <f t="shared" ca="1" si="102"/>
        <v>0.26</v>
      </c>
      <c r="W320">
        <f t="shared" ca="1" si="103"/>
        <v>4.9056603773584909E-2</v>
      </c>
      <c r="X320">
        <f t="shared" ca="1" si="104"/>
        <v>196.15384615384616</v>
      </c>
      <c r="Y320">
        <f t="shared" ca="1" si="105"/>
        <v>632.52699999999993</v>
      </c>
      <c r="Z320">
        <f t="shared" ca="1" si="106"/>
        <v>2593.6040316486619</v>
      </c>
      <c r="AA320">
        <f t="shared" ca="1" si="107"/>
        <v>482.07306851378365</v>
      </c>
      <c r="AB320">
        <f t="shared" ca="1" si="108"/>
        <v>482.75074928546474</v>
      </c>
      <c r="AC320">
        <f t="shared" ca="1" si="109"/>
        <v>0</v>
      </c>
      <c r="AD320">
        <f ca="1">IF(V32="Supercritical",L320,U320)</f>
        <v>0.05</v>
      </c>
      <c r="AE320">
        <f t="shared" ca="1" si="110"/>
        <v>632.52699999999993</v>
      </c>
      <c r="AF320">
        <f t="shared" ca="1" si="111"/>
        <v>2593.6040316486619</v>
      </c>
      <c r="AI320">
        <v>0</v>
      </c>
      <c r="AJ320">
        <v>0</v>
      </c>
      <c r="AK320">
        <f t="shared" si="112"/>
        <v>0</v>
      </c>
      <c r="AL320">
        <f t="shared" si="120"/>
        <v>0</v>
      </c>
      <c r="AM320">
        <f t="shared" ca="1" si="113"/>
        <v>280.07692026646265</v>
      </c>
      <c r="AN320" t="str">
        <f t="shared" ca="1" si="114"/>
        <v>Supercritical</v>
      </c>
      <c r="AO320">
        <f ca="1">IF(V32="Supercritical",R320,AA320)</f>
        <v>482.07306851378365</v>
      </c>
    </row>
    <row r="321" spans="1:41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174</v>
      </c>
      <c r="I321">
        <v>0.06</v>
      </c>
      <c r="J321">
        <f t="shared" si="115"/>
        <v>1.0010000000000048</v>
      </c>
      <c r="K321">
        <f t="shared" si="116"/>
        <v>51</v>
      </c>
      <c r="L321">
        <f t="shared" ca="1" si="117"/>
        <v>38819.720787729537</v>
      </c>
      <c r="M321">
        <f t="shared" ca="1" si="95"/>
        <v>201862.54809619361</v>
      </c>
      <c r="N321">
        <f t="shared" ca="1" si="96"/>
        <v>2.5998258733671036</v>
      </c>
      <c r="O321">
        <f t="shared" ca="1" si="97"/>
        <v>2.5264716254199348E-4</v>
      </c>
      <c r="P321">
        <f t="shared" ca="1" si="98"/>
        <v>39452.197287729534</v>
      </c>
      <c r="Q321">
        <f t="shared" ca="1" si="99"/>
        <v>39452.197287732786</v>
      </c>
      <c r="R321">
        <f t="shared" ca="1" si="100"/>
        <v>4.0174673219960043E-12</v>
      </c>
      <c r="S321">
        <f t="shared" ca="1" si="118"/>
        <v>6.5025189542211592E-4</v>
      </c>
      <c r="T321">
        <f t="shared" ca="1" si="119"/>
        <v>1</v>
      </c>
      <c r="U321">
        <f t="shared" ca="1" si="101"/>
        <v>0.05</v>
      </c>
      <c r="V321">
        <f t="shared" ca="1" si="102"/>
        <v>0.26</v>
      </c>
      <c r="W321">
        <f t="shared" ca="1" si="103"/>
        <v>4.9056603773584909E-2</v>
      </c>
      <c r="X321">
        <f t="shared" ca="1" si="104"/>
        <v>196.15384615384616</v>
      </c>
      <c r="Y321">
        <f t="shared" ca="1" si="105"/>
        <v>632.52649999999994</v>
      </c>
      <c r="Z321">
        <f t="shared" ca="1" si="106"/>
        <v>2593.6035316486623</v>
      </c>
      <c r="AA321">
        <f t="shared" ca="1" si="107"/>
        <v>482.07306851378365</v>
      </c>
      <c r="AB321">
        <f t="shared" ca="1" si="108"/>
        <v>481.78660314843228</v>
      </c>
      <c r="AC321">
        <f t="shared" ca="1" si="109"/>
        <v>0</v>
      </c>
      <c r="AD321">
        <f ca="1">IF(V32="Supercritical",L321,U321)</f>
        <v>0.05</v>
      </c>
      <c r="AE321">
        <f t="shared" ca="1" si="110"/>
        <v>632.52649999999994</v>
      </c>
      <c r="AF321">
        <f t="shared" ca="1" si="111"/>
        <v>2593.6035316486623</v>
      </c>
      <c r="AI321">
        <v>0</v>
      </c>
      <c r="AJ321">
        <v>0</v>
      </c>
      <c r="AK321">
        <f t="shared" si="112"/>
        <v>0</v>
      </c>
      <c r="AL321">
        <f t="shared" si="120"/>
        <v>0</v>
      </c>
      <c r="AM321">
        <f t="shared" ca="1" si="113"/>
        <v>280.07692026646265</v>
      </c>
      <c r="AN321" t="str">
        <f t="shared" ca="1" si="114"/>
        <v>Supercritical</v>
      </c>
      <c r="AO321">
        <f ca="1">IF(V32="Supercritical",R321,AA321)</f>
        <v>482.07306851378365</v>
      </c>
    </row>
    <row r="322" spans="1:41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174</v>
      </c>
      <c r="I322">
        <v>0.06</v>
      </c>
      <c r="J322">
        <f t="shared" si="115"/>
        <v>0.99899999999999523</v>
      </c>
      <c r="K322">
        <f t="shared" si="116"/>
        <v>51</v>
      </c>
      <c r="L322">
        <f t="shared" ca="1" si="117"/>
        <v>38819.72043453122</v>
      </c>
      <c r="M322">
        <f t="shared" ca="1" si="95"/>
        <v>201862.54625956234</v>
      </c>
      <c r="N322">
        <f t="shared" ca="1" si="96"/>
        <v>2.5998258733655191</v>
      </c>
      <c r="O322">
        <f t="shared" ca="1" si="97"/>
        <v>2.5264716484068477E-4</v>
      </c>
      <c r="P322">
        <f t="shared" ca="1" si="98"/>
        <v>39452.196434531223</v>
      </c>
      <c r="Q322">
        <f t="shared" ca="1" si="99"/>
        <v>39452.196434534475</v>
      </c>
      <c r="R322">
        <f t="shared" ca="1" si="100"/>
        <v>4.0174673951045217E-12</v>
      </c>
      <c r="S322">
        <f t="shared" ca="1" si="118"/>
        <v>8.5319830395746976E-4</v>
      </c>
      <c r="T322">
        <f t="shared" ca="1" si="119"/>
        <v>1</v>
      </c>
      <c r="U322">
        <f t="shared" ca="1" si="101"/>
        <v>0.05</v>
      </c>
      <c r="V322">
        <f t="shared" ca="1" si="102"/>
        <v>0.26</v>
      </c>
      <c r="W322">
        <f t="shared" ca="1" si="103"/>
        <v>4.9056603773584909E-2</v>
      </c>
      <c r="X322">
        <f t="shared" ca="1" si="104"/>
        <v>196.15384615384616</v>
      </c>
      <c r="Y322">
        <f t="shared" ca="1" si="105"/>
        <v>632.52599999999995</v>
      </c>
      <c r="Z322">
        <f t="shared" ca="1" si="106"/>
        <v>2593.6030316486622</v>
      </c>
      <c r="AA322">
        <f t="shared" ca="1" si="107"/>
        <v>482.07306851378365</v>
      </c>
      <c r="AB322">
        <f t="shared" ca="1" si="108"/>
        <v>482.25887083179032</v>
      </c>
      <c r="AC322">
        <f t="shared" ca="1" si="109"/>
        <v>0</v>
      </c>
      <c r="AD322">
        <f ca="1">IF(V32="Supercritical",L322,U322)</f>
        <v>0.05</v>
      </c>
      <c r="AE322">
        <f t="shared" ca="1" si="110"/>
        <v>632.52599999999995</v>
      </c>
      <c r="AF322">
        <f t="shared" ca="1" si="111"/>
        <v>2593.6030316486622</v>
      </c>
      <c r="AI322">
        <v>0</v>
      </c>
      <c r="AJ322">
        <v>0</v>
      </c>
      <c r="AK322">
        <f t="shared" si="112"/>
        <v>0</v>
      </c>
      <c r="AL322">
        <f t="shared" si="120"/>
        <v>0</v>
      </c>
      <c r="AM322">
        <f t="shared" ca="1" si="113"/>
        <v>280.07692026646265</v>
      </c>
      <c r="AN322" t="str">
        <f t="shared" ca="1" si="114"/>
        <v>Supercritical</v>
      </c>
      <c r="AO322">
        <f ca="1">IF(V32="Supercritical",R322,AA322)</f>
        <v>482.07306851378365</v>
      </c>
    </row>
    <row r="323" spans="1:41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174</v>
      </c>
      <c r="I323">
        <v>5.7000000000000002E-2</v>
      </c>
      <c r="J323">
        <f t="shared" si="115"/>
        <v>1</v>
      </c>
      <c r="K323">
        <f t="shared" si="116"/>
        <v>51</v>
      </c>
      <c r="L323">
        <f t="shared" ca="1" si="117"/>
        <v>38819.720283966817</v>
      </c>
      <c r="M323">
        <f t="shared" ca="1" si="95"/>
        <v>201862.54547662745</v>
      </c>
      <c r="N323">
        <f t="shared" ca="1" si="96"/>
        <v>2.5998258733648441</v>
      </c>
      <c r="O323">
        <f t="shared" ca="1" si="97"/>
        <v>2.5264716582059054E-4</v>
      </c>
      <c r="P323">
        <f t="shared" ca="1" si="98"/>
        <v>39452.195783966818</v>
      </c>
      <c r="Q323">
        <f t="shared" ca="1" si="99"/>
        <v>39452.19578397007</v>
      </c>
      <c r="R323">
        <f t="shared" ca="1" si="100"/>
        <v>4.0174674262698454E-12</v>
      </c>
      <c r="S323">
        <f t="shared" ca="1" si="118"/>
        <v>6.505643978016451E-4</v>
      </c>
      <c r="T323">
        <f t="shared" ca="1" si="119"/>
        <v>1</v>
      </c>
      <c r="U323">
        <f t="shared" ca="1" si="101"/>
        <v>0.05</v>
      </c>
      <c r="V323">
        <f t="shared" ca="1" si="102"/>
        <v>0.26</v>
      </c>
      <c r="W323">
        <f t="shared" ca="1" si="103"/>
        <v>4.9056603773584909E-2</v>
      </c>
      <c r="X323">
        <f t="shared" ca="1" si="104"/>
        <v>196.15384615384616</v>
      </c>
      <c r="Y323">
        <f t="shared" ca="1" si="105"/>
        <v>632.52549999999997</v>
      </c>
      <c r="Z323">
        <f t="shared" ca="1" si="106"/>
        <v>2593.6025316486621</v>
      </c>
      <c r="AA323">
        <f t="shared" ca="1" si="107"/>
        <v>482.07306851378365</v>
      </c>
      <c r="AB323">
        <f t="shared" ca="1" si="108"/>
        <v>482.07256851378361</v>
      </c>
      <c r="AC323">
        <f t="shared" ca="1" si="109"/>
        <v>0</v>
      </c>
      <c r="AD323">
        <f ca="1">IF(V32="Supercritical",L323,U323)</f>
        <v>0.05</v>
      </c>
      <c r="AE323">
        <f t="shared" ca="1" si="110"/>
        <v>632.52549999999997</v>
      </c>
      <c r="AF323">
        <f t="shared" ca="1" si="111"/>
        <v>2593.6025316486621</v>
      </c>
      <c r="AI323">
        <v>0</v>
      </c>
      <c r="AJ323">
        <v>0</v>
      </c>
      <c r="AK323">
        <f t="shared" si="112"/>
        <v>0</v>
      </c>
      <c r="AL323">
        <f t="shared" si="120"/>
        <v>0</v>
      </c>
      <c r="AM323">
        <f t="shared" ca="1" si="113"/>
        <v>280.07692026646265</v>
      </c>
      <c r="AN323" t="str">
        <f t="shared" ca="1" si="114"/>
        <v>Supercritical</v>
      </c>
      <c r="AO323">
        <f ca="1">IF(V32="Supercritical",R323,AA323)</f>
        <v>482.07306851378365</v>
      </c>
    </row>
    <row r="324" spans="1:41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174</v>
      </c>
      <c r="I324">
        <v>0</v>
      </c>
      <c r="J324">
        <f t="shared" si="115"/>
        <v>1</v>
      </c>
      <c r="K324">
        <f t="shared" si="116"/>
        <v>51</v>
      </c>
      <c r="L324">
        <f t="shared" ca="1" si="117"/>
        <v>38819.719928454535</v>
      </c>
      <c r="M324">
        <f t="shared" ca="1" si="95"/>
        <v>201862.54362796358</v>
      </c>
      <c r="N324">
        <f t="shared" ca="1" si="96"/>
        <v>2.5998258733632493</v>
      </c>
      <c r="O324">
        <f t="shared" ca="1" si="97"/>
        <v>2.5264716813434168E-4</v>
      </c>
      <c r="P324">
        <f t="shared" ca="1" si="98"/>
        <v>39452.194928454534</v>
      </c>
      <c r="Q324">
        <f t="shared" ca="1" si="99"/>
        <v>39452.194928457786</v>
      </c>
      <c r="R324">
        <f t="shared" ca="1" si="100"/>
        <v>4.017467499857332E-12</v>
      </c>
      <c r="S324">
        <f t="shared" ca="1" si="118"/>
        <v>8.5551227675750852E-4</v>
      </c>
      <c r="T324">
        <f t="shared" ca="1" si="119"/>
        <v>1</v>
      </c>
      <c r="U324">
        <f t="shared" ca="1" si="101"/>
        <v>0.05</v>
      </c>
      <c r="V324">
        <f t="shared" ca="1" si="102"/>
        <v>0.26</v>
      </c>
      <c r="W324">
        <f t="shared" ca="1" si="103"/>
        <v>4.9056603773584909E-2</v>
      </c>
      <c r="X324">
        <f t="shared" ca="1" si="104"/>
        <v>196.15384615384616</v>
      </c>
      <c r="Y324">
        <f t="shared" ca="1" si="105"/>
        <v>632.52499999999998</v>
      </c>
      <c r="Z324">
        <f t="shared" ca="1" si="106"/>
        <v>2593.602031648662</v>
      </c>
      <c r="AA324">
        <f t="shared" ca="1" si="107"/>
        <v>482.07306851378365</v>
      </c>
      <c r="AB324">
        <f t="shared" ca="1" si="108"/>
        <v>482.25887083179032</v>
      </c>
      <c r="AC324">
        <f t="shared" ca="1" si="109"/>
        <v>0</v>
      </c>
      <c r="AD324">
        <f ca="1">IF(V32="Supercritical",L324,U324)</f>
        <v>0.05</v>
      </c>
      <c r="AE324">
        <f t="shared" ca="1" si="110"/>
        <v>632.52499999999998</v>
      </c>
      <c r="AF324">
        <f t="shared" ca="1" si="111"/>
        <v>2593.602031648662</v>
      </c>
      <c r="AI324">
        <v>0</v>
      </c>
      <c r="AJ324">
        <v>0</v>
      </c>
      <c r="AK324">
        <f t="shared" si="112"/>
        <v>0</v>
      </c>
      <c r="AL324">
        <f t="shared" si="120"/>
        <v>0</v>
      </c>
      <c r="AM324">
        <f t="shared" ca="1" si="113"/>
        <v>280.07692026646265</v>
      </c>
      <c r="AN324" t="str">
        <f t="shared" ca="1" si="114"/>
        <v>Supercritical</v>
      </c>
      <c r="AO324">
        <f ca="1">IF(V32="Supercritical",R324,AA324)</f>
        <v>482.07306851378365</v>
      </c>
    </row>
    <row r="325" spans="1:41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174</v>
      </c>
      <c r="I325">
        <v>5.7000000000000002E-2</v>
      </c>
      <c r="J325">
        <f t="shared" si="115"/>
        <v>1</v>
      </c>
      <c r="K325">
        <f t="shared" si="116"/>
        <v>51</v>
      </c>
      <c r="L325">
        <f t="shared" ca="1" si="117"/>
        <v>38819.719777481783</v>
      </c>
      <c r="M325">
        <f t="shared" ca="1" si="95"/>
        <v>201862.54284290527</v>
      </c>
      <c r="N325">
        <f t="shared" ca="1" si="96"/>
        <v>2.5998258733625721</v>
      </c>
      <c r="O325">
        <f t="shared" ca="1" si="97"/>
        <v>2.5264716911690515E-4</v>
      </c>
      <c r="P325">
        <f t="shared" ca="1" si="98"/>
        <v>39452.19427748178</v>
      </c>
      <c r="Q325">
        <f t="shared" ca="1" si="99"/>
        <v>39452.194277485032</v>
      </c>
      <c r="R325">
        <f t="shared" ca="1" si="100"/>
        <v>4.0174675311071807E-12</v>
      </c>
      <c r="S325">
        <f t="shared" ca="1" si="118"/>
        <v>6.5097274637082592E-4</v>
      </c>
      <c r="T325">
        <f t="shared" ca="1" si="119"/>
        <v>1</v>
      </c>
      <c r="U325">
        <f t="shared" ca="1" si="101"/>
        <v>0.05</v>
      </c>
      <c r="V325">
        <f t="shared" ca="1" si="102"/>
        <v>0.26</v>
      </c>
      <c r="W325">
        <f t="shared" ca="1" si="103"/>
        <v>4.9056603773584909E-2</v>
      </c>
      <c r="X325">
        <f t="shared" ca="1" si="104"/>
        <v>196.15384615384616</v>
      </c>
      <c r="Y325">
        <f t="shared" ca="1" si="105"/>
        <v>632.52449999999999</v>
      </c>
      <c r="Z325">
        <f t="shared" ca="1" si="106"/>
        <v>2593.6015316486619</v>
      </c>
      <c r="AA325">
        <f t="shared" ca="1" si="107"/>
        <v>482.07306851378365</v>
      </c>
      <c r="AB325">
        <f t="shared" ca="1" si="108"/>
        <v>482.25887083179077</v>
      </c>
      <c r="AC325">
        <f t="shared" ca="1" si="109"/>
        <v>0</v>
      </c>
      <c r="AD325">
        <f ca="1">IF(V32="Supercritical",L325,U325)</f>
        <v>0.05</v>
      </c>
      <c r="AE325">
        <f t="shared" ca="1" si="110"/>
        <v>632.52449999999999</v>
      </c>
      <c r="AF325">
        <f t="shared" ca="1" si="111"/>
        <v>2593.6015316486619</v>
      </c>
      <c r="AI325">
        <v>0</v>
      </c>
      <c r="AJ325">
        <v>0</v>
      </c>
      <c r="AK325">
        <f t="shared" si="112"/>
        <v>0</v>
      </c>
      <c r="AL325">
        <f t="shared" si="120"/>
        <v>0</v>
      </c>
      <c r="AM325">
        <f t="shared" ca="1" si="113"/>
        <v>280.07692026646265</v>
      </c>
      <c r="AN325" t="str">
        <f t="shared" ca="1" si="114"/>
        <v>Supercritical</v>
      </c>
      <c r="AO325">
        <f ca="1">IF(V32="Supercritical",R325,AA325)</f>
        <v>482.07306851378365</v>
      </c>
    </row>
    <row r="326" spans="1:41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174</v>
      </c>
      <c r="I326">
        <v>5.7000000000000002E-2</v>
      </c>
      <c r="J326">
        <f t="shared" si="115"/>
        <v>1</v>
      </c>
      <c r="K326">
        <f t="shared" si="116"/>
        <v>51</v>
      </c>
      <c r="L326">
        <f t="shared" ca="1" si="117"/>
        <v>38819.719419274552</v>
      </c>
      <c r="M326">
        <f t="shared" ca="1" si="95"/>
        <v>201862.54098022767</v>
      </c>
      <c r="N326">
        <f t="shared" ca="1" si="96"/>
        <v>2.5998258733609658</v>
      </c>
      <c r="O326">
        <f t="shared" ca="1" si="97"/>
        <v>2.5264717144819564E-4</v>
      </c>
      <c r="P326">
        <f t="shared" ca="1" si="98"/>
        <v>39452.193419274554</v>
      </c>
      <c r="Q326">
        <f t="shared" ca="1" si="99"/>
        <v>39452.193419277806</v>
      </c>
      <c r="R326">
        <f t="shared" ca="1" si="100"/>
        <v>4.0174676052524972E-12</v>
      </c>
      <c r="S326">
        <f t="shared" ca="1" si="118"/>
        <v>8.5820721869822592E-4</v>
      </c>
      <c r="T326">
        <f t="shared" ca="1" si="119"/>
        <v>1</v>
      </c>
      <c r="U326">
        <f t="shared" ca="1" si="101"/>
        <v>0.05</v>
      </c>
      <c r="V326">
        <f t="shared" ca="1" si="102"/>
        <v>0.26</v>
      </c>
      <c r="W326">
        <f t="shared" ca="1" si="103"/>
        <v>4.9056603773584909E-2</v>
      </c>
      <c r="X326">
        <f t="shared" ca="1" si="104"/>
        <v>196.15384615384616</v>
      </c>
      <c r="Y326">
        <f t="shared" ca="1" si="105"/>
        <v>632.524</v>
      </c>
      <c r="Z326">
        <f t="shared" ca="1" si="106"/>
        <v>2593.6010316486622</v>
      </c>
      <c r="AA326">
        <f t="shared" ca="1" si="107"/>
        <v>482.07306851378365</v>
      </c>
      <c r="AB326">
        <f t="shared" ca="1" si="108"/>
        <v>482.25887083179032</v>
      </c>
      <c r="AC326">
        <f t="shared" ca="1" si="109"/>
        <v>0</v>
      </c>
      <c r="AD326">
        <f ca="1">IF(V32="Supercritical",L326,U326)</f>
        <v>0.05</v>
      </c>
      <c r="AE326">
        <f t="shared" ca="1" si="110"/>
        <v>632.524</v>
      </c>
      <c r="AF326">
        <f t="shared" ca="1" si="111"/>
        <v>2593.6010316486622</v>
      </c>
      <c r="AI326">
        <v>0</v>
      </c>
      <c r="AJ326">
        <v>0</v>
      </c>
      <c r="AK326">
        <f t="shared" si="112"/>
        <v>0</v>
      </c>
      <c r="AL326">
        <f t="shared" si="120"/>
        <v>0</v>
      </c>
      <c r="AM326">
        <f t="shared" ca="1" si="113"/>
        <v>280.07692026646265</v>
      </c>
      <c r="AN326" t="str">
        <f t="shared" ca="1" si="114"/>
        <v>Supercritical</v>
      </c>
      <c r="AO326">
        <f ca="1">IF(V32="Supercritical",R326,AA326)</f>
        <v>482.07306851378365</v>
      </c>
    </row>
    <row r="327" spans="1:41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174</v>
      </c>
      <c r="I327">
        <v>5.7000000000000002E-2</v>
      </c>
      <c r="J327">
        <f t="shared" si="115"/>
        <v>1</v>
      </c>
      <c r="K327">
        <f t="shared" si="116"/>
        <v>51</v>
      </c>
      <c r="L327">
        <f t="shared" ca="1" si="117"/>
        <v>38819.719267826222</v>
      </c>
      <c r="M327">
        <f t="shared" ca="1" si="95"/>
        <v>201862.54019269635</v>
      </c>
      <c r="N327">
        <f t="shared" ca="1" si="96"/>
        <v>2.5998258733602864</v>
      </c>
      <c r="O327">
        <f t="shared" ca="1" si="97"/>
        <v>2.526471724338543E-4</v>
      </c>
      <c r="P327">
        <f t="shared" ca="1" si="98"/>
        <v>39452.192767826222</v>
      </c>
      <c r="Q327">
        <f t="shared" ca="1" si="99"/>
        <v>39452.192767829474</v>
      </c>
      <c r="R327">
        <f t="shared" ca="1" si="100"/>
        <v>4.0174676366007869E-12</v>
      </c>
      <c r="S327">
        <f t="shared" ca="1" si="118"/>
        <v>6.5144832478836179E-4</v>
      </c>
      <c r="T327">
        <f t="shared" ca="1" si="119"/>
        <v>1</v>
      </c>
      <c r="U327">
        <f t="shared" ca="1" si="101"/>
        <v>0.05</v>
      </c>
      <c r="V327">
        <f t="shared" ca="1" si="102"/>
        <v>0.26</v>
      </c>
      <c r="W327">
        <f t="shared" ca="1" si="103"/>
        <v>4.9056603773584909E-2</v>
      </c>
      <c r="X327">
        <f t="shared" ca="1" si="104"/>
        <v>196.15384615384616</v>
      </c>
      <c r="Y327">
        <f t="shared" ca="1" si="105"/>
        <v>632.5234999999999</v>
      </c>
      <c r="Z327">
        <f t="shared" ca="1" si="106"/>
        <v>2593.6005316486621</v>
      </c>
      <c r="AA327">
        <f t="shared" ca="1" si="107"/>
        <v>482.07306851378365</v>
      </c>
      <c r="AB327">
        <f t="shared" ca="1" si="108"/>
        <v>482.74094390030632</v>
      </c>
      <c r="AC327">
        <f t="shared" ca="1" si="109"/>
        <v>0</v>
      </c>
      <c r="AD327">
        <f ca="1">IF(V32="Supercritical",L327,U327)</f>
        <v>0.05</v>
      </c>
      <c r="AE327">
        <f t="shared" ca="1" si="110"/>
        <v>632.5234999999999</v>
      </c>
      <c r="AF327">
        <f t="shared" ca="1" si="111"/>
        <v>2593.6005316486621</v>
      </c>
      <c r="AI327">
        <v>0</v>
      </c>
      <c r="AJ327">
        <v>0</v>
      </c>
      <c r="AK327">
        <f t="shared" si="112"/>
        <v>0</v>
      </c>
      <c r="AL327">
        <f t="shared" si="120"/>
        <v>0</v>
      </c>
      <c r="AM327">
        <f t="shared" ca="1" si="113"/>
        <v>280.07692026646265</v>
      </c>
      <c r="AN327" t="str">
        <f t="shared" ca="1" si="114"/>
        <v>Supercritical</v>
      </c>
      <c r="AO327">
        <f ca="1">IF(V32="Supercritical",R327,AA327)</f>
        <v>482.07306851378365</v>
      </c>
    </row>
    <row r="328" spans="1:41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174</v>
      </c>
      <c r="I328">
        <v>5.7000000000000002E-2</v>
      </c>
      <c r="J328">
        <f t="shared" si="115"/>
        <v>1.0010000000000048</v>
      </c>
      <c r="K328">
        <f t="shared" si="116"/>
        <v>51</v>
      </c>
      <c r="L328">
        <f t="shared" ca="1" si="117"/>
        <v>38819.718906659953</v>
      </c>
      <c r="M328">
        <f t="shared" ca="1" si="95"/>
        <v>201862.53831463176</v>
      </c>
      <c r="N328">
        <f t="shared" ca="1" si="96"/>
        <v>2.5998258733586663</v>
      </c>
      <c r="O328">
        <f t="shared" ca="1" si="97"/>
        <v>2.5264717478440293E-4</v>
      </c>
      <c r="P328">
        <f t="shared" ca="1" si="98"/>
        <v>39452.191906659951</v>
      </c>
      <c r="Q328">
        <f t="shared" ca="1" si="99"/>
        <v>39452.191906663204</v>
      </c>
      <c r="R328">
        <f t="shared" ca="1" si="100"/>
        <v>4.0174677113585967E-12</v>
      </c>
      <c r="S328">
        <f t="shared" ca="1" si="118"/>
        <v>8.6116626334842294E-4</v>
      </c>
      <c r="T328">
        <f t="shared" ca="1" si="119"/>
        <v>1</v>
      </c>
      <c r="U328">
        <f t="shared" ca="1" si="101"/>
        <v>0.05</v>
      </c>
      <c r="V328">
        <f t="shared" ca="1" si="102"/>
        <v>0.26</v>
      </c>
      <c r="W328">
        <f t="shared" ca="1" si="103"/>
        <v>4.9056603773584909E-2</v>
      </c>
      <c r="X328">
        <f t="shared" ca="1" si="104"/>
        <v>196.15384615384616</v>
      </c>
      <c r="Y328">
        <f t="shared" ca="1" si="105"/>
        <v>632.52299999999991</v>
      </c>
      <c r="Z328">
        <f t="shared" ca="1" si="106"/>
        <v>2593.600031648662</v>
      </c>
      <c r="AA328">
        <f t="shared" ca="1" si="107"/>
        <v>482.07306851378365</v>
      </c>
      <c r="AB328">
        <f t="shared" ca="1" si="108"/>
        <v>482.08237389894202</v>
      </c>
      <c r="AC328">
        <f t="shared" ca="1" si="109"/>
        <v>0</v>
      </c>
      <c r="AD328">
        <f ca="1">IF(V32="Supercritical",L328,U328)</f>
        <v>0.05</v>
      </c>
      <c r="AE328">
        <f t="shared" ca="1" si="110"/>
        <v>632.52299999999991</v>
      </c>
      <c r="AF328">
        <f t="shared" ca="1" si="111"/>
        <v>2593.600031648662</v>
      </c>
      <c r="AI328">
        <v>0</v>
      </c>
      <c r="AJ328">
        <v>0</v>
      </c>
      <c r="AK328">
        <f t="shared" si="112"/>
        <v>0</v>
      </c>
      <c r="AL328">
        <f t="shared" si="120"/>
        <v>0</v>
      </c>
      <c r="AM328">
        <f t="shared" ca="1" si="113"/>
        <v>280.07692026646265</v>
      </c>
      <c r="AN328" t="str">
        <f t="shared" ca="1" si="114"/>
        <v>Supercritical</v>
      </c>
      <c r="AO328">
        <f ca="1">IF(V32="Supercritical",R328,AA328)</f>
        <v>482.07306851378365</v>
      </c>
    </row>
    <row r="329" spans="1:41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174</v>
      </c>
      <c r="I329">
        <v>3.0000000000000001E-3</v>
      </c>
      <c r="J329">
        <f t="shared" si="115"/>
        <v>1</v>
      </c>
      <c r="K329">
        <f t="shared" si="116"/>
        <v>51</v>
      </c>
      <c r="L329">
        <f t="shared" ca="1" si="117"/>
        <v>38819.718754689435</v>
      </c>
      <c r="M329">
        <f t="shared" ca="1" si="95"/>
        <v>201862.53752438506</v>
      </c>
      <c r="N329">
        <f t="shared" ca="1" si="96"/>
        <v>2.5998258733579847</v>
      </c>
      <c r="O329">
        <f t="shared" ca="1" si="97"/>
        <v>2.5264717577346013E-4</v>
      </c>
      <c r="P329">
        <f t="shared" ca="1" si="98"/>
        <v>39452.191254689438</v>
      </c>
      <c r="Q329">
        <f t="shared" ca="1" si="99"/>
        <v>39452.191254692691</v>
      </c>
      <c r="R329">
        <f t="shared" ca="1" si="100"/>
        <v>4.0174677428149757E-12</v>
      </c>
      <c r="S329">
        <f t="shared" ca="1" si="118"/>
        <v>6.519705057144165E-4</v>
      </c>
      <c r="T329">
        <f t="shared" ca="1" si="119"/>
        <v>1</v>
      </c>
      <c r="U329">
        <f t="shared" ca="1" si="101"/>
        <v>0.05</v>
      </c>
      <c r="V329">
        <f t="shared" ca="1" si="102"/>
        <v>0.26</v>
      </c>
      <c r="W329">
        <f t="shared" ca="1" si="103"/>
        <v>4.9056603773584909E-2</v>
      </c>
      <c r="X329">
        <f t="shared" ca="1" si="104"/>
        <v>196.15384615384616</v>
      </c>
      <c r="Y329">
        <f t="shared" ca="1" si="105"/>
        <v>632.52249999999992</v>
      </c>
      <c r="Z329">
        <f t="shared" ca="1" si="106"/>
        <v>2593.5995316486619</v>
      </c>
      <c r="AA329">
        <f t="shared" ca="1" si="107"/>
        <v>482.07306851378365</v>
      </c>
      <c r="AB329">
        <f t="shared" ca="1" si="108"/>
        <v>481.78660314843273</v>
      </c>
      <c r="AC329">
        <f t="shared" ca="1" si="109"/>
        <v>0</v>
      </c>
      <c r="AD329">
        <f ca="1">IF(V32="Supercritical",L329,U329)</f>
        <v>0.05</v>
      </c>
      <c r="AE329">
        <f t="shared" ca="1" si="110"/>
        <v>632.52249999999992</v>
      </c>
      <c r="AF329">
        <f t="shared" ca="1" si="111"/>
        <v>2593.5995316486619</v>
      </c>
      <c r="AI329">
        <v>0</v>
      </c>
      <c r="AJ329">
        <v>0</v>
      </c>
      <c r="AK329">
        <f t="shared" si="112"/>
        <v>0</v>
      </c>
      <c r="AL329">
        <f t="shared" si="120"/>
        <v>0</v>
      </c>
      <c r="AM329">
        <f t="shared" ca="1" si="113"/>
        <v>280.07692026646265</v>
      </c>
      <c r="AN329" t="str">
        <f t="shared" ca="1" si="114"/>
        <v>Supercritical</v>
      </c>
      <c r="AO329">
        <f ca="1">IF(V32="Supercritical",R329,AA329)</f>
        <v>482.07306851378365</v>
      </c>
    </row>
    <row r="330" spans="1:41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174</v>
      </c>
      <c r="I330">
        <v>0.06</v>
      </c>
      <c r="J330">
        <f t="shared" si="115"/>
        <v>0.99899999999999523</v>
      </c>
      <c r="K330">
        <f t="shared" si="116"/>
        <v>51</v>
      </c>
      <c r="L330">
        <f t="shared" ca="1" si="117"/>
        <v>38819.718390385875</v>
      </c>
      <c r="M330">
        <f t="shared" ca="1" si="95"/>
        <v>201862.53563000655</v>
      </c>
      <c r="N330">
        <f t="shared" ca="1" si="96"/>
        <v>2.5998258733563508</v>
      </c>
      <c r="O330">
        <f t="shared" ca="1" si="97"/>
        <v>2.5264717814442699E-4</v>
      </c>
      <c r="P330">
        <f t="shared" ca="1" si="98"/>
        <v>39452.190390385877</v>
      </c>
      <c r="Q330">
        <f t="shared" ca="1" si="99"/>
        <v>39452.190390389129</v>
      </c>
      <c r="R330">
        <f t="shared" ca="1" si="100"/>
        <v>4.017467818222178E-12</v>
      </c>
      <c r="S330">
        <f t="shared" ca="1" si="118"/>
        <v>8.6430355440825224E-4</v>
      </c>
      <c r="T330">
        <f t="shared" ca="1" si="119"/>
        <v>1</v>
      </c>
      <c r="U330">
        <f t="shared" ca="1" si="101"/>
        <v>0.05</v>
      </c>
      <c r="V330">
        <f t="shared" ca="1" si="102"/>
        <v>0.26</v>
      </c>
      <c r="W330">
        <f t="shared" ca="1" si="103"/>
        <v>4.9056603773584909E-2</v>
      </c>
      <c r="X330">
        <f t="shared" ca="1" si="104"/>
        <v>196.15384615384616</v>
      </c>
      <c r="Y330">
        <f t="shared" ca="1" si="105"/>
        <v>632.52199999999993</v>
      </c>
      <c r="Z330">
        <f t="shared" ca="1" si="106"/>
        <v>2593.5990316486623</v>
      </c>
      <c r="AA330">
        <f t="shared" ca="1" si="107"/>
        <v>482.07306851378365</v>
      </c>
      <c r="AB330">
        <f t="shared" ca="1" si="108"/>
        <v>482.25887083179032</v>
      </c>
      <c r="AC330">
        <f t="shared" ca="1" si="109"/>
        <v>0</v>
      </c>
      <c r="AD330">
        <f ca="1">IF(V32="Supercritical",L330,U330)</f>
        <v>0.05</v>
      </c>
      <c r="AE330">
        <f t="shared" ca="1" si="110"/>
        <v>632.52199999999993</v>
      </c>
      <c r="AF330">
        <f t="shared" ca="1" si="111"/>
        <v>2593.5990316486623</v>
      </c>
      <c r="AI330">
        <v>0</v>
      </c>
      <c r="AJ330">
        <v>0</v>
      </c>
      <c r="AK330">
        <f t="shared" si="112"/>
        <v>0</v>
      </c>
      <c r="AL330">
        <f t="shared" si="120"/>
        <v>0</v>
      </c>
      <c r="AM330">
        <f t="shared" ca="1" si="113"/>
        <v>280.07692026646265</v>
      </c>
      <c r="AN330" t="str">
        <f t="shared" ca="1" si="114"/>
        <v>Supercritical</v>
      </c>
      <c r="AO330">
        <f ca="1">IF(V32="Supercritical",R330,AA330)</f>
        <v>482.07306851378365</v>
      </c>
    </row>
    <row r="331" spans="1:41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174</v>
      </c>
      <c r="I331">
        <v>5.7000000000000002E-2</v>
      </c>
      <c r="J331">
        <f t="shared" si="115"/>
        <v>1</v>
      </c>
      <c r="K331">
        <f t="shared" si="116"/>
        <v>51</v>
      </c>
      <c r="L331">
        <f t="shared" ca="1" si="117"/>
        <v>38819.718237861714</v>
      </c>
      <c r="M331">
        <f t="shared" ca="1" si="95"/>
        <v>201862.53483688092</v>
      </c>
      <c r="N331">
        <f t="shared" ca="1" si="96"/>
        <v>2.5998258733556669</v>
      </c>
      <c r="O331">
        <f t="shared" ca="1" si="97"/>
        <v>2.5264717913708737E-4</v>
      </c>
      <c r="P331">
        <f t="shared" ca="1" si="98"/>
        <v>39452.189737861714</v>
      </c>
      <c r="Q331">
        <f t="shared" ca="1" si="99"/>
        <v>39452.189737864966</v>
      </c>
      <c r="R331">
        <f t="shared" ca="1" si="100"/>
        <v>4.0174678497931578E-12</v>
      </c>
      <c r="S331">
        <f t="shared" ca="1" si="118"/>
        <v>6.5252415515715256E-4</v>
      </c>
      <c r="T331">
        <f t="shared" ca="1" si="119"/>
        <v>1</v>
      </c>
      <c r="U331">
        <f t="shared" ca="1" si="101"/>
        <v>0.05</v>
      </c>
      <c r="V331">
        <f t="shared" ca="1" si="102"/>
        <v>0.26</v>
      </c>
      <c r="W331">
        <f t="shared" ca="1" si="103"/>
        <v>4.9056603773584909E-2</v>
      </c>
      <c r="X331">
        <f t="shared" ca="1" si="104"/>
        <v>196.15384615384616</v>
      </c>
      <c r="Y331">
        <f t="shared" ca="1" si="105"/>
        <v>632.52149999999995</v>
      </c>
      <c r="Z331">
        <f t="shared" ca="1" si="106"/>
        <v>2593.5985316486622</v>
      </c>
      <c r="AA331">
        <f t="shared" ca="1" si="107"/>
        <v>482.07306851378365</v>
      </c>
      <c r="AB331">
        <f t="shared" ca="1" si="108"/>
        <v>482.07256851378361</v>
      </c>
      <c r="AC331">
        <f t="shared" ca="1" si="109"/>
        <v>0</v>
      </c>
      <c r="AD331">
        <f ca="1">IF(V32="Supercritical",L331,U331)</f>
        <v>0.05</v>
      </c>
      <c r="AE331">
        <f t="shared" ca="1" si="110"/>
        <v>632.52149999999995</v>
      </c>
      <c r="AF331">
        <f t="shared" ca="1" si="111"/>
        <v>2593.5985316486622</v>
      </c>
      <c r="AI331">
        <v>0</v>
      </c>
      <c r="AJ331">
        <v>0</v>
      </c>
      <c r="AK331">
        <f t="shared" si="112"/>
        <v>0</v>
      </c>
      <c r="AL331">
        <f t="shared" si="120"/>
        <v>0</v>
      </c>
      <c r="AM331">
        <f t="shared" ca="1" si="113"/>
        <v>280.07692026646265</v>
      </c>
      <c r="AN331" t="str">
        <f t="shared" ca="1" si="114"/>
        <v>Supercritical</v>
      </c>
      <c r="AO331">
        <f ca="1">IF(V32="Supercritical",R331,AA331)</f>
        <v>482.07306851378365</v>
      </c>
    </row>
    <row r="332" spans="1:41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174</v>
      </c>
      <c r="I332">
        <v>0</v>
      </c>
      <c r="J332">
        <f t="shared" si="115"/>
        <v>1</v>
      </c>
      <c r="K332">
        <f t="shared" si="116"/>
        <v>51</v>
      </c>
      <c r="L332">
        <f t="shared" ca="1" si="117"/>
        <v>38819.71787030658</v>
      </c>
      <c r="M332">
        <f t="shared" ca="1" si="95"/>
        <v>201862.53292559422</v>
      </c>
      <c r="N332">
        <f t="shared" ca="1" si="96"/>
        <v>2.599825873354018</v>
      </c>
      <c r="O332">
        <f t="shared" ca="1" si="97"/>
        <v>2.526471815292163E-4</v>
      </c>
      <c r="P332">
        <f t="shared" ca="1" si="98"/>
        <v>39452.188870306578</v>
      </c>
      <c r="Q332">
        <f t="shared" ca="1" si="99"/>
        <v>39452.18887030983</v>
      </c>
      <c r="R332">
        <f t="shared" ca="1" si="100"/>
        <v>4.0174679258734048E-12</v>
      </c>
      <c r="S332">
        <f t="shared" ca="1" si="118"/>
        <v>8.6755512893432751E-4</v>
      </c>
      <c r="T332">
        <f t="shared" ca="1" si="119"/>
        <v>1</v>
      </c>
      <c r="U332">
        <f t="shared" ca="1" si="101"/>
        <v>0.05</v>
      </c>
      <c r="V332">
        <f t="shared" ca="1" si="102"/>
        <v>0.26</v>
      </c>
      <c r="W332">
        <f t="shared" ca="1" si="103"/>
        <v>4.9056603773584909E-2</v>
      </c>
      <c r="X332">
        <f t="shared" ca="1" si="104"/>
        <v>196.15384615384616</v>
      </c>
      <c r="Y332">
        <f t="shared" ca="1" si="105"/>
        <v>632.52099999999996</v>
      </c>
      <c r="Z332">
        <f t="shared" ca="1" si="106"/>
        <v>2593.5980316486621</v>
      </c>
      <c r="AA332">
        <f t="shared" ca="1" si="107"/>
        <v>482.07306851378365</v>
      </c>
      <c r="AB332">
        <f t="shared" ca="1" si="108"/>
        <v>482.25887083179032</v>
      </c>
      <c r="AC332">
        <f t="shared" ca="1" si="109"/>
        <v>0</v>
      </c>
      <c r="AD332">
        <f ca="1">IF(V32="Supercritical",L332,U332)</f>
        <v>0.05</v>
      </c>
      <c r="AE332">
        <f t="shared" ca="1" si="110"/>
        <v>632.52099999999996</v>
      </c>
      <c r="AF332">
        <f t="shared" ca="1" si="111"/>
        <v>2593.5980316486621</v>
      </c>
      <c r="AI332">
        <v>0</v>
      </c>
      <c r="AJ332">
        <v>0</v>
      </c>
      <c r="AK332">
        <f t="shared" si="112"/>
        <v>0</v>
      </c>
      <c r="AL332">
        <f t="shared" si="120"/>
        <v>0</v>
      </c>
      <c r="AM332">
        <f t="shared" ca="1" si="113"/>
        <v>280.07692026646265</v>
      </c>
      <c r="AN332" t="str">
        <f t="shared" ca="1" si="114"/>
        <v>Supercritical</v>
      </c>
      <c r="AO332">
        <f ca="1">IF(V32="Supercritical",R332,AA332)</f>
        <v>482.07306851378365</v>
      </c>
    </row>
    <row r="333" spans="1:41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174</v>
      </c>
      <c r="I333">
        <v>5.7000000000000002E-2</v>
      </c>
      <c r="J333">
        <f t="shared" si="115"/>
        <v>1</v>
      </c>
      <c r="K333">
        <f t="shared" si="116"/>
        <v>51</v>
      </c>
      <c r="L333">
        <f t="shared" ca="1" si="117"/>
        <v>38819.717717208616</v>
      </c>
      <c r="M333">
        <f t="shared" ca="1" si="95"/>
        <v>201862.53212948481</v>
      </c>
      <c r="N333">
        <f t="shared" ca="1" si="96"/>
        <v>2.5998258733533315</v>
      </c>
      <c r="O333">
        <f t="shared" ca="1" si="97"/>
        <v>2.5264718252561116E-4</v>
      </c>
      <c r="P333">
        <f t="shared" ca="1" si="98"/>
        <v>39452.188217208619</v>
      </c>
      <c r="Q333">
        <f t="shared" ca="1" si="99"/>
        <v>39452.188217211871</v>
      </c>
      <c r="R333">
        <f t="shared" ca="1" si="100"/>
        <v>4.017467957563157E-12</v>
      </c>
      <c r="S333">
        <f t="shared" ca="1" si="118"/>
        <v>6.530979517265223E-4</v>
      </c>
      <c r="T333">
        <f t="shared" ca="1" si="119"/>
        <v>1</v>
      </c>
      <c r="U333">
        <f t="shared" ca="1" si="101"/>
        <v>0.05</v>
      </c>
      <c r="V333">
        <f t="shared" ca="1" si="102"/>
        <v>0.26</v>
      </c>
      <c r="W333">
        <f t="shared" ca="1" si="103"/>
        <v>4.9056603773584909E-2</v>
      </c>
      <c r="X333">
        <f t="shared" ca="1" si="104"/>
        <v>196.15384615384616</v>
      </c>
      <c r="Y333">
        <f t="shared" ca="1" si="105"/>
        <v>632.52049999999997</v>
      </c>
      <c r="Z333">
        <f t="shared" ca="1" si="106"/>
        <v>2593.597531648662</v>
      </c>
      <c r="AA333">
        <f t="shared" ca="1" si="107"/>
        <v>482.07306851378365</v>
      </c>
      <c r="AB333">
        <f t="shared" ca="1" si="108"/>
        <v>482.25887083179032</v>
      </c>
      <c r="AC333">
        <f t="shared" ca="1" si="109"/>
        <v>0</v>
      </c>
      <c r="AD333">
        <f ca="1">IF(V32="Supercritical",L333,U333)</f>
        <v>0.05</v>
      </c>
      <c r="AE333">
        <f t="shared" ca="1" si="110"/>
        <v>632.52049999999997</v>
      </c>
      <c r="AF333">
        <f t="shared" ca="1" si="111"/>
        <v>2593.597531648662</v>
      </c>
      <c r="AI333">
        <v>0</v>
      </c>
      <c r="AJ333">
        <v>0</v>
      </c>
      <c r="AK333">
        <f t="shared" si="112"/>
        <v>0</v>
      </c>
      <c r="AL333">
        <f t="shared" si="120"/>
        <v>0</v>
      </c>
      <c r="AM333">
        <f t="shared" ca="1" si="113"/>
        <v>280.07692026646265</v>
      </c>
      <c r="AN333" t="str">
        <f t="shared" ca="1" si="114"/>
        <v>Supercritical</v>
      </c>
      <c r="AO333">
        <f ca="1">IF(V32="Supercritical",R333,AA333)</f>
        <v>482.07306851378365</v>
      </c>
    </row>
    <row r="334" spans="1:41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174</v>
      </c>
      <c r="I334">
        <v>5.7000000000000002E-2</v>
      </c>
      <c r="J334">
        <f t="shared" si="115"/>
        <v>1</v>
      </c>
      <c r="K334">
        <f t="shared" si="116"/>
        <v>51</v>
      </c>
      <c r="L334">
        <f t="shared" ca="1" si="117"/>
        <v>38819.717346335732</v>
      </c>
      <c r="M334">
        <f t="shared" ca="1" si="95"/>
        <v>201862.53020094582</v>
      </c>
      <c r="N334">
        <f t="shared" ca="1" si="96"/>
        <v>2.5998258733516684</v>
      </c>
      <c r="O334">
        <f t="shared" ca="1" si="97"/>
        <v>2.5264718493933272E-4</v>
      </c>
      <c r="P334">
        <f t="shared" ca="1" si="98"/>
        <v>39452.187346335733</v>
      </c>
      <c r="Q334">
        <f t="shared" ca="1" si="99"/>
        <v>39452.187346338986</v>
      </c>
      <c r="R334">
        <f t="shared" ca="1" si="100"/>
        <v>4.0174680343301473E-12</v>
      </c>
      <c r="S334">
        <f t="shared" ca="1" si="118"/>
        <v>8.7087287829490378E-4</v>
      </c>
      <c r="T334">
        <f t="shared" ca="1" si="119"/>
        <v>1</v>
      </c>
      <c r="U334">
        <f t="shared" ca="1" si="101"/>
        <v>0.05</v>
      </c>
      <c r="V334">
        <f t="shared" ca="1" si="102"/>
        <v>0.26</v>
      </c>
      <c r="W334">
        <f t="shared" ca="1" si="103"/>
        <v>4.9056603773584909E-2</v>
      </c>
      <c r="X334">
        <f t="shared" ca="1" si="104"/>
        <v>196.15384615384616</v>
      </c>
      <c r="Y334">
        <f t="shared" ca="1" si="105"/>
        <v>632.52</v>
      </c>
      <c r="Z334">
        <f t="shared" ca="1" si="106"/>
        <v>2593.5970316486619</v>
      </c>
      <c r="AA334">
        <f t="shared" ca="1" si="107"/>
        <v>482.07306851378365</v>
      </c>
      <c r="AB334">
        <f t="shared" ca="1" si="108"/>
        <v>482.25887083179077</v>
      </c>
      <c r="AC334">
        <f t="shared" ca="1" si="109"/>
        <v>0</v>
      </c>
      <c r="AD334">
        <f ca="1">IF(V32="Supercritical",L334,U334)</f>
        <v>0.05</v>
      </c>
      <c r="AE334">
        <f t="shared" ca="1" si="110"/>
        <v>632.52</v>
      </c>
      <c r="AF334">
        <f t="shared" ca="1" si="111"/>
        <v>2593.5970316486619</v>
      </c>
      <c r="AI334">
        <v>0</v>
      </c>
      <c r="AJ334">
        <v>0</v>
      </c>
      <c r="AK334">
        <f t="shared" si="112"/>
        <v>0</v>
      </c>
      <c r="AL334">
        <f t="shared" si="120"/>
        <v>0</v>
      </c>
      <c r="AM334">
        <f t="shared" ca="1" si="113"/>
        <v>280.07692026646265</v>
      </c>
      <c r="AN334" t="str">
        <f t="shared" ca="1" si="114"/>
        <v>Supercritical</v>
      </c>
      <c r="AO334">
        <f ca="1">IF(V32="Supercritical",R334,AA334)</f>
        <v>482.07306851378365</v>
      </c>
    </row>
    <row r="335" spans="1:41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174</v>
      </c>
      <c r="I335">
        <v>5.7000000000000002E-2</v>
      </c>
      <c r="J335">
        <f t="shared" si="115"/>
        <v>1</v>
      </c>
      <c r="K335">
        <f t="shared" si="116"/>
        <v>51</v>
      </c>
      <c r="L335">
        <f t="shared" ca="1" si="117"/>
        <v>38819.717192652279</v>
      </c>
      <c r="M335">
        <f t="shared" ca="1" si="95"/>
        <v>201862.52940179186</v>
      </c>
      <c r="N335">
        <f t="shared" ca="1" si="96"/>
        <v>2.5998258733509791</v>
      </c>
      <c r="O335">
        <f t="shared" ca="1" si="97"/>
        <v>2.5264718593953818E-4</v>
      </c>
      <c r="P335">
        <f t="shared" ca="1" si="98"/>
        <v>39452.186692652278</v>
      </c>
      <c r="Q335">
        <f t="shared" ca="1" si="99"/>
        <v>39452.18669265553</v>
      </c>
      <c r="R335">
        <f t="shared" ca="1" si="100"/>
        <v>4.0174680661410911E-12</v>
      </c>
      <c r="S335">
        <f t="shared" ca="1" si="118"/>
        <v>6.5368344803573564E-4</v>
      </c>
      <c r="T335">
        <f t="shared" ca="1" si="119"/>
        <v>1</v>
      </c>
      <c r="U335">
        <f t="shared" ca="1" si="101"/>
        <v>0.05</v>
      </c>
      <c r="V335">
        <f t="shared" ca="1" si="102"/>
        <v>0.26</v>
      </c>
      <c r="W335">
        <f t="shared" ca="1" si="103"/>
        <v>4.9056603773584909E-2</v>
      </c>
      <c r="X335">
        <f t="shared" ca="1" si="104"/>
        <v>196.15384615384616</v>
      </c>
      <c r="Y335">
        <f t="shared" ca="1" si="105"/>
        <v>632.51949999999999</v>
      </c>
      <c r="Z335">
        <f t="shared" ca="1" si="106"/>
        <v>2593.5965316486622</v>
      </c>
      <c r="AA335">
        <f t="shared" ca="1" si="107"/>
        <v>482.07306851378365</v>
      </c>
      <c r="AB335">
        <f t="shared" ca="1" si="108"/>
        <v>482.75074928546428</v>
      </c>
      <c r="AC335">
        <f t="shared" ca="1" si="109"/>
        <v>0</v>
      </c>
      <c r="AD335">
        <f ca="1">IF(V32="Supercritical",L335,U335)</f>
        <v>0.05</v>
      </c>
      <c r="AE335">
        <f t="shared" ca="1" si="110"/>
        <v>632.51949999999999</v>
      </c>
      <c r="AF335">
        <f t="shared" ca="1" si="111"/>
        <v>2593.5965316486622</v>
      </c>
      <c r="AI335">
        <v>0</v>
      </c>
      <c r="AJ335">
        <v>0</v>
      </c>
      <c r="AK335">
        <f t="shared" si="112"/>
        <v>0</v>
      </c>
      <c r="AL335">
        <f t="shared" si="120"/>
        <v>0</v>
      </c>
      <c r="AM335">
        <f t="shared" ca="1" si="113"/>
        <v>280.07692026646265</v>
      </c>
      <c r="AN335" t="str">
        <f t="shared" ca="1" si="114"/>
        <v>Supercritical</v>
      </c>
      <c r="AO335">
        <f ca="1">IF(V32="Supercritical",R335,AA335)</f>
        <v>482.07306851378365</v>
      </c>
    </row>
    <row r="336" spans="1:41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174</v>
      </c>
      <c r="I336">
        <v>0.06</v>
      </c>
      <c r="J336">
        <f t="shared" si="115"/>
        <v>1.0010000000000048</v>
      </c>
      <c r="K336">
        <f t="shared" si="116"/>
        <v>51</v>
      </c>
      <c r="L336">
        <f t="shared" ca="1" si="117"/>
        <v>38819.716818431974</v>
      </c>
      <c r="M336">
        <f t="shared" ca="1" si="95"/>
        <v>201862.52745584628</v>
      </c>
      <c r="N336">
        <f t="shared" ca="1" si="96"/>
        <v>2.5998258733493005</v>
      </c>
      <c r="O336">
        <f t="shared" ca="1" si="97"/>
        <v>2.5264718837504554E-4</v>
      </c>
      <c r="P336">
        <f t="shared" ca="1" si="98"/>
        <v>39452.185818431972</v>
      </c>
      <c r="Q336">
        <f t="shared" ca="1" si="99"/>
        <v>39452.185818435224</v>
      </c>
      <c r="R336">
        <f t="shared" ca="1" si="100"/>
        <v>4.0174681436009695E-12</v>
      </c>
      <c r="S336">
        <f t="shared" ca="1" si="118"/>
        <v>8.742202990106307E-4</v>
      </c>
      <c r="T336">
        <f t="shared" ca="1" si="119"/>
        <v>1</v>
      </c>
      <c r="U336">
        <f t="shared" ca="1" si="101"/>
        <v>0.05</v>
      </c>
      <c r="V336">
        <f t="shared" ca="1" si="102"/>
        <v>0.26</v>
      </c>
      <c r="W336">
        <f t="shared" ca="1" si="103"/>
        <v>4.9056603773584909E-2</v>
      </c>
      <c r="X336">
        <f t="shared" ca="1" si="104"/>
        <v>196.15384615384616</v>
      </c>
      <c r="Y336">
        <f t="shared" ca="1" si="105"/>
        <v>632.51900000000001</v>
      </c>
      <c r="Z336">
        <f t="shared" ca="1" si="106"/>
        <v>2593.5960316486621</v>
      </c>
      <c r="AA336">
        <f t="shared" ca="1" si="107"/>
        <v>482.07306851378365</v>
      </c>
      <c r="AB336">
        <f t="shared" ca="1" si="108"/>
        <v>481.60030083042602</v>
      </c>
      <c r="AC336">
        <f t="shared" ca="1" si="109"/>
        <v>0</v>
      </c>
      <c r="AD336">
        <f ca="1">IF(V32="Supercritical",L336,U336)</f>
        <v>0.05</v>
      </c>
      <c r="AE336">
        <f t="shared" ca="1" si="110"/>
        <v>632.51900000000001</v>
      </c>
      <c r="AF336">
        <f t="shared" ca="1" si="111"/>
        <v>2593.5960316486621</v>
      </c>
      <c r="AI336">
        <v>0</v>
      </c>
      <c r="AJ336">
        <v>0</v>
      </c>
      <c r="AK336">
        <f t="shared" si="112"/>
        <v>0</v>
      </c>
      <c r="AL336">
        <f t="shared" si="120"/>
        <v>0</v>
      </c>
      <c r="AM336">
        <f t="shared" ca="1" si="113"/>
        <v>280.07692026646265</v>
      </c>
      <c r="AN336" t="str">
        <f t="shared" ca="1" si="114"/>
        <v>Supercritical</v>
      </c>
      <c r="AO336">
        <f ca="1">IF(V32="Supercritical",R336,AA336)</f>
        <v>482.07306851378365</v>
      </c>
    </row>
    <row r="337" spans="1:41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174</v>
      </c>
      <c r="I337">
        <v>3.0000000000000001E-3</v>
      </c>
      <c r="J337">
        <f t="shared" si="115"/>
        <v>0.99899999999999523</v>
      </c>
      <c r="K337">
        <f t="shared" si="116"/>
        <v>51</v>
      </c>
      <c r="L337">
        <f t="shared" ca="1" si="117"/>
        <v>38819.716664157801</v>
      </c>
      <c r="M337">
        <f t="shared" ca="1" si="95"/>
        <v>201862.52665362056</v>
      </c>
      <c r="N337">
        <f t="shared" ca="1" si="96"/>
        <v>2.5998258733486082</v>
      </c>
      <c r="O337">
        <f t="shared" ca="1" si="97"/>
        <v>2.5264718937909557E-4</v>
      </c>
      <c r="P337">
        <f t="shared" ca="1" si="98"/>
        <v>39452.185164157803</v>
      </c>
      <c r="Q337">
        <f t="shared" ca="1" si="99"/>
        <v>39452.185164161056</v>
      </c>
      <c r="R337">
        <f t="shared" ca="1" si="100"/>
        <v>4.0174681755341898E-12</v>
      </c>
      <c r="S337">
        <f t="shared" ca="1" si="118"/>
        <v>6.5427416120655835E-4</v>
      </c>
      <c r="T337">
        <f t="shared" ca="1" si="119"/>
        <v>1</v>
      </c>
      <c r="U337">
        <f t="shared" ca="1" si="101"/>
        <v>0.05</v>
      </c>
      <c r="V337">
        <f t="shared" ca="1" si="102"/>
        <v>0.26</v>
      </c>
      <c r="W337">
        <f t="shared" ca="1" si="103"/>
        <v>4.9056603773584909E-2</v>
      </c>
      <c r="X337">
        <f t="shared" ca="1" si="104"/>
        <v>196.15384615384616</v>
      </c>
      <c r="Y337">
        <f t="shared" ca="1" si="105"/>
        <v>632.5184999999999</v>
      </c>
      <c r="Z337">
        <f t="shared" ca="1" si="106"/>
        <v>2593.595531648662</v>
      </c>
      <c r="AA337">
        <f t="shared" ca="1" si="107"/>
        <v>482.07306851378365</v>
      </c>
      <c r="AB337">
        <f t="shared" ca="1" si="108"/>
        <v>482.25887083179032</v>
      </c>
      <c r="AC337">
        <f t="shared" ca="1" si="109"/>
        <v>0</v>
      </c>
      <c r="AD337">
        <f ca="1">IF(V32="Supercritical",L337,U337)</f>
        <v>0.05</v>
      </c>
      <c r="AE337">
        <f t="shared" ca="1" si="110"/>
        <v>632.5184999999999</v>
      </c>
      <c r="AF337">
        <f t="shared" ca="1" si="111"/>
        <v>2593.595531648662</v>
      </c>
      <c r="AI337">
        <v>0</v>
      </c>
      <c r="AJ337">
        <v>0</v>
      </c>
      <c r="AK337">
        <f t="shared" si="112"/>
        <v>0</v>
      </c>
      <c r="AL337">
        <f t="shared" si="120"/>
        <v>0</v>
      </c>
      <c r="AM337">
        <f t="shared" ca="1" si="113"/>
        <v>280.07692026646265</v>
      </c>
      <c r="AN337" t="str">
        <f t="shared" ca="1" si="114"/>
        <v>Supercritical</v>
      </c>
      <c r="AO337">
        <f ca="1">IF(V32="Supercritical",R337,AA337)</f>
        <v>482.07306851378365</v>
      </c>
    </row>
    <row r="338" spans="1:41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174</v>
      </c>
      <c r="I338">
        <v>5.7000000000000002E-2</v>
      </c>
      <c r="J338">
        <f t="shared" si="115"/>
        <v>1</v>
      </c>
      <c r="K338">
        <f t="shared" si="116"/>
        <v>51</v>
      </c>
      <c r="L338">
        <f t="shared" ca="1" si="117"/>
        <v>38819.716286588176</v>
      </c>
      <c r="M338">
        <f t="shared" ca="1" si="95"/>
        <v>201862.52469025852</v>
      </c>
      <c r="N338">
        <f t="shared" ca="1" si="96"/>
        <v>2.5998258733469148</v>
      </c>
      <c r="O338">
        <f t="shared" ca="1" si="97"/>
        <v>2.5264719183640109E-4</v>
      </c>
      <c r="P338">
        <f t="shared" ca="1" si="98"/>
        <v>39452.184286588177</v>
      </c>
      <c r="Q338">
        <f t="shared" ca="1" si="99"/>
        <v>39452.18428659143</v>
      </c>
      <c r="R338">
        <f t="shared" ca="1" si="100"/>
        <v>4.0174682536873466E-12</v>
      </c>
      <c r="S338">
        <f t="shared" ca="1" si="118"/>
        <v>8.7756961875129491E-4</v>
      </c>
      <c r="T338">
        <f t="shared" ca="1" si="119"/>
        <v>1</v>
      </c>
      <c r="U338">
        <f t="shared" ca="1" si="101"/>
        <v>0.05</v>
      </c>
      <c r="V338">
        <f t="shared" ca="1" si="102"/>
        <v>0.26</v>
      </c>
      <c r="W338">
        <f t="shared" ca="1" si="103"/>
        <v>4.9056603773584909E-2</v>
      </c>
      <c r="X338">
        <f t="shared" ca="1" si="104"/>
        <v>196.15384615384616</v>
      </c>
      <c r="Y338">
        <f t="shared" ca="1" si="105"/>
        <v>632.51799999999992</v>
      </c>
      <c r="Z338">
        <f t="shared" ca="1" si="106"/>
        <v>2593.5950316486619</v>
      </c>
      <c r="AA338">
        <f t="shared" ca="1" si="107"/>
        <v>482.07306851378365</v>
      </c>
      <c r="AB338">
        <f t="shared" ca="1" si="108"/>
        <v>482.25887083179077</v>
      </c>
      <c r="AC338">
        <f t="shared" ca="1" si="109"/>
        <v>0</v>
      </c>
      <c r="AD338">
        <f ca="1">IF(V32="Supercritical",L338,U338)</f>
        <v>0.05</v>
      </c>
      <c r="AE338">
        <f t="shared" ca="1" si="110"/>
        <v>632.51799999999992</v>
      </c>
      <c r="AF338">
        <f t="shared" ca="1" si="111"/>
        <v>2593.5950316486619</v>
      </c>
      <c r="AI338">
        <v>0</v>
      </c>
      <c r="AJ338">
        <v>0</v>
      </c>
      <c r="AK338">
        <f t="shared" si="112"/>
        <v>0</v>
      </c>
      <c r="AL338">
        <f t="shared" si="120"/>
        <v>0</v>
      </c>
      <c r="AM338">
        <f t="shared" ca="1" si="113"/>
        <v>280.07692026646265</v>
      </c>
      <c r="AN338" t="str">
        <f t="shared" ca="1" si="114"/>
        <v>Supercritical</v>
      </c>
      <c r="AO338">
        <f ca="1">IF(V32="Supercritical",R338,AA338)</f>
        <v>482.07306851378365</v>
      </c>
    </row>
    <row r="339" spans="1:41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174</v>
      </c>
      <c r="I339">
        <v>5.7000000000000002E-2</v>
      </c>
      <c r="J339">
        <f t="shared" si="115"/>
        <v>1</v>
      </c>
      <c r="K339">
        <f t="shared" si="116"/>
        <v>51</v>
      </c>
      <c r="L339">
        <f t="shared" ca="1" si="117"/>
        <v>38819.716131722947</v>
      </c>
      <c r="M339">
        <f t="shared" ca="1" si="95"/>
        <v>201862.52388495934</v>
      </c>
      <c r="N339">
        <f t="shared" ca="1" si="96"/>
        <v>2.5998258733462203</v>
      </c>
      <c r="O339">
        <f t="shared" ca="1" si="97"/>
        <v>2.5264719284429782E-4</v>
      </c>
      <c r="P339">
        <f t="shared" ca="1" si="98"/>
        <v>39452.183631722946</v>
      </c>
      <c r="Q339">
        <f t="shared" ca="1" si="99"/>
        <v>39452.183631726199</v>
      </c>
      <c r="R339">
        <f t="shared" ca="1" si="100"/>
        <v>4.0174682857429081E-12</v>
      </c>
      <c r="S339">
        <f t="shared" ca="1" si="118"/>
        <v>6.5486522362334654E-4</v>
      </c>
      <c r="T339">
        <f t="shared" ca="1" si="119"/>
        <v>1</v>
      </c>
      <c r="U339">
        <f t="shared" ca="1" si="101"/>
        <v>0.05</v>
      </c>
      <c r="V339">
        <f t="shared" ca="1" si="102"/>
        <v>0.26</v>
      </c>
      <c r="W339">
        <f t="shared" ca="1" si="103"/>
        <v>4.9056603773584909E-2</v>
      </c>
      <c r="X339">
        <f t="shared" ca="1" si="104"/>
        <v>196.15384615384616</v>
      </c>
      <c r="Y339">
        <f t="shared" ca="1" si="105"/>
        <v>632.51749999999993</v>
      </c>
      <c r="Z339">
        <f t="shared" ca="1" si="106"/>
        <v>2593.5945316486623</v>
      </c>
      <c r="AA339">
        <f t="shared" ca="1" si="107"/>
        <v>482.07306851378365</v>
      </c>
      <c r="AB339">
        <f t="shared" ca="1" si="108"/>
        <v>482.07256851378361</v>
      </c>
      <c r="AC339">
        <f t="shared" ca="1" si="109"/>
        <v>0</v>
      </c>
      <c r="AD339">
        <f ca="1">IF(V32="Supercritical",L339,U339)</f>
        <v>0.05</v>
      </c>
      <c r="AE339">
        <f t="shared" ca="1" si="110"/>
        <v>632.51749999999993</v>
      </c>
      <c r="AF339">
        <f t="shared" ca="1" si="111"/>
        <v>2593.5945316486623</v>
      </c>
      <c r="AI339">
        <v>0</v>
      </c>
      <c r="AJ339">
        <v>0</v>
      </c>
      <c r="AK339">
        <f t="shared" si="112"/>
        <v>0</v>
      </c>
      <c r="AL339">
        <f t="shared" si="120"/>
        <v>0</v>
      </c>
      <c r="AM339">
        <f t="shared" ca="1" si="113"/>
        <v>280.07692026646265</v>
      </c>
      <c r="AN339" t="str">
        <f t="shared" ca="1" si="114"/>
        <v>Supercritical</v>
      </c>
      <c r="AO339">
        <f ca="1">IF(V32="Supercritical",R339,AA339)</f>
        <v>482.07306851378365</v>
      </c>
    </row>
    <row r="340" spans="1:41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174</v>
      </c>
      <c r="I340">
        <v>0</v>
      </c>
      <c r="J340">
        <f t="shared" si="115"/>
        <v>1</v>
      </c>
      <c r="K340">
        <f t="shared" si="116"/>
        <v>51</v>
      </c>
      <c r="L340">
        <f t="shared" ca="1" si="117"/>
        <v>38819.715750823285</v>
      </c>
      <c r="M340">
        <f t="shared" ca="1" si="95"/>
        <v>201862.52190428108</v>
      </c>
      <c r="N340">
        <f t="shared" ca="1" si="96"/>
        <v>2.5998258733445119</v>
      </c>
      <c r="O340">
        <f t="shared" ca="1" si="97"/>
        <v>2.526471953232761E-4</v>
      </c>
      <c r="P340">
        <f t="shared" ca="1" si="98"/>
        <v>39452.182750823282</v>
      </c>
      <c r="Q340">
        <f t="shared" ca="1" si="99"/>
        <v>39452.182750826534</v>
      </c>
      <c r="R340">
        <f t="shared" ca="1" si="100"/>
        <v>4.0174683645853527E-12</v>
      </c>
      <c r="S340">
        <f t="shared" ca="1" si="118"/>
        <v>8.8089965720428154E-4</v>
      </c>
      <c r="T340">
        <f t="shared" ca="1" si="119"/>
        <v>1</v>
      </c>
      <c r="U340">
        <f t="shared" ca="1" si="101"/>
        <v>0.05</v>
      </c>
      <c r="V340">
        <f t="shared" ca="1" si="102"/>
        <v>0.26</v>
      </c>
      <c r="W340">
        <f t="shared" ca="1" si="103"/>
        <v>4.9056603773584909E-2</v>
      </c>
      <c r="X340">
        <f t="shared" ca="1" si="104"/>
        <v>196.15384615384616</v>
      </c>
      <c r="Y340">
        <f t="shared" ca="1" si="105"/>
        <v>632.51699999999994</v>
      </c>
      <c r="Z340">
        <f t="shared" ca="1" si="106"/>
        <v>2593.5940316486622</v>
      </c>
      <c r="AA340">
        <f t="shared" ca="1" si="107"/>
        <v>482.07306851378365</v>
      </c>
      <c r="AB340">
        <f t="shared" ca="1" si="108"/>
        <v>482.25887083179032</v>
      </c>
      <c r="AC340">
        <f t="shared" ca="1" si="109"/>
        <v>0</v>
      </c>
      <c r="AD340">
        <f ca="1">IF(V32="Supercritical",L340,U340)</f>
        <v>0.05</v>
      </c>
      <c r="AE340">
        <f t="shared" ca="1" si="110"/>
        <v>632.51699999999994</v>
      </c>
      <c r="AF340">
        <f t="shared" ca="1" si="111"/>
        <v>2593.5940316486622</v>
      </c>
      <c r="AI340">
        <v>0</v>
      </c>
      <c r="AJ340">
        <v>0</v>
      </c>
      <c r="AK340">
        <f t="shared" si="112"/>
        <v>0</v>
      </c>
      <c r="AL340">
        <f t="shared" si="120"/>
        <v>0</v>
      </c>
      <c r="AM340">
        <f t="shared" ca="1" si="113"/>
        <v>280.07692026646265</v>
      </c>
      <c r="AN340" t="str">
        <f t="shared" ca="1" si="114"/>
        <v>Supercritical</v>
      </c>
      <c r="AO340">
        <f ca="1">IF(V32="Supercritical",R340,AA340)</f>
        <v>482.07306851378365</v>
      </c>
    </row>
    <row r="341" spans="1:41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174</v>
      </c>
      <c r="I341">
        <v>5.7000000000000002E-2</v>
      </c>
      <c r="J341">
        <f t="shared" si="115"/>
        <v>1</v>
      </c>
      <c r="K341">
        <f t="shared" si="116"/>
        <v>51</v>
      </c>
      <c r="L341">
        <f t="shared" ca="1" si="117"/>
        <v>38819.715595370406</v>
      </c>
      <c r="M341">
        <f t="shared" ca="1" si="95"/>
        <v>201862.52109592612</v>
      </c>
      <c r="N341">
        <f t="shared" ca="1" si="96"/>
        <v>2.5998258733438147</v>
      </c>
      <c r="O341">
        <f t="shared" ca="1" si="97"/>
        <v>2.5264719633499741E-4</v>
      </c>
      <c r="P341">
        <f t="shared" ca="1" si="98"/>
        <v>39452.182095370408</v>
      </c>
      <c r="Q341">
        <f t="shared" ca="1" si="99"/>
        <v>39452.182095373661</v>
      </c>
      <c r="R341">
        <f t="shared" ca="1" si="100"/>
        <v>4.0174683967625542E-12</v>
      </c>
      <c r="S341">
        <f t="shared" ca="1" si="118"/>
        <v>6.5545286634005606E-4</v>
      </c>
      <c r="T341">
        <f t="shared" ca="1" si="119"/>
        <v>1</v>
      </c>
      <c r="U341">
        <f t="shared" ca="1" si="101"/>
        <v>0.05</v>
      </c>
      <c r="V341">
        <f t="shared" ca="1" si="102"/>
        <v>0.26</v>
      </c>
      <c r="W341">
        <f t="shared" ca="1" si="103"/>
        <v>4.9056603773584909E-2</v>
      </c>
      <c r="X341">
        <f t="shared" ca="1" si="104"/>
        <v>196.15384615384616</v>
      </c>
      <c r="Y341">
        <f t="shared" ca="1" si="105"/>
        <v>632.51649999999995</v>
      </c>
      <c r="Z341">
        <f t="shared" ca="1" si="106"/>
        <v>2593.5935316486621</v>
      </c>
      <c r="AA341">
        <f t="shared" ca="1" si="107"/>
        <v>482.07306851378365</v>
      </c>
      <c r="AB341">
        <f t="shared" ca="1" si="108"/>
        <v>482.25887083179032</v>
      </c>
      <c r="AC341">
        <f t="shared" ca="1" si="109"/>
        <v>0</v>
      </c>
      <c r="AD341">
        <f ca="1">IF(V32="Supercritical",L341,U341)</f>
        <v>0.05</v>
      </c>
      <c r="AE341">
        <f t="shared" ca="1" si="110"/>
        <v>632.51649999999995</v>
      </c>
      <c r="AF341">
        <f t="shared" ca="1" si="111"/>
        <v>2593.5935316486621</v>
      </c>
      <c r="AI341">
        <v>0</v>
      </c>
      <c r="AJ341">
        <v>0</v>
      </c>
      <c r="AK341">
        <f t="shared" si="112"/>
        <v>0</v>
      </c>
      <c r="AL341">
        <f t="shared" si="120"/>
        <v>0</v>
      </c>
      <c r="AM341">
        <f t="shared" ca="1" si="113"/>
        <v>280.07692026646265</v>
      </c>
      <c r="AN341" t="str">
        <f t="shared" ca="1" si="114"/>
        <v>Supercritical</v>
      </c>
      <c r="AO341">
        <f ca="1">IF(V32="Supercritical",R341,AA341)</f>
        <v>482.07306851378365</v>
      </c>
    </row>
    <row r="342" spans="1:41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174</v>
      </c>
      <c r="I342">
        <v>5.7000000000000002E-2</v>
      </c>
      <c r="J342">
        <f t="shared" si="115"/>
        <v>1</v>
      </c>
      <c r="K342">
        <f t="shared" si="116"/>
        <v>51</v>
      </c>
      <c r="L342">
        <f t="shared" ca="1" si="117"/>
        <v>38819.715211176132</v>
      </c>
      <c r="M342">
        <f t="shared" ref="M342:M405" ca="1" si="121">((F342)+(G342)*(L342))*(L342)</f>
        <v>201862.51909811588</v>
      </c>
      <c r="N342">
        <f t="shared" ref="N342:N405" ca="1" si="122">(((F342)+(G342)*(L342))*(L342))/MAX((F342)+2*(L342)*SQRT(1+(G342)^2),0.000001)</f>
        <v>2.5998258733420916</v>
      </c>
      <c r="O342">
        <f t="shared" ref="O342:O405" ca="1" si="123">ABS(K342)/MAX(((F342)+(G342)*(L342))*(L342),0.000001)</f>
        <v>2.5264719883541774E-4</v>
      </c>
      <c r="P342">
        <f t="shared" ref="P342:P405" ca="1" si="124">E342+L342</f>
        <v>39452.181211176132</v>
      </c>
      <c r="Q342">
        <f t="shared" ref="Q342:Q405" ca="1" si="125">P342+((ABS(K342)/MAX(((F342)+(G342)*(L342))*(L342),0.000001))^2)/(2*$I$5)</f>
        <v>39452.181211179384</v>
      </c>
      <c r="R342">
        <f t="shared" ref="R342:R405" ca="1" si="126">((ABS(K342)*$D$6)/(MAX(((F342)+(G342)*(L342))*(L342),0.000001)*MAX(((((F342)+(G342)*(L342))*(L342))/MAX((F342)+2*(L342)*SQRT(1+(G342)^2),0.000001))^(2/3),0.000001)))^2</f>
        <v>4.0174684762869543E-12</v>
      </c>
      <c r="S342">
        <f t="shared" ca="1" si="118"/>
        <v>8.8419426901964471E-4</v>
      </c>
      <c r="T342">
        <f t="shared" ca="1" si="119"/>
        <v>1</v>
      </c>
      <c r="U342">
        <f t="shared" ref="U342:U405" ca="1" si="127">IF($D$20=0,U343,IF(AC343=0,U343,IF(U342=0,U343,IF(ABS(AB342)&gt;$D$19,MAX($D$16,U342+((AB342)*$D$18*IF((ABS(ABS(K342)/MAX(((F342)+(G342)*(U342))*(U342),0.000001))/SQRT($I$5*MAX((((F342)+(G342)*(U342))*(U342))/MAX((F342)+2*(G342)*(U342),0.000001),0.000001)))&lt;1,1,-1))),U342))))</f>
        <v>0.05</v>
      </c>
      <c r="V342">
        <f t="shared" ref="V342:V405" ca="1" si="128">((F342)+(G342)*(U342))*(U342)</f>
        <v>0.26</v>
      </c>
      <c r="W342">
        <f t="shared" ref="W342:W405" ca="1" si="129">(((F342)+(G342)*(U342))*(U342))/MAX((F342)+2*(U342)*SQRT(1+(G342)^2),0.000001)</f>
        <v>4.9056603773584909E-2</v>
      </c>
      <c r="X342">
        <f t="shared" ref="X342:X405" ca="1" si="130">ABS(K342)/MAX(((F342)+(G342)*(U342))*(U342),0.000001)</f>
        <v>196.15384615384616</v>
      </c>
      <c r="Y342">
        <f t="shared" ref="Y342:Y405" ca="1" si="131">E342+U342</f>
        <v>632.51599999999996</v>
      </c>
      <c r="Z342">
        <f t="shared" ref="Z342:Z405" ca="1" si="132">Y342+((ABS(K342)/MAX(((F342)+(G342)*(U342))*(U342),0.000001))^2)/(2*$I$5)</f>
        <v>2593.593031648662</v>
      </c>
      <c r="AA342">
        <f t="shared" ref="AA342:AA405" ca="1" si="133">((ABS(K342)*$D$6)/(MAX(((F342)+(G342)*(U342))*(U342),0.000001)*MAX(((((F342)+(G342)*(U342))*(U342))/MAX((F342)+2*(U342)*SQRT(1+(G342)^2),0.000001))^(2/3),0.000001)))^2</f>
        <v>482.07306851378365</v>
      </c>
      <c r="AB342">
        <f t="shared" ref="AB342:AB405" ca="1" si="134">Z343+(((AA342+AA343)/2)*J343)+(IF(X342&gt;X343,$D$8*((X342^2-X343^2)/(2*$I$5)),$D$9*((X343^2-X342^2)/(2*$I$5)))+($D$10*(ABS(I343)/90)*(MAX(X342^2,X343^2)/(2*$I$5))))-Z342</f>
        <v>482.74094390030632</v>
      </c>
      <c r="AC342">
        <f t="shared" ref="AC342:AC405" ca="1" si="135">IF(ABS(AB342)&lt;$D$19,1,0)</f>
        <v>0</v>
      </c>
      <c r="AD342">
        <f ca="1">IF(V32="Supercritical",L342,U342)</f>
        <v>0.05</v>
      </c>
      <c r="AE342">
        <f t="shared" ref="AE342:AE405" ca="1" si="136">E342+AD342</f>
        <v>632.51599999999996</v>
      </c>
      <c r="AF342">
        <f t="shared" ref="AF342:AF405" ca="1" si="137">AE342+((ABS(K342)/MAX(((F342)+(G342)*(AD342))*(AD342),0.000001))^2)/(2*$I$5)</f>
        <v>2593.593031648662</v>
      </c>
      <c r="AI342">
        <v>0</v>
      </c>
      <c r="AJ342">
        <v>0</v>
      </c>
      <c r="AK342">
        <f t="shared" ref="AK342:AK405" si="138">AI342+AJ342</f>
        <v>0</v>
      </c>
      <c r="AL342">
        <f t="shared" si="120"/>
        <v>0</v>
      </c>
      <c r="AM342">
        <f t="shared" ref="AM342:AM405" ca="1" si="139">ABS(ABS(K342)/MAX(((F342)+(G342)*(AD342))*(AD342),0.000001))/SQRT($I$5*MAX((((F342)+(G342)*(AD342))*(AD342))/MAX((F342)+2*(G342)*(AD342),0.000001),0.000001))</f>
        <v>280.07692026646265</v>
      </c>
      <c r="AN342" t="str">
        <f t="shared" ref="AN342:AN405" ca="1" si="140">IF(AM342&lt;1,"Subcritical","Supercritical")</f>
        <v>Supercritical</v>
      </c>
      <c r="AO342">
        <f ca="1">IF(V32="Supercritical",R342,AA342)</f>
        <v>482.07306851378365</v>
      </c>
    </row>
    <row r="343" spans="1:41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174</v>
      </c>
      <c r="I343">
        <v>5.7000000000000002E-2</v>
      </c>
      <c r="J343">
        <f t="shared" ref="J343:J406" si="141">B343-B342</f>
        <v>1.0010000000000048</v>
      </c>
      <c r="K343">
        <f t="shared" ref="K343:K406" si="142">MAX(0,K342-AK342)</f>
        <v>51</v>
      </c>
      <c r="L343">
        <f t="shared" ref="L343:L406" ca="1" si="143">IF($D$20=0,L342,IF(T342=0,L342,IF(L343=0,L342,IF(ABS(S343)&gt;$D$19,MAX($D$16,L343+((S343)*$D$18*IF((ABS(ABS(K343)/MAX(((F343)+(G343)*(L343))*(L343),0.000001))/SQRT($I$5*MAX((((F343)+(G343)*(L343))*(L343))/MAX((F343)+2*(G343)*(L343),0.000001),0.000001)))&lt;1,1,-1))),L343))))</f>
        <v>38819.715055141853</v>
      </c>
      <c r="M343">
        <f t="shared" ca="1" si="121"/>
        <v>201862.51828673764</v>
      </c>
      <c r="N343">
        <f t="shared" ca="1" si="122"/>
        <v>2.5998258733413917</v>
      </c>
      <c r="O343">
        <f t="shared" ca="1" si="123"/>
        <v>2.5264719985092297E-4</v>
      </c>
      <c r="P343">
        <f t="shared" ca="1" si="124"/>
        <v>39452.180555141851</v>
      </c>
      <c r="Q343">
        <f t="shared" ca="1" si="125"/>
        <v>39452.180555145103</v>
      </c>
      <c r="R343">
        <f t="shared" ca="1" si="126"/>
        <v>4.0174685085845016E-12</v>
      </c>
      <c r="S343">
        <f t="shared" ref="S343:S406" ca="1" si="144">Q342-(((R342+R343)/2)*J343)-(IF(O342&gt;O343,$D$8*((O342^2-O343^2)/(2*$I$5)),$D$9*((O343^2-O342^2)/(2*$I$5)))+($D$10*(ABS(I343)/90)*(MAX(O342^2,O343^2)/(2*$I$5))))-Q343</f>
        <v>6.5603427356109023E-4</v>
      </c>
      <c r="T343">
        <f t="shared" ref="T343:T406" ca="1" si="145">IF(ABS(S343)&lt;$D$19,1,0)</f>
        <v>1</v>
      </c>
      <c r="U343">
        <f t="shared" ca="1" si="127"/>
        <v>0.05</v>
      </c>
      <c r="V343">
        <f t="shared" ca="1" si="128"/>
        <v>0.26</v>
      </c>
      <c r="W343">
        <f t="shared" ca="1" si="129"/>
        <v>4.9056603773584909E-2</v>
      </c>
      <c r="X343">
        <f t="shared" ca="1" si="130"/>
        <v>196.15384615384616</v>
      </c>
      <c r="Y343">
        <f t="shared" ca="1" si="131"/>
        <v>632.51549999999997</v>
      </c>
      <c r="Z343">
        <f t="shared" ca="1" si="132"/>
        <v>2593.5925316486619</v>
      </c>
      <c r="AA343">
        <f t="shared" ca="1" si="133"/>
        <v>482.07306851378365</v>
      </c>
      <c r="AB343">
        <f t="shared" ca="1" si="134"/>
        <v>482.26867621694873</v>
      </c>
      <c r="AC343">
        <f t="shared" ca="1" si="135"/>
        <v>0</v>
      </c>
      <c r="AD343">
        <f ca="1">IF(V32="Supercritical",L343,U343)</f>
        <v>0.05</v>
      </c>
      <c r="AE343">
        <f t="shared" ca="1" si="136"/>
        <v>632.51549999999997</v>
      </c>
      <c r="AF343">
        <f t="shared" ca="1" si="137"/>
        <v>2593.5925316486619</v>
      </c>
      <c r="AI343">
        <v>0</v>
      </c>
      <c r="AJ343">
        <v>0</v>
      </c>
      <c r="AK343">
        <f t="shared" si="138"/>
        <v>0</v>
      </c>
      <c r="AL343">
        <f t="shared" ref="AL343:AL406" si="146">AL342+AK343</f>
        <v>0</v>
      </c>
      <c r="AM343">
        <f t="shared" ca="1" si="139"/>
        <v>280.07692026646265</v>
      </c>
      <c r="AN343" t="str">
        <f t="shared" ca="1" si="140"/>
        <v>Supercritical</v>
      </c>
      <c r="AO343">
        <f ca="1">IF(V32="Supercritical",R343,AA343)</f>
        <v>482.07306851378365</v>
      </c>
    </row>
    <row r="344" spans="1:41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174</v>
      </c>
      <c r="I344">
        <v>0.06</v>
      </c>
      <c r="J344">
        <f t="shared" si="141"/>
        <v>1</v>
      </c>
      <c r="K344">
        <f t="shared" si="142"/>
        <v>51</v>
      </c>
      <c r="L344">
        <f t="shared" ca="1" si="143"/>
        <v>38819.714667700624</v>
      </c>
      <c r="M344">
        <f t="shared" ca="1" si="121"/>
        <v>201862.51627204326</v>
      </c>
      <c r="N344">
        <f t="shared" ca="1" si="122"/>
        <v>2.599825873339654</v>
      </c>
      <c r="O344">
        <f t="shared" ca="1" si="123"/>
        <v>2.5264720237247527E-4</v>
      </c>
      <c r="P344">
        <f t="shared" ca="1" si="124"/>
        <v>39452.17966770062</v>
      </c>
      <c r="Q344">
        <f t="shared" ca="1" si="125"/>
        <v>39452.179667703873</v>
      </c>
      <c r="R344">
        <f t="shared" ca="1" si="126"/>
        <v>4.0174685887809916E-12</v>
      </c>
      <c r="S344">
        <f t="shared" ca="1" si="144"/>
        <v>8.8744122331263497E-4</v>
      </c>
      <c r="T344">
        <f t="shared" ca="1" si="145"/>
        <v>1</v>
      </c>
      <c r="U344">
        <f t="shared" ca="1" si="127"/>
        <v>0.05</v>
      </c>
      <c r="V344">
        <f t="shared" ca="1" si="128"/>
        <v>0.26</v>
      </c>
      <c r="W344">
        <f t="shared" ca="1" si="129"/>
        <v>4.9056603773584909E-2</v>
      </c>
      <c r="X344">
        <f t="shared" ca="1" si="130"/>
        <v>196.15384615384616</v>
      </c>
      <c r="Y344">
        <f t="shared" ca="1" si="131"/>
        <v>632.51499999999999</v>
      </c>
      <c r="Z344">
        <f t="shared" ca="1" si="132"/>
        <v>2593.5920316486622</v>
      </c>
      <c r="AA344">
        <f t="shared" ca="1" si="133"/>
        <v>482.07306851378365</v>
      </c>
      <c r="AB344">
        <f t="shared" ca="1" si="134"/>
        <v>481.60030083042602</v>
      </c>
      <c r="AC344">
        <f t="shared" ca="1" si="135"/>
        <v>0</v>
      </c>
      <c r="AD344">
        <f ca="1">IF(V32="Supercritical",L344,U344)</f>
        <v>0.05</v>
      </c>
      <c r="AE344">
        <f t="shared" ca="1" si="136"/>
        <v>632.51499999999999</v>
      </c>
      <c r="AF344">
        <f t="shared" ca="1" si="137"/>
        <v>2593.5920316486622</v>
      </c>
      <c r="AI344">
        <v>0</v>
      </c>
      <c r="AJ344">
        <v>0</v>
      </c>
      <c r="AK344">
        <f t="shared" si="138"/>
        <v>0</v>
      </c>
      <c r="AL344">
        <f t="shared" si="146"/>
        <v>0</v>
      </c>
      <c r="AM344">
        <f t="shared" ca="1" si="139"/>
        <v>280.07692026646265</v>
      </c>
      <c r="AN344" t="str">
        <f t="shared" ca="1" si="140"/>
        <v>Supercritical</v>
      </c>
      <c r="AO344">
        <f ca="1">IF(V32="Supercritical",R344,AA344)</f>
        <v>482.07306851378365</v>
      </c>
    </row>
    <row r="345" spans="1:41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174</v>
      </c>
      <c r="I345">
        <v>3.0000000000000001E-3</v>
      </c>
      <c r="J345">
        <f t="shared" si="141"/>
        <v>0.99899999999999523</v>
      </c>
      <c r="K345">
        <f t="shared" si="142"/>
        <v>51</v>
      </c>
      <c r="L345">
        <f t="shared" ca="1" si="143"/>
        <v>38819.714511093349</v>
      </c>
      <c r="M345">
        <f t="shared" ca="1" si="121"/>
        <v>201862.51545768543</v>
      </c>
      <c r="N345">
        <f t="shared" ca="1" si="122"/>
        <v>2.5998258733389514</v>
      </c>
      <c r="O345">
        <f t="shared" ca="1" si="123"/>
        <v>2.5264720339170972E-4</v>
      </c>
      <c r="P345">
        <f t="shared" ca="1" si="124"/>
        <v>39452.179011093351</v>
      </c>
      <c r="Q345">
        <f t="shared" ca="1" si="125"/>
        <v>39452.179011096603</v>
      </c>
      <c r="R345">
        <f t="shared" ca="1" si="126"/>
        <v>4.0174686211971464E-12</v>
      </c>
      <c r="S345">
        <f t="shared" ca="1" si="144"/>
        <v>6.5660726249916479E-4</v>
      </c>
      <c r="T345">
        <f t="shared" ca="1" si="145"/>
        <v>1</v>
      </c>
      <c r="U345">
        <f t="shared" ca="1" si="127"/>
        <v>0.05</v>
      </c>
      <c r="V345">
        <f t="shared" ca="1" si="128"/>
        <v>0.26</v>
      </c>
      <c r="W345">
        <f t="shared" ca="1" si="129"/>
        <v>4.9056603773584909E-2</v>
      </c>
      <c r="X345">
        <f t="shared" ca="1" si="130"/>
        <v>196.15384615384616</v>
      </c>
      <c r="Y345">
        <f t="shared" ca="1" si="131"/>
        <v>632.5145</v>
      </c>
      <c r="Z345">
        <f t="shared" ca="1" si="132"/>
        <v>2593.5915316486621</v>
      </c>
      <c r="AA345">
        <f t="shared" ca="1" si="133"/>
        <v>482.07306851378365</v>
      </c>
      <c r="AB345">
        <f t="shared" ca="1" si="134"/>
        <v>482.25887083179032</v>
      </c>
      <c r="AC345">
        <f t="shared" ca="1" si="135"/>
        <v>0</v>
      </c>
      <c r="AD345">
        <f ca="1">IF(V32="Supercritical",L345,U345)</f>
        <v>0.05</v>
      </c>
      <c r="AE345">
        <f t="shared" ca="1" si="136"/>
        <v>632.5145</v>
      </c>
      <c r="AF345">
        <f t="shared" ca="1" si="137"/>
        <v>2593.5915316486621</v>
      </c>
      <c r="AI345">
        <v>0</v>
      </c>
      <c r="AJ345">
        <v>0</v>
      </c>
      <c r="AK345">
        <f t="shared" si="138"/>
        <v>0</v>
      </c>
      <c r="AL345">
        <f t="shared" si="146"/>
        <v>0</v>
      </c>
      <c r="AM345">
        <f t="shared" ca="1" si="139"/>
        <v>280.07692026646265</v>
      </c>
      <c r="AN345" t="str">
        <f t="shared" ca="1" si="140"/>
        <v>Supercritical</v>
      </c>
      <c r="AO345">
        <f ca="1">IF(V32="Supercritical",R345,AA345)</f>
        <v>482.07306851378365</v>
      </c>
    </row>
    <row r="346" spans="1:41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174</v>
      </c>
      <c r="I346">
        <v>5.7000000000000002E-2</v>
      </c>
      <c r="J346">
        <f t="shared" si="141"/>
        <v>1</v>
      </c>
      <c r="K346">
        <f t="shared" si="142"/>
        <v>51</v>
      </c>
      <c r="L346">
        <f t="shared" ca="1" si="143"/>
        <v>38819.71412046202</v>
      </c>
      <c r="M346">
        <f t="shared" ca="1" si="121"/>
        <v>201862.51342640253</v>
      </c>
      <c r="N346">
        <f t="shared" ca="1" si="122"/>
        <v>2.5998258733371995</v>
      </c>
      <c r="O346">
        <f t="shared" ca="1" si="123"/>
        <v>2.5264720593402401E-4</v>
      </c>
      <c r="P346">
        <f t="shared" ca="1" si="124"/>
        <v>39452.17812046202</v>
      </c>
      <c r="Q346">
        <f t="shared" ca="1" si="125"/>
        <v>39452.178120465273</v>
      </c>
      <c r="R346">
        <f t="shared" ca="1" si="126"/>
        <v>4.0174687020539584E-12</v>
      </c>
      <c r="S346">
        <f t="shared" ca="1" si="144"/>
        <v>8.9063132327282801E-4</v>
      </c>
      <c r="T346">
        <f t="shared" ca="1" si="145"/>
        <v>1</v>
      </c>
      <c r="U346">
        <f t="shared" ca="1" si="127"/>
        <v>0.05</v>
      </c>
      <c r="V346">
        <f t="shared" ca="1" si="128"/>
        <v>0.26</v>
      </c>
      <c r="W346">
        <f t="shared" ca="1" si="129"/>
        <v>4.9056603773584909E-2</v>
      </c>
      <c r="X346">
        <f t="shared" ca="1" si="130"/>
        <v>196.15384615384616</v>
      </c>
      <c r="Y346">
        <f t="shared" ca="1" si="131"/>
        <v>632.51400000000001</v>
      </c>
      <c r="Z346">
        <f t="shared" ca="1" si="132"/>
        <v>2593.591031648662</v>
      </c>
      <c r="AA346">
        <f t="shared" ca="1" si="133"/>
        <v>482.07306851378365</v>
      </c>
      <c r="AB346">
        <f t="shared" ca="1" si="134"/>
        <v>482.25887083179032</v>
      </c>
      <c r="AC346">
        <f t="shared" ca="1" si="135"/>
        <v>0</v>
      </c>
      <c r="AD346">
        <f ca="1">IF(V32="Supercritical",L346,U346)</f>
        <v>0.05</v>
      </c>
      <c r="AE346">
        <f t="shared" ca="1" si="136"/>
        <v>632.51400000000001</v>
      </c>
      <c r="AF346">
        <f t="shared" ca="1" si="137"/>
        <v>2593.591031648662</v>
      </c>
      <c r="AI346">
        <v>0</v>
      </c>
      <c r="AJ346">
        <v>0</v>
      </c>
      <c r="AK346">
        <f t="shared" si="138"/>
        <v>0</v>
      </c>
      <c r="AL346">
        <f t="shared" si="146"/>
        <v>0</v>
      </c>
      <c r="AM346">
        <f t="shared" ca="1" si="139"/>
        <v>280.07692026646265</v>
      </c>
      <c r="AN346" t="str">
        <f t="shared" ca="1" si="140"/>
        <v>Supercritical</v>
      </c>
      <c r="AO346">
        <f ca="1">IF(V32="Supercritical",R346,AA346)</f>
        <v>482.07306851378365</v>
      </c>
    </row>
    <row r="347" spans="1:41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174</v>
      </c>
      <c r="I347">
        <v>5.7000000000000002E-2</v>
      </c>
      <c r="J347">
        <f t="shared" si="141"/>
        <v>1</v>
      </c>
      <c r="K347">
        <f t="shared" si="142"/>
        <v>51</v>
      </c>
      <c r="L347">
        <f t="shared" ca="1" si="143"/>
        <v>38819.71396329179</v>
      </c>
      <c r="M347">
        <f t="shared" ca="1" si="121"/>
        <v>201862.51260911732</v>
      </c>
      <c r="N347">
        <f t="shared" ca="1" si="122"/>
        <v>2.5998258733364943</v>
      </c>
      <c r="O347">
        <f t="shared" ca="1" si="123"/>
        <v>2.526472069569223E-4</v>
      </c>
      <c r="P347">
        <f t="shared" ca="1" si="124"/>
        <v>39452.177463291788</v>
      </c>
      <c r="Q347">
        <f t="shared" ca="1" si="125"/>
        <v>39452.17746329504</v>
      </c>
      <c r="R347">
        <f t="shared" ca="1" si="126"/>
        <v>4.0174687345866383E-12</v>
      </c>
      <c r="S347">
        <f t="shared" ca="1" si="144"/>
        <v>6.57170225167647E-4</v>
      </c>
      <c r="T347">
        <f t="shared" ca="1" si="145"/>
        <v>1</v>
      </c>
      <c r="U347">
        <f t="shared" ca="1" si="127"/>
        <v>0.05</v>
      </c>
      <c r="V347">
        <f t="shared" ca="1" si="128"/>
        <v>0.26</v>
      </c>
      <c r="W347">
        <f t="shared" ca="1" si="129"/>
        <v>4.9056603773584909E-2</v>
      </c>
      <c r="X347">
        <f t="shared" ca="1" si="130"/>
        <v>196.15384615384616</v>
      </c>
      <c r="Y347">
        <f t="shared" ca="1" si="131"/>
        <v>632.51349999999991</v>
      </c>
      <c r="Z347">
        <f t="shared" ca="1" si="132"/>
        <v>2593.5905316486619</v>
      </c>
      <c r="AA347">
        <f t="shared" ca="1" si="133"/>
        <v>482.07306851378365</v>
      </c>
      <c r="AB347">
        <f t="shared" ca="1" si="134"/>
        <v>482.25887083179077</v>
      </c>
      <c r="AC347">
        <f t="shared" ca="1" si="135"/>
        <v>0</v>
      </c>
      <c r="AD347">
        <f ca="1">IF(V32="Supercritical",L347,U347)</f>
        <v>0.05</v>
      </c>
      <c r="AE347">
        <f t="shared" ca="1" si="136"/>
        <v>632.51349999999991</v>
      </c>
      <c r="AF347">
        <f t="shared" ca="1" si="137"/>
        <v>2593.5905316486619</v>
      </c>
      <c r="AI347">
        <v>0</v>
      </c>
      <c r="AJ347">
        <v>0</v>
      </c>
      <c r="AK347">
        <f t="shared" si="138"/>
        <v>0</v>
      </c>
      <c r="AL347">
        <f t="shared" si="146"/>
        <v>0</v>
      </c>
      <c r="AM347">
        <f t="shared" ca="1" si="139"/>
        <v>280.07692026646265</v>
      </c>
      <c r="AN347" t="str">
        <f t="shared" ca="1" si="140"/>
        <v>Supercritical</v>
      </c>
      <c r="AO347">
        <f ca="1">IF(V32="Supercritical",R347,AA347)</f>
        <v>482.07306851378365</v>
      </c>
    </row>
    <row r="348" spans="1:41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174</v>
      </c>
      <c r="I348">
        <v>5.7000000000000002E-2</v>
      </c>
      <c r="J348">
        <f t="shared" si="141"/>
        <v>1</v>
      </c>
      <c r="K348">
        <f t="shared" si="142"/>
        <v>51</v>
      </c>
      <c r="L348">
        <f t="shared" ca="1" si="143"/>
        <v>38819.713569534004</v>
      </c>
      <c r="M348">
        <f t="shared" ca="1" si="121"/>
        <v>201862.51056157684</v>
      </c>
      <c r="N348">
        <f t="shared" ca="1" si="122"/>
        <v>2.5998258733347286</v>
      </c>
      <c r="O348">
        <f t="shared" ca="1" si="123"/>
        <v>2.5264720951958429E-4</v>
      </c>
      <c r="P348">
        <f t="shared" ca="1" si="124"/>
        <v>39452.176569534007</v>
      </c>
      <c r="Q348">
        <f t="shared" ca="1" si="125"/>
        <v>39452.17656953726</v>
      </c>
      <c r="R348">
        <f t="shared" ca="1" si="126"/>
        <v>4.0174688160905996E-12</v>
      </c>
      <c r="S348">
        <f t="shared" ca="1" si="144"/>
        <v>8.9375777315581217E-4</v>
      </c>
      <c r="T348">
        <f t="shared" ca="1" si="145"/>
        <v>1</v>
      </c>
      <c r="U348">
        <f t="shared" ca="1" si="127"/>
        <v>0.05</v>
      </c>
      <c r="V348">
        <f t="shared" ca="1" si="128"/>
        <v>0.26</v>
      </c>
      <c r="W348">
        <f t="shared" ca="1" si="129"/>
        <v>4.9056603773584909E-2</v>
      </c>
      <c r="X348">
        <f t="shared" ca="1" si="130"/>
        <v>196.15384615384616</v>
      </c>
      <c r="Y348">
        <f t="shared" ca="1" si="131"/>
        <v>632.51299999999992</v>
      </c>
      <c r="Z348">
        <f t="shared" ca="1" si="132"/>
        <v>2593.5900316486623</v>
      </c>
      <c r="AA348">
        <f t="shared" ca="1" si="133"/>
        <v>482.07306851378365</v>
      </c>
      <c r="AB348">
        <f t="shared" ca="1" si="134"/>
        <v>482.25887083179032</v>
      </c>
      <c r="AC348">
        <f t="shared" ca="1" si="135"/>
        <v>0</v>
      </c>
      <c r="AD348">
        <f ca="1">IF(V32="Supercritical",L348,U348)</f>
        <v>0.05</v>
      </c>
      <c r="AE348">
        <f t="shared" ca="1" si="136"/>
        <v>632.51299999999992</v>
      </c>
      <c r="AF348">
        <f t="shared" ca="1" si="137"/>
        <v>2593.5900316486623</v>
      </c>
      <c r="AI348">
        <v>0</v>
      </c>
      <c r="AJ348">
        <v>0</v>
      </c>
      <c r="AK348">
        <f t="shared" si="138"/>
        <v>0</v>
      </c>
      <c r="AL348">
        <f t="shared" si="146"/>
        <v>0</v>
      </c>
      <c r="AM348">
        <f t="shared" ca="1" si="139"/>
        <v>280.07692026646265</v>
      </c>
      <c r="AN348" t="str">
        <f t="shared" ca="1" si="140"/>
        <v>Supercritical</v>
      </c>
      <c r="AO348">
        <f ca="1">IF(V32="Supercritical",R348,AA348)</f>
        <v>482.07306851378365</v>
      </c>
    </row>
    <row r="349" spans="1:41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174</v>
      </c>
      <c r="I349">
        <v>5.7000000000000002E-2</v>
      </c>
      <c r="J349">
        <f t="shared" si="141"/>
        <v>1</v>
      </c>
      <c r="K349">
        <f t="shared" si="142"/>
        <v>51</v>
      </c>
      <c r="L349">
        <f t="shared" ca="1" si="143"/>
        <v>38819.713411812045</v>
      </c>
      <c r="M349">
        <f t="shared" ca="1" si="121"/>
        <v>201862.50974142263</v>
      </c>
      <c r="N349">
        <f t="shared" ca="1" si="122"/>
        <v>2.5998258733340207</v>
      </c>
      <c r="O349">
        <f t="shared" ca="1" si="123"/>
        <v>2.5264721054607341E-4</v>
      </c>
      <c r="P349">
        <f t="shared" ca="1" si="124"/>
        <v>39452.175911812046</v>
      </c>
      <c r="Q349">
        <f t="shared" ca="1" si="125"/>
        <v>39452.175911815299</v>
      </c>
      <c r="R349">
        <f t="shared" ca="1" si="126"/>
        <v>4.0174688487374853E-12</v>
      </c>
      <c r="S349">
        <f t="shared" ca="1" si="144"/>
        <v>6.5772195375757292E-4</v>
      </c>
      <c r="T349">
        <f t="shared" ca="1" si="145"/>
        <v>1</v>
      </c>
      <c r="U349">
        <f t="shared" ca="1" si="127"/>
        <v>0.05</v>
      </c>
      <c r="V349">
        <f t="shared" ca="1" si="128"/>
        <v>0.26</v>
      </c>
      <c r="W349">
        <f t="shared" ca="1" si="129"/>
        <v>4.9056603773584909E-2</v>
      </c>
      <c r="X349">
        <f t="shared" ca="1" si="130"/>
        <v>196.15384615384616</v>
      </c>
      <c r="Y349">
        <f t="shared" ca="1" si="131"/>
        <v>632.51249999999993</v>
      </c>
      <c r="Z349">
        <f t="shared" ca="1" si="132"/>
        <v>2593.5895316486622</v>
      </c>
      <c r="AA349">
        <f t="shared" ca="1" si="133"/>
        <v>482.07306851378365</v>
      </c>
      <c r="AB349">
        <f t="shared" ca="1" si="134"/>
        <v>482.07256851378361</v>
      </c>
      <c r="AC349">
        <f t="shared" ca="1" si="135"/>
        <v>0</v>
      </c>
      <c r="AD349">
        <f ca="1">IF(V32="Supercritical",L349,U349)</f>
        <v>0.05</v>
      </c>
      <c r="AE349">
        <f t="shared" ca="1" si="136"/>
        <v>632.51249999999993</v>
      </c>
      <c r="AF349">
        <f t="shared" ca="1" si="137"/>
        <v>2593.5895316486622</v>
      </c>
      <c r="AI349">
        <v>0</v>
      </c>
      <c r="AJ349">
        <v>0</v>
      </c>
      <c r="AK349">
        <f t="shared" si="138"/>
        <v>0</v>
      </c>
      <c r="AL349">
        <f t="shared" si="146"/>
        <v>0</v>
      </c>
      <c r="AM349">
        <f t="shared" ca="1" si="139"/>
        <v>280.07692026646265</v>
      </c>
      <c r="AN349" t="str">
        <f t="shared" ca="1" si="140"/>
        <v>Supercritical</v>
      </c>
      <c r="AO349">
        <f ca="1">IF(V32="Supercritical",R349,AA349)</f>
        <v>482.07306851378365</v>
      </c>
    </row>
    <row r="350" spans="1:41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174</v>
      </c>
      <c r="I350">
        <v>0</v>
      </c>
      <c r="J350">
        <f t="shared" si="141"/>
        <v>1</v>
      </c>
      <c r="K350">
        <f t="shared" si="142"/>
        <v>51</v>
      </c>
      <c r="L350">
        <f t="shared" ca="1" si="143"/>
        <v>38819.713014996392</v>
      </c>
      <c r="M350">
        <f t="shared" ca="1" si="121"/>
        <v>201862.50767798125</v>
      </c>
      <c r="N350">
        <f t="shared" ca="1" si="122"/>
        <v>2.5998258733322412</v>
      </c>
      <c r="O350">
        <f t="shared" ca="1" si="123"/>
        <v>2.5264721312863675E-4</v>
      </c>
      <c r="P350">
        <f t="shared" ca="1" si="124"/>
        <v>39452.175014996392</v>
      </c>
      <c r="Q350">
        <f t="shared" ca="1" si="125"/>
        <v>39452.175014999644</v>
      </c>
      <c r="R350">
        <f t="shared" ca="1" si="126"/>
        <v>4.0174689308743988E-12</v>
      </c>
      <c r="S350">
        <f t="shared" ca="1" si="144"/>
        <v>8.9681564713828266E-4</v>
      </c>
      <c r="T350">
        <f t="shared" ca="1" si="145"/>
        <v>1</v>
      </c>
      <c r="U350">
        <f t="shared" ca="1" si="127"/>
        <v>0.05</v>
      </c>
      <c r="V350">
        <f t="shared" ca="1" si="128"/>
        <v>0.26</v>
      </c>
      <c r="W350">
        <f t="shared" ca="1" si="129"/>
        <v>4.9056603773584909E-2</v>
      </c>
      <c r="X350">
        <f t="shared" ca="1" si="130"/>
        <v>196.15384615384616</v>
      </c>
      <c r="Y350">
        <f t="shared" ca="1" si="131"/>
        <v>632.51199999999994</v>
      </c>
      <c r="Z350">
        <f t="shared" ca="1" si="132"/>
        <v>2593.5890316486621</v>
      </c>
      <c r="AA350">
        <f t="shared" ca="1" si="133"/>
        <v>482.07306851378365</v>
      </c>
      <c r="AB350">
        <f t="shared" ca="1" si="134"/>
        <v>482.73440697686738</v>
      </c>
      <c r="AC350">
        <f t="shared" ca="1" si="135"/>
        <v>0</v>
      </c>
      <c r="AD350">
        <f ca="1">IF(V32="Supercritical",L350,U350)</f>
        <v>0.05</v>
      </c>
      <c r="AE350">
        <f t="shared" ca="1" si="136"/>
        <v>632.51199999999994</v>
      </c>
      <c r="AF350">
        <f t="shared" ca="1" si="137"/>
        <v>2593.5890316486621</v>
      </c>
      <c r="AI350">
        <v>0</v>
      </c>
      <c r="AJ350">
        <v>0</v>
      </c>
      <c r="AK350">
        <f t="shared" si="138"/>
        <v>0</v>
      </c>
      <c r="AL350">
        <f t="shared" si="146"/>
        <v>0</v>
      </c>
      <c r="AM350">
        <f t="shared" ca="1" si="139"/>
        <v>280.07692026646265</v>
      </c>
      <c r="AN350" t="str">
        <f t="shared" ca="1" si="140"/>
        <v>Supercritical</v>
      </c>
      <c r="AO350">
        <f ca="1">IF(V32="Supercritical",R350,AA350)</f>
        <v>482.07306851378365</v>
      </c>
    </row>
    <row r="351" spans="1:41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174</v>
      </c>
      <c r="I351">
        <v>5.5E-2</v>
      </c>
      <c r="J351">
        <f t="shared" si="141"/>
        <v>1.0010000000000048</v>
      </c>
      <c r="K351">
        <f t="shared" si="142"/>
        <v>51</v>
      </c>
      <c r="L351">
        <f t="shared" ca="1" si="143"/>
        <v>38819.712856734812</v>
      </c>
      <c r="M351">
        <f t="shared" ca="1" si="121"/>
        <v>201862.50685502103</v>
      </c>
      <c r="N351">
        <f t="shared" ca="1" si="122"/>
        <v>2.5998258733315311</v>
      </c>
      <c r="O351">
        <f t="shared" ca="1" si="123"/>
        <v>2.5264721415863787E-4</v>
      </c>
      <c r="P351">
        <f t="shared" ca="1" si="124"/>
        <v>39452.174356734809</v>
      </c>
      <c r="Q351">
        <f t="shared" ca="1" si="125"/>
        <v>39452.174356738062</v>
      </c>
      <c r="R351">
        <f t="shared" ca="1" si="126"/>
        <v>4.0174689636329798E-12</v>
      </c>
      <c r="S351">
        <f t="shared" ca="1" si="144"/>
        <v>6.5826157515402883E-4</v>
      </c>
      <c r="T351">
        <f t="shared" ca="1" si="145"/>
        <v>1</v>
      </c>
      <c r="U351">
        <f t="shared" ca="1" si="127"/>
        <v>0.05</v>
      </c>
      <c r="V351">
        <f t="shared" ca="1" si="128"/>
        <v>0.26</v>
      </c>
      <c r="W351">
        <f t="shared" ca="1" si="129"/>
        <v>4.9056603773584909E-2</v>
      </c>
      <c r="X351">
        <f t="shared" ca="1" si="130"/>
        <v>196.15384615384616</v>
      </c>
      <c r="Y351">
        <f t="shared" ca="1" si="131"/>
        <v>632.51149999999996</v>
      </c>
      <c r="Z351">
        <f t="shared" ca="1" si="132"/>
        <v>2593.588531648662</v>
      </c>
      <c r="AA351">
        <f t="shared" ca="1" si="133"/>
        <v>482.07306851378365</v>
      </c>
      <c r="AB351">
        <f t="shared" ca="1" si="134"/>
        <v>481.77026083983537</v>
      </c>
      <c r="AC351">
        <f t="shared" ca="1" si="135"/>
        <v>0</v>
      </c>
      <c r="AD351">
        <f ca="1">IF(V32="Supercritical",L351,U351)</f>
        <v>0.05</v>
      </c>
      <c r="AE351">
        <f t="shared" ca="1" si="136"/>
        <v>632.51149999999996</v>
      </c>
      <c r="AF351">
        <f t="shared" ca="1" si="137"/>
        <v>2593.588531648662</v>
      </c>
      <c r="AI351">
        <v>0</v>
      </c>
      <c r="AJ351">
        <v>0</v>
      </c>
      <c r="AK351">
        <f t="shared" si="138"/>
        <v>0</v>
      </c>
      <c r="AL351">
        <f t="shared" si="146"/>
        <v>0</v>
      </c>
      <c r="AM351">
        <f t="shared" ca="1" si="139"/>
        <v>280.07692026646265</v>
      </c>
      <c r="AN351" t="str">
        <f t="shared" ca="1" si="140"/>
        <v>Supercritical</v>
      </c>
      <c r="AO351">
        <f ca="1">IF(V32="Supercritical",R351,AA351)</f>
        <v>482.07306851378365</v>
      </c>
    </row>
    <row r="352" spans="1:41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174</v>
      </c>
      <c r="I352">
        <v>5.5E-2</v>
      </c>
      <c r="J352">
        <f t="shared" si="141"/>
        <v>0.99899999999999523</v>
      </c>
      <c r="K352">
        <f t="shared" si="142"/>
        <v>51</v>
      </c>
      <c r="L352">
        <f t="shared" ca="1" si="143"/>
        <v>38819.712456933332</v>
      </c>
      <c r="M352">
        <f t="shared" ca="1" si="121"/>
        <v>201862.50477605333</v>
      </c>
      <c r="N352">
        <f t="shared" ca="1" si="122"/>
        <v>2.5998258733297379</v>
      </c>
      <c r="O352">
        <f t="shared" ca="1" si="123"/>
        <v>2.5264721676063369E-4</v>
      </c>
      <c r="P352">
        <f t="shared" ca="1" si="124"/>
        <v>39452.173456933335</v>
      </c>
      <c r="Q352">
        <f t="shared" ca="1" si="125"/>
        <v>39452.173456936587</v>
      </c>
      <c r="R352">
        <f t="shared" ca="1" si="126"/>
        <v>4.0174690463879346E-12</v>
      </c>
      <c r="S352">
        <f t="shared" ca="1" si="144"/>
        <v>8.9980146731249988E-4</v>
      </c>
      <c r="T352">
        <f t="shared" ca="1" si="145"/>
        <v>1</v>
      </c>
      <c r="U352">
        <f t="shared" ca="1" si="127"/>
        <v>0.05</v>
      </c>
      <c r="V352">
        <f t="shared" ca="1" si="128"/>
        <v>0.26</v>
      </c>
      <c r="W352">
        <f t="shared" ca="1" si="129"/>
        <v>4.9056603773584909E-2</v>
      </c>
      <c r="X352">
        <f t="shared" ca="1" si="130"/>
        <v>196.15384615384616</v>
      </c>
      <c r="Y352">
        <f t="shared" ca="1" si="131"/>
        <v>632.51099999999997</v>
      </c>
      <c r="Z352">
        <f t="shared" ca="1" si="132"/>
        <v>2593.5880316486619</v>
      </c>
      <c r="AA352">
        <f t="shared" ca="1" si="133"/>
        <v>482.07306851378365</v>
      </c>
      <c r="AB352">
        <f t="shared" ca="1" si="134"/>
        <v>482.07256851378406</v>
      </c>
      <c r="AC352">
        <f t="shared" ca="1" si="135"/>
        <v>0</v>
      </c>
      <c r="AD352">
        <f ca="1">IF(V32="Supercritical",L352,U352)</f>
        <v>0.05</v>
      </c>
      <c r="AE352">
        <f t="shared" ca="1" si="136"/>
        <v>632.51099999999997</v>
      </c>
      <c r="AF352">
        <f t="shared" ca="1" si="137"/>
        <v>2593.5880316486619</v>
      </c>
      <c r="AI352">
        <v>0</v>
      </c>
      <c r="AJ352">
        <v>0</v>
      </c>
      <c r="AK352">
        <f t="shared" si="138"/>
        <v>0</v>
      </c>
      <c r="AL352">
        <f t="shared" si="146"/>
        <v>0</v>
      </c>
      <c r="AM352">
        <f t="shared" ca="1" si="139"/>
        <v>280.07692026646265</v>
      </c>
      <c r="AN352" t="str">
        <f t="shared" ca="1" si="140"/>
        <v>Supercritical</v>
      </c>
      <c r="AO352">
        <f ca="1">IF(V32="Supercritical",R352,AA352)</f>
        <v>482.07306851378365</v>
      </c>
    </row>
    <row r="353" spans="1:41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174</v>
      </c>
      <c r="I353">
        <v>0</v>
      </c>
      <c r="J353">
        <f t="shared" si="141"/>
        <v>1</v>
      </c>
      <c r="K353">
        <f t="shared" si="142"/>
        <v>51</v>
      </c>
      <c r="L353">
        <f t="shared" ca="1" si="143"/>
        <v>38819.712298144834</v>
      </c>
      <c r="M353">
        <f t="shared" ca="1" si="121"/>
        <v>201862.50395035313</v>
      </c>
      <c r="N353">
        <f t="shared" ca="1" si="122"/>
        <v>2.5998258733290256</v>
      </c>
      <c r="O353">
        <f t="shared" ca="1" si="123"/>
        <v>2.5264721779406414E-4</v>
      </c>
      <c r="P353">
        <f t="shared" ca="1" si="124"/>
        <v>39452.172798144835</v>
      </c>
      <c r="Q353">
        <f t="shared" ca="1" si="125"/>
        <v>39452.172798148087</v>
      </c>
      <c r="R353">
        <f t="shared" ca="1" si="126"/>
        <v>4.0174690792555855E-12</v>
      </c>
      <c r="S353">
        <f t="shared" ca="1" si="144"/>
        <v>6.5878849272849038E-4</v>
      </c>
      <c r="T353">
        <f t="shared" ca="1" si="145"/>
        <v>1</v>
      </c>
      <c r="U353">
        <f t="shared" ca="1" si="127"/>
        <v>0.05</v>
      </c>
      <c r="V353">
        <f t="shared" ca="1" si="128"/>
        <v>0.26</v>
      </c>
      <c r="W353">
        <f t="shared" ca="1" si="129"/>
        <v>4.9056603773584909E-2</v>
      </c>
      <c r="X353">
        <f t="shared" ca="1" si="130"/>
        <v>196.15384615384616</v>
      </c>
      <c r="Y353">
        <f t="shared" ca="1" si="131"/>
        <v>632.51049999999998</v>
      </c>
      <c r="Z353">
        <f t="shared" ca="1" si="132"/>
        <v>2593.5875316486622</v>
      </c>
      <c r="AA353">
        <f t="shared" ca="1" si="133"/>
        <v>482.07306851378365</v>
      </c>
      <c r="AB353">
        <f t="shared" ca="1" si="134"/>
        <v>482.25887083179032</v>
      </c>
      <c r="AC353">
        <f t="shared" ca="1" si="135"/>
        <v>0</v>
      </c>
      <c r="AD353">
        <f ca="1">IF(V32="Supercritical",L353,U353)</f>
        <v>0.05</v>
      </c>
      <c r="AE353">
        <f t="shared" ca="1" si="136"/>
        <v>632.51049999999998</v>
      </c>
      <c r="AF353">
        <f t="shared" ca="1" si="137"/>
        <v>2593.5875316486622</v>
      </c>
      <c r="AI353">
        <v>0</v>
      </c>
      <c r="AJ353">
        <v>0</v>
      </c>
      <c r="AK353">
        <f t="shared" si="138"/>
        <v>0</v>
      </c>
      <c r="AL353">
        <f t="shared" si="146"/>
        <v>0</v>
      </c>
      <c r="AM353">
        <f t="shared" ca="1" si="139"/>
        <v>280.07692026646265</v>
      </c>
      <c r="AN353" t="str">
        <f t="shared" ca="1" si="140"/>
        <v>Supercritical</v>
      </c>
      <c r="AO353">
        <f ca="1">IF(V32="Supercritical",R353,AA353)</f>
        <v>482.07306851378365</v>
      </c>
    </row>
    <row r="354" spans="1:41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174</v>
      </c>
      <c r="I354">
        <v>5.7000000000000002E-2</v>
      </c>
      <c r="J354">
        <f t="shared" si="141"/>
        <v>1</v>
      </c>
      <c r="K354">
        <f t="shared" si="142"/>
        <v>51</v>
      </c>
      <c r="L354">
        <f t="shared" ca="1" si="143"/>
        <v>38819.711895431821</v>
      </c>
      <c r="M354">
        <f t="shared" ca="1" si="121"/>
        <v>201862.50185624548</v>
      </c>
      <c r="N354">
        <f t="shared" ca="1" si="122"/>
        <v>2.5998258733272195</v>
      </c>
      <c r="O354">
        <f t="shared" ca="1" si="123"/>
        <v>2.5264722041500894E-4</v>
      </c>
      <c r="P354">
        <f t="shared" ca="1" si="124"/>
        <v>39452.17189543182</v>
      </c>
      <c r="Q354">
        <f t="shared" ca="1" si="125"/>
        <v>39452.171895435073</v>
      </c>
      <c r="R354">
        <f t="shared" ca="1" si="126"/>
        <v>4.0174691626132003E-12</v>
      </c>
      <c r="S354">
        <f t="shared" ca="1" si="144"/>
        <v>9.0271300723543391E-4</v>
      </c>
      <c r="T354">
        <f t="shared" ca="1" si="145"/>
        <v>1</v>
      </c>
      <c r="U354">
        <f t="shared" ca="1" si="127"/>
        <v>0.05</v>
      </c>
      <c r="V354">
        <f t="shared" ca="1" si="128"/>
        <v>0.26</v>
      </c>
      <c r="W354">
        <f t="shared" ca="1" si="129"/>
        <v>4.9056603773584909E-2</v>
      </c>
      <c r="X354">
        <f t="shared" ca="1" si="130"/>
        <v>196.15384615384616</v>
      </c>
      <c r="Y354">
        <f t="shared" ca="1" si="131"/>
        <v>632.51</v>
      </c>
      <c r="Z354">
        <f t="shared" ca="1" si="132"/>
        <v>2593.5870316486621</v>
      </c>
      <c r="AA354">
        <f t="shared" ca="1" si="133"/>
        <v>482.07306851378365</v>
      </c>
      <c r="AB354">
        <f t="shared" ca="1" si="134"/>
        <v>482.25887083179032</v>
      </c>
      <c r="AC354">
        <f t="shared" ca="1" si="135"/>
        <v>0</v>
      </c>
      <c r="AD354">
        <f ca="1">IF(V32="Supercritical",L354,U354)</f>
        <v>0.05</v>
      </c>
      <c r="AE354">
        <f t="shared" ca="1" si="136"/>
        <v>632.51</v>
      </c>
      <c r="AF354">
        <f t="shared" ca="1" si="137"/>
        <v>2593.5870316486621</v>
      </c>
      <c r="AI354">
        <v>0</v>
      </c>
      <c r="AJ354">
        <v>0</v>
      </c>
      <c r="AK354">
        <f t="shared" si="138"/>
        <v>0</v>
      </c>
      <c r="AL354">
        <f t="shared" si="146"/>
        <v>0</v>
      </c>
      <c r="AM354">
        <f t="shared" ca="1" si="139"/>
        <v>280.07692026646265</v>
      </c>
      <c r="AN354" t="str">
        <f t="shared" ca="1" si="140"/>
        <v>Supercritical</v>
      </c>
      <c r="AO354">
        <f ca="1">IF(V32="Supercritical",R354,AA354)</f>
        <v>482.07306851378365</v>
      </c>
    </row>
    <row r="355" spans="1:41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174</v>
      </c>
      <c r="I355">
        <v>5.7000000000000002E-2</v>
      </c>
      <c r="J355">
        <f t="shared" si="141"/>
        <v>1</v>
      </c>
      <c r="K355">
        <f t="shared" si="142"/>
        <v>51</v>
      </c>
      <c r="L355">
        <f t="shared" ca="1" si="143"/>
        <v>38819.711736129524</v>
      </c>
      <c r="M355">
        <f t="shared" ca="1" si="121"/>
        <v>201862.50102787354</v>
      </c>
      <c r="N355">
        <f t="shared" ca="1" si="122"/>
        <v>2.5998258733265054</v>
      </c>
      <c r="O355">
        <f t="shared" ca="1" si="123"/>
        <v>2.5264722145178328E-4</v>
      </c>
      <c r="P355">
        <f t="shared" ca="1" si="124"/>
        <v>39452.171236129521</v>
      </c>
      <c r="Q355">
        <f t="shared" ca="1" si="125"/>
        <v>39452.171236132774</v>
      </c>
      <c r="R355">
        <f t="shared" ca="1" si="126"/>
        <v>4.0174691955872012E-12</v>
      </c>
      <c r="S355">
        <f t="shared" ca="1" si="144"/>
        <v>6.5930229175137356E-4</v>
      </c>
      <c r="T355">
        <f t="shared" ca="1" si="145"/>
        <v>1</v>
      </c>
      <c r="U355">
        <f t="shared" ca="1" si="127"/>
        <v>0.05</v>
      </c>
      <c r="V355">
        <f t="shared" ca="1" si="128"/>
        <v>0.26</v>
      </c>
      <c r="W355">
        <f t="shared" ca="1" si="129"/>
        <v>4.9056603773584909E-2</v>
      </c>
      <c r="X355">
        <f t="shared" ca="1" si="130"/>
        <v>196.15384615384616</v>
      </c>
      <c r="Y355">
        <f t="shared" ca="1" si="131"/>
        <v>632.5095</v>
      </c>
      <c r="Z355">
        <f t="shared" ca="1" si="132"/>
        <v>2593.586531648662</v>
      </c>
      <c r="AA355">
        <f t="shared" ca="1" si="133"/>
        <v>482.07306851378365</v>
      </c>
      <c r="AB355">
        <f t="shared" ca="1" si="134"/>
        <v>482.25887083179032</v>
      </c>
      <c r="AC355">
        <f t="shared" ca="1" si="135"/>
        <v>0</v>
      </c>
      <c r="AD355">
        <f ca="1">IF(V32="Supercritical",L355,U355)</f>
        <v>0.05</v>
      </c>
      <c r="AE355">
        <f t="shared" ca="1" si="136"/>
        <v>632.5095</v>
      </c>
      <c r="AF355">
        <f t="shared" ca="1" si="137"/>
        <v>2593.586531648662</v>
      </c>
      <c r="AI355">
        <v>0</v>
      </c>
      <c r="AJ355">
        <v>0</v>
      </c>
      <c r="AK355">
        <f t="shared" si="138"/>
        <v>0</v>
      </c>
      <c r="AL355">
        <f t="shared" si="146"/>
        <v>0</v>
      </c>
      <c r="AM355">
        <f t="shared" ca="1" si="139"/>
        <v>280.07692026646265</v>
      </c>
      <c r="AN355" t="str">
        <f t="shared" ca="1" si="140"/>
        <v>Supercritical</v>
      </c>
      <c r="AO355">
        <f ca="1">IF(V32="Supercritical",R355,AA355)</f>
        <v>482.07306851378365</v>
      </c>
    </row>
    <row r="356" spans="1:41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174</v>
      </c>
      <c r="I356">
        <v>5.7000000000000002E-2</v>
      </c>
      <c r="J356">
        <f t="shared" si="141"/>
        <v>1</v>
      </c>
      <c r="K356">
        <f t="shared" si="142"/>
        <v>51</v>
      </c>
      <c r="L356">
        <f t="shared" ca="1" si="143"/>
        <v>38819.711330580612</v>
      </c>
      <c r="M356">
        <f t="shared" ca="1" si="121"/>
        <v>201862.49891901918</v>
      </c>
      <c r="N356">
        <f t="shared" ca="1" si="122"/>
        <v>2.599825873324686</v>
      </c>
      <c r="O356">
        <f t="shared" ca="1" si="123"/>
        <v>2.5264722409118484E-4</v>
      </c>
      <c r="P356">
        <f t="shared" ca="1" si="124"/>
        <v>39452.170330580615</v>
      </c>
      <c r="Q356">
        <f t="shared" ca="1" si="125"/>
        <v>39452.170330583867</v>
      </c>
      <c r="R356">
        <f t="shared" ca="1" si="126"/>
        <v>4.0174692795318268E-12</v>
      </c>
      <c r="S356">
        <f t="shared" ca="1" si="144"/>
        <v>9.0554889902705327E-4</v>
      </c>
      <c r="T356">
        <f t="shared" ca="1" si="145"/>
        <v>1</v>
      </c>
      <c r="U356">
        <f t="shared" ca="1" si="127"/>
        <v>0.05</v>
      </c>
      <c r="V356">
        <f t="shared" ca="1" si="128"/>
        <v>0.26</v>
      </c>
      <c r="W356">
        <f t="shared" ca="1" si="129"/>
        <v>4.9056603773584909E-2</v>
      </c>
      <c r="X356">
        <f t="shared" ca="1" si="130"/>
        <v>196.15384615384616</v>
      </c>
      <c r="Y356">
        <f t="shared" ca="1" si="131"/>
        <v>632.5089999999999</v>
      </c>
      <c r="Z356">
        <f t="shared" ca="1" si="132"/>
        <v>2593.5860316486619</v>
      </c>
      <c r="AA356">
        <f t="shared" ca="1" si="133"/>
        <v>482.07306851378365</v>
      </c>
      <c r="AB356">
        <f t="shared" ca="1" si="134"/>
        <v>482.25887083179077</v>
      </c>
      <c r="AC356">
        <f t="shared" ca="1" si="135"/>
        <v>0</v>
      </c>
      <c r="AD356">
        <f ca="1">IF(V32="Supercritical",L356,U356)</f>
        <v>0.05</v>
      </c>
      <c r="AE356">
        <f t="shared" ca="1" si="136"/>
        <v>632.5089999999999</v>
      </c>
      <c r="AF356">
        <f t="shared" ca="1" si="137"/>
        <v>2593.5860316486619</v>
      </c>
      <c r="AI356">
        <v>0</v>
      </c>
      <c r="AJ356">
        <v>0</v>
      </c>
      <c r="AK356">
        <f t="shared" si="138"/>
        <v>0</v>
      </c>
      <c r="AL356">
        <f t="shared" si="146"/>
        <v>0</v>
      </c>
      <c r="AM356">
        <f t="shared" ca="1" si="139"/>
        <v>280.07692026646265</v>
      </c>
      <c r="AN356" t="str">
        <f t="shared" ca="1" si="140"/>
        <v>Supercritical</v>
      </c>
      <c r="AO356">
        <f ca="1">IF(V32="Supercritical",R356,AA356)</f>
        <v>482.07306851378365</v>
      </c>
    </row>
    <row r="357" spans="1:41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174</v>
      </c>
      <c r="I357">
        <v>5.7000000000000002E-2</v>
      </c>
      <c r="J357">
        <f t="shared" si="141"/>
        <v>1</v>
      </c>
      <c r="K357">
        <f t="shared" si="142"/>
        <v>51</v>
      </c>
      <c r="L357">
        <f t="shared" ca="1" si="143"/>
        <v>38819.711170777868</v>
      </c>
      <c r="M357">
        <f t="shared" ca="1" si="121"/>
        <v>201862.49808804493</v>
      </c>
      <c r="N357">
        <f t="shared" ca="1" si="122"/>
        <v>2.5998258733239696</v>
      </c>
      <c r="O357">
        <f t="shared" ca="1" si="123"/>
        <v>2.5264722513121629E-4</v>
      </c>
      <c r="P357">
        <f t="shared" ca="1" si="124"/>
        <v>39452.169670777868</v>
      </c>
      <c r="Q357">
        <f t="shared" ca="1" si="125"/>
        <v>39452.169670781121</v>
      </c>
      <c r="R357">
        <f t="shared" ca="1" si="126"/>
        <v>4.0174693126094175E-12</v>
      </c>
      <c r="S357">
        <f t="shared" ca="1" si="144"/>
        <v>6.5980273939203471E-4</v>
      </c>
      <c r="T357">
        <f t="shared" ca="1" si="145"/>
        <v>1</v>
      </c>
      <c r="U357">
        <f t="shared" ca="1" si="127"/>
        <v>0.05</v>
      </c>
      <c r="V357">
        <f t="shared" ca="1" si="128"/>
        <v>0.26</v>
      </c>
      <c r="W357">
        <f t="shared" ca="1" si="129"/>
        <v>4.9056603773584909E-2</v>
      </c>
      <c r="X357">
        <f t="shared" ca="1" si="130"/>
        <v>196.15384615384616</v>
      </c>
      <c r="Y357">
        <f t="shared" ca="1" si="131"/>
        <v>632.50849999999991</v>
      </c>
      <c r="Z357">
        <f t="shared" ca="1" si="132"/>
        <v>2593.5855316486623</v>
      </c>
      <c r="AA357">
        <f t="shared" ca="1" si="133"/>
        <v>482.07306851378365</v>
      </c>
      <c r="AB357">
        <f t="shared" ca="1" si="134"/>
        <v>482.56444696745803</v>
      </c>
      <c r="AC357">
        <f t="shared" ca="1" si="135"/>
        <v>0</v>
      </c>
      <c r="AD357">
        <f ca="1">IF(V32="Supercritical",L357,U357)</f>
        <v>0.05</v>
      </c>
      <c r="AE357">
        <f t="shared" ca="1" si="136"/>
        <v>632.50849999999991</v>
      </c>
      <c r="AF357">
        <f t="shared" ca="1" si="137"/>
        <v>2593.5855316486623</v>
      </c>
      <c r="AI357">
        <v>0</v>
      </c>
      <c r="AJ357">
        <v>0</v>
      </c>
      <c r="AK357">
        <f t="shared" si="138"/>
        <v>0</v>
      </c>
      <c r="AL357">
        <f t="shared" si="146"/>
        <v>0</v>
      </c>
      <c r="AM357">
        <f t="shared" ca="1" si="139"/>
        <v>280.07692026646265</v>
      </c>
      <c r="AN357" t="str">
        <f t="shared" ca="1" si="140"/>
        <v>Supercritical</v>
      </c>
      <c r="AO357">
        <f ca="1">IF(V32="Supercritical",R357,AA357)</f>
        <v>482.07306851378365</v>
      </c>
    </row>
    <row r="358" spans="1:41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174</v>
      </c>
      <c r="I358">
        <v>3.0000000000000001E-3</v>
      </c>
      <c r="J358">
        <f t="shared" si="141"/>
        <v>1.0010000000000048</v>
      </c>
      <c r="K358">
        <f t="shared" si="142"/>
        <v>51</v>
      </c>
      <c r="L358">
        <f t="shared" ca="1" si="143"/>
        <v>38819.710762469316</v>
      </c>
      <c r="M358">
        <f t="shared" ca="1" si="121"/>
        <v>201862.49596484046</v>
      </c>
      <c r="N358">
        <f t="shared" ca="1" si="122"/>
        <v>2.5998258733221382</v>
      </c>
      <c r="O358">
        <f t="shared" ca="1" si="123"/>
        <v>2.526472277885782E-4</v>
      </c>
      <c r="P358">
        <f t="shared" ca="1" si="124"/>
        <v>39452.168762469315</v>
      </c>
      <c r="Q358">
        <f t="shared" ca="1" si="125"/>
        <v>39452.168762472567</v>
      </c>
      <c r="R358">
        <f t="shared" ca="1" si="126"/>
        <v>4.0174693971252621E-12</v>
      </c>
      <c r="S358">
        <f t="shared" ca="1" si="144"/>
        <v>9.083085460588336E-4</v>
      </c>
      <c r="T358">
        <f t="shared" ca="1" si="145"/>
        <v>1</v>
      </c>
      <c r="U358">
        <f t="shared" ca="1" si="127"/>
        <v>0.05</v>
      </c>
      <c r="V358">
        <f t="shared" ca="1" si="128"/>
        <v>0.26</v>
      </c>
      <c r="W358">
        <f t="shared" ca="1" si="129"/>
        <v>4.9056603773584909E-2</v>
      </c>
      <c r="X358">
        <f t="shared" ca="1" si="130"/>
        <v>196.15384615384616</v>
      </c>
      <c r="Y358">
        <f t="shared" ca="1" si="131"/>
        <v>632.50799999999992</v>
      </c>
      <c r="Z358">
        <f t="shared" ca="1" si="132"/>
        <v>2593.5850316486622</v>
      </c>
      <c r="AA358">
        <f t="shared" ca="1" si="133"/>
        <v>482.07306851378365</v>
      </c>
      <c r="AB358">
        <f t="shared" ca="1" si="134"/>
        <v>481.78660314843228</v>
      </c>
      <c r="AC358">
        <f t="shared" ca="1" si="135"/>
        <v>0</v>
      </c>
      <c r="AD358">
        <f ca="1">IF(V32="Supercritical",L358,U358)</f>
        <v>0.05</v>
      </c>
      <c r="AE358">
        <f t="shared" ca="1" si="136"/>
        <v>632.50799999999992</v>
      </c>
      <c r="AF358">
        <f t="shared" ca="1" si="137"/>
        <v>2593.5850316486622</v>
      </c>
      <c r="AI358">
        <v>0</v>
      </c>
      <c r="AJ358">
        <v>0</v>
      </c>
      <c r="AK358">
        <f t="shared" si="138"/>
        <v>0</v>
      </c>
      <c r="AL358">
        <f t="shared" si="146"/>
        <v>0</v>
      </c>
      <c r="AM358">
        <f t="shared" ca="1" si="139"/>
        <v>280.07692026646265</v>
      </c>
      <c r="AN358" t="str">
        <f t="shared" ca="1" si="140"/>
        <v>Supercritical</v>
      </c>
      <c r="AO358">
        <f ca="1">IF(V32="Supercritical",R358,AA358)</f>
        <v>482.07306851378365</v>
      </c>
    </row>
    <row r="359" spans="1:41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174</v>
      </c>
      <c r="I359">
        <v>0.06</v>
      </c>
      <c r="J359">
        <f t="shared" si="141"/>
        <v>0.99899999999999523</v>
      </c>
      <c r="K359">
        <f t="shared" si="142"/>
        <v>51</v>
      </c>
      <c r="L359">
        <f t="shared" ca="1" si="143"/>
        <v>38819.71060217957</v>
      </c>
      <c r="M359">
        <f t="shared" ca="1" si="121"/>
        <v>201862.49513133377</v>
      </c>
      <c r="N359">
        <f t="shared" ca="1" si="122"/>
        <v>2.5998258733214192</v>
      </c>
      <c r="O359">
        <f t="shared" ca="1" si="123"/>
        <v>2.526472288317792E-4</v>
      </c>
      <c r="P359">
        <f t="shared" ca="1" si="124"/>
        <v>39452.168102179567</v>
      </c>
      <c r="Q359">
        <f t="shared" ca="1" si="125"/>
        <v>39452.168102182819</v>
      </c>
      <c r="R359">
        <f t="shared" ca="1" si="126"/>
        <v>4.0174694303036599E-12</v>
      </c>
      <c r="S359">
        <f t="shared" ca="1" si="144"/>
        <v>6.6028974106302485E-4</v>
      </c>
      <c r="T359">
        <f t="shared" ca="1" si="145"/>
        <v>1</v>
      </c>
      <c r="U359">
        <f t="shared" ca="1" si="127"/>
        <v>0.05</v>
      </c>
      <c r="V359">
        <f t="shared" ca="1" si="128"/>
        <v>0.26</v>
      </c>
      <c r="W359">
        <f t="shared" ca="1" si="129"/>
        <v>4.9056603773584909E-2</v>
      </c>
      <c r="X359">
        <f t="shared" ca="1" si="130"/>
        <v>196.15384615384616</v>
      </c>
      <c r="Y359">
        <f t="shared" ca="1" si="131"/>
        <v>632.50749999999994</v>
      </c>
      <c r="Z359">
        <f t="shared" ca="1" si="132"/>
        <v>2593.5845316486621</v>
      </c>
      <c r="AA359">
        <f t="shared" ca="1" si="133"/>
        <v>482.07306851378365</v>
      </c>
      <c r="AB359">
        <f t="shared" ca="1" si="134"/>
        <v>482.25887083179032</v>
      </c>
      <c r="AC359">
        <f t="shared" ca="1" si="135"/>
        <v>0</v>
      </c>
      <c r="AD359">
        <f ca="1">IF(V32="Supercritical",L359,U359)</f>
        <v>0.05</v>
      </c>
      <c r="AE359">
        <f t="shared" ca="1" si="136"/>
        <v>632.50749999999994</v>
      </c>
      <c r="AF359">
        <f t="shared" ca="1" si="137"/>
        <v>2593.5845316486621</v>
      </c>
      <c r="AI359">
        <v>0</v>
      </c>
      <c r="AJ359">
        <v>0</v>
      </c>
      <c r="AK359">
        <f t="shared" si="138"/>
        <v>0</v>
      </c>
      <c r="AL359">
        <f t="shared" si="146"/>
        <v>0</v>
      </c>
      <c r="AM359">
        <f t="shared" ca="1" si="139"/>
        <v>280.07692026646265</v>
      </c>
      <c r="AN359" t="str">
        <f t="shared" ca="1" si="140"/>
        <v>Supercritical</v>
      </c>
      <c r="AO359">
        <f ca="1">IF(V32="Supercritical",R359,AA359)</f>
        <v>482.07306851378365</v>
      </c>
    </row>
    <row r="360" spans="1:41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174</v>
      </c>
      <c r="I360">
        <v>5.7000000000000002E-2</v>
      </c>
      <c r="J360">
        <f t="shared" si="141"/>
        <v>1</v>
      </c>
      <c r="K360">
        <f t="shared" si="142"/>
        <v>51</v>
      </c>
      <c r="L360">
        <f t="shared" ca="1" si="143"/>
        <v>38819.710191187609</v>
      </c>
      <c r="M360">
        <f t="shared" ca="1" si="121"/>
        <v>201862.49299417558</v>
      </c>
      <c r="N360">
        <f t="shared" ca="1" si="122"/>
        <v>2.5998258733195758</v>
      </c>
      <c r="O360">
        <f t="shared" ca="1" si="123"/>
        <v>2.5264723150660544E-4</v>
      </c>
      <c r="P360">
        <f t="shared" ca="1" si="124"/>
        <v>39452.167191187611</v>
      </c>
      <c r="Q360">
        <f t="shared" ca="1" si="125"/>
        <v>39452.167191190863</v>
      </c>
      <c r="R360">
        <f t="shared" ca="1" si="126"/>
        <v>4.017469515374949E-12</v>
      </c>
      <c r="S360">
        <f t="shared" ca="1" si="144"/>
        <v>9.109919483307749E-4</v>
      </c>
      <c r="T360">
        <f t="shared" ca="1" si="145"/>
        <v>1</v>
      </c>
      <c r="U360">
        <f t="shared" ca="1" si="127"/>
        <v>0.05</v>
      </c>
      <c r="V360">
        <f t="shared" ca="1" si="128"/>
        <v>0.26</v>
      </c>
      <c r="W360">
        <f t="shared" ca="1" si="129"/>
        <v>4.9056603773584909E-2</v>
      </c>
      <c r="X360">
        <f t="shared" ca="1" si="130"/>
        <v>196.15384615384616</v>
      </c>
      <c r="Y360">
        <f t="shared" ca="1" si="131"/>
        <v>632.50699999999995</v>
      </c>
      <c r="Z360">
        <f t="shared" ca="1" si="132"/>
        <v>2593.5840316486619</v>
      </c>
      <c r="AA360">
        <f t="shared" ca="1" si="133"/>
        <v>482.07306851378365</v>
      </c>
      <c r="AB360">
        <f t="shared" ca="1" si="134"/>
        <v>482.07256851378361</v>
      </c>
      <c r="AC360">
        <f t="shared" ca="1" si="135"/>
        <v>0</v>
      </c>
      <c r="AD360">
        <f ca="1">IF(V32="Supercritical",L360,U360)</f>
        <v>0.05</v>
      </c>
      <c r="AE360">
        <f t="shared" ca="1" si="136"/>
        <v>632.50699999999995</v>
      </c>
      <c r="AF360">
        <f t="shared" ca="1" si="137"/>
        <v>2593.5840316486619</v>
      </c>
      <c r="AI360">
        <v>0</v>
      </c>
      <c r="AJ360">
        <v>0</v>
      </c>
      <c r="AK360">
        <f t="shared" si="138"/>
        <v>0</v>
      </c>
      <c r="AL360">
        <f t="shared" si="146"/>
        <v>0</v>
      </c>
      <c r="AM360">
        <f t="shared" ca="1" si="139"/>
        <v>280.07692026646265</v>
      </c>
      <c r="AN360" t="str">
        <f t="shared" ca="1" si="140"/>
        <v>Supercritical</v>
      </c>
      <c r="AO360">
        <f ca="1">IF(V32="Supercritical",R360,AA360)</f>
        <v>482.07306851378365</v>
      </c>
    </row>
    <row r="361" spans="1:41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174</v>
      </c>
      <c r="I361">
        <v>0</v>
      </c>
      <c r="J361">
        <f t="shared" si="141"/>
        <v>1</v>
      </c>
      <c r="K361">
        <f t="shared" si="142"/>
        <v>51</v>
      </c>
      <c r="L361">
        <f t="shared" ca="1" si="143"/>
        <v>38819.710030424321</v>
      </c>
      <c r="M361">
        <f t="shared" ca="1" si="121"/>
        <v>201862.49215820647</v>
      </c>
      <c r="N361">
        <f t="shared" ca="1" si="122"/>
        <v>2.5998258733188546</v>
      </c>
      <c r="O361">
        <f t="shared" ca="1" si="123"/>
        <v>2.526472325528884E-4</v>
      </c>
      <c r="P361">
        <f t="shared" ca="1" si="124"/>
        <v>39452.166530424322</v>
      </c>
      <c r="Q361">
        <f t="shared" ca="1" si="125"/>
        <v>39452.166530427574</v>
      </c>
      <c r="R361">
        <f t="shared" ca="1" si="126"/>
        <v>4.0174695486513668E-12</v>
      </c>
      <c r="S361">
        <f t="shared" ca="1" si="144"/>
        <v>6.6076328221242875E-4</v>
      </c>
      <c r="T361">
        <f t="shared" ca="1" si="145"/>
        <v>1</v>
      </c>
      <c r="U361">
        <f t="shared" ca="1" si="127"/>
        <v>0.05</v>
      </c>
      <c r="V361">
        <f t="shared" ca="1" si="128"/>
        <v>0.26</v>
      </c>
      <c r="W361">
        <f t="shared" ca="1" si="129"/>
        <v>4.9056603773584909E-2</v>
      </c>
      <c r="X361">
        <f t="shared" ca="1" si="130"/>
        <v>196.15384615384616</v>
      </c>
      <c r="Y361">
        <f t="shared" ca="1" si="131"/>
        <v>632.50649999999996</v>
      </c>
      <c r="Z361">
        <f t="shared" ca="1" si="132"/>
        <v>2593.5835316486618</v>
      </c>
      <c r="AA361">
        <f t="shared" ca="1" si="133"/>
        <v>482.07306851378365</v>
      </c>
      <c r="AB361">
        <f t="shared" ca="1" si="134"/>
        <v>482.25887083179077</v>
      </c>
      <c r="AC361">
        <f t="shared" ca="1" si="135"/>
        <v>0</v>
      </c>
      <c r="AD361">
        <f ca="1">IF(V32="Supercritical",L361,U361)</f>
        <v>0.05</v>
      </c>
      <c r="AE361">
        <f t="shared" ca="1" si="136"/>
        <v>632.50649999999996</v>
      </c>
      <c r="AF361">
        <f t="shared" ca="1" si="137"/>
        <v>2593.5835316486618</v>
      </c>
      <c r="AI361">
        <v>0</v>
      </c>
      <c r="AJ361">
        <v>0</v>
      </c>
      <c r="AK361">
        <f t="shared" si="138"/>
        <v>0</v>
      </c>
      <c r="AL361">
        <f t="shared" si="146"/>
        <v>0</v>
      </c>
      <c r="AM361">
        <f t="shared" ca="1" si="139"/>
        <v>280.07692026646265</v>
      </c>
      <c r="AN361" t="str">
        <f t="shared" ca="1" si="140"/>
        <v>Supercritical</v>
      </c>
      <c r="AO361">
        <f ca="1">IF(V32="Supercritical",R361,AA361)</f>
        <v>482.07306851378365</v>
      </c>
    </row>
    <row r="362" spans="1:41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174</v>
      </c>
      <c r="I362">
        <v>5.7000000000000002E-2</v>
      </c>
      <c r="J362">
        <f t="shared" si="141"/>
        <v>1</v>
      </c>
      <c r="K362">
        <f t="shared" si="142"/>
        <v>51</v>
      </c>
      <c r="L362">
        <f t="shared" ca="1" si="143"/>
        <v>38819.709616824752</v>
      </c>
      <c r="M362">
        <f t="shared" ca="1" si="121"/>
        <v>201862.49000748873</v>
      </c>
      <c r="N362">
        <f t="shared" ca="1" si="122"/>
        <v>2.5998258733169997</v>
      </c>
      <c r="O362">
        <f t="shared" ca="1" si="123"/>
        <v>2.526472352446856E-4</v>
      </c>
      <c r="P362">
        <f t="shared" ca="1" si="124"/>
        <v>39452.16561682475</v>
      </c>
      <c r="Q362">
        <f t="shared" ca="1" si="125"/>
        <v>39452.165616828002</v>
      </c>
      <c r="R362">
        <f t="shared" ca="1" si="126"/>
        <v>4.0174696342624066E-12</v>
      </c>
      <c r="S362">
        <f t="shared" ca="1" si="144"/>
        <v>9.1359956422820687E-4</v>
      </c>
      <c r="T362">
        <f t="shared" ca="1" si="145"/>
        <v>1</v>
      </c>
      <c r="U362">
        <f t="shared" ca="1" si="127"/>
        <v>0.05</v>
      </c>
      <c r="V362">
        <f t="shared" ca="1" si="128"/>
        <v>0.26</v>
      </c>
      <c r="W362">
        <f t="shared" ca="1" si="129"/>
        <v>4.9056603773584909E-2</v>
      </c>
      <c r="X362">
        <f t="shared" ca="1" si="130"/>
        <v>196.15384615384616</v>
      </c>
      <c r="Y362">
        <f t="shared" ca="1" si="131"/>
        <v>632.50599999999997</v>
      </c>
      <c r="Z362">
        <f t="shared" ca="1" si="132"/>
        <v>2593.5830316486622</v>
      </c>
      <c r="AA362">
        <f t="shared" ca="1" si="133"/>
        <v>482.07306851378365</v>
      </c>
      <c r="AB362">
        <f t="shared" ca="1" si="134"/>
        <v>482.25887083179032</v>
      </c>
      <c r="AC362">
        <f t="shared" ca="1" si="135"/>
        <v>0</v>
      </c>
      <c r="AD362">
        <f ca="1">IF(V32="Supercritical",L362,U362)</f>
        <v>0.05</v>
      </c>
      <c r="AE362">
        <f t="shared" ca="1" si="136"/>
        <v>632.50599999999997</v>
      </c>
      <c r="AF362">
        <f t="shared" ca="1" si="137"/>
        <v>2593.5830316486622</v>
      </c>
      <c r="AI362">
        <v>0</v>
      </c>
      <c r="AJ362">
        <v>0</v>
      </c>
      <c r="AK362">
        <f t="shared" si="138"/>
        <v>0</v>
      </c>
      <c r="AL362">
        <f t="shared" si="146"/>
        <v>0</v>
      </c>
      <c r="AM362">
        <f t="shared" ca="1" si="139"/>
        <v>280.07692026646265</v>
      </c>
      <c r="AN362" t="str">
        <f t="shared" ca="1" si="140"/>
        <v>Supercritical</v>
      </c>
      <c r="AO362">
        <f ca="1">IF(V32="Supercritical",R362,AA362)</f>
        <v>482.07306851378365</v>
      </c>
    </row>
    <row r="363" spans="1:41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174</v>
      </c>
      <c r="I363">
        <v>5.7000000000000002E-2</v>
      </c>
      <c r="J363">
        <f t="shared" si="141"/>
        <v>1</v>
      </c>
      <c r="K363">
        <f t="shared" si="142"/>
        <v>51</v>
      </c>
      <c r="L363">
        <f t="shared" ca="1" si="143"/>
        <v>38819.709455601303</v>
      </c>
      <c r="M363">
        <f t="shared" ca="1" si="121"/>
        <v>201862.48916912678</v>
      </c>
      <c r="N363">
        <f t="shared" ca="1" si="122"/>
        <v>2.5998258733162762</v>
      </c>
      <c r="O363">
        <f t="shared" ca="1" si="123"/>
        <v>2.526472362939634E-4</v>
      </c>
      <c r="P363">
        <f t="shared" ca="1" si="124"/>
        <v>39452.1649556013</v>
      </c>
      <c r="Q363">
        <f t="shared" ca="1" si="125"/>
        <v>39452.164955604552</v>
      </c>
      <c r="R363">
        <f t="shared" ca="1" si="126"/>
        <v>4.0174696676340763E-12</v>
      </c>
      <c r="S363">
        <f t="shared" ca="1" si="144"/>
        <v>6.6122344287578017E-4</v>
      </c>
      <c r="T363">
        <f t="shared" ca="1" si="145"/>
        <v>1</v>
      </c>
      <c r="U363">
        <f t="shared" ca="1" si="127"/>
        <v>0.05</v>
      </c>
      <c r="V363">
        <f t="shared" ca="1" si="128"/>
        <v>0.26</v>
      </c>
      <c r="W363">
        <f t="shared" ca="1" si="129"/>
        <v>4.9056603773584909E-2</v>
      </c>
      <c r="X363">
        <f t="shared" ca="1" si="130"/>
        <v>196.15384615384616</v>
      </c>
      <c r="Y363">
        <f t="shared" ca="1" si="131"/>
        <v>632.50549999999998</v>
      </c>
      <c r="Z363">
        <f t="shared" ca="1" si="132"/>
        <v>2593.5825316486621</v>
      </c>
      <c r="AA363">
        <f t="shared" ca="1" si="133"/>
        <v>482.07306851378365</v>
      </c>
      <c r="AB363">
        <f t="shared" ca="1" si="134"/>
        <v>482.25887083179032</v>
      </c>
      <c r="AC363">
        <f t="shared" ca="1" si="135"/>
        <v>0</v>
      </c>
      <c r="AD363">
        <f ca="1">IF(V32="Supercritical",L363,U363)</f>
        <v>0.05</v>
      </c>
      <c r="AE363">
        <f t="shared" ca="1" si="136"/>
        <v>632.50549999999998</v>
      </c>
      <c r="AF363">
        <f t="shared" ca="1" si="137"/>
        <v>2593.5825316486621</v>
      </c>
      <c r="AI363">
        <v>0</v>
      </c>
      <c r="AJ363">
        <v>0</v>
      </c>
      <c r="AK363">
        <f t="shared" si="138"/>
        <v>0</v>
      </c>
      <c r="AL363">
        <f t="shared" si="146"/>
        <v>0</v>
      </c>
      <c r="AM363">
        <f t="shared" ca="1" si="139"/>
        <v>280.07692026646265</v>
      </c>
      <c r="AN363" t="str">
        <f t="shared" ca="1" si="140"/>
        <v>Supercritical</v>
      </c>
      <c r="AO363">
        <f ca="1">IF(V32="Supercritical",R363,AA363)</f>
        <v>482.07306851378365</v>
      </c>
    </row>
    <row r="364" spans="1:41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174</v>
      </c>
      <c r="I364">
        <v>5.7000000000000002E-2</v>
      </c>
      <c r="J364">
        <f t="shared" si="141"/>
        <v>1</v>
      </c>
      <c r="K364">
        <f t="shared" si="142"/>
        <v>51</v>
      </c>
      <c r="L364">
        <f t="shared" ca="1" si="143"/>
        <v>38819.709039469126</v>
      </c>
      <c r="M364">
        <f t="shared" ca="1" si="121"/>
        <v>201862.48700523947</v>
      </c>
      <c r="N364">
        <f t="shared" ca="1" si="122"/>
        <v>2.5998258733144102</v>
      </c>
      <c r="O364">
        <f t="shared" ca="1" si="123"/>
        <v>2.5264723900224345E-4</v>
      </c>
      <c r="P364">
        <f t="shared" ca="1" si="124"/>
        <v>39452.164039469128</v>
      </c>
      <c r="Q364">
        <f t="shared" ca="1" si="125"/>
        <v>39452.16403947238</v>
      </c>
      <c r="R364">
        <f t="shared" ca="1" si="126"/>
        <v>4.0174697537693434E-12</v>
      </c>
      <c r="S364">
        <f t="shared" ca="1" si="144"/>
        <v>9.1613216500263661E-4</v>
      </c>
      <c r="T364">
        <f t="shared" ca="1" si="145"/>
        <v>1</v>
      </c>
      <c r="U364">
        <f t="shared" ca="1" si="127"/>
        <v>0.05</v>
      </c>
      <c r="V364">
        <f t="shared" ca="1" si="128"/>
        <v>0.26</v>
      </c>
      <c r="W364">
        <f t="shared" ca="1" si="129"/>
        <v>4.9056603773584909E-2</v>
      </c>
      <c r="X364">
        <f t="shared" ca="1" si="130"/>
        <v>196.15384615384616</v>
      </c>
      <c r="Y364">
        <f t="shared" ca="1" si="131"/>
        <v>632.505</v>
      </c>
      <c r="Z364">
        <f t="shared" ca="1" si="132"/>
        <v>2593.582031648662</v>
      </c>
      <c r="AA364">
        <f t="shared" ca="1" si="133"/>
        <v>482.07306851378365</v>
      </c>
      <c r="AB364">
        <f t="shared" ca="1" si="134"/>
        <v>482.74094390030677</v>
      </c>
      <c r="AC364">
        <f t="shared" ca="1" si="135"/>
        <v>0</v>
      </c>
      <c r="AD364">
        <f ca="1">IF(V32="Supercritical",L364,U364)</f>
        <v>0.05</v>
      </c>
      <c r="AE364">
        <f t="shared" ca="1" si="136"/>
        <v>632.505</v>
      </c>
      <c r="AF364">
        <f t="shared" ca="1" si="137"/>
        <v>2593.582031648662</v>
      </c>
      <c r="AI364">
        <v>0</v>
      </c>
      <c r="AJ364">
        <v>0</v>
      </c>
      <c r="AK364">
        <f t="shared" si="138"/>
        <v>0</v>
      </c>
      <c r="AL364">
        <f t="shared" si="146"/>
        <v>0</v>
      </c>
      <c r="AM364">
        <f t="shared" ca="1" si="139"/>
        <v>280.07692026646265</v>
      </c>
      <c r="AN364" t="str">
        <f t="shared" ca="1" si="140"/>
        <v>Supercritical</v>
      </c>
      <c r="AO364">
        <f ca="1">IF(V32="Supercritical",R364,AA364)</f>
        <v>482.07306851378365</v>
      </c>
    </row>
    <row r="365" spans="1:41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174</v>
      </c>
      <c r="I365">
        <v>5.7000000000000002E-2</v>
      </c>
      <c r="J365">
        <f t="shared" si="141"/>
        <v>1.0010000000000048</v>
      </c>
      <c r="K365">
        <f t="shared" si="142"/>
        <v>51</v>
      </c>
      <c r="L365">
        <f t="shared" ca="1" si="143"/>
        <v>38819.708877798745</v>
      </c>
      <c r="M365">
        <f t="shared" ca="1" si="121"/>
        <v>201862.48616455347</v>
      </c>
      <c r="N365">
        <f t="shared" ca="1" si="122"/>
        <v>2.599825873313685</v>
      </c>
      <c r="O365">
        <f t="shared" ca="1" si="123"/>
        <v>2.5264724005443005E-4</v>
      </c>
      <c r="P365">
        <f t="shared" ca="1" si="124"/>
        <v>39452.163377798744</v>
      </c>
      <c r="Q365">
        <f t="shared" ca="1" si="125"/>
        <v>39452.163377801997</v>
      </c>
      <c r="R365">
        <f t="shared" ca="1" si="126"/>
        <v>4.017469787233524E-12</v>
      </c>
      <c r="S365">
        <f t="shared" ca="1" si="144"/>
        <v>6.61670375848189E-4</v>
      </c>
      <c r="T365">
        <f t="shared" ca="1" si="145"/>
        <v>1</v>
      </c>
      <c r="U365">
        <f t="shared" ca="1" si="127"/>
        <v>0.05</v>
      </c>
      <c r="V365">
        <f t="shared" ca="1" si="128"/>
        <v>0.26</v>
      </c>
      <c r="W365">
        <f t="shared" ca="1" si="129"/>
        <v>4.9056603773584909E-2</v>
      </c>
      <c r="X365">
        <f t="shared" ca="1" si="130"/>
        <v>196.15384615384616</v>
      </c>
      <c r="Y365">
        <f t="shared" ca="1" si="131"/>
        <v>632.50450000000001</v>
      </c>
      <c r="Z365">
        <f t="shared" ca="1" si="132"/>
        <v>2593.5815316486623</v>
      </c>
      <c r="AA365">
        <f t="shared" ca="1" si="133"/>
        <v>482.07306851378365</v>
      </c>
      <c r="AB365">
        <f t="shared" ca="1" si="134"/>
        <v>482.08237389894202</v>
      </c>
      <c r="AC365">
        <f t="shared" ca="1" si="135"/>
        <v>0</v>
      </c>
      <c r="AD365">
        <f ca="1">IF(V32="Supercritical",L365,U365)</f>
        <v>0.05</v>
      </c>
      <c r="AE365">
        <f t="shared" ca="1" si="136"/>
        <v>632.50450000000001</v>
      </c>
      <c r="AF365">
        <f t="shared" ca="1" si="137"/>
        <v>2593.5815316486623</v>
      </c>
      <c r="AI365">
        <v>0</v>
      </c>
      <c r="AJ365">
        <v>0</v>
      </c>
      <c r="AK365">
        <f t="shared" si="138"/>
        <v>0</v>
      </c>
      <c r="AL365">
        <f t="shared" si="146"/>
        <v>0</v>
      </c>
      <c r="AM365">
        <f t="shared" ca="1" si="139"/>
        <v>280.07692026646265</v>
      </c>
      <c r="AN365" t="str">
        <f t="shared" ca="1" si="140"/>
        <v>Supercritical</v>
      </c>
      <c r="AO365">
        <f ca="1">IF(V32="Supercritical",R365,AA365)</f>
        <v>482.07306851378365</v>
      </c>
    </row>
    <row r="366" spans="1:41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174</v>
      </c>
      <c r="I366">
        <v>3.0000000000000001E-3</v>
      </c>
      <c r="J366">
        <f t="shared" si="141"/>
        <v>1</v>
      </c>
      <c r="K366">
        <f t="shared" si="142"/>
        <v>51</v>
      </c>
      <c r="L366">
        <f t="shared" ca="1" si="143"/>
        <v>38819.708459207839</v>
      </c>
      <c r="M366">
        <f t="shared" ca="1" si="121"/>
        <v>201862.48398788078</v>
      </c>
      <c r="N366">
        <f t="shared" ca="1" si="122"/>
        <v>2.5998258733118078</v>
      </c>
      <c r="O366">
        <f t="shared" ca="1" si="123"/>
        <v>2.5264724277871211E-4</v>
      </c>
      <c r="P366">
        <f t="shared" ca="1" si="124"/>
        <v>39452.162459207837</v>
      </c>
      <c r="Q366">
        <f t="shared" ca="1" si="125"/>
        <v>39452.162459211089</v>
      </c>
      <c r="R366">
        <f t="shared" ca="1" si="126"/>
        <v>4.0174698738777301E-12</v>
      </c>
      <c r="S366">
        <f t="shared" ca="1" si="144"/>
        <v>9.1859090025536716E-4</v>
      </c>
      <c r="T366">
        <f t="shared" ca="1" si="145"/>
        <v>1</v>
      </c>
      <c r="U366">
        <f t="shared" ca="1" si="127"/>
        <v>0.05</v>
      </c>
      <c r="V366">
        <f t="shared" ca="1" si="128"/>
        <v>0.26</v>
      </c>
      <c r="W366">
        <f t="shared" ca="1" si="129"/>
        <v>4.9056603773584909E-2</v>
      </c>
      <c r="X366">
        <f t="shared" ca="1" si="130"/>
        <v>196.15384615384616</v>
      </c>
      <c r="Y366">
        <f t="shared" ca="1" si="131"/>
        <v>632.50399999999991</v>
      </c>
      <c r="Z366">
        <f t="shared" ca="1" si="132"/>
        <v>2593.5810316486622</v>
      </c>
      <c r="AA366">
        <f t="shared" ca="1" si="133"/>
        <v>482.07306851378365</v>
      </c>
      <c r="AB366">
        <f t="shared" ca="1" si="134"/>
        <v>481.78660314843228</v>
      </c>
      <c r="AC366">
        <f t="shared" ca="1" si="135"/>
        <v>0</v>
      </c>
      <c r="AD366">
        <f ca="1">IF(V32="Supercritical",L366,U366)</f>
        <v>0.05</v>
      </c>
      <c r="AE366">
        <f t="shared" ca="1" si="136"/>
        <v>632.50399999999991</v>
      </c>
      <c r="AF366">
        <f t="shared" ca="1" si="137"/>
        <v>2593.5810316486622</v>
      </c>
      <c r="AI366">
        <v>0</v>
      </c>
      <c r="AJ366">
        <v>0</v>
      </c>
      <c r="AK366">
        <f t="shared" si="138"/>
        <v>0</v>
      </c>
      <c r="AL366">
        <f t="shared" si="146"/>
        <v>0</v>
      </c>
      <c r="AM366">
        <f t="shared" ca="1" si="139"/>
        <v>280.07692026646265</v>
      </c>
      <c r="AN366" t="str">
        <f t="shared" ca="1" si="140"/>
        <v>Supercritical</v>
      </c>
      <c r="AO366">
        <f ca="1">IF(V32="Supercritical",R366,AA366)</f>
        <v>482.07306851378365</v>
      </c>
    </row>
    <row r="367" spans="1:41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174</v>
      </c>
      <c r="I367">
        <v>0.06</v>
      </c>
      <c r="J367">
        <f t="shared" si="141"/>
        <v>0.99899999999999523</v>
      </c>
      <c r="K367">
        <f t="shared" si="142"/>
        <v>51</v>
      </c>
      <c r="L367">
        <f t="shared" ca="1" si="143"/>
        <v>38819.708297103563</v>
      </c>
      <c r="M367">
        <f t="shared" ca="1" si="121"/>
        <v>201862.48314493854</v>
      </c>
      <c r="N367">
        <f t="shared" ca="1" si="122"/>
        <v>2.5998258733110804</v>
      </c>
      <c r="O367">
        <f t="shared" ca="1" si="123"/>
        <v>2.5264724383372258E-4</v>
      </c>
      <c r="P367">
        <f t="shared" ca="1" si="124"/>
        <v>39452.161797103567</v>
      </c>
      <c r="Q367">
        <f t="shared" ca="1" si="125"/>
        <v>39452.161797106819</v>
      </c>
      <c r="R367">
        <f t="shared" ca="1" si="126"/>
        <v>4.0174699074317252E-12</v>
      </c>
      <c r="S367">
        <f t="shared" ca="1" si="144"/>
        <v>6.621042630285956E-4</v>
      </c>
      <c r="T367">
        <f t="shared" ca="1" si="145"/>
        <v>1</v>
      </c>
      <c r="U367">
        <f t="shared" ca="1" si="127"/>
        <v>0.05</v>
      </c>
      <c r="V367">
        <f t="shared" ca="1" si="128"/>
        <v>0.26</v>
      </c>
      <c r="W367">
        <f t="shared" ca="1" si="129"/>
        <v>4.9056603773584909E-2</v>
      </c>
      <c r="X367">
        <f t="shared" ca="1" si="130"/>
        <v>196.15384615384616</v>
      </c>
      <c r="Y367">
        <f t="shared" ca="1" si="131"/>
        <v>632.50349999999992</v>
      </c>
      <c r="Z367">
        <f t="shared" ca="1" si="132"/>
        <v>2593.5805316486621</v>
      </c>
      <c r="AA367">
        <f t="shared" ca="1" si="133"/>
        <v>482.07306851378365</v>
      </c>
      <c r="AB367">
        <f t="shared" ca="1" si="134"/>
        <v>482.25887083179032</v>
      </c>
      <c r="AC367">
        <f t="shared" ca="1" si="135"/>
        <v>0</v>
      </c>
      <c r="AD367">
        <f ca="1">IF(V32="Supercritical",L367,U367)</f>
        <v>0.05</v>
      </c>
      <c r="AE367">
        <f t="shared" ca="1" si="136"/>
        <v>632.50349999999992</v>
      </c>
      <c r="AF367">
        <f t="shared" ca="1" si="137"/>
        <v>2593.5805316486621</v>
      </c>
      <c r="AI367">
        <v>0</v>
      </c>
      <c r="AJ367">
        <v>0</v>
      </c>
      <c r="AK367">
        <f t="shared" si="138"/>
        <v>0</v>
      </c>
      <c r="AL367">
        <f t="shared" si="146"/>
        <v>0</v>
      </c>
      <c r="AM367">
        <f t="shared" ca="1" si="139"/>
        <v>280.07692026646265</v>
      </c>
      <c r="AN367" t="str">
        <f t="shared" ca="1" si="140"/>
        <v>Supercritical</v>
      </c>
      <c r="AO367">
        <f ca="1">IF(V32="Supercritical",R367,AA367)</f>
        <v>482.07306851378365</v>
      </c>
    </row>
    <row r="368" spans="1:41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174</v>
      </c>
      <c r="I368">
        <v>5.7000000000000002E-2</v>
      </c>
      <c r="J368">
        <f t="shared" si="141"/>
        <v>1</v>
      </c>
      <c r="K368">
        <f t="shared" si="142"/>
        <v>51</v>
      </c>
      <c r="L368">
        <f t="shared" ca="1" si="143"/>
        <v>38819.7078761265</v>
      </c>
      <c r="M368">
        <f t="shared" ca="1" si="121"/>
        <v>201862.48095585781</v>
      </c>
      <c r="N368">
        <f t="shared" ca="1" si="122"/>
        <v>2.5998258733091921</v>
      </c>
      <c r="O368">
        <f t="shared" ca="1" si="123"/>
        <v>2.5264724657353437E-4</v>
      </c>
      <c r="P368">
        <f t="shared" ca="1" si="124"/>
        <v>39452.160876126502</v>
      </c>
      <c r="Q368">
        <f t="shared" ca="1" si="125"/>
        <v>39452.160876129754</v>
      </c>
      <c r="R368">
        <f t="shared" ca="1" si="126"/>
        <v>4.0174699945698455E-12</v>
      </c>
      <c r="S368">
        <f t="shared" ca="1" si="144"/>
        <v>9.2097705783089623E-4</v>
      </c>
      <c r="T368">
        <f t="shared" ca="1" si="145"/>
        <v>1</v>
      </c>
      <c r="U368">
        <f t="shared" ca="1" si="127"/>
        <v>0.05</v>
      </c>
      <c r="V368">
        <f t="shared" ca="1" si="128"/>
        <v>0.26</v>
      </c>
      <c r="W368">
        <f t="shared" ca="1" si="129"/>
        <v>4.9056603773584909E-2</v>
      </c>
      <c r="X368">
        <f t="shared" ca="1" si="130"/>
        <v>196.15384615384616</v>
      </c>
      <c r="Y368">
        <f t="shared" ca="1" si="131"/>
        <v>632.50299999999993</v>
      </c>
      <c r="Z368">
        <f t="shared" ca="1" si="132"/>
        <v>2593.580031648662</v>
      </c>
      <c r="AA368">
        <f t="shared" ca="1" si="133"/>
        <v>482.07306851378365</v>
      </c>
      <c r="AB368">
        <f t="shared" ca="1" si="134"/>
        <v>482.25887083179032</v>
      </c>
      <c r="AC368">
        <f t="shared" ca="1" si="135"/>
        <v>0</v>
      </c>
      <c r="AD368">
        <f ca="1">IF(V32="Supercritical",L368,U368)</f>
        <v>0.05</v>
      </c>
      <c r="AE368">
        <f t="shared" ca="1" si="136"/>
        <v>632.50299999999993</v>
      </c>
      <c r="AF368">
        <f t="shared" ca="1" si="137"/>
        <v>2593.580031648662</v>
      </c>
      <c r="AI368">
        <v>0</v>
      </c>
      <c r="AJ368">
        <v>0</v>
      </c>
      <c r="AK368">
        <f t="shared" si="138"/>
        <v>0</v>
      </c>
      <c r="AL368">
        <f t="shared" si="146"/>
        <v>0</v>
      </c>
      <c r="AM368">
        <f t="shared" ca="1" si="139"/>
        <v>280.07692026646265</v>
      </c>
      <c r="AN368" t="str">
        <f t="shared" ca="1" si="140"/>
        <v>Supercritical</v>
      </c>
      <c r="AO368">
        <f ca="1">IF(V32="Supercritical",R368,AA368)</f>
        <v>482.07306851378365</v>
      </c>
    </row>
    <row r="369" spans="1:41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174</v>
      </c>
      <c r="I369">
        <v>5.7000000000000002E-2</v>
      </c>
      <c r="J369">
        <f t="shared" si="141"/>
        <v>1</v>
      </c>
      <c r="K369">
        <f t="shared" si="142"/>
        <v>51</v>
      </c>
      <c r="L369">
        <f t="shared" ca="1" si="143"/>
        <v>38819.707713601136</v>
      </c>
      <c r="M369">
        <f t="shared" ca="1" si="121"/>
        <v>201862.48011072591</v>
      </c>
      <c r="N369">
        <f t="shared" ca="1" si="122"/>
        <v>2.5998258733084634</v>
      </c>
      <c r="O369">
        <f t="shared" ca="1" si="123"/>
        <v>2.5264724763128543E-4</v>
      </c>
      <c r="P369">
        <f t="shared" ca="1" si="124"/>
        <v>39452.160213601135</v>
      </c>
      <c r="Q369">
        <f t="shared" ca="1" si="125"/>
        <v>39452.160213604388</v>
      </c>
      <c r="R369">
        <f t="shared" ca="1" si="126"/>
        <v>4.0174700282110023E-12</v>
      </c>
      <c r="S369">
        <f t="shared" ca="1" si="144"/>
        <v>6.6252535907551646E-4</v>
      </c>
      <c r="T369">
        <f t="shared" ca="1" si="145"/>
        <v>1</v>
      </c>
      <c r="U369">
        <f t="shared" ca="1" si="127"/>
        <v>0.05</v>
      </c>
      <c r="V369">
        <f t="shared" ca="1" si="128"/>
        <v>0.26</v>
      </c>
      <c r="W369">
        <f t="shared" ca="1" si="129"/>
        <v>4.9056603773584909E-2</v>
      </c>
      <c r="X369">
        <f t="shared" ca="1" si="130"/>
        <v>196.15384615384616</v>
      </c>
      <c r="Y369">
        <f t="shared" ca="1" si="131"/>
        <v>632.50249999999994</v>
      </c>
      <c r="Z369">
        <f t="shared" ca="1" si="132"/>
        <v>2593.5795316486619</v>
      </c>
      <c r="AA369">
        <f t="shared" ca="1" si="133"/>
        <v>482.07306851378365</v>
      </c>
      <c r="AB369">
        <f t="shared" ca="1" si="134"/>
        <v>482.25887083179032</v>
      </c>
      <c r="AC369">
        <f t="shared" ca="1" si="135"/>
        <v>0</v>
      </c>
      <c r="AD369">
        <f ca="1">IF(V32="Supercritical",L369,U369)</f>
        <v>0.05</v>
      </c>
      <c r="AE369">
        <f t="shared" ca="1" si="136"/>
        <v>632.50249999999994</v>
      </c>
      <c r="AF369">
        <f t="shared" ca="1" si="137"/>
        <v>2593.5795316486619</v>
      </c>
      <c r="AI369">
        <v>0</v>
      </c>
      <c r="AJ369">
        <v>0</v>
      </c>
      <c r="AK369">
        <f t="shared" si="138"/>
        <v>0</v>
      </c>
      <c r="AL369">
        <f t="shared" si="146"/>
        <v>0</v>
      </c>
      <c r="AM369">
        <f t="shared" ca="1" si="139"/>
        <v>280.07692026646265</v>
      </c>
      <c r="AN369" t="str">
        <f t="shared" ca="1" si="140"/>
        <v>Supercritical</v>
      </c>
      <c r="AO369">
        <f ca="1">IF(V32="Supercritical",R369,AA369)</f>
        <v>482.07306851378365</v>
      </c>
    </row>
    <row r="370" spans="1:41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174</v>
      </c>
      <c r="I370">
        <v>5.7000000000000002E-2</v>
      </c>
      <c r="J370">
        <f t="shared" si="141"/>
        <v>1</v>
      </c>
      <c r="K370">
        <f t="shared" si="142"/>
        <v>51</v>
      </c>
      <c r="L370">
        <f t="shared" ca="1" si="143"/>
        <v>38819.707290309001</v>
      </c>
      <c r="M370">
        <f t="shared" ca="1" si="121"/>
        <v>201862.47790960682</v>
      </c>
      <c r="N370">
        <f t="shared" ca="1" si="122"/>
        <v>2.5998258733065649</v>
      </c>
      <c r="O370">
        <f t="shared" ca="1" si="123"/>
        <v>2.5264725038616433E-4</v>
      </c>
      <c r="P370">
        <f t="shared" ca="1" si="124"/>
        <v>39452.159290308999</v>
      </c>
      <c r="Q370">
        <f t="shared" ca="1" si="125"/>
        <v>39452.159290312251</v>
      </c>
      <c r="R370">
        <f t="shared" ca="1" si="126"/>
        <v>4.0174701158283235E-12</v>
      </c>
      <c r="S370">
        <f t="shared" ca="1" si="144"/>
        <v>9.2329212930053473E-4</v>
      </c>
      <c r="T370">
        <f t="shared" ca="1" si="145"/>
        <v>1</v>
      </c>
      <c r="U370">
        <f t="shared" ca="1" si="127"/>
        <v>0.05</v>
      </c>
      <c r="V370">
        <f t="shared" ca="1" si="128"/>
        <v>0.26</v>
      </c>
      <c r="W370">
        <f t="shared" ca="1" si="129"/>
        <v>4.9056603773584909E-2</v>
      </c>
      <c r="X370">
        <f t="shared" ca="1" si="130"/>
        <v>196.15384615384616</v>
      </c>
      <c r="Y370">
        <f t="shared" ca="1" si="131"/>
        <v>632.50199999999995</v>
      </c>
      <c r="Z370">
        <f t="shared" ca="1" si="132"/>
        <v>2593.5790316486618</v>
      </c>
      <c r="AA370">
        <f t="shared" ca="1" si="133"/>
        <v>482.07306851378365</v>
      </c>
      <c r="AB370">
        <f t="shared" ca="1" si="134"/>
        <v>482.07256851378406</v>
      </c>
      <c r="AC370">
        <f t="shared" ca="1" si="135"/>
        <v>0</v>
      </c>
      <c r="AD370">
        <f ca="1">IF(V32="Supercritical",L370,U370)</f>
        <v>0.05</v>
      </c>
      <c r="AE370">
        <f t="shared" ca="1" si="136"/>
        <v>632.50199999999995</v>
      </c>
      <c r="AF370">
        <f t="shared" ca="1" si="137"/>
        <v>2593.5790316486618</v>
      </c>
      <c r="AI370">
        <v>0</v>
      </c>
      <c r="AJ370">
        <v>0</v>
      </c>
      <c r="AK370">
        <f t="shared" si="138"/>
        <v>0</v>
      </c>
      <c r="AL370">
        <f t="shared" si="146"/>
        <v>0</v>
      </c>
      <c r="AM370">
        <f t="shared" ca="1" si="139"/>
        <v>280.07692026646265</v>
      </c>
      <c r="AN370" t="str">
        <f t="shared" ca="1" si="140"/>
        <v>Supercritical</v>
      </c>
      <c r="AO370">
        <f ca="1">IF(V32="Supercritical",R370,AA370)</f>
        <v>482.07306851378365</v>
      </c>
    </row>
    <row r="371" spans="1:41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174</v>
      </c>
      <c r="I371">
        <v>0</v>
      </c>
      <c r="J371">
        <f t="shared" si="141"/>
        <v>1</v>
      </c>
      <c r="K371">
        <f t="shared" si="142"/>
        <v>51</v>
      </c>
      <c r="L371">
        <f t="shared" ca="1" si="143"/>
        <v>38819.707127375099</v>
      </c>
      <c r="M371">
        <f t="shared" ca="1" si="121"/>
        <v>201862.47706235052</v>
      </c>
      <c r="N371">
        <f t="shared" ca="1" si="122"/>
        <v>2.5998258733058339</v>
      </c>
      <c r="O371">
        <f t="shared" ca="1" si="123"/>
        <v>2.5264725144657428E-4</v>
      </c>
      <c r="P371">
        <f t="shared" ca="1" si="124"/>
        <v>39452.158627375102</v>
      </c>
      <c r="Q371">
        <f t="shared" ca="1" si="125"/>
        <v>39452.158627378354</v>
      </c>
      <c r="R371">
        <f t="shared" ca="1" si="126"/>
        <v>4.0174701495540442E-12</v>
      </c>
      <c r="S371">
        <f t="shared" ca="1" si="144"/>
        <v>6.6293388954363763E-4</v>
      </c>
      <c r="T371">
        <f t="shared" ca="1" si="145"/>
        <v>1</v>
      </c>
      <c r="U371">
        <f t="shared" ca="1" si="127"/>
        <v>0.05</v>
      </c>
      <c r="V371">
        <f t="shared" ca="1" si="128"/>
        <v>0.26</v>
      </c>
      <c r="W371">
        <f t="shared" ca="1" si="129"/>
        <v>4.9056603773584909E-2</v>
      </c>
      <c r="X371">
        <f t="shared" ca="1" si="130"/>
        <v>196.15384615384616</v>
      </c>
      <c r="Y371">
        <f t="shared" ca="1" si="131"/>
        <v>632.50149999999996</v>
      </c>
      <c r="Z371">
        <f t="shared" ca="1" si="132"/>
        <v>2593.5785316486622</v>
      </c>
      <c r="AA371">
        <f t="shared" ca="1" si="133"/>
        <v>482.07306851378365</v>
      </c>
      <c r="AB371">
        <f t="shared" ca="1" si="134"/>
        <v>482.25887083179032</v>
      </c>
      <c r="AC371">
        <f t="shared" ca="1" si="135"/>
        <v>0</v>
      </c>
      <c r="AD371">
        <f ca="1">IF(V32="Supercritical",L371,U371)</f>
        <v>0.05</v>
      </c>
      <c r="AE371">
        <f t="shared" ca="1" si="136"/>
        <v>632.50149999999996</v>
      </c>
      <c r="AF371">
        <f t="shared" ca="1" si="137"/>
        <v>2593.5785316486622</v>
      </c>
      <c r="AI371">
        <v>0</v>
      </c>
      <c r="AJ371">
        <v>0</v>
      </c>
      <c r="AK371">
        <f t="shared" si="138"/>
        <v>0</v>
      </c>
      <c r="AL371">
        <f t="shared" si="146"/>
        <v>0</v>
      </c>
      <c r="AM371">
        <f t="shared" ca="1" si="139"/>
        <v>280.07692026646265</v>
      </c>
      <c r="AN371" t="str">
        <f t="shared" ca="1" si="140"/>
        <v>Supercritical</v>
      </c>
      <c r="AO371">
        <f ca="1">IF(V32="Supercritical",R371,AA371)</f>
        <v>482.07306851378365</v>
      </c>
    </row>
    <row r="372" spans="1:41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174</v>
      </c>
      <c r="I372">
        <v>5.7000000000000002E-2</v>
      </c>
      <c r="J372">
        <f t="shared" si="141"/>
        <v>1</v>
      </c>
      <c r="K372">
        <f t="shared" si="142"/>
        <v>51</v>
      </c>
      <c r="L372">
        <f t="shared" ca="1" si="143"/>
        <v>38819.706701837385</v>
      </c>
      <c r="M372">
        <f t="shared" ca="1" si="121"/>
        <v>201862.47484955442</v>
      </c>
      <c r="N372">
        <f t="shared" ca="1" si="122"/>
        <v>2.5998258733039252</v>
      </c>
      <c r="O372">
        <f t="shared" ca="1" si="123"/>
        <v>2.5264725421606795E-4</v>
      </c>
      <c r="P372">
        <f t="shared" ca="1" si="124"/>
        <v>39452.157701837386</v>
      </c>
      <c r="Q372">
        <f t="shared" ca="1" si="125"/>
        <v>39452.157701840639</v>
      </c>
      <c r="R372">
        <f t="shared" ca="1" si="126"/>
        <v>4.0174702376361835E-12</v>
      </c>
      <c r="S372">
        <f t="shared" ca="1" si="144"/>
        <v>9.2553770809900016E-4</v>
      </c>
      <c r="T372">
        <f t="shared" ca="1" si="145"/>
        <v>1</v>
      </c>
      <c r="U372">
        <f t="shared" ca="1" si="127"/>
        <v>0.05</v>
      </c>
      <c r="V372">
        <f t="shared" ca="1" si="128"/>
        <v>0.26</v>
      </c>
      <c r="W372">
        <f t="shared" ca="1" si="129"/>
        <v>4.9056603773584909E-2</v>
      </c>
      <c r="X372">
        <f t="shared" ca="1" si="130"/>
        <v>196.15384615384616</v>
      </c>
      <c r="Y372">
        <f t="shared" ca="1" si="131"/>
        <v>632.50099999999998</v>
      </c>
      <c r="Z372">
        <f t="shared" ca="1" si="132"/>
        <v>2593.5780316486621</v>
      </c>
      <c r="AA372">
        <f t="shared" ca="1" si="133"/>
        <v>482.07306851378365</v>
      </c>
      <c r="AB372">
        <f t="shared" ca="1" si="134"/>
        <v>482.75074928546428</v>
      </c>
      <c r="AC372">
        <f t="shared" ca="1" si="135"/>
        <v>0</v>
      </c>
      <c r="AD372">
        <f ca="1">IF(V32="Supercritical",L372,U372)</f>
        <v>0.05</v>
      </c>
      <c r="AE372">
        <f t="shared" ca="1" si="136"/>
        <v>632.50099999999998</v>
      </c>
      <c r="AF372">
        <f t="shared" ca="1" si="137"/>
        <v>2593.5780316486621</v>
      </c>
      <c r="AI372">
        <v>0</v>
      </c>
      <c r="AJ372">
        <v>0</v>
      </c>
      <c r="AK372">
        <f t="shared" si="138"/>
        <v>0</v>
      </c>
      <c r="AL372">
        <f t="shared" si="146"/>
        <v>0</v>
      </c>
      <c r="AM372">
        <f t="shared" ca="1" si="139"/>
        <v>280.07692026646265</v>
      </c>
      <c r="AN372" t="str">
        <f t="shared" ca="1" si="140"/>
        <v>Supercritical</v>
      </c>
      <c r="AO372">
        <f ca="1">IF(V32="Supercritical",R372,AA372)</f>
        <v>482.07306851378365</v>
      </c>
    </row>
    <row r="373" spans="1:41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174</v>
      </c>
      <c r="I373">
        <v>0.06</v>
      </c>
      <c r="J373">
        <f t="shared" si="141"/>
        <v>1.0010000000000048</v>
      </c>
      <c r="K373">
        <f t="shared" si="142"/>
        <v>51</v>
      </c>
      <c r="L373">
        <f t="shared" ca="1" si="143"/>
        <v>38819.706538507198</v>
      </c>
      <c r="M373">
        <f t="shared" ca="1" si="121"/>
        <v>201862.47400023745</v>
      </c>
      <c r="N373">
        <f t="shared" ca="1" si="122"/>
        <v>2.5998258733031929</v>
      </c>
      <c r="O373">
        <f t="shared" ca="1" si="123"/>
        <v>2.52647255279057E-4</v>
      </c>
      <c r="P373">
        <f t="shared" ca="1" si="124"/>
        <v>39452.157038507197</v>
      </c>
      <c r="Q373">
        <f t="shared" ca="1" si="125"/>
        <v>39452.15703851045</v>
      </c>
      <c r="R373">
        <f t="shared" ca="1" si="126"/>
        <v>4.0174702714439324E-12</v>
      </c>
      <c r="S373">
        <f t="shared" ca="1" si="144"/>
        <v>6.6333018185105175E-4</v>
      </c>
      <c r="T373">
        <f t="shared" ca="1" si="145"/>
        <v>1</v>
      </c>
      <c r="U373">
        <f t="shared" ca="1" si="127"/>
        <v>0.05</v>
      </c>
      <c r="V373">
        <f t="shared" ca="1" si="128"/>
        <v>0.26</v>
      </c>
      <c r="W373">
        <f t="shared" ca="1" si="129"/>
        <v>4.9056603773584909E-2</v>
      </c>
      <c r="X373">
        <f t="shared" ca="1" si="130"/>
        <v>196.15384615384616</v>
      </c>
      <c r="Y373">
        <f t="shared" ca="1" si="131"/>
        <v>632.50049999999999</v>
      </c>
      <c r="Z373">
        <f t="shared" ca="1" si="132"/>
        <v>2593.577531648662</v>
      </c>
      <c r="AA373">
        <f t="shared" ca="1" si="133"/>
        <v>482.07306851378365</v>
      </c>
      <c r="AB373">
        <f t="shared" ca="1" si="134"/>
        <v>481.60030083042648</v>
      </c>
      <c r="AC373">
        <f t="shared" ca="1" si="135"/>
        <v>0</v>
      </c>
      <c r="AD373">
        <f ca="1">IF(V32="Supercritical",L373,U373)</f>
        <v>0.05</v>
      </c>
      <c r="AE373">
        <f t="shared" ca="1" si="136"/>
        <v>632.50049999999999</v>
      </c>
      <c r="AF373">
        <f t="shared" ca="1" si="137"/>
        <v>2593.577531648662</v>
      </c>
      <c r="AI373">
        <v>0</v>
      </c>
      <c r="AJ373">
        <v>0</v>
      </c>
      <c r="AK373">
        <f t="shared" si="138"/>
        <v>0</v>
      </c>
      <c r="AL373">
        <f t="shared" si="146"/>
        <v>0</v>
      </c>
      <c r="AM373">
        <f t="shared" ca="1" si="139"/>
        <v>280.07692026646265</v>
      </c>
      <c r="AN373" t="str">
        <f t="shared" ca="1" si="140"/>
        <v>Supercritical</v>
      </c>
      <c r="AO373">
        <f ca="1">IF(V32="Supercritical",R373,AA373)</f>
        <v>482.07306851378365</v>
      </c>
    </row>
    <row r="374" spans="1:41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174</v>
      </c>
      <c r="I374">
        <v>3.0000000000000001E-3</v>
      </c>
      <c r="J374">
        <f t="shared" si="141"/>
        <v>0.99899999999999523</v>
      </c>
      <c r="K374">
        <f t="shared" si="142"/>
        <v>51</v>
      </c>
      <c r="L374">
        <f t="shared" ca="1" si="143"/>
        <v>38819.706110791674</v>
      </c>
      <c r="M374">
        <f t="shared" ca="1" si="121"/>
        <v>201862.47177611673</v>
      </c>
      <c r="N374">
        <f t="shared" ca="1" si="122"/>
        <v>2.5998258733012745</v>
      </c>
      <c r="O374">
        <f t="shared" ca="1" si="123"/>
        <v>2.5264725806272451E-4</v>
      </c>
      <c r="P374">
        <f t="shared" ca="1" si="124"/>
        <v>39452.156110791671</v>
      </c>
      <c r="Q374">
        <f t="shared" ca="1" si="125"/>
        <v>39452.156110794924</v>
      </c>
      <c r="R374">
        <f t="shared" ca="1" si="126"/>
        <v>4.0174703599768609E-12</v>
      </c>
      <c r="S374">
        <f t="shared" ca="1" si="144"/>
        <v>9.2771551862824708E-4</v>
      </c>
      <c r="T374">
        <f t="shared" ca="1" si="145"/>
        <v>1</v>
      </c>
      <c r="U374">
        <f t="shared" ca="1" si="127"/>
        <v>0.05</v>
      </c>
      <c r="V374">
        <f t="shared" ca="1" si="128"/>
        <v>0.26</v>
      </c>
      <c r="W374">
        <f t="shared" ca="1" si="129"/>
        <v>4.9056603773584909E-2</v>
      </c>
      <c r="X374">
        <f t="shared" ca="1" si="130"/>
        <v>196.15384615384616</v>
      </c>
      <c r="Y374">
        <f t="shared" ca="1" si="131"/>
        <v>632.5</v>
      </c>
      <c r="Z374">
        <f t="shared" ca="1" si="132"/>
        <v>2593.5770316486623</v>
      </c>
      <c r="AA374">
        <f t="shared" ca="1" si="133"/>
        <v>482.07306851378365</v>
      </c>
      <c r="AB374">
        <f t="shared" ca="1" si="134"/>
        <v>482.25887083179032</v>
      </c>
      <c r="AC374">
        <f t="shared" ca="1" si="135"/>
        <v>0</v>
      </c>
      <c r="AD374">
        <f ca="1">IF(V32="Supercritical",L374,U374)</f>
        <v>0.05</v>
      </c>
      <c r="AE374">
        <f t="shared" ca="1" si="136"/>
        <v>632.5</v>
      </c>
      <c r="AF374">
        <f t="shared" ca="1" si="137"/>
        <v>2593.5770316486623</v>
      </c>
      <c r="AI374">
        <v>0</v>
      </c>
      <c r="AJ374">
        <v>0</v>
      </c>
      <c r="AK374">
        <f t="shared" si="138"/>
        <v>0</v>
      </c>
      <c r="AL374">
        <f t="shared" si="146"/>
        <v>0</v>
      </c>
      <c r="AM374">
        <f t="shared" ca="1" si="139"/>
        <v>280.07692026646265</v>
      </c>
      <c r="AN374" t="str">
        <f t="shared" ca="1" si="140"/>
        <v>Supercritical</v>
      </c>
      <c r="AO374">
        <f ca="1">IF(V32="Supercritical",R374,AA374)</f>
        <v>482.07306851378365</v>
      </c>
    </row>
    <row r="375" spans="1:41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174</v>
      </c>
      <c r="I375">
        <v>5.7000000000000002E-2</v>
      </c>
      <c r="J375">
        <f t="shared" si="141"/>
        <v>1</v>
      </c>
      <c r="K375">
        <f t="shared" si="142"/>
        <v>51</v>
      </c>
      <c r="L375">
        <f t="shared" ca="1" si="143"/>
        <v>38819.705947077171</v>
      </c>
      <c r="M375">
        <f t="shared" ca="1" si="121"/>
        <v>201862.47092480131</v>
      </c>
      <c r="N375">
        <f t="shared" ca="1" si="122"/>
        <v>2.5998258733005399</v>
      </c>
      <c r="O375">
        <f t="shared" ca="1" si="123"/>
        <v>2.5264725912821481E-4</v>
      </c>
      <c r="P375">
        <f t="shared" ca="1" si="124"/>
        <v>39452.155447077173</v>
      </c>
      <c r="Q375">
        <f t="shared" ca="1" si="125"/>
        <v>39452.155447080426</v>
      </c>
      <c r="R375">
        <f t="shared" ca="1" si="126"/>
        <v>4.0174703938641621E-12</v>
      </c>
      <c r="S375">
        <f t="shared" ca="1" si="144"/>
        <v>6.637144906562753E-4</v>
      </c>
      <c r="T375">
        <f t="shared" ca="1" si="145"/>
        <v>1</v>
      </c>
      <c r="U375">
        <f t="shared" ca="1" si="127"/>
        <v>0.05</v>
      </c>
      <c r="V375">
        <f t="shared" ca="1" si="128"/>
        <v>0.26</v>
      </c>
      <c r="W375">
        <f t="shared" ca="1" si="129"/>
        <v>4.9056603773584909E-2</v>
      </c>
      <c r="X375">
        <f t="shared" ca="1" si="130"/>
        <v>196.15384615384616</v>
      </c>
      <c r="Y375">
        <f t="shared" ca="1" si="131"/>
        <v>632.4994999999999</v>
      </c>
      <c r="Z375">
        <f t="shared" ca="1" si="132"/>
        <v>2593.5765316486622</v>
      </c>
      <c r="AA375">
        <f t="shared" ca="1" si="133"/>
        <v>482.07306851378365</v>
      </c>
      <c r="AB375">
        <f t="shared" ca="1" si="134"/>
        <v>482.25887083179032</v>
      </c>
      <c r="AC375">
        <f t="shared" ca="1" si="135"/>
        <v>0</v>
      </c>
      <c r="AD375">
        <f ca="1">IF(V32="Supercritical",L375,U375)</f>
        <v>0.05</v>
      </c>
      <c r="AE375">
        <f t="shared" ca="1" si="136"/>
        <v>632.4994999999999</v>
      </c>
      <c r="AF375">
        <f t="shared" ca="1" si="137"/>
        <v>2593.5765316486622</v>
      </c>
      <c r="AI375">
        <v>0</v>
      </c>
      <c r="AJ375">
        <v>0</v>
      </c>
      <c r="AK375">
        <f t="shared" si="138"/>
        <v>0</v>
      </c>
      <c r="AL375">
        <f t="shared" si="146"/>
        <v>0</v>
      </c>
      <c r="AM375">
        <f t="shared" ca="1" si="139"/>
        <v>280.07692026646265</v>
      </c>
      <c r="AN375" t="str">
        <f t="shared" ca="1" si="140"/>
        <v>Supercritical</v>
      </c>
      <c r="AO375">
        <f ca="1">IF(V32="Supercritical",R375,AA375)</f>
        <v>482.07306851378365</v>
      </c>
    </row>
    <row r="376" spans="1:41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174</v>
      </c>
      <c r="I376">
        <v>5.7000000000000002E-2</v>
      </c>
      <c r="J376">
        <f t="shared" si="141"/>
        <v>1</v>
      </c>
      <c r="K376">
        <f t="shared" si="142"/>
        <v>51</v>
      </c>
      <c r="L376">
        <f t="shared" ca="1" si="143"/>
        <v>38819.705517249851</v>
      </c>
      <c r="M376">
        <f t="shared" ca="1" si="121"/>
        <v>201862.46868969922</v>
      </c>
      <c r="N376">
        <f t="shared" ca="1" si="122"/>
        <v>2.5998258732986117</v>
      </c>
      <c r="O376">
        <f t="shared" ca="1" si="123"/>
        <v>2.5264726192562642E-4</v>
      </c>
      <c r="P376">
        <f t="shared" ca="1" si="124"/>
        <v>39452.154517249852</v>
      </c>
      <c r="Q376">
        <f t="shared" ca="1" si="125"/>
        <v>39452.154517253104</v>
      </c>
      <c r="R376">
        <f t="shared" ca="1" si="126"/>
        <v>4.0174704828342184E-12</v>
      </c>
      <c r="S376">
        <f t="shared" ca="1" si="144"/>
        <v>9.2982731439406052E-4</v>
      </c>
      <c r="T376">
        <f t="shared" ca="1" si="145"/>
        <v>1</v>
      </c>
      <c r="U376">
        <f t="shared" ca="1" si="127"/>
        <v>0.05</v>
      </c>
      <c r="V376">
        <f t="shared" ca="1" si="128"/>
        <v>0.26</v>
      </c>
      <c r="W376">
        <f t="shared" ca="1" si="129"/>
        <v>4.9056603773584909E-2</v>
      </c>
      <c r="X376">
        <f t="shared" ca="1" si="130"/>
        <v>196.15384615384616</v>
      </c>
      <c r="Y376">
        <f t="shared" ca="1" si="131"/>
        <v>632.49899999999991</v>
      </c>
      <c r="Z376">
        <f t="shared" ca="1" si="132"/>
        <v>2593.5760316486621</v>
      </c>
      <c r="AA376">
        <f t="shared" ca="1" si="133"/>
        <v>482.07306851378365</v>
      </c>
      <c r="AB376">
        <f t="shared" ca="1" si="134"/>
        <v>482.25887083179032</v>
      </c>
      <c r="AC376">
        <f t="shared" ca="1" si="135"/>
        <v>0</v>
      </c>
      <c r="AD376">
        <f ca="1">IF(V32="Supercritical",L376,U376)</f>
        <v>0.05</v>
      </c>
      <c r="AE376">
        <f t="shared" ca="1" si="136"/>
        <v>632.49899999999991</v>
      </c>
      <c r="AF376">
        <f t="shared" ca="1" si="137"/>
        <v>2593.5760316486621</v>
      </c>
      <c r="AI376">
        <v>0</v>
      </c>
      <c r="AJ376">
        <v>0</v>
      </c>
      <c r="AK376">
        <f t="shared" si="138"/>
        <v>0</v>
      </c>
      <c r="AL376">
        <f t="shared" si="146"/>
        <v>0</v>
      </c>
      <c r="AM376">
        <f t="shared" ca="1" si="139"/>
        <v>280.07692026646265</v>
      </c>
      <c r="AN376" t="str">
        <f t="shared" ca="1" si="140"/>
        <v>Supercritical</v>
      </c>
      <c r="AO376">
        <f ca="1">IF(V32="Supercritical",R376,AA376)</f>
        <v>482.07306851378365</v>
      </c>
    </row>
    <row r="377" spans="1:41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174</v>
      </c>
      <c r="I377">
        <v>5.7000000000000002E-2</v>
      </c>
      <c r="J377">
        <f t="shared" si="141"/>
        <v>1</v>
      </c>
      <c r="K377">
        <f t="shared" si="142"/>
        <v>51</v>
      </c>
      <c r="L377">
        <f t="shared" ca="1" si="143"/>
        <v>38819.705353162681</v>
      </c>
      <c r="M377">
        <f t="shared" ca="1" si="121"/>
        <v>201862.46783644595</v>
      </c>
      <c r="N377">
        <f t="shared" ca="1" si="122"/>
        <v>2.5998258732978763</v>
      </c>
      <c r="O377">
        <f t="shared" ca="1" si="123"/>
        <v>2.5264726299354214E-4</v>
      </c>
      <c r="P377">
        <f t="shared" ca="1" si="124"/>
        <v>39452.153853162679</v>
      </c>
      <c r="Q377">
        <f t="shared" ca="1" si="125"/>
        <v>39452.153853165932</v>
      </c>
      <c r="R377">
        <f t="shared" ca="1" si="126"/>
        <v>4.0174705167986583E-12</v>
      </c>
      <c r="S377">
        <f t="shared" ca="1" si="144"/>
        <v>6.6408716520527378E-4</v>
      </c>
      <c r="T377">
        <f t="shared" ca="1" si="145"/>
        <v>1</v>
      </c>
      <c r="U377">
        <f t="shared" ca="1" si="127"/>
        <v>0.05</v>
      </c>
      <c r="V377">
        <f t="shared" ca="1" si="128"/>
        <v>0.26</v>
      </c>
      <c r="W377">
        <f t="shared" ca="1" si="129"/>
        <v>4.9056603773584909E-2</v>
      </c>
      <c r="X377">
        <f t="shared" ca="1" si="130"/>
        <v>196.15384615384616</v>
      </c>
      <c r="Y377">
        <f t="shared" ca="1" si="131"/>
        <v>632.49849999999992</v>
      </c>
      <c r="Z377">
        <f t="shared" ca="1" si="132"/>
        <v>2593.575531648662</v>
      </c>
      <c r="AA377">
        <f t="shared" ca="1" si="133"/>
        <v>482.07306851378365</v>
      </c>
      <c r="AB377">
        <f t="shared" ca="1" si="134"/>
        <v>482.25887083179032</v>
      </c>
      <c r="AC377">
        <f t="shared" ca="1" si="135"/>
        <v>0</v>
      </c>
      <c r="AD377">
        <f ca="1">IF(V32="Supercritical",L377,U377)</f>
        <v>0.05</v>
      </c>
      <c r="AE377">
        <f t="shared" ca="1" si="136"/>
        <v>632.49849999999992</v>
      </c>
      <c r="AF377">
        <f t="shared" ca="1" si="137"/>
        <v>2593.575531648662</v>
      </c>
      <c r="AI377">
        <v>0</v>
      </c>
      <c r="AJ377">
        <v>0</v>
      </c>
      <c r="AK377">
        <f t="shared" si="138"/>
        <v>0</v>
      </c>
      <c r="AL377">
        <f t="shared" si="146"/>
        <v>0</v>
      </c>
      <c r="AM377">
        <f t="shared" ca="1" si="139"/>
        <v>280.07692026646265</v>
      </c>
      <c r="AN377" t="str">
        <f t="shared" ca="1" si="140"/>
        <v>Supercritical</v>
      </c>
      <c r="AO377">
        <f ca="1">IF(V32="Supercritical",R377,AA377)</f>
        <v>482.07306851378365</v>
      </c>
    </row>
    <row r="378" spans="1:41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174</v>
      </c>
      <c r="I378">
        <v>5.7000000000000002E-2</v>
      </c>
      <c r="J378">
        <f t="shared" si="141"/>
        <v>1</v>
      </c>
      <c r="K378">
        <f t="shared" si="142"/>
        <v>51</v>
      </c>
      <c r="L378">
        <f t="shared" ca="1" si="143"/>
        <v>38819.704921287797</v>
      </c>
      <c r="M378">
        <f t="shared" ca="1" si="121"/>
        <v>201862.46559069655</v>
      </c>
      <c r="N378">
        <f t="shared" ca="1" si="122"/>
        <v>2.5998258732959392</v>
      </c>
      <c r="O378">
        <f t="shared" ca="1" si="123"/>
        <v>2.5264726580427984E-4</v>
      </c>
      <c r="P378">
        <f t="shared" ca="1" si="124"/>
        <v>39452.152921287794</v>
      </c>
      <c r="Q378">
        <f t="shared" ca="1" si="125"/>
        <v>39452.152921291046</v>
      </c>
      <c r="R378">
        <f t="shared" ca="1" si="126"/>
        <v>4.0174706061925412E-12</v>
      </c>
      <c r="S378">
        <f t="shared" ca="1" si="144"/>
        <v>9.3187487800605595E-4</v>
      </c>
      <c r="T378">
        <f t="shared" ca="1" si="145"/>
        <v>1</v>
      </c>
      <c r="U378">
        <f t="shared" ca="1" si="127"/>
        <v>0.05</v>
      </c>
      <c r="V378">
        <f t="shared" ca="1" si="128"/>
        <v>0.26</v>
      </c>
      <c r="W378">
        <f t="shared" ca="1" si="129"/>
        <v>4.9056603773584909E-2</v>
      </c>
      <c r="X378">
        <f t="shared" ca="1" si="130"/>
        <v>196.15384615384616</v>
      </c>
      <c r="Y378">
        <f t="shared" ca="1" si="131"/>
        <v>632.49799999999993</v>
      </c>
      <c r="Z378">
        <f t="shared" ca="1" si="132"/>
        <v>2593.5750316486619</v>
      </c>
      <c r="AA378">
        <f t="shared" ca="1" si="133"/>
        <v>482.07306851378365</v>
      </c>
      <c r="AB378">
        <f t="shared" ca="1" si="134"/>
        <v>482.07256851378361</v>
      </c>
      <c r="AC378">
        <f t="shared" ca="1" si="135"/>
        <v>0</v>
      </c>
      <c r="AD378">
        <f ca="1">IF(V32="Supercritical",L378,U378)</f>
        <v>0.05</v>
      </c>
      <c r="AE378">
        <f t="shared" ca="1" si="136"/>
        <v>632.49799999999993</v>
      </c>
      <c r="AF378">
        <f t="shared" ca="1" si="137"/>
        <v>2593.5750316486619</v>
      </c>
      <c r="AI378">
        <v>0</v>
      </c>
      <c r="AJ378">
        <v>0</v>
      </c>
      <c r="AK378">
        <f t="shared" si="138"/>
        <v>0</v>
      </c>
      <c r="AL378">
        <f t="shared" si="146"/>
        <v>0</v>
      </c>
      <c r="AM378">
        <f t="shared" ca="1" si="139"/>
        <v>280.07692026646265</v>
      </c>
      <c r="AN378" t="str">
        <f t="shared" ca="1" si="140"/>
        <v>Supercritical</v>
      </c>
      <c r="AO378">
        <f ca="1">IF(V32="Supercritical",R378,AA378)</f>
        <v>482.07306851378365</v>
      </c>
    </row>
    <row r="379" spans="1:41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174</v>
      </c>
      <c r="I379">
        <v>0</v>
      </c>
      <c r="J379">
        <f t="shared" si="141"/>
        <v>1</v>
      </c>
      <c r="K379">
        <f t="shared" si="142"/>
        <v>51</v>
      </c>
      <c r="L379">
        <f t="shared" ca="1" si="143"/>
        <v>38819.704756839288</v>
      </c>
      <c r="M379">
        <f t="shared" ca="1" si="121"/>
        <v>201862.46473556431</v>
      </c>
      <c r="N379">
        <f t="shared" ca="1" si="122"/>
        <v>2.5998258732952015</v>
      </c>
      <c r="O379">
        <f t="shared" ca="1" si="123"/>
        <v>2.5264726687454725E-4</v>
      </c>
      <c r="P379">
        <f t="shared" ca="1" si="124"/>
        <v>39452.15225683929</v>
      </c>
      <c r="Q379">
        <f t="shared" ca="1" si="125"/>
        <v>39452.152256842543</v>
      </c>
      <c r="R379">
        <f t="shared" ca="1" si="126"/>
        <v>4.0174706402317779E-12</v>
      </c>
      <c r="S379">
        <f t="shared" ca="1" si="144"/>
        <v>6.6444849653635174E-4</v>
      </c>
      <c r="T379">
        <f t="shared" ca="1" si="145"/>
        <v>1</v>
      </c>
      <c r="U379">
        <f t="shared" ca="1" si="127"/>
        <v>0.05</v>
      </c>
      <c r="V379">
        <f t="shared" ca="1" si="128"/>
        <v>0.26</v>
      </c>
      <c r="W379">
        <f t="shared" ca="1" si="129"/>
        <v>4.9056603773584909E-2</v>
      </c>
      <c r="X379">
        <f t="shared" ca="1" si="130"/>
        <v>196.15384615384616</v>
      </c>
      <c r="Y379">
        <f t="shared" ca="1" si="131"/>
        <v>632.49749999999995</v>
      </c>
      <c r="Z379">
        <f t="shared" ca="1" si="132"/>
        <v>2593.5745316486618</v>
      </c>
      <c r="AA379">
        <f t="shared" ca="1" si="133"/>
        <v>482.07306851378365</v>
      </c>
      <c r="AB379">
        <f t="shared" ca="1" si="134"/>
        <v>482.74094390030677</v>
      </c>
      <c r="AC379">
        <f t="shared" ca="1" si="135"/>
        <v>0</v>
      </c>
      <c r="AD379">
        <f ca="1">IF(V32="Supercritical",L379,U379)</f>
        <v>0.05</v>
      </c>
      <c r="AE379">
        <f t="shared" ca="1" si="136"/>
        <v>632.49749999999995</v>
      </c>
      <c r="AF379">
        <f t="shared" ca="1" si="137"/>
        <v>2593.5745316486618</v>
      </c>
      <c r="AI379">
        <v>0</v>
      </c>
      <c r="AJ379">
        <v>0</v>
      </c>
      <c r="AK379">
        <f t="shared" si="138"/>
        <v>0</v>
      </c>
      <c r="AL379">
        <f t="shared" si="146"/>
        <v>0</v>
      </c>
      <c r="AM379">
        <f t="shared" ca="1" si="139"/>
        <v>280.07692026646265</v>
      </c>
      <c r="AN379" t="str">
        <f t="shared" ca="1" si="140"/>
        <v>Supercritical</v>
      </c>
      <c r="AO379">
        <f ca="1">IF(V32="Supercritical",R379,AA379)</f>
        <v>482.07306851378365</v>
      </c>
    </row>
    <row r="380" spans="1:41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174</v>
      </c>
      <c r="I380">
        <v>5.7000000000000002E-2</v>
      </c>
      <c r="J380">
        <f t="shared" si="141"/>
        <v>1.0010000000000048</v>
      </c>
      <c r="K380">
        <f t="shared" si="142"/>
        <v>51</v>
      </c>
      <c r="L380">
        <f t="shared" ca="1" si="143"/>
        <v>38819.704322979254</v>
      </c>
      <c r="M380">
        <f t="shared" ca="1" si="121"/>
        <v>201862.46247949213</v>
      </c>
      <c r="N380">
        <f t="shared" ca="1" si="122"/>
        <v>2.5998258732932555</v>
      </c>
      <c r="O380">
        <f t="shared" ca="1" si="123"/>
        <v>2.5264726969820484E-4</v>
      </c>
      <c r="P380">
        <f t="shared" ca="1" si="124"/>
        <v>39452.151322979254</v>
      </c>
      <c r="Q380">
        <f t="shared" ca="1" si="125"/>
        <v>39452.151322982507</v>
      </c>
      <c r="R380">
        <f t="shared" ca="1" si="126"/>
        <v>4.0174707300365709E-12</v>
      </c>
      <c r="S380">
        <f t="shared" ca="1" si="144"/>
        <v>9.3386002845363691E-4</v>
      </c>
      <c r="T380">
        <f t="shared" ca="1" si="145"/>
        <v>1</v>
      </c>
      <c r="U380">
        <f t="shared" ca="1" si="127"/>
        <v>0.05</v>
      </c>
      <c r="V380">
        <f t="shared" ca="1" si="128"/>
        <v>0.26</v>
      </c>
      <c r="W380">
        <f t="shared" ca="1" si="129"/>
        <v>4.9056603773584909E-2</v>
      </c>
      <c r="X380">
        <f t="shared" ca="1" si="130"/>
        <v>196.15384615384616</v>
      </c>
      <c r="Y380">
        <f t="shared" ca="1" si="131"/>
        <v>632.49699999999996</v>
      </c>
      <c r="Z380">
        <f t="shared" ca="1" si="132"/>
        <v>2593.5740316486622</v>
      </c>
      <c r="AA380">
        <f t="shared" ca="1" si="133"/>
        <v>482.07306851378365</v>
      </c>
      <c r="AB380">
        <f t="shared" ca="1" si="134"/>
        <v>482.26867621694828</v>
      </c>
      <c r="AC380">
        <f t="shared" ca="1" si="135"/>
        <v>0</v>
      </c>
      <c r="AD380">
        <f ca="1">IF(V32="Supercritical",L380,U380)</f>
        <v>0.05</v>
      </c>
      <c r="AE380">
        <f t="shared" ca="1" si="136"/>
        <v>632.49699999999996</v>
      </c>
      <c r="AF380">
        <f t="shared" ca="1" si="137"/>
        <v>2593.5740316486622</v>
      </c>
      <c r="AI380">
        <v>0</v>
      </c>
      <c r="AJ380">
        <v>0</v>
      </c>
      <c r="AK380">
        <f t="shared" si="138"/>
        <v>0</v>
      </c>
      <c r="AL380">
        <f t="shared" si="146"/>
        <v>0</v>
      </c>
      <c r="AM380">
        <f t="shared" ca="1" si="139"/>
        <v>280.07692026646265</v>
      </c>
      <c r="AN380" t="str">
        <f t="shared" ca="1" si="140"/>
        <v>Supercritical</v>
      </c>
      <c r="AO380">
        <f ca="1">IF(V32="Supercritical",R380,AA380)</f>
        <v>482.07306851378365</v>
      </c>
    </row>
    <row r="381" spans="1:41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174</v>
      </c>
      <c r="I381">
        <v>0.06</v>
      </c>
      <c r="J381">
        <f t="shared" si="141"/>
        <v>1</v>
      </c>
      <c r="K381">
        <f t="shared" si="142"/>
        <v>51</v>
      </c>
      <c r="L381">
        <f t="shared" ca="1" si="143"/>
        <v>38819.704158180422</v>
      </c>
      <c r="M381">
        <f t="shared" ca="1" si="121"/>
        <v>201862.46162253819</v>
      </c>
      <c r="N381">
        <f t="shared" ca="1" si="122"/>
        <v>2.5998258732925161</v>
      </c>
      <c r="O381">
        <f t="shared" ca="1" si="123"/>
        <v>2.5264727077075228E-4</v>
      </c>
      <c r="P381">
        <f t="shared" ca="1" si="124"/>
        <v>39452.150658180421</v>
      </c>
      <c r="Q381">
        <f t="shared" ca="1" si="125"/>
        <v>39452.150658183673</v>
      </c>
      <c r="R381">
        <f t="shared" ca="1" si="126"/>
        <v>4.0174707641483233E-12</v>
      </c>
      <c r="S381">
        <f t="shared" ca="1" si="144"/>
        <v>6.6479882661951706E-4</v>
      </c>
      <c r="T381">
        <f t="shared" ca="1" si="145"/>
        <v>1</v>
      </c>
      <c r="U381">
        <f t="shared" ca="1" si="127"/>
        <v>0.05</v>
      </c>
      <c r="V381">
        <f t="shared" ca="1" si="128"/>
        <v>0.26</v>
      </c>
      <c r="W381">
        <f t="shared" ca="1" si="129"/>
        <v>4.9056603773584909E-2</v>
      </c>
      <c r="X381">
        <f t="shared" ca="1" si="130"/>
        <v>196.15384615384616</v>
      </c>
      <c r="Y381">
        <f t="shared" ca="1" si="131"/>
        <v>632.49649999999997</v>
      </c>
      <c r="Z381">
        <f t="shared" ca="1" si="132"/>
        <v>2593.5735316486621</v>
      </c>
      <c r="AA381">
        <f t="shared" ca="1" si="133"/>
        <v>482.07306851378365</v>
      </c>
      <c r="AB381">
        <f t="shared" ca="1" si="134"/>
        <v>481.60030083042602</v>
      </c>
      <c r="AC381">
        <f t="shared" ca="1" si="135"/>
        <v>0</v>
      </c>
      <c r="AD381">
        <f ca="1">IF(V32="Supercritical",L381,U381)</f>
        <v>0.05</v>
      </c>
      <c r="AE381">
        <f t="shared" ca="1" si="136"/>
        <v>632.49649999999997</v>
      </c>
      <c r="AF381">
        <f t="shared" ca="1" si="137"/>
        <v>2593.5735316486621</v>
      </c>
      <c r="AI381">
        <v>0</v>
      </c>
      <c r="AJ381">
        <v>0</v>
      </c>
      <c r="AK381">
        <f t="shared" si="138"/>
        <v>0</v>
      </c>
      <c r="AL381">
        <f t="shared" si="146"/>
        <v>0</v>
      </c>
      <c r="AM381">
        <f t="shared" ca="1" si="139"/>
        <v>280.07692026646265</v>
      </c>
      <c r="AN381" t="str">
        <f t="shared" ca="1" si="140"/>
        <v>Supercritical</v>
      </c>
      <c r="AO381">
        <f ca="1">IF(V32="Supercritical",R381,AA381)</f>
        <v>482.07306851378365</v>
      </c>
    </row>
    <row r="382" spans="1:41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174</v>
      </c>
      <c r="I382">
        <v>3.0000000000000001E-3</v>
      </c>
      <c r="J382">
        <f t="shared" si="141"/>
        <v>0.99899999999999523</v>
      </c>
      <c r="K382">
        <f t="shared" si="142"/>
        <v>51</v>
      </c>
      <c r="L382">
        <f t="shared" ca="1" si="143"/>
        <v>38819.703722395803</v>
      </c>
      <c r="M382">
        <f t="shared" ca="1" si="121"/>
        <v>201862.45935645819</v>
      </c>
      <c r="N382">
        <f t="shared" ca="1" si="122"/>
        <v>2.5998258732905617</v>
      </c>
      <c r="O382">
        <f t="shared" ca="1" si="123"/>
        <v>2.5264727360693555E-4</v>
      </c>
      <c r="P382">
        <f t="shared" ca="1" si="124"/>
        <v>39452.149722395807</v>
      </c>
      <c r="Q382">
        <f t="shared" ca="1" si="125"/>
        <v>39452.149722399059</v>
      </c>
      <c r="R382">
        <f t="shared" ca="1" si="126"/>
        <v>4.017470854351491E-12</v>
      </c>
      <c r="S382">
        <f t="shared" ca="1" si="144"/>
        <v>9.357846065540798E-4</v>
      </c>
      <c r="T382">
        <f t="shared" ca="1" si="145"/>
        <v>1</v>
      </c>
      <c r="U382">
        <f t="shared" ca="1" si="127"/>
        <v>0.05</v>
      </c>
      <c r="V382">
        <f t="shared" ca="1" si="128"/>
        <v>0.26</v>
      </c>
      <c r="W382">
        <f t="shared" ca="1" si="129"/>
        <v>4.9056603773584909E-2</v>
      </c>
      <c r="X382">
        <f t="shared" ca="1" si="130"/>
        <v>196.15384615384616</v>
      </c>
      <c r="Y382">
        <f t="shared" ca="1" si="131"/>
        <v>632.49599999999998</v>
      </c>
      <c r="Z382">
        <f t="shared" ca="1" si="132"/>
        <v>2593.573031648662</v>
      </c>
      <c r="AA382">
        <f t="shared" ca="1" si="133"/>
        <v>482.07306851378365</v>
      </c>
      <c r="AB382">
        <f t="shared" ca="1" si="134"/>
        <v>482.25887083179077</v>
      </c>
      <c r="AC382">
        <f t="shared" ca="1" si="135"/>
        <v>0</v>
      </c>
      <c r="AD382">
        <f ca="1">IF(V32="Supercritical",L382,U382)</f>
        <v>0.05</v>
      </c>
      <c r="AE382">
        <f t="shared" ca="1" si="136"/>
        <v>632.49599999999998</v>
      </c>
      <c r="AF382">
        <f t="shared" ca="1" si="137"/>
        <v>2593.573031648662</v>
      </c>
      <c r="AI382">
        <v>0</v>
      </c>
      <c r="AJ382">
        <v>0</v>
      </c>
      <c r="AK382">
        <f t="shared" si="138"/>
        <v>0</v>
      </c>
      <c r="AL382">
        <f t="shared" si="146"/>
        <v>0</v>
      </c>
      <c r="AM382">
        <f t="shared" ca="1" si="139"/>
        <v>280.07692026646265</v>
      </c>
      <c r="AN382" t="str">
        <f t="shared" ca="1" si="140"/>
        <v>Supercritical</v>
      </c>
      <c r="AO382">
        <f ca="1">IF(V32="Supercritical",R382,AA382)</f>
        <v>482.07306851378365</v>
      </c>
    </row>
    <row r="383" spans="1:41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174</v>
      </c>
      <c r="I383">
        <v>5.7000000000000002E-2</v>
      </c>
      <c r="J383">
        <f t="shared" si="141"/>
        <v>1</v>
      </c>
      <c r="K383">
        <f t="shared" si="142"/>
        <v>51</v>
      </c>
      <c r="L383">
        <f t="shared" ca="1" si="143"/>
        <v>38819.703557257344</v>
      </c>
      <c r="M383">
        <f t="shared" ca="1" si="121"/>
        <v>201862.4584977382</v>
      </c>
      <c r="N383">
        <f t="shared" ca="1" si="122"/>
        <v>2.599825873289821</v>
      </c>
      <c r="O383">
        <f t="shared" ca="1" si="123"/>
        <v>2.526472746816934E-4</v>
      </c>
      <c r="P383">
        <f t="shared" ca="1" si="124"/>
        <v>39452.149057257346</v>
      </c>
      <c r="Q383">
        <f t="shared" ca="1" si="125"/>
        <v>39452.149057260598</v>
      </c>
      <c r="R383">
        <f t="shared" ca="1" si="126"/>
        <v>4.0174708885335448E-12</v>
      </c>
      <c r="S383">
        <f t="shared" ca="1" si="144"/>
        <v>6.6513845376903191E-4</v>
      </c>
      <c r="T383">
        <f t="shared" ca="1" si="145"/>
        <v>1</v>
      </c>
      <c r="U383">
        <f t="shared" ca="1" si="127"/>
        <v>0.05</v>
      </c>
      <c r="V383">
        <f t="shared" ca="1" si="128"/>
        <v>0.26</v>
      </c>
      <c r="W383">
        <f t="shared" ca="1" si="129"/>
        <v>4.9056603773584909E-2</v>
      </c>
      <c r="X383">
        <f t="shared" ca="1" si="130"/>
        <v>196.15384615384616</v>
      </c>
      <c r="Y383">
        <f t="shared" ca="1" si="131"/>
        <v>632.49549999999999</v>
      </c>
      <c r="Z383">
        <f t="shared" ca="1" si="132"/>
        <v>2593.5725316486623</v>
      </c>
      <c r="AA383">
        <f t="shared" ca="1" si="133"/>
        <v>482.07306851378365</v>
      </c>
      <c r="AB383">
        <f t="shared" ca="1" si="134"/>
        <v>482.25887083179032</v>
      </c>
      <c r="AC383">
        <f t="shared" ca="1" si="135"/>
        <v>0</v>
      </c>
      <c r="AD383">
        <f ca="1">IF(V32="Supercritical",L383,U383)</f>
        <v>0.05</v>
      </c>
      <c r="AE383">
        <f t="shared" ca="1" si="136"/>
        <v>632.49549999999999</v>
      </c>
      <c r="AF383">
        <f t="shared" ca="1" si="137"/>
        <v>2593.5725316486623</v>
      </c>
      <c r="AI383">
        <v>0</v>
      </c>
      <c r="AJ383">
        <v>0</v>
      </c>
      <c r="AK383">
        <f t="shared" si="138"/>
        <v>0</v>
      </c>
      <c r="AL383">
        <f t="shared" si="146"/>
        <v>0</v>
      </c>
      <c r="AM383">
        <f t="shared" ca="1" si="139"/>
        <v>280.07692026646265</v>
      </c>
      <c r="AN383" t="str">
        <f t="shared" ca="1" si="140"/>
        <v>Supercritical</v>
      </c>
      <c r="AO383">
        <f ca="1">IF(V32="Supercritical",R383,AA383)</f>
        <v>482.07306851378365</v>
      </c>
    </row>
    <row r="384" spans="1:41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174</v>
      </c>
      <c r="I384">
        <v>5.7000000000000002E-2</v>
      </c>
      <c r="J384">
        <f t="shared" si="141"/>
        <v>1</v>
      </c>
      <c r="K384">
        <f t="shared" si="142"/>
        <v>51</v>
      </c>
      <c r="L384">
        <f t="shared" ca="1" si="143"/>
        <v>38819.703119606929</v>
      </c>
      <c r="M384">
        <f t="shared" ca="1" si="121"/>
        <v>201862.45622195603</v>
      </c>
      <c r="N384">
        <f t="shared" ca="1" si="122"/>
        <v>2.5998258732878581</v>
      </c>
      <c r="O384">
        <f t="shared" ca="1" si="123"/>
        <v>2.5264727753001979E-4</v>
      </c>
      <c r="P384">
        <f t="shared" ca="1" si="124"/>
        <v>39452.148119606929</v>
      </c>
      <c r="Q384">
        <f t="shared" ca="1" si="125"/>
        <v>39452.148119610181</v>
      </c>
      <c r="R384">
        <f t="shared" ca="1" si="126"/>
        <v>4.0174709791229186E-12</v>
      </c>
      <c r="S384">
        <f t="shared" ca="1" si="144"/>
        <v>9.3765040946891531E-4</v>
      </c>
      <c r="T384">
        <f t="shared" ca="1" si="145"/>
        <v>1</v>
      </c>
      <c r="U384">
        <f t="shared" ca="1" si="127"/>
        <v>0.05</v>
      </c>
      <c r="V384">
        <f t="shared" ca="1" si="128"/>
        <v>0.26</v>
      </c>
      <c r="W384">
        <f t="shared" ca="1" si="129"/>
        <v>4.9056603773584909E-2</v>
      </c>
      <c r="X384">
        <f t="shared" ca="1" si="130"/>
        <v>196.15384615384616</v>
      </c>
      <c r="Y384">
        <f t="shared" ca="1" si="131"/>
        <v>632.495</v>
      </c>
      <c r="Z384">
        <f t="shared" ca="1" si="132"/>
        <v>2593.5720316486622</v>
      </c>
      <c r="AA384">
        <f t="shared" ca="1" si="133"/>
        <v>482.07306851378365</v>
      </c>
      <c r="AB384">
        <f t="shared" ca="1" si="134"/>
        <v>482.25887083179032</v>
      </c>
      <c r="AC384">
        <f t="shared" ca="1" si="135"/>
        <v>0</v>
      </c>
      <c r="AD384">
        <f ca="1">IF(V32="Supercritical",L384,U384)</f>
        <v>0.05</v>
      </c>
      <c r="AE384">
        <f t="shared" ca="1" si="136"/>
        <v>632.495</v>
      </c>
      <c r="AF384">
        <f t="shared" ca="1" si="137"/>
        <v>2593.5720316486622</v>
      </c>
      <c r="AI384">
        <v>0</v>
      </c>
      <c r="AJ384">
        <v>0</v>
      </c>
      <c r="AK384">
        <f t="shared" si="138"/>
        <v>0</v>
      </c>
      <c r="AL384">
        <f t="shared" si="146"/>
        <v>0</v>
      </c>
      <c r="AM384">
        <f t="shared" ca="1" si="139"/>
        <v>280.07692026646265</v>
      </c>
      <c r="AN384" t="str">
        <f t="shared" ca="1" si="140"/>
        <v>Supercritical</v>
      </c>
      <c r="AO384">
        <f ca="1">IF(V32="Supercritical",R384,AA384)</f>
        <v>482.07306851378365</v>
      </c>
    </row>
    <row r="385" spans="1:41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174</v>
      </c>
      <c r="I385">
        <v>5.7000000000000002E-2</v>
      </c>
      <c r="J385">
        <f t="shared" si="141"/>
        <v>1</v>
      </c>
      <c r="K385">
        <f t="shared" si="142"/>
        <v>51</v>
      </c>
      <c r="L385">
        <f t="shared" ca="1" si="143"/>
        <v>38819.702954139211</v>
      </c>
      <c r="M385">
        <f t="shared" ca="1" si="121"/>
        <v>201862.4553615239</v>
      </c>
      <c r="N385">
        <f t="shared" ca="1" si="122"/>
        <v>2.599825873287116</v>
      </c>
      <c r="O385">
        <f t="shared" ca="1" si="123"/>
        <v>2.5264727860692057E-4</v>
      </c>
      <c r="P385">
        <f t="shared" ca="1" si="124"/>
        <v>39452.147454139209</v>
      </c>
      <c r="Q385">
        <f t="shared" ca="1" si="125"/>
        <v>39452.147454142461</v>
      </c>
      <c r="R385">
        <f t="shared" ca="1" si="126"/>
        <v>4.0174710133731267E-12</v>
      </c>
      <c r="S385">
        <f t="shared" ca="1" si="144"/>
        <v>6.6546771267894655E-4</v>
      </c>
      <c r="T385">
        <f t="shared" ca="1" si="145"/>
        <v>1</v>
      </c>
      <c r="U385">
        <f t="shared" ca="1" si="127"/>
        <v>0.05</v>
      </c>
      <c r="V385">
        <f t="shared" ca="1" si="128"/>
        <v>0.26</v>
      </c>
      <c r="W385">
        <f t="shared" ca="1" si="129"/>
        <v>4.9056603773584909E-2</v>
      </c>
      <c r="X385">
        <f t="shared" ca="1" si="130"/>
        <v>196.15384615384616</v>
      </c>
      <c r="Y385">
        <f t="shared" ca="1" si="131"/>
        <v>632.4944999999999</v>
      </c>
      <c r="Z385">
        <f t="shared" ca="1" si="132"/>
        <v>2593.5715316486621</v>
      </c>
      <c r="AA385">
        <f t="shared" ca="1" si="133"/>
        <v>482.07306851378365</v>
      </c>
      <c r="AB385">
        <f t="shared" ca="1" si="134"/>
        <v>482.25887083179032</v>
      </c>
      <c r="AC385">
        <f t="shared" ca="1" si="135"/>
        <v>0</v>
      </c>
      <c r="AD385">
        <f ca="1">IF(V32="Supercritical",L385,U385)</f>
        <v>0.05</v>
      </c>
      <c r="AE385">
        <f t="shared" ca="1" si="136"/>
        <v>632.4944999999999</v>
      </c>
      <c r="AF385">
        <f t="shared" ca="1" si="137"/>
        <v>2593.5715316486621</v>
      </c>
      <c r="AI385">
        <v>0</v>
      </c>
      <c r="AJ385">
        <v>0</v>
      </c>
      <c r="AK385">
        <f t="shared" si="138"/>
        <v>0</v>
      </c>
      <c r="AL385">
        <f t="shared" si="146"/>
        <v>0</v>
      </c>
      <c r="AM385">
        <f t="shared" ca="1" si="139"/>
        <v>280.07692026646265</v>
      </c>
      <c r="AN385" t="str">
        <f t="shared" ca="1" si="140"/>
        <v>Supercritical</v>
      </c>
      <c r="AO385">
        <f ca="1">IF(V32="Supercritical",R385,AA385)</f>
        <v>482.07306851378365</v>
      </c>
    </row>
    <row r="386" spans="1:41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174</v>
      </c>
      <c r="I386">
        <v>5.7000000000000002E-2</v>
      </c>
      <c r="J386">
        <f t="shared" si="141"/>
        <v>1</v>
      </c>
      <c r="K386">
        <f t="shared" si="142"/>
        <v>51</v>
      </c>
      <c r="L386">
        <f t="shared" ca="1" si="143"/>
        <v>38819.702514679957</v>
      </c>
      <c r="M386">
        <f t="shared" ca="1" si="121"/>
        <v>201862.45307633578</v>
      </c>
      <c r="N386">
        <f t="shared" ca="1" si="122"/>
        <v>2.5998258732851447</v>
      </c>
      <c r="O386">
        <f t="shared" ca="1" si="123"/>
        <v>2.5264728146701939E-4</v>
      </c>
      <c r="P386">
        <f t="shared" ca="1" si="124"/>
        <v>39452.14651467996</v>
      </c>
      <c r="Q386">
        <f t="shared" ca="1" si="125"/>
        <v>39452.146514683212</v>
      </c>
      <c r="R386">
        <f t="shared" ca="1" si="126"/>
        <v>4.0174711043369177E-12</v>
      </c>
      <c r="S386">
        <f t="shared" ca="1" si="144"/>
        <v>9.3945924163563177E-4</v>
      </c>
      <c r="T386">
        <f t="shared" ca="1" si="145"/>
        <v>1</v>
      </c>
      <c r="U386">
        <f t="shared" ca="1" si="127"/>
        <v>0.05</v>
      </c>
      <c r="V386">
        <f t="shared" ca="1" si="128"/>
        <v>0.26</v>
      </c>
      <c r="W386">
        <f t="shared" ca="1" si="129"/>
        <v>4.9056603773584909E-2</v>
      </c>
      <c r="X386">
        <f t="shared" ca="1" si="130"/>
        <v>196.15384615384616</v>
      </c>
      <c r="Y386">
        <f t="shared" ca="1" si="131"/>
        <v>632.49399999999991</v>
      </c>
      <c r="Z386">
        <f t="shared" ca="1" si="132"/>
        <v>2593.571031648662</v>
      </c>
      <c r="AA386">
        <f t="shared" ca="1" si="133"/>
        <v>482.07306851378365</v>
      </c>
      <c r="AB386">
        <f t="shared" ca="1" si="134"/>
        <v>482.07256851378361</v>
      </c>
      <c r="AC386">
        <f t="shared" ca="1" si="135"/>
        <v>0</v>
      </c>
      <c r="AD386">
        <f ca="1">IF(V32="Supercritical",L386,U386)</f>
        <v>0.05</v>
      </c>
      <c r="AE386">
        <f t="shared" ca="1" si="136"/>
        <v>632.49399999999991</v>
      </c>
      <c r="AF386">
        <f t="shared" ca="1" si="137"/>
        <v>2593.571031648662</v>
      </c>
      <c r="AI386">
        <v>0</v>
      </c>
      <c r="AJ386">
        <v>0</v>
      </c>
      <c r="AK386">
        <f t="shared" si="138"/>
        <v>0</v>
      </c>
      <c r="AL386">
        <f t="shared" si="146"/>
        <v>0</v>
      </c>
      <c r="AM386">
        <f t="shared" ca="1" si="139"/>
        <v>280.07692026646265</v>
      </c>
      <c r="AN386" t="str">
        <f t="shared" ca="1" si="140"/>
        <v>Supercritical</v>
      </c>
      <c r="AO386">
        <f ca="1">IF(V32="Supercritical",R386,AA386)</f>
        <v>482.07306851378365</v>
      </c>
    </row>
    <row r="387" spans="1:41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174</v>
      </c>
      <c r="I387">
        <v>0</v>
      </c>
      <c r="J387">
        <f t="shared" si="141"/>
        <v>1</v>
      </c>
      <c r="K387">
        <f t="shared" si="142"/>
        <v>51</v>
      </c>
      <c r="L387">
        <f t="shared" ca="1" si="143"/>
        <v>38819.702348893028</v>
      </c>
      <c r="M387">
        <f t="shared" ca="1" si="121"/>
        <v>201862.45221424376</v>
      </c>
      <c r="N387">
        <f t="shared" ca="1" si="122"/>
        <v>2.5998258732844013</v>
      </c>
      <c r="O387">
        <f t="shared" ca="1" si="123"/>
        <v>2.5264728254599766E-4</v>
      </c>
      <c r="P387">
        <f t="shared" ca="1" si="124"/>
        <v>39452.145848893029</v>
      </c>
      <c r="Q387">
        <f t="shared" ca="1" si="125"/>
        <v>39452.145848896282</v>
      </c>
      <c r="R387">
        <f t="shared" ca="1" si="126"/>
        <v>4.0174711386531993E-12</v>
      </c>
      <c r="S387">
        <f t="shared" ca="1" si="144"/>
        <v>6.6578692349139601E-4</v>
      </c>
      <c r="T387">
        <f t="shared" ca="1" si="145"/>
        <v>1</v>
      </c>
      <c r="U387">
        <f t="shared" ca="1" si="127"/>
        <v>0.05</v>
      </c>
      <c r="V387">
        <f t="shared" ca="1" si="128"/>
        <v>0.26</v>
      </c>
      <c r="W387">
        <f t="shared" ca="1" si="129"/>
        <v>4.9056603773584909E-2</v>
      </c>
      <c r="X387">
        <f t="shared" ca="1" si="130"/>
        <v>196.15384615384616</v>
      </c>
      <c r="Y387">
        <f t="shared" ca="1" si="131"/>
        <v>632.49349999999993</v>
      </c>
      <c r="Z387">
        <f t="shared" ca="1" si="132"/>
        <v>2593.5705316486619</v>
      </c>
      <c r="AA387">
        <f t="shared" ca="1" si="133"/>
        <v>482.07306851378365</v>
      </c>
      <c r="AB387">
        <f t="shared" ca="1" si="134"/>
        <v>482.73440697686738</v>
      </c>
      <c r="AC387">
        <f t="shared" ca="1" si="135"/>
        <v>0</v>
      </c>
      <c r="AD387">
        <f ca="1">IF(V32="Supercritical",L387,U387)</f>
        <v>0.05</v>
      </c>
      <c r="AE387">
        <f t="shared" ca="1" si="136"/>
        <v>632.49349999999993</v>
      </c>
      <c r="AF387">
        <f t="shared" ca="1" si="137"/>
        <v>2593.5705316486619</v>
      </c>
      <c r="AI387">
        <v>0</v>
      </c>
      <c r="AJ387">
        <v>0</v>
      </c>
      <c r="AK387">
        <f t="shared" si="138"/>
        <v>0</v>
      </c>
      <c r="AL387">
        <f t="shared" si="146"/>
        <v>0</v>
      </c>
      <c r="AM387">
        <f t="shared" ca="1" si="139"/>
        <v>280.07692026646265</v>
      </c>
      <c r="AN387" t="str">
        <f t="shared" ca="1" si="140"/>
        <v>Supercritical</v>
      </c>
      <c r="AO387">
        <f ca="1">IF(V32="Supercritical",R387,AA387)</f>
        <v>482.07306851378365</v>
      </c>
    </row>
    <row r="388" spans="1:41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174</v>
      </c>
      <c r="I388">
        <v>5.5E-2</v>
      </c>
      <c r="J388">
        <f t="shared" si="141"/>
        <v>1.0010000000000048</v>
      </c>
      <c r="K388">
        <f t="shared" si="142"/>
        <v>51</v>
      </c>
      <c r="L388">
        <f t="shared" ca="1" si="143"/>
        <v>38819.701907680123</v>
      </c>
      <c r="M388">
        <f t="shared" ca="1" si="121"/>
        <v>201862.44991993665</v>
      </c>
      <c r="N388">
        <f t="shared" ca="1" si="122"/>
        <v>2.5998258732824224</v>
      </c>
      <c r="O388">
        <f t="shared" ca="1" si="123"/>
        <v>2.5264728541750972E-4</v>
      </c>
      <c r="P388">
        <f t="shared" ca="1" si="124"/>
        <v>39452.144907680122</v>
      </c>
      <c r="Q388">
        <f t="shared" ca="1" si="125"/>
        <v>39452.144907683374</v>
      </c>
      <c r="R388">
        <f t="shared" ca="1" si="126"/>
        <v>4.0174712299799837E-12</v>
      </c>
      <c r="S388">
        <f t="shared" ca="1" si="144"/>
        <v>9.4121290021575987E-4</v>
      </c>
      <c r="T388">
        <f t="shared" ca="1" si="145"/>
        <v>1</v>
      </c>
      <c r="U388">
        <f t="shared" ca="1" si="127"/>
        <v>0.05</v>
      </c>
      <c r="V388">
        <f t="shared" ca="1" si="128"/>
        <v>0.26</v>
      </c>
      <c r="W388">
        <f t="shared" ca="1" si="129"/>
        <v>4.9056603773584909E-2</v>
      </c>
      <c r="X388">
        <f t="shared" ca="1" si="130"/>
        <v>196.15384615384616</v>
      </c>
      <c r="Y388">
        <f t="shared" ca="1" si="131"/>
        <v>632.49299999999994</v>
      </c>
      <c r="Z388">
        <f t="shared" ca="1" si="132"/>
        <v>2593.5700316486618</v>
      </c>
      <c r="AA388">
        <f t="shared" ca="1" si="133"/>
        <v>482.07306851378365</v>
      </c>
      <c r="AB388">
        <f t="shared" ca="1" si="134"/>
        <v>481.77026083983583</v>
      </c>
      <c r="AC388">
        <f t="shared" ca="1" si="135"/>
        <v>0</v>
      </c>
      <c r="AD388">
        <f ca="1">IF(V32="Supercritical",L388,U388)</f>
        <v>0.05</v>
      </c>
      <c r="AE388">
        <f t="shared" ca="1" si="136"/>
        <v>632.49299999999994</v>
      </c>
      <c r="AF388">
        <f t="shared" ca="1" si="137"/>
        <v>2593.5700316486618</v>
      </c>
      <c r="AI388">
        <v>0</v>
      </c>
      <c r="AJ388">
        <v>0</v>
      </c>
      <c r="AK388">
        <f t="shared" si="138"/>
        <v>0</v>
      </c>
      <c r="AL388">
        <f t="shared" si="146"/>
        <v>0</v>
      </c>
      <c r="AM388">
        <f t="shared" ca="1" si="139"/>
        <v>280.07692026646265</v>
      </c>
      <c r="AN388" t="str">
        <f t="shared" ca="1" si="140"/>
        <v>Supercritical</v>
      </c>
      <c r="AO388">
        <f ca="1">IF(V32="Supercritical",R388,AA388)</f>
        <v>482.07306851378365</v>
      </c>
    </row>
    <row r="389" spans="1:41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174</v>
      </c>
      <c r="I389">
        <v>5.5E-2</v>
      </c>
      <c r="J389">
        <f t="shared" si="141"/>
        <v>0.99899999999999523</v>
      </c>
      <c r="K389">
        <f t="shared" si="142"/>
        <v>51</v>
      </c>
      <c r="L389">
        <f t="shared" ca="1" si="143"/>
        <v>38819.701741583733</v>
      </c>
      <c r="M389">
        <f t="shared" ca="1" si="121"/>
        <v>201862.4490562354</v>
      </c>
      <c r="N389">
        <f t="shared" ca="1" si="122"/>
        <v>2.5998258732816772</v>
      </c>
      <c r="O389">
        <f t="shared" ca="1" si="123"/>
        <v>2.5264728649850216E-4</v>
      </c>
      <c r="P389">
        <f t="shared" ca="1" si="124"/>
        <v>39452.14424158373</v>
      </c>
      <c r="Q389">
        <f t="shared" ca="1" si="125"/>
        <v>39452.144241586982</v>
      </c>
      <c r="R389">
        <f t="shared" ca="1" si="126"/>
        <v>4.0174712643603241E-12</v>
      </c>
      <c r="S389">
        <f t="shared" ca="1" si="144"/>
        <v>6.6609638452064246E-4</v>
      </c>
      <c r="T389">
        <f t="shared" ca="1" si="145"/>
        <v>1</v>
      </c>
      <c r="U389">
        <f t="shared" ca="1" si="127"/>
        <v>0.05</v>
      </c>
      <c r="V389">
        <f t="shared" ca="1" si="128"/>
        <v>0.26</v>
      </c>
      <c r="W389">
        <f t="shared" ca="1" si="129"/>
        <v>4.9056603773584909E-2</v>
      </c>
      <c r="X389">
        <f t="shared" ca="1" si="130"/>
        <v>196.15384615384616</v>
      </c>
      <c r="Y389">
        <f t="shared" ca="1" si="131"/>
        <v>632.49249999999995</v>
      </c>
      <c r="Z389">
        <f t="shared" ca="1" si="132"/>
        <v>2593.5695316486622</v>
      </c>
      <c r="AA389">
        <f t="shared" ca="1" si="133"/>
        <v>482.07306851378365</v>
      </c>
      <c r="AB389">
        <f t="shared" ca="1" si="134"/>
        <v>482.25887083179032</v>
      </c>
      <c r="AC389">
        <f t="shared" ca="1" si="135"/>
        <v>0</v>
      </c>
      <c r="AD389">
        <f ca="1">IF(V32="Supercritical",L389,U389)</f>
        <v>0.05</v>
      </c>
      <c r="AE389">
        <f t="shared" ca="1" si="136"/>
        <v>632.49249999999995</v>
      </c>
      <c r="AF389">
        <f t="shared" ca="1" si="137"/>
        <v>2593.5695316486622</v>
      </c>
      <c r="AI389">
        <v>0</v>
      </c>
      <c r="AJ389">
        <v>0</v>
      </c>
      <c r="AK389">
        <f t="shared" si="138"/>
        <v>0</v>
      </c>
      <c r="AL389">
        <f t="shared" si="146"/>
        <v>0</v>
      </c>
      <c r="AM389">
        <f t="shared" ca="1" si="139"/>
        <v>280.07692026646265</v>
      </c>
      <c r="AN389" t="str">
        <f t="shared" ca="1" si="140"/>
        <v>Supercritical</v>
      </c>
      <c r="AO389">
        <f ca="1">IF(V32="Supercritical",R389,AA389)</f>
        <v>482.07306851378365</v>
      </c>
    </row>
    <row r="390" spans="1:41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174</v>
      </c>
      <c r="I390">
        <v>5.7000000000000002E-2</v>
      </c>
      <c r="J390">
        <f t="shared" si="141"/>
        <v>1</v>
      </c>
      <c r="K390">
        <f t="shared" si="142"/>
        <v>51</v>
      </c>
      <c r="L390">
        <f t="shared" ca="1" si="143"/>
        <v>38819.70129867064</v>
      </c>
      <c r="M390">
        <f t="shared" ca="1" si="121"/>
        <v>201862.44675308734</v>
      </c>
      <c r="N390">
        <f t="shared" ca="1" si="122"/>
        <v>2.5998258732796908</v>
      </c>
      <c r="O390">
        <f t="shared" ca="1" si="123"/>
        <v>2.5264728938107948E-4</v>
      </c>
      <c r="P390">
        <f t="shared" ca="1" si="124"/>
        <v>39452.143298670642</v>
      </c>
      <c r="Q390">
        <f t="shared" ca="1" si="125"/>
        <v>39452.143298673895</v>
      </c>
      <c r="R390">
        <f t="shared" ca="1" si="126"/>
        <v>4.0174713560390334E-12</v>
      </c>
      <c r="S390">
        <f t="shared" ca="1" si="144"/>
        <v>9.4291308050742373E-4</v>
      </c>
      <c r="T390">
        <f t="shared" ca="1" si="145"/>
        <v>1</v>
      </c>
      <c r="U390">
        <f t="shared" ca="1" si="127"/>
        <v>0.05</v>
      </c>
      <c r="V390">
        <f t="shared" ca="1" si="128"/>
        <v>0.26</v>
      </c>
      <c r="W390">
        <f t="shared" ca="1" si="129"/>
        <v>4.9056603773584909E-2</v>
      </c>
      <c r="X390">
        <f t="shared" ca="1" si="130"/>
        <v>196.15384615384616</v>
      </c>
      <c r="Y390">
        <f t="shared" ca="1" si="131"/>
        <v>632.49199999999996</v>
      </c>
      <c r="Z390">
        <f t="shared" ca="1" si="132"/>
        <v>2593.5690316486621</v>
      </c>
      <c r="AA390">
        <f t="shared" ca="1" si="133"/>
        <v>482.07306851378365</v>
      </c>
      <c r="AB390">
        <f t="shared" ca="1" si="134"/>
        <v>482.25887083179032</v>
      </c>
      <c r="AC390">
        <f t="shared" ca="1" si="135"/>
        <v>0</v>
      </c>
      <c r="AD390">
        <f ca="1">IF(V32="Supercritical",L390,U390)</f>
        <v>0.05</v>
      </c>
      <c r="AE390">
        <f t="shared" ca="1" si="136"/>
        <v>632.49199999999996</v>
      </c>
      <c r="AF390">
        <f t="shared" ca="1" si="137"/>
        <v>2593.5690316486621</v>
      </c>
      <c r="AI390">
        <v>0</v>
      </c>
      <c r="AJ390">
        <v>0</v>
      </c>
      <c r="AK390">
        <f t="shared" si="138"/>
        <v>0</v>
      </c>
      <c r="AL390">
        <f t="shared" si="146"/>
        <v>0</v>
      </c>
      <c r="AM390">
        <f t="shared" ca="1" si="139"/>
        <v>280.07692026646265</v>
      </c>
      <c r="AN390" t="str">
        <f t="shared" ca="1" si="140"/>
        <v>Supercritical</v>
      </c>
      <c r="AO390">
        <f ca="1">IF(V32="Supercritical",R390,AA390)</f>
        <v>482.07306851378365</v>
      </c>
    </row>
    <row r="391" spans="1:41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174</v>
      </c>
      <c r="I391">
        <v>5.7000000000000002E-2</v>
      </c>
      <c r="J391">
        <f t="shared" si="141"/>
        <v>1</v>
      </c>
      <c r="K391">
        <f t="shared" si="142"/>
        <v>51</v>
      </c>
      <c r="L391">
        <f t="shared" ca="1" si="143"/>
        <v>38819.701132274211</v>
      </c>
      <c r="M391">
        <f t="shared" ca="1" si="121"/>
        <v>201862.44588782592</v>
      </c>
      <c r="N391">
        <f t="shared" ca="1" si="122"/>
        <v>2.5998258732789448</v>
      </c>
      <c r="O391">
        <f t="shared" ca="1" si="123"/>
        <v>2.5264729046402457E-4</v>
      </c>
      <c r="P391">
        <f t="shared" ca="1" si="124"/>
        <v>39452.142632274212</v>
      </c>
      <c r="Q391">
        <f t="shared" ca="1" si="125"/>
        <v>39452.142632277464</v>
      </c>
      <c r="R391">
        <f t="shared" ca="1" si="126"/>
        <v>4.0174713904814787E-12</v>
      </c>
      <c r="S391">
        <f t="shared" ca="1" si="144"/>
        <v>6.6639642318477854E-4</v>
      </c>
      <c r="T391">
        <f t="shared" ca="1" si="145"/>
        <v>1</v>
      </c>
      <c r="U391">
        <f t="shared" ca="1" si="127"/>
        <v>0.05</v>
      </c>
      <c r="V391">
        <f t="shared" ca="1" si="128"/>
        <v>0.26</v>
      </c>
      <c r="W391">
        <f t="shared" ca="1" si="129"/>
        <v>4.9056603773584909E-2</v>
      </c>
      <c r="X391">
        <f t="shared" ca="1" si="130"/>
        <v>196.15384615384616</v>
      </c>
      <c r="Y391">
        <f t="shared" ca="1" si="131"/>
        <v>632.49149999999997</v>
      </c>
      <c r="Z391">
        <f t="shared" ca="1" si="132"/>
        <v>2593.568531648662</v>
      </c>
      <c r="AA391">
        <f t="shared" ca="1" si="133"/>
        <v>482.07306851378365</v>
      </c>
      <c r="AB391">
        <f t="shared" ca="1" si="134"/>
        <v>482.07256851378406</v>
      </c>
      <c r="AC391">
        <f t="shared" ca="1" si="135"/>
        <v>0</v>
      </c>
      <c r="AD391">
        <f ca="1">IF(V32="Supercritical",L391,U391)</f>
        <v>0.05</v>
      </c>
      <c r="AE391">
        <f t="shared" ca="1" si="136"/>
        <v>632.49149999999997</v>
      </c>
      <c r="AF391">
        <f t="shared" ca="1" si="137"/>
        <v>2593.568531648662</v>
      </c>
      <c r="AI391">
        <v>0</v>
      </c>
      <c r="AJ391">
        <v>0</v>
      </c>
      <c r="AK391">
        <f t="shared" si="138"/>
        <v>0</v>
      </c>
      <c r="AL391">
        <f t="shared" si="146"/>
        <v>0</v>
      </c>
      <c r="AM391">
        <f t="shared" ca="1" si="139"/>
        <v>280.07692026646265</v>
      </c>
      <c r="AN391" t="str">
        <f t="shared" ca="1" si="140"/>
        <v>Supercritical</v>
      </c>
      <c r="AO391">
        <f ca="1">IF(V32="Supercritical",R391,AA391)</f>
        <v>482.07306851378365</v>
      </c>
    </row>
    <row r="392" spans="1:41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174</v>
      </c>
      <c r="I392">
        <v>0</v>
      </c>
      <c r="J392">
        <f t="shared" si="141"/>
        <v>1</v>
      </c>
      <c r="K392">
        <f t="shared" si="142"/>
        <v>51</v>
      </c>
      <c r="L392">
        <f t="shared" ca="1" si="143"/>
        <v>38819.700687712655</v>
      </c>
      <c r="M392">
        <f t="shared" ca="1" si="121"/>
        <v>201862.44357610581</v>
      </c>
      <c r="N392">
        <f t="shared" ca="1" si="122"/>
        <v>2.5998258732769504</v>
      </c>
      <c r="O392">
        <f t="shared" ca="1" si="123"/>
        <v>2.5264729335733061E-4</v>
      </c>
      <c r="P392">
        <f t="shared" ca="1" si="124"/>
        <v>39452.141687712654</v>
      </c>
      <c r="Q392">
        <f t="shared" ca="1" si="125"/>
        <v>39452.141687715906</v>
      </c>
      <c r="R392">
        <f t="shared" ca="1" si="126"/>
        <v>4.0174714825014113E-12</v>
      </c>
      <c r="S392">
        <f t="shared" ca="1" si="144"/>
        <v>9.4456155056832358E-4</v>
      </c>
      <c r="T392">
        <f t="shared" ca="1" si="145"/>
        <v>1</v>
      </c>
      <c r="U392">
        <f t="shared" ca="1" si="127"/>
        <v>0.05</v>
      </c>
      <c r="V392">
        <f t="shared" ca="1" si="128"/>
        <v>0.26</v>
      </c>
      <c r="W392">
        <f t="shared" ca="1" si="129"/>
        <v>4.9056603773584909E-2</v>
      </c>
      <c r="X392">
        <f t="shared" ca="1" si="130"/>
        <v>196.15384615384616</v>
      </c>
      <c r="Y392">
        <f t="shared" ca="1" si="131"/>
        <v>632.49099999999999</v>
      </c>
      <c r="Z392">
        <f t="shared" ca="1" si="132"/>
        <v>2593.5680316486623</v>
      </c>
      <c r="AA392">
        <f t="shared" ca="1" si="133"/>
        <v>482.07306851378365</v>
      </c>
      <c r="AB392">
        <f t="shared" ca="1" si="134"/>
        <v>559.73775589050956</v>
      </c>
      <c r="AC392">
        <f t="shared" ca="1" si="135"/>
        <v>0</v>
      </c>
      <c r="AD392">
        <f ca="1">IF(V32="Supercritical",L392,U392)</f>
        <v>0.05</v>
      </c>
      <c r="AE392">
        <f t="shared" ca="1" si="136"/>
        <v>632.49099999999999</v>
      </c>
      <c r="AF392">
        <f t="shared" ca="1" si="137"/>
        <v>2593.5680316486623</v>
      </c>
      <c r="AI392">
        <v>0</v>
      </c>
      <c r="AJ392">
        <v>0</v>
      </c>
      <c r="AK392">
        <f t="shared" si="138"/>
        <v>0</v>
      </c>
      <c r="AL392">
        <f t="shared" si="146"/>
        <v>0</v>
      </c>
      <c r="AM392">
        <f t="shared" ca="1" si="139"/>
        <v>280.07692026646265</v>
      </c>
      <c r="AN392" t="str">
        <f t="shared" ca="1" si="140"/>
        <v>Supercritical</v>
      </c>
      <c r="AO392">
        <f ca="1">IF(V32="Supercritical",R392,AA392)</f>
        <v>482.07306851378365</v>
      </c>
    </row>
    <row r="393" spans="1:41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174</v>
      </c>
      <c r="I393">
        <v>23.762</v>
      </c>
      <c r="J393">
        <f t="shared" si="141"/>
        <v>1</v>
      </c>
      <c r="K393">
        <f t="shared" si="142"/>
        <v>51</v>
      </c>
      <c r="L393">
        <f t="shared" ca="1" si="143"/>
        <v>38819.700521025326</v>
      </c>
      <c r="M393">
        <f t="shared" ca="1" si="121"/>
        <v>201862.44270933169</v>
      </c>
      <c r="N393">
        <f t="shared" ca="1" si="122"/>
        <v>2.5998258732762025</v>
      </c>
      <c r="O393">
        <f t="shared" ca="1" si="123"/>
        <v>2.5264729444216905E-4</v>
      </c>
      <c r="P393">
        <f t="shared" ca="1" si="124"/>
        <v>39452.141021025323</v>
      </c>
      <c r="Q393">
        <f t="shared" ca="1" si="125"/>
        <v>39452.141021028576</v>
      </c>
      <c r="R393">
        <f t="shared" ca="1" si="126"/>
        <v>4.0174715170040727E-12</v>
      </c>
      <c r="S393">
        <f t="shared" ca="1" si="144"/>
        <v>6.6668719227891415E-4</v>
      </c>
      <c r="T393">
        <f t="shared" ca="1" si="145"/>
        <v>1</v>
      </c>
      <c r="U393">
        <f t="shared" ca="1" si="127"/>
        <v>0.05</v>
      </c>
      <c r="V393">
        <f t="shared" ca="1" si="128"/>
        <v>0.26</v>
      </c>
      <c r="W393">
        <f t="shared" ca="1" si="129"/>
        <v>4.9056603773584909E-2</v>
      </c>
      <c r="X393">
        <f t="shared" ca="1" si="130"/>
        <v>196.15384615384616</v>
      </c>
      <c r="Y393">
        <f t="shared" ca="1" si="131"/>
        <v>632.4905</v>
      </c>
      <c r="Z393">
        <f t="shared" ca="1" si="132"/>
        <v>2593.5675316486622</v>
      </c>
      <c r="AA393">
        <f t="shared" ca="1" si="133"/>
        <v>482.07306851378365</v>
      </c>
      <c r="AB393">
        <f t="shared" ca="1" si="134"/>
        <v>914.60035032621045</v>
      </c>
      <c r="AC393">
        <f t="shared" ca="1" si="135"/>
        <v>0</v>
      </c>
      <c r="AD393">
        <f ca="1">IF(V32="Supercritical",L393,U393)</f>
        <v>0.05</v>
      </c>
      <c r="AE393">
        <f t="shared" ca="1" si="136"/>
        <v>632.4905</v>
      </c>
      <c r="AF393">
        <f t="shared" ca="1" si="137"/>
        <v>2593.5675316486622</v>
      </c>
      <c r="AI393">
        <v>0</v>
      </c>
      <c r="AJ393">
        <v>0</v>
      </c>
      <c r="AK393">
        <f t="shared" si="138"/>
        <v>0</v>
      </c>
      <c r="AL393">
        <f t="shared" si="146"/>
        <v>0</v>
      </c>
      <c r="AM393">
        <f t="shared" ca="1" si="139"/>
        <v>280.07692026646265</v>
      </c>
      <c r="AN393" t="str">
        <f t="shared" ca="1" si="140"/>
        <v>Supercritical</v>
      </c>
      <c r="AO393">
        <f ca="1">IF(V32="Supercritical",R393,AA393)</f>
        <v>482.07306851378365</v>
      </c>
    </row>
    <row r="394" spans="1:41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174</v>
      </c>
      <c r="I394">
        <v>5.6989999999999998</v>
      </c>
      <c r="J394">
        <f t="shared" si="141"/>
        <v>0.97899999999998499</v>
      </c>
      <c r="K394">
        <f t="shared" si="142"/>
        <v>51</v>
      </c>
      <c r="L394">
        <f t="shared" ca="1" si="143"/>
        <v>38819.700074864697</v>
      </c>
      <c r="M394">
        <f t="shared" ca="1" si="121"/>
        <v>186179.2815590511</v>
      </c>
      <c r="N394">
        <f t="shared" ca="1" si="122"/>
        <v>2.3978518780724083</v>
      </c>
      <c r="O394">
        <f t="shared" ca="1" si="123"/>
        <v>2.7392951338586058E-4</v>
      </c>
      <c r="P394">
        <f t="shared" ca="1" si="124"/>
        <v>39452.140074864699</v>
      </c>
      <c r="Q394">
        <f t="shared" ca="1" si="125"/>
        <v>39452.140074868526</v>
      </c>
      <c r="R394">
        <f t="shared" ca="1" si="126"/>
        <v>5.2605404870137911E-12</v>
      </c>
      <c r="S394">
        <f t="shared" ca="1" si="144"/>
        <v>9.4615994748892263E-4</v>
      </c>
      <c r="T394">
        <f t="shared" ca="1" si="145"/>
        <v>1</v>
      </c>
      <c r="U394">
        <f t="shared" ca="1" si="127"/>
        <v>0.05</v>
      </c>
      <c r="V394">
        <f t="shared" ca="1" si="128"/>
        <v>0.23980000000000001</v>
      </c>
      <c r="W394">
        <f t="shared" ca="1" si="129"/>
        <v>4.8978758169934647E-2</v>
      </c>
      <c r="X394">
        <f t="shared" ca="1" si="130"/>
        <v>212.67723102585487</v>
      </c>
      <c r="Y394">
        <f t="shared" ca="1" si="131"/>
        <v>632.49</v>
      </c>
      <c r="Z394">
        <f t="shared" ca="1" si="132"/>
        <v>2937.8724972897471</v>
      </c>
      <c r="AA394">
        <f t="shared" ca="1" si="133"/>
        <v>567.91170513470365</v>
      </c>
      <c r="AB394">
        <f t="shared" ca="1" si="134"/>
        <v>913.50489153686294</v>
      </c>
      <c r="AC394">
        <f t="shared" ca="1" si="135"/>
        <v>0</v>
      </c>
      <c r="AD394">
        <f ca="1">IF(V32="Supercritical",L394,U394)</f>
        <v>0.05</v>
      </c>
      <c r="AE394">
        <f t="shared" ca="1" si="136"/>
        <v>632.49</v>
      </c>
      <c r="AF394">
        <f t="shared" ca="1" si="137"/>
        <v>2937.8724972897471</v>
      </c>
      <c r="AI394">
        <v>0</v>
      </c>
      <c r="AJ394">
        <v>0</v>
      </c>
      <c r="AK394">
        <f t="shared" si="138"/>
        <v>0</v>
      </c>
      <c r="AL394">
        <f t="shared" si="146"/>
        <v>0</v>
      </c>
      <c r="AM394">
        <f t="shared" ca="1" si="139"/>
        <v>303.66972172343736</v>
      </c>
      <c r="AN394" t="str">
        <f t="shared" ca="1" si="140"/>
        <v>Supercritical</v>
      </c>
      <c r="AO394">
        <f ca="1">IF(V32="Supercritical",R394,AA394)</f>
        <v>567.91170513470365</v>
      </c>
    </row>
    <row r="395" spans="1:41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174</v>
      </c>
      <c r="I395">
        <v>0</v>
      </c>
      <c r="J395">
        <f t="shared" si="141"/>
        <v>1</v>
      </c>
      <c r="K395">
        <f t="shared" si="142"/>
        <v>51</v>
      </c>
      <c r="L395">
        <f t="shared" ca="1" si="143"/>
        <v>38819.699907895294</v>
      </c>
      <c r="M395">
        <f t="shared" ca="1" si="121"/>
        <v>175736.781483042</v>
      </c>
      <c r="N395">
        <f t="shared" ca="1" si="122"/>
        <v>2.2633680274823771</v>
      </c>
      <c r="O395">
        <f t="shared" ca="1" si="123"/>
        <v>2.9020674880700104E-4</v>
      </c>
      <c r="P395">
        <f t="shared" ca="1" si="124"/>
        <v>39452.139407895294</v>
      </c>
      <c r="Q395">
        <f t="shared" ca="1" si="125"/>
        <v>39452.139407899587</v>
      </c>
      <c r="R395">
        <f t="shared" ca="1" si="126"/>
        <v>6.3766213870255488E-12</v>
      </c>
      <c r="S395">
        <f t="shared" ca="1" si="144"/>
        <v>6.6696888825390488E-4</v>
      </c>
      <c r="T395">
        <f t="shared" ca="1" si="145"/>
        <v>1</v>
      </c>
      <c r="U395">
        <f t="shared" ca="1" si="127"/>
        <v>0.05</v>
      </c>
      <c r="V395">
        <f t="shared" ca="1" si="128"/>
        <v>0.22635000000000002</v>
      </c>
      <c r="W395">
        <f t="shared" ca="1" si="129"/>
        <v>4.8919386211368064E-2</v>
      </c>
      <c r="X395">
        <f t="shared" ca="1" si="130"/>
        <v>225.3147779986746</v>
      </c>
      <c r="Y395">
        <f t="shared" ca="1" si="131"/>
        <v>632.48949999999991</v>
      </c>
      <c r="Z395">
        <f t="shared" ca="1" si="132"/>
        <v>3219.9894584399599</v>
      </c>
      <c r="AA395">
        <f t="shared" ca="1" si="133"/>
        <v>638.44066340855431</v>
      </c>
      <c r="AB395">
        <f t="shared" ca="1" si="134"/>
        <v>638.64716340523</v>
      </c>
      <c r="AC395">
        <f t="shared" ca="1" si="135"/>
        <v>0</v>
      </c>
      <c r="AD395">
        <f ca="1">IF(V32="Supercritical",L395,U395)</f>
        <v>0.05</v>
      </c>
      <c r="AE395">
        <f t="shared" ca="1" si="136"/>
        <v>632.48949999999991</v>
      </c>
      <c r="AF395">
        <f t="shared" ca="1" si="137"/>
        <v>3219.9894584399599</v>
      </c>
      <c r="AI395">
        <v>0</v>
      </c>
      <c r="AJ395">
        <v>0</v>
      </c>
      <c r="AK395">
        <f t="shared" si="138"/>
        <v>0</v>
      </c>
      <c r="AL395">
        <f t="shared" si="146"/>
        <v>0</v>
      </c>
      <c r="AM395">
        <f t="shared" ca="1" si="139"/>
        <v>321.71415625924578</v>
      </c>
      <c r="AN395" t="str">
        <f t="shared" ca="1" si="140"/>
        <v>Supercritical</v>
      </c>
      <c r="AO395">
        <f ca="1">IF(V32="Supercritical",R395,AA395)</f>
        <v>638.44066340855431</v>
      </c>
    </row>
    <row r="396" spans="1:41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174</v>
      </c>
      <c r="I396">
        <v>4.8000000000000001E-2</v>
      </c>
      <c r="J396">
        <f t="shared" si="141"/>
        <v>1</v>
      </c>
      <c r="K396">
        <f t="shared" si="142"/>
        <v>51</v>
      </c>
      <c r="L396">
        <f t="shared" ca="1" si="143"/>
        <v>38819.69946018538</v>
      </c>
      <c r="M396">
        <f t="shared" ca="1" si="121"/>
        <v>175736.77945625922</v>
      </c>
      <c r="N396">
        <f t="shared" ca="1" si="122"/>
        <v>2.2633680274808552</v>
      </c>
      <c r="O396">
        <f t="shared" ca="1" si="123"/>
        <v>2.9020675215397283E-4</v>
      </c>
      <c r="P396">
        <f t="shared" ca="1" si="124"/>
        <v>39452.138460185379</v>
      </c>
      <c r="Q396">
        <f t="shared" ca="1" si="125"/>
        <v>39452.138460189672</v>
      </c>
      <c r="R396">
        <f t="shared" ca="1" si="126"/>
        <v>6.3766215341151762E-12</v>
      </c>
      <c r="S396">
        <f t="shared" ca="1" si="144"/>
        <v>9.4770990835968405E-4</v>
      </c>
      <c r="T396">
        <f t="shared" ca="1" si="145"/>
        <v>1</v>
      </c>
      <c r="U396">
        <f t="shared" ca="1" si="127"/>
        <v>0.05</v>
      </c>
      <c r="V396">
        <f t="shared" ca="1" si="128"/>
        <v>0.22635000000000002</v>
      </c>
      <c r="W396">
        <f t="shared" ca="1" si="129"/>
        <v>4.8919386211368064E-2</v>
      </c>
      <c r="X396">
        <f t="shared" ca="1" si="130"/>
        <v>225.3147779986746</v>
      </c>
      <c r="Y396">
        <f t="shared" ca="1" si="131"/>
        <v>632.48899999999992</v>
      </c>
      <c r="Z396">
        <f t="shared" ca="1" si="132"/>
        <v>3219.9889584399602</v>
      </c>
      <c r="AA396">
        <f t="shared" ca="1" si="133"/>
        <v>638.44066340855431</v>
      </c>
      <c r="AB396">
        <f t="shared" ca="1" si="134"/>
        <v>638.64716340522955</v>
      </c>
      <c r="AC396">
        <f t="shared" ca="1" si="135"/>
        <v>0</v>
      </c>
      <c r="AD396">
        <f ca="1">IF(V32="Supercritical",L396,U396)</f>
        <v>0.05</v>
      </c>
      <c r="AE396">
        <f t="shared" ca="1" si="136"/>
        <v>632.48899999999992</v>
      </c>
      <c r="AF396">
        <f t="shared" ca="1" si="137"/>
        <v>3219.9889584399602</v>
      </c>
      <c r="AI396">
        <v>0</v>
      </c>
      <c r="AJ396">
        <v>0</v>
      </c>
      <c r="AK396">
        <f t="shared" si="138"/>
        <v>0</v>
      </c>
      <c r="AL396">
        <f t="shared" si="146"/>
        <v>0</v>
      </c>
      <c r="AM396">
        <f t="shared" ca="1" si="139"/>
        <v>321.71415625924578</v>
      </c>
      <c r="AN396" t="str">
        <f t="shared" ca="1" si="140"/>
        <v>Supercritical</v>
      </c>
      <c r="AO396">
        <f ca="1">IF(V32="Supercritical",R396,AA396)</f>
        <v>638.44066340855431</v>
      </c>
    </row>
    <row r="397" spans="1:41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174</v>
      </c>
      <c r="I397">
        <v>4.8000000000000001E-2</v>
      </c>
      <c r="J397">
        <f t="shared" si="141"/>
        <v>1</v>
      </c>
      <c r="K397">
        <f t="shared" si="142"/>
        <v>51</v>
      </c>
      <c r="L397">
        <f t="shared" ca="1" si="143"/>
        <v>38819.699292942452</v>
      </c>
      <c r="M397">
        <f t="shared" ca="1" si="121"/>
        <v>175736.77869915048</v>
      </c>
      <c r="N397">
        <f t="shared" ca="1" si="122"/>
        <v>2.2633680274802868</v>
      </c>
      <c r="O397">
        <f t="shared" ca="1" si="123"/>
        <v>2.9020675340424079E-4</v>
      </c>
      <c r="P397">
        <f t="shared" ca="1" si="124"/>
        <v>39452.137792942449</v>
      </c>
      <c r="Q397">
        <f t="shared" ca="1" si="125"/>
        <v>39452.137792946742</v>
      </c>
      <c r="R397">
        <f t="shared" ca="1" si="126"/>
        <v>6.376621589060801E-12</v>
      </c>
      <c r="S397">
        <f t="shared" ca="1" si="144"/>
        <v>6.6724292264552787E-4</v>
      </c>
      <c r="T397">
        <f t="shared" ca="1" si="145"/>
        <v>1</v>
      </c>
      <c r="U397">
        <f t="shared" ca="1" si="127"/>
        <v>0.05</v>
      </c>
      <c r="V397">
        <f t="shared" ca="1" si="128"/>
        <v>0.22635000000000002</v>
      </c>
      <c r="W397">
        <f t="shared" ca="1" si="129"/>
        <v>4.8919386211368064E-2</v>
      </c>
      <c r="X397">
        <f t="shared" ca="1" si="130"/>
        <v>225.3147779986746</v>
      </c>
      <c r="Y397">
        <f t="shared" ca="1" si="131"/>
        <v>632.48849999999993</v>
      </c>
      <c r="Z397">
        <f t="shared" ca="1" si="132"/>
        <v>3219.9884584399601</v>
      </c>
      <c r="AA397">
        <f t="shared" ca="1" si="133"/>
        <v>638.44066340855431</v>
      </c>
      <c r="AB397">
        <f t="shared" ca="1" si="134"/>
        <v>638.57385090640719</v>
      </c>
      <c r="AC397">
        <f t="shared" ca="1" si="135"/>
        <v>0</v>
      </c>
      <c r="AD397">
        <f ca="1">IF(V32="Supercritical",L397,U397)</f>
        <v>0.05</v>
      </c>
      <c r="AE397">
        <f t="shared" ca="1" si="136"/>
        <v>632.48849999999993</v>
      </c>
      <c r="AF397">
        <f t="shared" ca="1" si="137"/>
        <v>3219.9884584399601</v>
      </c>
      <c r="AI397">
        <v>0</v>
      </c>
      <c r="AJ397">
        <v>0</v>
      </c>
      <c r="AK397">
        <f t="shared" si="138"/>
        <v>0</v>
      </c>
      <c r="AL397">
        <f t="shared" si="146"/>
        <v>0</v>
      </c>
      <c r="AM397">
        <f t="shared" ca="1" si="139"/>
        <v>321.71415625924578</v>
      </c>
      <c r="AN397" t="str">
        <f t="shared" ca="1" si="140"/>
        <v>Supercritical</v>
      </c>
      <c r="AO397">
        <f ca="1">IF(V32="Supercritical",R397,AA397)</f>
        <v>638.44066340855431</v>
      </c>
    </row>
    <row r="398" spans="1:41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174</v>
      </c>
      <c r="I398">
        <v>3.1E-2</v>
      </c>
      <c r="J398">
        <f t="shared" si="141"/>
        <v>1</v>
      </c>
      <c r="K398">
        <f t="shared" si="142"/>
        <v>51</v>
      </c>
      <c r="L398">
        <f t="shared" ca="1" si="143"/>
        <v>38819.698843729406</v>
      </c>
      <c r="M398">
        <f t="shared" ca="1" si="121"/>
        <v>175736.77666556303</v>
      </c>
      <c r="N398">
        <f t="shared" ca="1" si="122"/>
        <v>2.2633680274787595</v>
      </c>
      <c r="O398">
        <f t="shared" ca="1" si="123"/>
        <v>2.9020675676244974E-4</v>
      </c>
      <c r="P398">
        <f t="shared" ca="1" si="124"/>
        <v>39452.136843729408</v>
      </c>
      <c r="Q398">
        <f t="shared" ca="1" si="125"/>
        <v>39452.136843733701</v>
      </c>
      <c r="R398">
        <f t="shared" ca="1" si="126"/>
        <v>6.3766217366442745E-12</v>
      </c>
      <c r="S398">
        <f t="shared" ca="1" si="144"/>
        <v>9.4921303389128298E-4</v>
      </c>
      <c r="T398">
        <f t="shared" ca="1" si="145"/>
        <v>1</v>
      </c>
      <c r="U398">
        <f t="shared" ca="1" si="127"/>
        <v>0.05</v>
      </c>
      <c r="V398">
        <f t="shared" ca="1" si="128"/>
        <v>0.22635000000000002</v>
      </c>
      <c r="W398">
        <f t="shared" ca="1" si="129"/>
        <v>4.8919386211368064E-2</v>
      </c>
      <c r="X398">
        <f t="shared" ca="1" si="130"/>
        <v>225.3147779986746</v>
      </c>
      <c r="Y398">
        <f t="shared" ca="1" si="131"/>
        <v>632.48799999999994</v>
      </c>
      <c r="Z398">
        <f t="shared" ca="1" si="132"/>
        <v>3219.98795843996</v>
      </c>
      <c r="AA398">
        <f t="shared" ca="1" si="133"/>
        <v>638.44066340855431</v>
      </c>
      <c r="AB398">
        <f t="shared" ca="1" si="134"/>
        <v>639.21229156981917</v>
      </c>
      <c r="AC398">
        <f t="shared" ca="1" si="135"/>
        <v>0</v>
      </c>
      <c r="AD398">
        <f ca="1">IF(V32="Supercritical",L398,U398)</f>
        <v>0.05</v>
      </c>
      <c r="AE398">
        <f t="shared" ca="1" si="136"/>
        <v>632.48799999999994</v>
      </c>
      <c r="AF398">
        <f t="shared" ca="1" si="137"/>
        <v>3219.98795843996</v>
      </c>
      <c r="AI398">
        <v>0</v>
      </c>
      <c r="AJ398">
        <v>0</v>
      </c>
      <c r="AK398">
        <f t="shared" si="138"/>
        <v>0</v>
      </c>
      <c r="AL398">
        <f t="shared" si="146"/>
        <v>0</v>
      </c>
      <c r="AM398">
        <f t="shared" ca="1" si="139"/>
        <v>321.71415625924578</v>
      </c>
      <c r="AN398" t="str">
        <f t="shared" ca="1" si="140"/>
        <v>Supercritical</v>
      </c>
      <c r="AO398">
        <f ca="1">IF(V32="Supercritical",R398,AA398)</f>
        <v>638.44066340855431</v>
      </c>
    </row>
    <row r="399" spans="1:41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174</v>
      </c>
      <c r="I399">
        <v>3.1E-2</v>
      </c>
      <c r="J399">
        <f t="shared" si="141"/>
        <v>1.0010000000000048</v>
      </c>
      <c r="K399">
        <f t="shared" si="142"/>
        <v>51</v>
      </c>
      <c r="L399">
        <f t="shared" ca="1" si="143"/>
        <v>38819.698676221225</v>
      </c>
      <c r="M399">
        <f t="shared" ca="1" si="121"/>
        <v>175736.7759072535</v>
      </c>
      <c r="N399">
        <f t="shared" ca="1" si="122"/>
        <v>2.2633680274781902</v>
      </c>
      <c r="O399">
        <f t="shared" ca="1" si="123"/>
        <v>2.902067580147007E-4</v>
      </c>
      <c r="P399">
        <f t="shared" ca="1" si="124"/>
        <v>39452.136176221225</v>
      </c>
      <c r="Q399">
        <f t="shared" ca="1" si="125"/>
        <v>39452.136176225518</v>
      </c>
      <c r="R399">
        <f t="shared" ca="1" si="126"/>
        <v>6.376621791677045E-12</v>
      </c>
      <c r="S399">
        <f t="shared" ca="1" si="144"/>
        <v>6.6750817495631054E-4</v>
      </c>
      <c r="T399">
        <f t="shared" ca="1" si="145"/>
        <v>1</v>
      </c>
      <c r="U399">
        <f t="shared" ca="1" si="127"/>
        <v>0.05</v>
      </c>
      <c r="V399">
        <f t="shared" ca="1" si="128"/>
        <v>0.22635000000000002</v>
      </c>
      <c r="W399">
        <f t="shared" ca="1" si="129"/>
        <v>4.8919386211368064E-2</v>
      </c>
      <c r="X399">
        <f t="shared" ca="1" si="130"/>
        <v>225.3147779986746</v>
      </c>
      <c r="Y399">
        <f t="shared" ca="1" si="131"/>
        <v>632.48749999999995</v>
      </c>
      <c r="Z399">
        <f t="shared" ca="1" si="132"/>
        <v>3219.9874584399604</v>
      </c>
      <c r="AA399">
        <f t="shared" ca="1" si="133"/>
        <v>638.44066340855431</v>
      </c>
      <c r="AB399">
        <f t="shared" ca="1" si="134"/>
        <v>638.44016340855433</v>
      </c>
      <c r="AC399">
        <f t="shared" ca="1" si="135"/>
        <v>0</v>
      </c>
      <c r="AD399">
        <f ca="1">IF(V32="Supercritical",L399,U399)</f>
        <v>0.05</v>
      </c>
      <c r="AE399">
        <f t="shared" ca="1" si="136"/>
        <v>632.48749999999995</v>
      </c>
      <c r="AF399">
        <f t="shared" ca="1" si="137"/>
        <v>3219.9874584399604</v>
      </c>
      <c r="AI399">
        <v>0</v>
      </c>
      <c r="AJ399">
        <v>0</v>
      </c>
      <c r="AK399">
        <f t="shared" si="138"/>
        <v>0</v>
      </c>
      <c r="AL399">
        <f t="shared" si="146"/>
        <v>0</v>
      </c>
      <c r="AM399">
        <f t="shared" ca="1" si="139"/>
        <v>321.71415625924578</v>
      </c>
      <c r="AN399" t="str">
        <f t="shared" ca="1" si="140"/>
        <v>Supercritical</v>
      </c>
      <c r="AO399">
        <f ca="1">IF(V32="Supercritical",R399,AA399)</f>
        <v>638.44066340855431</v>
      </c>
    </row>
    <row r="400" spans="1:41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174</v>
      </c>
      <c r="I400">
        <v>0</v>
      </c>
      <c r="J400">
        <f t="shared" si="141"/>
        <v>1</v>
      </c>
      <c r="K400">
        <f t="shared" si="142"/>
        <v>51</v>
      </c>
      <c r="L400">
        <f t="shared" ca="1" si="143"/>
        <v>38819.698225550354</v>
      </c>
      <c r="M400">
        <f t="shared" ca="1" si="121"/>
        <v>175736.77386706645</v>
      </c>
      <c r="N400">
        <f t="shared" ca="1" si="122"/>
        <v>2.2633680274766581</v>
      </c>
      <c r="O400">
        <f t="shared" ca="1" si="123"/>
        <v>2.902067613838081E-4</v>
      </c>
      <c r="P400">
        <f t="shared" ca="1" si="124"/>
        <v>39452.135225550352</v>
      </c>
      <c r="Q400">
        <f t="shared" ca="1" si="125"/>
        <v>39452.135225554644</v>
      </c>
      <c r="R400">
        <f t="shared" ca="1" si="126"/>
        <v>6.3766219397394771E-12</v>
      </c>
      <c r="S400">
        <f t="shared" ca="1" si="144"/>
        <v>9.5067086658673361E-4</v>
      </c>
      <c r="T400">
        <f t="shared" ca="1" si="145"/>
        <v>1</v>
      </c>
      <c r="U400">
        <f t="shared" ca="1" si="127"/>
        <v>0.05</v>
      </c>
      <c r="V400">
        <f t="shared" ca="1" si="128"/>
        <v>0.22635000000000002</v>
      </c>
      <c r="W400">
        <f t="shared" ca="1" si="129"/>
        <v>4.8919386211368064E-2</v>
      </c>
      <c r="X400">
        <f t="shared" ca="1" si="130"/>
        <v>225.3147779986746</v>
      </c>
      <c r="Y400">
        <f t="shared" ca="1" si="131"/>
        <v>632.48699999999997</v>
      </c>
      <c r="Z400">
        <f t="shared" ca="1" si="132"/>
        <v>3219.9869584399603</v>
      </c>
      <c r="AA400">
        <f t="shared" ca="1" si="133"/>
        <v>638.44066340855431</v>
      </c>
      <c r="AB400">
        <f t="shared" ca="1" si="134"/>
        <v>638.44016340855433</v>
      </c>
      <c r="AC400">
        <f t="shared" ca="1" si="135"/>
        <v>0</v>
      </c>
      <c r="AD400">
        <f ca="1">IF(V32="Supercritical",L400,U400)</f>
        <v>0.05</v>
      </c>
      <c r="AE400">
        <f t="shared" ca="1" si="136"/>
        <v>632.48699999999997</v>
      </c>
      <c r="AF400">
        <f t="shared" ca="1" si="137"/>
        <v>3219.9869584399603</v>
      </c>
      <c r="AI400">
        <v>0</v>
      </c>
      <c r="AJ400">
        <v>0</v>
      </c>
      <c r="AK400">
        <f t="shared" si="138"/>
        <v>0</v>
      </c>
      <c r="AL400">
        <f t="shared" si="146"/>
        <v>0</v>
      </c>
      <c r="AM400">
        <f t="shared" ca="1" si="139"/>
        <v>321.71415625924578</v>
      </c>
      <c r="AN400" t="str">
        <f t="shared" ca="1" si="140"/>
        <v>Supercritical</v>
      </c>
      <c r="AO400">
        <f ca="1">IF(V32="Supercritical",R400,AA400)</f>
        <v>638.44066340855431</v>
      </c>
    </row>
    <row r="401" spans="1:41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174</v>
      </c>
      <c r="I401">
        <v>0</v>
      </c>
      <c r="J401">
        <f t="shared" si="141"/>
        <v>1</v>
      </c>
      <c r="K401">
        <f t="shared" si="142"/>
        <v>51</v>
      </c>
      <c r="L401">
        <f t="shared" ca="1" si="143"/>
        <v>38819.698057784903</v>
      </c>
      <c r="M401">
        <f t="shared" ca="1" si="121"/>
        <v>175736.77310759225</v>
      </c>
      <c r="N401">
        <f t="shared" ca="1" si="122"/>
        <v>2.2633680274760879</v>
      </c>
      <c r="O401">
        <f t="shared" ca="1" si="123"/>
        <v>2.9020676263798243E-4</v>
      </c>
      <c r="P401">
        <f t="shared" ca="1" si="124"/>
        <v>39452.134557784906</v>
      </c>
      <c r="Q401">
        <f t="shared" ca="1" si="125"/>
        <v>39452.134557789199</v>
      </c>
      <c r="R401">
        <f t="shared" ca="1" si="126"/>
        <v>6.3766219948567742E-12</v>
      </c>
      <c r="S401">
        <f t="shared" ca="1" si="144"/>
        <v>6.6776543826563284E-4</v>
      </c>
      <c r="T401">
        <f t="shared" ca="1" si="145"/>
        <v>1</v>
      </c>
      <c r="U401">
        <f t="shared" ca="1" si="127"/>
        <v>0.05</v>
      </c>
      <c r="V401">
        <f t="shared" ca="1" si="128"/>
        <v>0.22635000000000002</v>
      </c>
      <c r="W401">
        <f t="shared" ca="1" si="129"/>
        <v>4.8919386211368064E-2</v>
      </c>
      <c r="X401">
        <f t="shared" ca="1" si="130"/>
        <v>225.3147779986746</v>
      </c>
      <c r="Y401">
        <f t="shared" ca="1" si="131"/>
        <v>632.48649999999998</v>
      </c>
      <c r="Z401">
        <f t="shared" ca="1" si="132"/>
        <v>3219.9864584399602</v>
      </c>
      <c r="AA401">
        <f t="shared" ca="1" si="133"/>
        <v>638.44066340855431</v>
      </c>
      <c r="AB401">
        <f t="shared" ca="1" si="134"/>
        <v>638.44016340855433</v>
      </c>
      <c r="AC401">
        <f t="shared" ca="1" si="135"/>
        <v>0</v>
      </c>
      <c r="AD401">
        <f ca="1">IF(V32="Supercritical",L401,U401)</f>
        <v>0.05</v>
      </c>
      <c r="AE401">
        <f t="shared" ca="1" si="136"/>
        <v>632.48649999999998</v>
      </c>
      <c r="AF401">
        <f t="shared" ca="1" si="137"/>
        <v>3219.9864584399602</v>
      </c>
      <c r="AI401">
        <v>0</v>
      </c>
      <c r="AJ401">
        <v>0</v>
      </c>
      <c r="AK401">
        <f t="shared" si="138"/>
        <v>0</v>
      </c>
      <c r="AL401">
        <f t="shared" si="146"/>
        <v>0</v>
      </c>
      <c r="AM401">
        <f t="shared" ca="1" si="139"/>
        <v>321.71415625924578</v>
      </c>
      <c r="AN401" t="str">
        <f t="shared" ca="1" si="140"/>
        <v>Supercritical</v>
      </c>
      <c r="AO401">
        <f ca="1">IF(V32="Supercritical",R401,AA401)</f>
        <v>638.44066340855431</v>
      </c>
    </row>
    <row r="402" spans="1:41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174</v>
      </c>
      <c r="I402">
        <v>0</v>
      </c>
      <c r="J402">
        <f t="shared" si="141"/>
        <v>1</v>
      </c>
      <c r="K402">
        <f t="shared" si="142"/>
        <v>51</v>
      </c>
      <c r="L402">
        <f t="shared" ca="1" si="143"/>
        <v>38819.697605700007</v>
      </c>
      <c r="M402">
        <f t="shared" ca="1" si="121"/>
        <v>175736.77106100394</v>
      </c>
      <c r="N402">
        <f t="shared" ca="1" si="122"/>
        <v>2.2633680274745509</v>
      </c>
      <c r="O402">
        <f t="shared" ca="1" si="123"/>
        <v>2.9020676601766086E-4</v>
      </c>
      <c r="P402">
        <f t="shared" ca="1" si="124"/>
        <v>39452.133605700008</v>
      </c>
      <c r="Q402">
        <f t="shared" ca="1" si="125"/>
        <v>39452.133605704301</v>
      </c>
      <c r="R402">
        <f t="shared" ca="1" si="126"/>
        <v>6.3766221433837708E-12</v>
      </c>
      <c r="S402">
        <f t="shared" ca="1" si="144"/>
        <v>9.5208489074138924E-4</v>
      </c>
      <c r="T402">
        <f t="shared" ca="1" si="145"/>
        <v>1</v>
      </c>
      <c r="U402">
        <f t="shared" ca="1" si="127"/>
        <v>0.05</v>
      </c>
      <c r="V402">
        <f t="shared" ca="1" si="128"/>
        <v>0.22635000000000002</v>
      </c>
      <c r="W402">
        <f t="shared" ca="1" si="129"/>
        <v>4.8919386211368064E-2</v>
      </c>
      <c r="X402">
        <f t="shared" ca="1" si="130"/>
        <v>225.3147779986746</v>
      </c>
      <c r="Y402">
        <f t="shared" ca="1" si="131"/>
        <v>632.48599999999999</v>
      </c>
      <c r="Z402">
        <f t="shared" ca="1" si="132"/>
        <v>3219.9859584399601</v>
      </c>
      <c r="AA402">
        <f t="shared" ca="1" si="133"/>
        <v>638.44066340855431</v>
      </c>
      <c r="AB402">
        <f t="shared" ca="1" si="134"/>
        <v>638.44016340855433</v>
      </c>
      <c r="AC402">
        <f t="shared" ca="1" si="135"/>
        <v>0</v>
      </c>
      <c r="AD402">
        <f ca="1">IF(V32="Supercritical",L402,U402)</f>
        <v>0.05</v>
      </c>
      <c r="AE402">
        <f t="shared" ca="1" si="136"/>
        <v>632.48599999999999</v>
      </c>
      <c r="AF402">
        <f t="shared" ca="1" si="137"/>
        <v>3219.9859584399601</v>
      </c>
      <c r="AI402">
        <v>0</v>
      </c>
      <c r="AJ402">
        <v>0</v>
      </c>
      <c r="AK402">
        <f t="shared" si="138"/>
        <v>0</v>
      </c>
      <c r="AL402">
        <f t="shared" si="146"/>
        <v>0</v>
      </c>
      <c r="AM402">
        <f t="shared" ca="1" si="139"/>
        <v>321.71415625924578</v>
      </c>
      <c r="AN402" t="str">
        <f t="shared" ca="1" si="140"/>
        <v>Supercritical</v>
      </c>
      <c r="AO402">
        <f ca="1">IF(V32="Supercritical",R402,AA402)</f>
        <v>638.44066340855431</v>
      </c>
    </row>
    <row r="403" spans="1:41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174</v>
      </c>
      <c r="I403">
        <v>0</v>
      </c>
      <c r="J403">
        <f t="shared" si="141"/>
        <v>1</v>
      </c>
      <c r="K403">
        <f t="shared" si="142"/>
        <v>51</v>
      </c>
      <c r="L403">
        <f t="shared" ca="1" si="143"/>
        <v>38819.697437685027</v>
      </c>
      <c r="M403">
        <f t="shared" ca="1" si="121"/>
        <v>175736.77030040012</v>
      </c>
      <c r="N403">
        <f t="shared" ca="1" si="122"/>
        <v>2.2633680274739798</v>
      </c>
      <c r="O403">
        <f t="shared" ca="1" si="123"/>
        <v>2.9020676727370062E-4</v>
      </c>
      <c r="P403">
        <f t="shared" ca="1" si="124"/>
        <v>39452.132937685026</v>
      </c>
      <c r="Q403">
        <f t="shared" ca="1" si="125"/>
        <v>39452.132937689319</v>
      </c>
      <c r="R403">
        <f t="shared" ca="1" si="126"/>
        <v>6.3766221985830509E-12</v>
      </c>
      <c r="S403">
        <f t="shared" ca="1" si="144"/>
        <v>6.6801497450796887E-4</v>
      </c>
      <c r="T403">
        <f t="shared" ca="1" si="145"/>
        <v>1</v>
      </c>
      <c r="U403">
        <f t="shared" ca="1" si="127"/>
        <v>0.05</v>
      </c>
      <c r="V403">
        <f t="shared" ca="1" si="128"/>
        <v>0.22635000000000002</v>
      </c>
      <c r="W403">
        <f t="shared" ca="1" si="129"/>
        <v>4.8919386211368064E-2</v>
      </c>
      <c r="X403">
        <f t="shared" ca="1" si="130"/>
        <v>225.3147779986746</v>
      </c>
      <c r="Y403">
        <f t="shared" ca="1" si="131"/>
        <v>632.4855</v>
      </c>
      <c r="Z403">
        <f t="shared" ca="1" si="132"/>
        <v>3219.98545843996</v>
      </c>
      <c r="AA403">
        <f t="shared" ca="1" si="133"/>
        <v>638.44066340855431</v>
      </c>
      <c r="AB403">
        <f t="shared" ca="1" si="134"/>
        <v>638.44016340855433</v>
      </c>
      <c r="AC403">
        <f t="shared" ca="1" si="135"/>
        <v>0</v>
      </c>
      <c r="AD403">
        <f ca="1">IF(V32="Supercritical",L403,U403)</f>
        <v>0.05</v>
      </c>
      <c r="AE403">
        <f t="shared" ca="1" si="136"/>
        <v>632.4855</v>
      </c>
      <c r="AF403">
        <f t="shared" ca="1" si="137"/>
        <v>3219.98545843996</v>
      </c>
      <c r="AI403">
        <v>0</v>
      </c>
      <c r="AJ403">
        <v>0</v>
      </c>
      <c r="AK403">
        <f t="shared" si="138"/>
        <v>0</v>
      </c>
      <c r="AL403">
        <f t="shared" si="146"/>
        <v>0</v>
      </c>
      <c r="AM403">
        <f t="shared" ca="1" si="139"/>
        <v>321.71415625924578</v>
      </c>
      <c r="AN403" t="str">
        <f t="shared" ca="1" si="140"/>
        <v>Supercritical</v>
      </c>
      <c r="AO403">
        <f ca="1">IF(V32="Supercritical",R403,AA403)</f>
        <v>638.44066340855431</v>
      </c>
    </row>
    <row r="404" spans="1:41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174</v>
      </c>
      <c r="I404">
        <v>0</v>
      </c>
      <c r="J404">
        <f t="shared" si="141"/>
        <v>1</v>
      </c>
      <c r="K404">
        <f t="shared" si="142"/>
        <v>51</v>
      </c>
      <c r="L404">
        <f t="shared" ca="1" si="143"/>
        <v>38819.69698422846</v>
      </c>
      <c r="M404">
        <f t="shared" ca="1" si="121"/>
        <v>175736.76824760225</v>
      </c>
      <c r="N404">
        <f t="shared" ca="1" si="122"/>
        <v>2.2633680274724384</v>
      </c>
      <c r="O404">
        <f t="shared" ca="1" si="123"/>
        <v>2.9020677066363343E-4</v>
      </c>
      <c r="P404">
        <f t="shared" ca="1" si="124"/>
        <v>39452.131984228457</v>
      </c>
      <c r="Q404">
        <f t="shared" ca="1" si="125"/>
        <v>39452.13198423275</v>
      </c>
      <c r="R404">
        <f t="shared" ca="1" si="126"/>
        <v>6.3766223475607002E-12</v>
      </c>
      <c r="S404">
        <f t="shared" ca="1" si="144"/>
        <v>9.5345656154677272E-4</v>
      </c>
      <c r="T404">
        <f t="shared" ca="1" si="145"/>
        <v>1</v>
      </c>
      <c r="U404">
        <f t="shared" ca="1" si="127"/>
        <v>0.05</v>
      </c>
      <c r="V404">
        <f t="shared" ca="1" si="128"/>
        <v>0.22635000000000002</v>
      </c>
      <c r="W404">
        <f t="shared" ca="1" si="129"/>
        <v>4.8919386211368064E-2</v>
      </c>
      <c r="X404">
        <f t="shared" ca="1" si="130"/>
        <v>225.3147779986746</v>
      </c>
      <c r="Y404">
        <f t="shared" ca="1" si="131"/>
        <v>632.4849999999999</v>
      </c>
      <c r="Z404">
        <f t="shared" ca="1" si="132"/>
        <v>3219.9849584399599</v>
      </c>
      <c r="AA404">
        <f t="shared" ca="1" si="133"/>
        <v>638.44066340855431</v>
      </c>
      <c r="AB404">
        <f t="shared" ca="1" si="134"/>
        <v>638.44016340855478</v>
      </c>
      <c r="AC404">
        <f t="shared" ca="1" si="135"/>
        <v>0</v>
      </c>
      <c r="AD404">
        <f ca="1">IF(V32="Supercritical",L404,U404)</f>
        <v>0.05</v>
      </c>
      <c r="AE404">
        <f t="shared" ca="1" si="136"/>
        <v>632.4849999999999</v>
      </c>
      <c r="AF404">
        <f t="shared" ca="1" si="137"/>
        <v>3219.9849584399599</v>
      </c>
      <c r="AI404">
        <v>0</v>
      </c>
      <c r="AJ404">
        <v>0</v>
      </c>
      <c r="AK404">
        <f t="shared" si="138"/>
        <v>0</v>
      </c>
      <c r="AL404">
        <f t="shared" si="146"/>
        <v>0</v>
      </c>
      <c r="AM404">
        <f t="shared" ca="1" si="139"/>
        <v>321.71415625924578</v>
      </c>
      <c r="AN404" t="str">
        <f t="shared" ca="1" si="140"/>
        <v>Supercritical</v>
      </c>
      <c r="AO404">
        <f ca="1">IF(V32="Supercritical",R404,AA404)</f>
        <v>638.44066340855431</v>
      </c>
    </row>
    <row r="405" spans="1:41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174</v>
      </c>
      <c r="I405">
        <v>0</v>
      </c>
      <c r="J405">
        <f t="shared" si="141"/>
        <v>1</v>
      </c>
      <c r="K405">
        <f t="shared" si="142"/>
        <v>51</v>
      </c>
      <c r="L405">
        <f t="shared" ca="1" si="143"/>
        <v>38819.696815971416</v>
      </c>
      <c r="M405">
        <f t="shared" ca="1" si="121"/>
        <v>175736.76748590262</v>
      </c>
      <c r="N405">
        <f t="shared" ca="1" si="122"/>
        <v>2.2633680274718664</v>
      </c>
      <c r="O405">
        <f t="shared" ca="1" si="123"/>
        <v>2.9020677192148284E-4</v>
      </c>
      <c r="P405">
        <f t="shared" ca="1" si="124"/>
        <v>39452.131315971419</v>
      </c>
      <c r="Q405">
        <f t="shared" ca="1" si="125"/>
        <v>39452.131315975712</v>
      </c>
      <c r="R405">
        <f t="shared" ca="1" si="126"/>
        <v>6.3766224028395116E-12</v>
      </c>
      <c r="S405">
        <f t="shared" ca="1" si="144"/>
        <v>6.6825703106587753E-4</v>
      </c>
      <c r="T405">
        <f t="shared" ca="1" si="145"/>
        <v>1</v>
      </c>
      <c r="U405">
        <f t="shared" ca="1" si="127"/>
        <v>0.05</v>
      </c>
      <c r="V405">
        <f t="shared" ca="1" si="128"/>
        <v>0.22635000000000002</v>
      </c>
      <c r="W405">
        <f t="shared" ca="1" si="129"/>
        <v>4.8919386211368064E-2</v>
      </c>
      <c r="X405">
        <f t="shared" ca="1" si="130"/>
        <v>225.3147779986746</v>
      </c>
      <c r="Y405">
        <f t="shared" ca="1" si="131"/>
        <v>632.48449999999991</v>
      </c>
      <c r="Z405">
        <f t="shared" ca="1" si="132"/>
        <v>3219.9844584399602</v>
      </c>
      <c r="AA405">
        <f t="shared" ca="1" si="133"/>
        <v>638.44066340855431</v>
      </c>
      <c r="AB405">
        <f t="shared" ca="1" si="134"/>
        <v>637.80172274514234</v>
      </c>
      <c r="AC405">
        <f t="shared" ca="1" si="135"/>
        <v>0</v>
      </c>
      <c r="AD405">
        <f ca="1">IF(V32="Supercritical",L405,U405)</f>
        <v>0.05</v>
      </c>
      <c r="AE405">
        <f t="shared" ca="1" si="136"/>
        <v>632.48449999999991</v>
      </c>
      <c r="AF405">
        <f t="shared" ca="1" si="137"/>
        <v>3219.9844584399602</v>
      </c>
      <c r="AI405">
        <v>0</v>
      </c>
      <c r="AJ405">
        <v>0</v>
      </c>
      <c r="AK405">
        <f t="shared" si="138"/>
        <v>0</v>
      </c>
      <c r="AL405">
        <f t="shared" si="146"/>
        <v>0</v>
      </c>
      <c r="AM405">
        <f t="shared" ca="1" si="139"/>
        <v>321.71415625924578</v>
      </c>
      <c r="AN405" t="str">
        <f t="shared" ca="1" si="140"/>
        <v>Supercritical</v>
      </c>
      <c r="AO405">
        <f ca="1">IF(V32="Supercritical",R405,AA405)</f>
        <v>638.44066340855431</v>
      </c>
    </row>
    <row r="406" spans="1:41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174</v>
      </c>
      <c r="I406">
        <v>0</v>
      </c>
      <c r="J406">
        <f t="shared" si="141"/>
        <v>0.99899999999999523</v>
      </c>
      <c r="K406">
        <f t="shared" si="142"/>
        <v>51</v>
      </c>
      <c r="L406">
        <f t="shared" ca="1" si="143"/>
        <v>38819.696361184098</v>
      </c>
      <c r="M406">
        <f t="shared" ref="M406:M469" ca="1" si="147">((F406)+(G406)*(L406))*(L406)</f>
        <v>175736.76542708042</v>
      </c>
      <c r="N406">
        <f t="shared" ref="N406:N469" ca="1" si="148">(((F406)+(G406)*(L406))*(L406))/MAX((F406)+2*(L406)*SQRT(1+(G406)^2),0.000001)</f>
        <v>2.2633680274703205</v>
      </c>
      <c r="O406">
        <f t="shared" ref="O406:O469" ca="1" si="149">ABS(K406)/MAX(((F406)+(G406)*(L406))*(L406),0.000001)</f>
        <v>2.9020677532136412E-4</v>
      </c>
      <c r="P406">
        <f t="shared" ref="P406:P469" ca="1" si="150">E406+L406</f>
        <v>39452.130361184099</v>
      </c>
      <c r="Q406">
        <f t="shared" ref="Q406:Q469" ca="1" si="151">P406+((ABS(K406)/MAX(((F406)+(G406)*(L406))*(L406),0.000001))^2)/(2*$I$5)</f>
        <v>39452.130361188392</v>
      </c>
      <c r="R406">
        <f t="shared" ref="R406:R469" ca="1" si="152">((ABS(K406)*$D$6)/(MAX(((F406)+(G406)*(L406))*(L406),0.000001)*MAX(((((F406)+(G406)*(L406))*(L406))/MAX((F406)+2*(L406)*SQRT(1+(G406)^2),0.000001))^(2/3),0.000001)))^2</f>
        <v>6.3766225522543703E-12</v>
      </c>
      <c r="S406">
        <f t="shared" ca="1" si="144"/>
        <v>9.5478731236653402E-4</v>
      </c>
      <c r="T406">
        <f t="shared" ca="1" si="145"/>
        <v>1</v>
      </c>
      <c r="U406">
        <f t="shared" ref="U406:U469" ca="1" si="153">IF($D$20=0,U407,IF(AC407=0,U407,IF(U406=0,U407,IF(ABS(AB406)&gt;$D$19,MAX($D$16,U406+((AB406)*$D$18*IF((ABS(ABS(K406)/MAX(((F406)+(G406)*(U406))*(U406),0.000001))/SQRT($I$5*MAX((((F406)+(G406)*(U406))*(U406))/MAX((F406)+2*(G406)*(U406),0.000001),0.000001)))&lt;1,1,-1))),U406))))</f>
        <v>0.05</v>
      </c>
      <c r="V406">
        <f t="shared" ref="V406:V469" ca="1" si="154">((F406)+(G406)*(U406))*(U406)</f>
        <v>0.22635000000000002</v>
      </c>
      <c r="W406">
        <f t="shared" ref="W406:W469" ca="1" si="155">(((F406)+(G406)*(U406))*(U406))/MAX((F406)+2*(U406)*SQRT(1+(G406)^2),0.000001)</f>
        <v>4.8919386211368064E-2</v>
      </c>
      <c r="X406">
        <f t="shared" ref="X406:X469" ca="1" si="156">ABS(K406)/MAX(((F406)+(G406)*(U406))*(U406),0.000001)</f>
        <v>225.3147779986746</v>
      </c>
      <c r="Y406">
        <f t="shared" ref="Y406:Y469" ca="1" si="157">E406+U406</f>
        <v>632.48399999999992</v>
      </c>
      <c r="Z406">
        <f t="shared" ref="Z406:Z469" ca="1" si="158">Y406+((ABS(K406)/MAX(((F406)+(G406)*(U406))*(U406),0.000001))^2)/(2*$I$5)</f>
        <v>3219.9839584399601</v>
      </c>
      <c r="AA406">
        <f t="shared" ref="AA406:AA469" ca="1" si="159">((ABS(K406)*$D$6)/(MAX(((F406)+(G406)*(U406))*(U406),0.000001)*MAX(((((F406)+(G406)*(U406))*(U406))/MAX((F406)+2*(U406)*SQRT(1+(G406)^2),0.000001))^(2/3),0.000001)))^2</f>
        <v>638.44066340855431</v>
      </c>
      <c r="AB406">
        <f t="shared" ref="AB406:AB469" ca="1" si="160">Z407+(((AA406+AA407)/2)*J407)+(IF(X406&gt;X407,$D$8*((X406^2-X407^2)/(2*$I$5)),$D$9*((X407^2-X406^2)/(2*$I$5)))+($D$10*(ABS(I407)/90)*(MAX(X406^2,X407^2)/(2*$I$5))))-Z406</f>
        <v>638.44016340857252</v>
      </c>
      <c r="AC406">
        <f t="shared" ref="AC406:AC469" ca="1" si="161">IF(ABS(AB406)&lt;$D$19,1,0)</f>
        <v>0</v>
      </c>
      <c r="AD406">
        <f ca="1">IF(V32="Supercritical",L406,U406)</f>
        <v>0.05</v>
      </c>
      <c r="AE406">
        <f t="shared" ref="AE406:AE469" ca="1" si="162">E406+AD406</f>
        <v>632.48399999999992</v>
      </c>
      <c r="AF406">
        <f t="shared" ref="AF406:AF469" ca="1" si="163">AE406+((ABS(K406)/MAX(((F406)+(G406)*(AD406))*(AD406),0.000001))^2)/(2*$I$5)</f>
        <v>3219.9839584399601</v>
      </c>
      <c r="AI406">
        <v>0</v>
      </c>
      <c r="AJ406">
        <v>0</v>
      </c>
      <c r="AK406">
        <f t="shared" ref="AK406:AK469" si="164">AI406+AJ406</f>
        <v>0</v>
      </c>
      <c r="AL406">
        <f t="shared" si="146"/>
        <v>0</v>
      </c>
      <c r="AM406">
        <f t="shared" ref="AM406:AM469" ca="1" si="165">ABS(ABS(K406)/MAX(((F406)+(G406)*(AD406))*(AD406),0.000001))/SQRT($I$5*MAX((((F406)+(G406)*(AD406))*(AD406))/MAX((F406)+2*(G406)*(AD406),0.000001),0.000001))</f>
        <v>321.71415625924578</v>
      </c>
      <c r="AN406" t="str">
        <f t="shared" ref="AN406:AN469" ca="1" si="166">IF(AM406&lt;1,"Subcritical","Supercritical")</f>
        <v>Supercritical</v>
      </c>
      <c r="AO406">
        <f ca="1">IF(V32="Supercritical",R406,AA406)</f>
        <v>638.44066340855431</v>
      </c>
    </row>
    <row r="407" spans="1:41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174</v>
      </c>
      <c r="I407">
        <v>0</v>
      </c>
      <c r="J407">
        <f t="shared" ref="J407:J470" si="167">B407-B406</f>
        <v>1.0000000000000284</v>
      </c>
      <c r="K407">
        <f t="shared" ref="K407:K470" si="168">MAX(0,K406-AK406)</f>
        <v>51</v>
      </c>
      <c r="L407">
        <f t="shared" ref="L407:L470" ca="1" si="169">IF($D$20=0,L406,IF(T406=0,L406,IF(L407=0,L406,IF(ABS(S407)&gt;$D$19,MAX($D$16,L407+((S407)*$D$18*IF((ABS(ABS(K407)/MAX(((F407)+(G407)*(L407))*(L407),0.000001))/SQRT($I$5*MAX((((F407)+(G407)*(L407))*(L407))/MAX((F407)+2*(G407)*(L407),0.000001),0.000001)))&lt;1,1,-1))),L407))))</f>
        <v>38819.696192692216</v>
      </c>
      <c r="M407">
        <f t="shared" ca="1" si="147"/>
        <v>175736.76466431766</v>
      </c>
      <c r="N407">
        <f t="shared" ca="1" si="148"/>
        <v>2.2633680274697476</v>
      </c>
      <c r="O407">
        <f t="shared" ca="1" si="149"/>
        <v>2.9020677658096923E-4</v>
      </c>
      <c r="P407">
        <f t="shared" ca="1" si="150"/>
        <v>39452.129692692215</v>
      </c>
      <c r="Q407">
        <f t="shared" ca="1" si="151"/>
        <v>39452.129692696508</v>
      </c>
      <c r="R407">
        <f t="shared" ca="1" si="152"/>
        <v>6.3766226076103398E-12</v>
      </c>
      <c r="S407">
        <f t="shared" ref="S407:S470" ca="1" si="170">Q406-(((R406+R407)/2)*J407)-(IF(O406&gt;O407,$D$8*((O406^2-O407^2)/(2*$I$5)),$D$9*((O407^2-O406^2)/(2*$I$5)))+($D$10*(ABS(I407)/90)*(MAX(O406^2,O407^2)/(2*$I$5))))-Q407</f>
        <v>6.6849187714979053E-4</v>
      </c>
      <c r="T407">
        <f t="shared" ref="T407:T470" ca="1" si="171">IF(ABS(S407)&lt;$D$19,1,0)</f>
        <v>1</v>
      </c>
      <c r="U407">
        <f t="shared" ca="1" si="153"/>
        <v>0.05</v>
      </c>
      <c r="V407">
        <f t="shared" ca="1" si="154"/>
        <v>0.22635000000000002</v>
      </c>
      <c r="W407">
        <f t="shared" ca="1" si="155"/>
        <v>4.8919386211368064E-2</v>
      </c>
      <c r="X407">
        <f t="shared" ca="1" si="156"/>
        <v>225.3147779986746</v>
      </c>
      <c r="Y407">
        <f t="shared" ca="1" si="157"/>
        <v>632.48349999999994</v>
      </c>
      <c r="Z407">
        <f t="shared" ca="1" si="158"/>
        <v>3219.98345843996</v>
      </c>
      <c r="AA407">
        <f t="shared" ca="1" si="159"/>
        <v>638.44066340855431</v>
      </c>
      <c r="AB407">
        <f t="shared" ca="1" si="160"/>
        <v>638.57385090640764</v>
      </c>
      <c r="AC407">
        <f t="shared" ca="1" si="161"/>
        <v>0</v>
      </c>
      <c r="AD407">
        <f ca="1">IF(V32="Supercritical",L407,U407)</f>
        <v>0.05</v>
      </c>
      <c r="AE407">
        <f t="shared" ca="1" si="162"/>
        <v>632.48349999999994</v>
      </c>
      <c r="AF407">
        <f t="shared" ca="1" si="163"/>
        <v>3219.98345843996</v>
      </c>
      <c r="AI407">
        <v>0</v>
      </c>
      <c r="AJ407">
        <v>0</v>
      </c>
      <c r="AK407">
        <f t="shared" si="164"/>
        <v>0</v>
      </c>
      <c r="AL407">
        <f t="shared" ref="AL407:AL470" si="172">AL406+AK407</f>
        <v>0</v>
      </c>
      <c r="AM407">
        <f t="shared" ca="1" si="165"/>
        <v>321.71415625924578</v>
      </c>
      <c r="AN407" t="str">
        <f t="shared" ca="1" si="166"/>
        <v>Supercritical</v>
      </c>
      <c r="AO407">
        <f ca="1">IF(V32="Supercritical",R407,AA407)</f>
        <v>638.44066340855431</v>
      </c>
    </row>
    <row r="408" spans="1:41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174</v>
      </c>
      <c r="I408">
        <v>3.1E-2</v>
      </c>
      <c r="J408">
        <f t="shared" si="167"/>
        <v>1</v>
      </c>
      <c r="K408">
        <f t="shared" si="168"/>
        <v>51</v>
      </c>
      <c r="L408">
        <f t="shared" ca="1" si="169"/>
        <v>38819.695736613729</v>
      </c>
      <c r="M408">
        <f t="shared" ca="1" si="147"/>
        <v>175736.76259965036</v>
      </c>
      <c r="N408">
        <f t="shared" ca="1" si="148"/>
        <v>2.2633680274681973</v>
      </c>
      <c r="O408">
        <f t="shared" ca="1" si="149"/>
        <v>2.9020677999050306E-4</v>
      </c>
      <c r="P408">
        <f t="shared" ca="1" si="150"/>
        <v>39452.128736613726</v>
      </c>
      <c r="Q408">
        <f t="shared" ca="1" si="151"/>
        <v>39452.128736618019</v>
      </c>
      <c r="R408">
        <f t="shared" ca="1" si="152"/>
        <v>6.3766227574494031E-12</v>
      </c>
      <c r="S408">
        <f t="shared" ca="1" si="170"/>
        <v>9.5607848197687417E-4</v>
      </c>
      <c r="T408">
        <f t="shared" ca="1" si="171"/>
        <v>1</v>
      </c>
      <c r="U408">
        <f t="shared" ca="1" si="153"/>
        <v>0.05</v>
      </c>
      <c r="V408">
        <f t="shared" ca="1" si="154"/>
        <v>0.22635000000000002</v>
      </c>
      <c r="W408">
        <f t="shared" ca="1" si="155"/>
        <v>4.8919386211368064E-2</v>
      </c>
      <c r="X408">
        <f t="shared" ca="1" si="156"/>
        <v>225.3147779986746</v>
      </c>
      <c r="Y408">
        <f t="shared" ca="1" si="157"/>
        <v>632.48299999999995</v>
      </c>
      <c r="Z408">
        <f t="shared" ca="1" si="158"/>
        <v>3219.9829584399604</v>
      </c>
      <c r="AA408">
        <f t="shared" ca="1" si="159"/>
        <v>638.44066340855431</v>
      </c>
      <c r="AB408">
        <f t="shared" ca="1" si="160"/>
        <v>639.21229156980053</v>
      </c>
      <c r="AC408">
        <f t="shared" ca="1" si="161"/>
        <v>0</v>
      </c>
      <c r="AD408">
        <f ca="1">IF(V32="Supercritical",L408,U408)</f>
        <v>0.05</v>
      </c>
      <c r="AE408">
        <f t="shared" ca="1" si="162"/>
        <v>632.48299999999995</v>
      </c>
      <c r="AF408">
        <f t="shared" ca="1" si="163"/>
        <v>3219.9829584399604</v>
      </c>
      <c r="AI408">
        <v>0</v>
      </c>
      <c r="AJ408">
        <v>0</v>
      </c>
      <c r="AK408">
        <f t="shared" si="164"/>
        <v>0</v>
      </c>
      <c r="AL408">
        <f t="shared" si="172"/>
        <v>0</v>
      </c>
      <c r="AM408">
        <f t="shared" ca="1" si="165"/>
        <v>321.71415625924578</v>
      </c>
      <c r="AN408" t="str">
        <f t="shared" ca="1" si="166"/>
        <v>Supercritical</v>
      </c>
      <c r="AO408">
        <f ca="1">IF(V32="Supercritical",R408,AA408)</f>
        <v>638.44066340855431</v>
      </c>
    </row>
    <row r="409" spans="1:41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174</v>
      </c>
      <c r="I409">
        <v>3.1E-2</v>
      </c>
      <c r="J409">
        <f t="shared" si="167"/>
        <v>1.0009999999999764</v>
      </c>
      <c r="K409">
        <f t="shared" si="168"/>
        <v>51</v>
      </c>
      <c r="L409">
        <f t="shared" ca="1" si="169"/>
        <v>38819.695567893999</v>
      </c>
      <c r="M409">
        <f t="shared" ca="1" si="147"/>
        <v>175736.76183585613</v>
      </c>
      <c r="N409">
        <f t="shared" ca="1" si="148"/>
        <v>2.2633680274676236</v>
      </c>
      <c r="O409">
        <f t="shared" ca="1" si="149"/>
        <v>2.902067812518115E-4</v>
      </c>
      <c r="P409">
        <f t="shared" ca="1" si="150"/>
        <v>39452.128067894002</v>
      </c>
      <c r="Q409">
        <f t="shared" ca="1" si="151"/>
        <v>39452.128067898295</v>
      </c>
      <c r="R409">
        <f t="shared" ca="1" si="152"/>
        <v>6.3766228128802292E-12</v>
      </c>
      <c r="S409">
        <f t="shared" ca="1" si="170"/>
        <v>6.6871971648652107E-4</v>
      </c>
      <c r="T409">
        <f t="shared" ca="1" si="171"/>
        <v>1</v>
      </c>
      <c r="U409">
        <f t="shared" ca="1" si="153"/>
        <v>0.05</v>
      </c>
      <c r="V409">
        <f t="shared" ca="1" si="154"/>
        <v>0.22635000000000002</v>
      </c>
      <c r="W409">
        <f t="shared" ca="1" si="155"/>
        <v>4.8919386211368064E-2</v>
      </c>
      <c r="X409">
        <f t="shared" ca="1" si="156"/>
        <v>225.3147779986746</v>
      </c>
      <c r="Y409">
        <f t="shared" ca="1" si="157"/>
        <v>632.48249999999996</v>
      </c>
      <c r="Z409">
        <f t="shared" ca="1" si="158"/>
        <v>3219.9824584399603</v>
      </c>
      <c r="AA409">
        <f t="shared" ca="1" si="159"/>
        <v>638.44066340855431</v>
      </c>
      <c r="AB409">
        <f t="shared" ca="1" si="160"/>
        <v>638.44016340855433</v>
      </c>
      <c r="AC409">
        <f t="shared" ca="1" si="161"/>
        <v>0</v>
      </c>
      <c r="AD409">
        <f ca="1">IF(V32="Supercritical",L409,U409)</f>
        <v>0.05</v>
      </c>
      <c r="AE409">
        <f t="shared" ca="1" si="162"/>
        <v>632.48249999999996</v>
      </c>
      <c r="AF409">
        <f t="shared" ca="1" si="163"/>
        <v>3219.9824584399603</v>
      </c>
      <c r="AI409">
        <v>0</v>
      </c>
      <c r="AJ409">
        <v>0</v>
      </c>
      <c r="AK409">
        <f t="shared" si="164"/>
        <v>0</v>
      </c>
      <c r="AL409">
        <f t="shared" si="172"/>
        <v>0</v>
      </c>
      <c r="AM409">
        <f t="shared" ca="1" si="165"/>
        <v>321.71415625924578</v>
      </c>
      <c r="AN409" t="str">
        <f t="shared" ca="1" si="166"/>
        <v>Supercritical</v>
      </c>
      <c r="AO409">
        <f ca="1">IF(V32="Supercritical",R409,AA409)</f>
        <v>638.44066340855431</v>
      </c>
    </row>
    <row r="410" spans="1:41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174</v>
      </c>
      <c r="I410">
        <v>0</v>
      </c>
      <c r="J410">
        <f t="shared" si="167"/>
        <v>1</v>
      </c>
      <c r="K410">
        <f t="shared" si="168"/>
        <v>51</v>
      </c>
      <c r="L410">
        <f t="shared" ca="1" si="169"/>
        <v>38819.695110562592</v>
      </c>
      <c r="M410">
        <f t="shared" ca="1" si="147"/>
        <v>175736.75976551685</v>
      </c>
      <c r="N410">
        <f t="shared" ca="1" si="148"/>
        <v>2.2633680274660688</v>
      </c>
      <c r="O410">
        <f t="shared" ca="1" si="149"/>
        <v>2.9020678467071203E-4</v>
      </c>
      <c r="P410">
        <f t="shared" ca="1" si="150"/>
        <v>39452.127110562593</v>
      </c>
      <c r="Q410">
        <f t="shared" ca="1" si="151"/>
        <v>39452.127110566886</v>
      </c>
      <c r="R410">
        <f t="shared" ca="1" si="152"/>
        <v>6.3766229631309337E-12</v>
      </c>
      <c r="S410">
        <f t="shared" ca="1" si="170"/>
        <v>9.5733140187803656E-4</v>
      </c>
      <c r="T410">
        <f t="shared" ca="1" si="171"/>
        <v>1</v>
      </c>
      <c r="U410">
        <f t="shared" ca="1" si="153"/>
        <v>0.05</v>
      </c>
      <c r="V410">
        <f t="shared" ca="1" si="154"/>
        <v>0.22635000000000002</v>
      </c>
      <c r="W410">
        <f t="shared" ca="1" si="155"/>
        <v>4.8919386211368064E-2</v>
      </c>
      <c r="X410">
        <f t="shared" ca="1" si="156"/>
        <v>225.3147779986746</v>
      </c>
      <c r="Y410">
        <f t="shared" ca="1" si="157"/>
        <v>632.48199999999997</v>
      </c>
      <c r="Z410">
        <f t="shared" ca="1" si="158"/>
        <v>3219.9819584399602</v>
      </c>
      <c r="AA410">
        <f t="shared" ca="1" si="159"/>
        <v>638.44066340855431</v>
      </c>
      <c r="AB410">
        <f t="shared" ca="1" si="160"/>
        <v>638.44016340855433</v>
      </c>
      <c r="AC410">
        <f t="shared" ca="1" si="161"/>
        <v>0</v>
      </c>
      <c r="AD410">
        <f ca="1">IF(V32="Supercritical",L410,U410)</f>
        <v>0.05</v>
      </c>
      <c r="AE410">
        <f t="shared" ca="1" si="162"/>
        <v>632.48199999999997</v>
      </c>
      <c r="AF410">
        <f t="shared" ca="1" si="163"/>
        <v>3219.9819584399602</v>
      </c>
      <c r="AI410">
        <v>0</v>
      </c>
      <c r="AJ410">
        <v>0</v>
      </c>
      <c r="AK410">
        <f t="shared" si="164"/>
        <v>0</v>
      </c>
      <c r="AL410">
        <f t="shared" si="172"/>
        <v>0</v>
      </c>
      <c r="AM410">
        <f t="shared" ca="1" si="165"/>
        <v>321.71415625924578</v>
      </c>
      <c r="AN410" t="str">
        <f t="shared" ca="1" si="166"/>
        <v>Supercritical</v>
      </c>
      <c r="AO410">
        <f ca="1">IF(V32="Supercritical",R410,AA410)</f>
        <v>638.44066340855431</v>
      </c>
    </row>
    <row r="411" spans="1:41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174</v>
      </c>
      <c r="I411">
        <v>0</v>
      </c>
      <c r="J411">
        <f t="shared" si="167"/>
        <v>1</v>
      </c>
      <c r="K411">
        <f t="shared" si="168"/>
        <v>51</v>
      </c>
      <c r="L411">
        <f t="shared" ca="1" si="169"/>
        <v>38819.694941621754</v>
      </c>
      <c r="M411">
        <f t="shared" ca="1" si="147"/>
        <v>175736.75900072168</v>
      </c>
      <c r="N411">
        <f t="shared" ca="1" si="148"/>
        <v>2.2633680274654946</v>
      </c>
      <c r="O411">
        <f t="shared" ca="1" si="149"/>
        <v>2.9020678593367344E-4</v>
      </c>
      <c r="P411">
        <f t="shared" ca="1" si="150"/>
        <v>39452.126441621753</v>
      </c>
      <c r="Q411">
        <f t="shared" ca="1" si="151"/>
        <v>39452.126441626046</v>
      </c>
      <c r="R411">
        <f t="shared" ca="1" si="152"/>
        <v>6.3766230186344054E-12</v>
      </c>
      <c r="S411">
        <f t="shared" ca="1" si="170"/>
        <v>6.689408328384161E-4</v>
      </c>
      <c r="T411">
        <f t="shared" ca="1" si="171"/>
        <v>1</v>
      </c>
      <c r="U411">
        <f t="shared" ca="1" si="153"/>
        <v>0.05</v>
      </c>
      <c r="V411">
        <f t="shared" ca="1" si="154"/>
        <v>0.22635000000000002</v>
      </c>
      <c r="W411">
        <f t="shared" ca="1" si="155"/>
        <v>4.8919386211368064E-2</v>
      </c>
      <c r="X411">
        <f t="shared" ca="1" si="156"/>
        <v>225.3147779986746</v>
      </c>
      <c r="Y411">
        <f t="shared" ca="1" si="157"/>
        <v>632.48149999999998</v>
      </c>
      <c r="Z411">
        <f t="shared" ca="1" si="158"/>
        <v>3219.9814584399601</v>
      </c>
      <c r="AA411">
        <f t="shared" ca="1" si="159"/>
        <v>638.44066340855431</v>
      </c>
      <c r="AB411">
        <f t="shared" ca="1" si="160"/>
        <v>638.44016340855433</v>
      </c>
      <c r="AC411">
        <f t="shared" ca="1" si="161"/>
        <v>0</v>
      </c>
      <c r="AD411">
        <f ca="1">IF(V32="Supercritical",L411,U411)</f>
        <v>0.05</v>
      </c>
      <c r="AE411">
        <f t="shared" ca="1" si="162"/>
        <v>632.48149999999998</v>
      </c>
      <c r="AF411">
        <f t="shared" ca="1" si="163"/>
        <v>3219.9814584399601</v>
      </c>
      <c r="AI411">
        <v>0</v>
      </c>
      <c r="AJ411">
        <v>0</v>
      </c>
      <c r="AK411">
        <f t="shared" si="164"/>
        <v>0</v>
      </c>
      <c r="AL411">
        <f t="shared" si="172"/>
        <v>0</v>
      </c>
      <c r="AM411">
        <f t="shared" ca="1" si="165"/>
        <v>321.71415625924578</v>
      </c>
      <c r="AN411" t="str">
        <f t="shared" ca="1" si="166"/>
        <v>Supercritical</v>
      </c>
      <c r="AO411">
        <f ca="1">IF(V32="Supercritical",R411,AA411)</f>
        <v>638.44066340855431</v>
      </c>
    </row>
    <row r="412" spans="1:41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174</v>
      </c>
      <c r="I412">
        <v>0</v>
      </c>
      <c r="J412">
        <f t="shared" si="167"/>
        <v>1</v>
      </c>
      <c r="K412">
        <f t="shared" si="168"/>
        <v>51</v>
      </c>
      <c r="L412">
        <f t="shared" ca="1" si="169"/>
        <v>38819.694483074403</v>
      </c>
      <c r="M412">
        <f t="shared" ca="1" si="147"/>
        <v>175736.75692487782</v>
      </c>
      <c r="N412">
        <f t="shared" ca="1" si="148"/>
        <v>2.2633680274639358</v>
      </c>
      <c r="O412">
        <f t="shared" ca="1" si="149"/>
        <v>2.9020678936166419E-4</v>
      </c>
      <c r="P412">
        <f t="shared" ca="1" si="150"/>
        <v>39452.1254830744</v>
      </c>
      <c r="Q412">
        <f t="shared" ca="1" si="151"/>
        <v>39452.125483078693</v>
      </c>
      <c r="R412">
        <f t="shared" ca="1" si="152"/>
        <v>6.3766231692845985E-12</v>
      </c>
      <c r="S412">
        <f t="shared" ca="1" si="170"/>
        <v>9.5854734536260366E-4</v>
      </c>
      <c r="T412">
        <f t="shared" ca="1" si="171"/>
        <v>1</v>
      </c>
      <c r="U412">
        <f t="shared" ca="1" si="153"/>
        <v>0.05</v>
      </c>
      <c r="V412">
        <f t="shared" ca="1" si="154"/>
        <v>0.22635000000000002</v>
      </c>
      <c r="W412">
        <f t="shared" ca="1" si="155"/>
        <v>4.8919386211368064E-2</v>
      </c>
      <c r="X412">
        <f t="shared" ca="1" si="156"/>
        <v>225.3147779986746</v>
      </c>
      <c r="Y412">
        <f t="shared" ca="1" si="157"/>
        <v>632.48099999999999</v>
      </c>
      <c r="Z412">
        <f t="shared" ca="1" si="158"/>
        <v>3219.98095843996</v>
      </c>
      <c r="AA412">
        <f t="shared" ca="1" si="159"/>
        <v>638.44066340855431</v>
      </c>
      <c r="AB412">
        <f t="shared" ca="1" si="160"/>
        <v>638.44016340855478</v>
      </c>
      <c r="AC412">
        <f t="shared" ca="1" si="161"/>
        <v>0</v>
      </c>
      <c r="AD412">
        <f ca="1">IF(V32="Supercritical",L412,U412)</f>
        <v>0.05</v>
      </c>
      <c r="AE412">
        <f t="shared" ca="1" si="162"/>
        <v>632.48099999999999</v>
      </c>
      <c r="AF412">
        <f t="shared" ca="1" si="163"/>
        <v>3219.98095843996</v>
      </c>
      <c r="AI412">
        <v>0</v>
      </c>
      <c r="AJ412">
        <v>0</v>
      </c>
      <c r="AK412">
        <f t="shared" si="164"/>
        <v>0</v>
      </c>
      <c r="AL412">
        <f t="shared" si="172"/>
        <v>0</v>
      </c>
      <c r="AM412">
        <f t="shared" ca="1" si="165"/>
        <v>321.71415625924578</v>
      </c>
      <c r="AN412" t="str">
        <f t="shared" ca="1" si="166"/>
        <v>Supercritical</v>
      </c>
      <c r="AO412">
        <f ca="1">IF(V32="Supercritical",R412,AA412)</f>
        <v>638.44066340855431</v>
      </c>
    </row>
    <row r="413" spans="1:41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174</v>
      </c>
      <c r="I413">
        <v>0</v>
      </c>
      <c r="J413">
        <f t="shared" si="167"/>
        <v>1</v>
      </c>
      <c r="K413">
        <f t="shared" si="168"/>
        <v>51</v>
      </c>
      <c r="L413">
        <f t="shared" ca="1" si="169"/>
        <v>38819.69431391899</v>
      </c>
      <c r="M413">
        <f t="shared" ca="1" si="147"/>
        <v>175736.75615911128</v>
      </c>
      <c r="N413">
        <f t="shared" ca="1" si="148"/>
        <v>2.2633680274633607</v>
      </c>
      <c r="O413">
        <f t="shared" ca="1" si="149"/>
        <v>2.9020679062622979E-4</v>
      </c>
      <c r="P413">
        <f t="shared" ca="1" si="150"/>
        <v>39452.124813918992</v>
      </c>
      <c r="Q413">
        <f t="shared" ca="1" si="151"/>
        <v>39452.124813923285</v>
      </c>
      <c r="R413">
        <f t="shared" ca="1" si="152"/>
        <v>6.3766232248585681E-12</v>
      </c>
      <c r="S413">
        <f t="shared" ca="1" si="170"/>
        <v>6.6915540082845837E-4</v>
      </c>
      <c r="T413">
        <f t="shared" ca="1" si="171"/>
        <v>1</v>
      </c>
      <c r="U413">
        <f t="shared" ca="1" si="153"/>
        <v>0.05</v>
      </c>
      <c r="V413">
        <f t="shared" ca="1" si="154"/>
        <v>0.22635000000000002</v>
      </c>
      <c r="W413">
        <f t="shared" ca="1" si="155"/>
        <v>4.8919386211368064E-2</v>
      </c>
      <c r="X413">
        <f t="shared" ca="1" si="156"/>
        <v>225.3147779986746</v>
      </c>
      <c r="Y413">
        <f t="shared" ca="1" si="157"/>
        <v>632.48050000000001</v>
      </c>
      <c r="Z413">
        <f t="shared" ca="1" si="158"/>
        <v>3219.9804584399603</v>
      </c>
      <c r="AA413">
        <f t="shared" ca="1" si="159"/>
        <v>638.44066340855431</v>
      </c>
      <c r="AB413">
        <f t="shared" ca="1" si="160"/>
        <v>638.44016340855433</v>
      </c>
      <c r="AC413">
        <f t="shared" ca="1" si="161"/>
        <v>0</v>
      </c>
      <c r="AD413">
        <f ca="1">IF(V32="Supercritical",L413,U413)</f>
        <v>0.05</v>
      </c>
      <c r="AE413">
        <f t="shared" ca="1" si="162"/>
        <v>632.48050000000001</v>
      </c>
      <c r="AF413">
        <f t="shared" ca="1" si="163"/>
        <v>3219.9804584399603</v>
      </c>
      <c r="AI413">
        <v>0</v>
      </c>
      <c r="AJ413">
        <v>0</v>
      </c>
      <c r="AK413">
        <f t="shared" si="164"/>
        <v>0</v>
      </c>
      <c r="AL413">
        <f t="shared" si="172"/>
        <v>0</v>
      </c>
      <c r="AM413">
        <f t="shared" ca="1" si="165"/>
        <v>321.71415625924578</v>
      </c>
      <c r="AN413" t="str">
        <f t="shared" ca="1" si="166"/>
        <v>Supercritical</v>
      </c>
      <c r="AO413">
        <f ca="1">IF(V32="Supercritical",R413,AA413)</f>
        <v>638.44066340855431</v>
      </c>
    </row>
    <row r="414" spans="1:41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174</v>
      </c>
      <c r="I414">
        <v>0</v>
      </c>
      <c r="J414">
        <f t="shared" si="167"/>
        <v>1</v>
      </c>
      <c r="K414">
        <f t="shared" si="168"/>
        <v>51</v>
      </c>
      <c r="L414">
        <f t="shared" ca="1" si="169"/>
        <v>38819.69385419145</v>
      </c>
      <c r="M414">
        <f t="shared" ca="1" si="147"/>
        <v>175736.75407792471</v>
      </c>
      <c r="N414">
        <f t="shared" ca="1" si="148"/>
        <v>2.263368027461798</v>
      </c>
      <c r="O414">
        <f t="shared" ca="1" si="149"/>
        <v>2.9020679406304339E-4</v>
      </c>
      <c r="P414">
        <f t="shared" ca="1" si="150"/>
        <v>39452.12385419145</v>
      </c>
      <c r="Q414">
        <f t="shared" ca="1" si="151"/>
        <v>39452.123854195743</v>
      </c>
      <c r="R414">
        <f t="shared" ca="1" si="152"/>
        <v>6.3766233758965061E-12</v>
      </c>
      <c r="S414">
        <f t="shared" ca="1" si="170"/>
        <v>9.5972753479145467E-4</v>
      </c>
      <c r="T414">
        <f t="shared" ca="1" si="171"/>
        <v>1</v>
      </c>
      <c r="U414">
        <f t="shared" ca="1" si="153"/>
        <v>0.05</v>
      </c>
      <c r="V414">
        <f t="shared" ca="1" si="154"/>
        <v>0.22635000000000002</v>
      </c>
      <c r="W414">
        <f t="shared" ca="1" si="155"/>
        <v>4.8919386211368064E-2</v>
      </c>
      <c r="X414">
        <f t="shared" ca="1" si="156"/>
        <v>225.3147779986746</v>
      </c>
      <c r="Y414">
        <f t="shared" ca="1" si="157"/>
        <v>632.4799999999999</v>
      </c>
      <c r="Z414">
        <f t="shared" ca="1" si="158"/>
        <v>3219.9799584399602</v>
      </c>
      <c r="AA414">
        <f t="shared" ca="1" si="159"/>
        <v>638.44066340855431</v>
      </c>
      <c r="AB414">
        <f t="shared" ca="1" si="160"/>
        <v>637.80172274516053</v>
      </c>
      <c r="AC414">
        <f t="shared" ca="1" si="161"/>
        <v>0</v>
      </c>
      <c r="AD414">
        <f ca="1">IF(V32="Supercritical",L414,U414)</f>
        <v>0.05</v>
      </c>
      <c r="AE414">
        <f t="shared" ca="1" si="162"/>
        <v>632.4799999999999</v>
      </c>
      <c r="AF414">
        <f t="shared" ca="1" si="163"/>
        <v>3219.9799584399602</v>
      </c>
      <c r="AI414">
        <v>0</v>
      </c>
      <c r="AJ414">
        <v>0</v>
      </c>
      <c r="AK414">
        <f t="shared" si="164"/>
        <v>0</v>
      </c>
      <c r="AL414">
        <f t="shared" si="172"/>
        <v>0</v>
      </c>
      <c r="AM414">
        <f t="shared" ca="1" si="165"/>
        <v>321.71415625924578</v>
      </c>
      <c r="AN414" t="str">
        <f t="shared" ca="1" si="166"/>
        <v>Supercritical</v>
      </c>
      <c r="AO414">
        <f ca="1">IF(V32="Supercritical",R414,AA414)</f>
        <v>638.44066340855431</v>
      </c>
    </row>
    <row r="415" spans="1:41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174</v>
      </c>
      <c r="I415">
        <v>0</v>
      </c>
      <c r="J415">
        <f t="shared" si="167"/>
        <v>0.99900000000002365</v>
      </c>
      <c r="K415">
        <f t="shared" si="168"/>
        <v>51</v>
      </c>
      <c r="L415">
        <f t="shared" ca="1" si="169"/>
        <v>38819.693684827769</v>
      </c>
      <c r="M415">
        <f t="shared" ca="1" si="147"/>
        <v>175736.75331121532</v>
      </c>
      <c r="N415">
        <f t="shared" ca="1" si="148"/>
        <v>2.2633680274612225</v>
      </c>
      <c r="O415">
        <f t="shared" ca="1" si="149"/>
        <v>2.9020679532916602E-4</v>
      </c>
      <c r="P415">
        <f t="shared" ca="1" si="150"/>
        <v>39452.123184827768</v>
      </c>
      <c r="Q415">
        <f t="shared" ca="1" si="151"/>
        <v>39452.12318483206</v>
      </c>
      <c r="R415">
        <f t="shared" ca="1" si="152"/>
        <v>6.3766234315389006E-12</v>
      </c>
      <c r="S415">
        <f t="shared" ca="1" si="170"/>
        <v>6.6936367511516437E-4</v>
      </c>
      <c r="T415">
        <f t="shared" ca="1" si="171"/>
        <v>1</v>
      </c>
      <c r="U415">
        <f t="shared" ca="1" si="153"/>
        <v>0.05</v>
      </c>
      <c r="V415">
        <f t="shared" ca="1" si="154"/>
        <v>0.22635000000000002</v>
      </c>
      <c r="W415">
        <f t="shared" ca="1" si="155"/>
        <v>4.8919386211368064E-2</v>
      </c>
      <c r="X415">
        <f t="shared" ca="1" si="156"/>
        <v>225.3147779986746</v>
      </c>
      <c r="Y415">
        <f t="shared" ca="1" si="157"/>
        <v>632.47949999999992</v>
      </c>
      <c r="Z415">
        <f t="shared" ca="1" si="158"/>
        <v>3219.9794584399601</v>
      </c>
      <c r="AA415">
        <f t="shared" ca="1" si="159"/>
        <v>638.44066340855431</v>
      </c>
      <c r="AB415">
        <f t="shared" ca="1" si="160"/>
        <v>638.44016340855433</v>
      </c>
      <c r="AC415">
        <f t="shared" ca="1" si="161"/>
        <v>0</v>
      </c>
      <c r="AD415">
        <f ca="1">IF(V32="Supercritical",L415,U415)</f>
        <v>0.05</v>
      </c>
      <c r="AE415">
        <f t="shared" ca="1" si="162"/>
        <v>632.47949999999992</v>
      </c>
      <c r="AF415">
        <f t="shared" ca="1" si="163"/>
        <v>3219.9794584399601</v>
      </c>
      <c r="AI415">
        <v>0</v>
      </c>
      <c r="AJ415">
        <v>0</v>
      </c>
      <c r="AK415">
        <f t="shared" si="164"/>
        <v>0</v>
      </c>
      <c r="AL415">
        <f t="shared" si="172"/>
        <v>0</v>
      </c>
      <c r="AM415">
        <f t="shared" ca="1" si="165"/>
        <v>321.71415625924578</v>
      </c>
      <c r="AN415" t="str">
        <f t="shared" ca="1" si="166"/>
        <v>Supercritical</v>
      </c>
      <c r="AO415">
        <f ca="1">IF(V32="Supercritical",R415,AA415)</f>
        <v>638.44066340855431</v>
      </c>
    </row>
    <row r="416" spans="1:41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174</v>
      </c>
      <c r="I416">
        <v>0</v>
      </c>
      <c r="J416">
        <f t="shared" si="167"/>
        <v>1</v>
      </c>
      <c r="K416">
        <f t="shared" si="168"/>
        <v>51</v>
      </c>
      <c r="L416">
        <f t="shared" ca="1" si="169"/>
        <v>38819.693223954579</v>
      </c>
      <c r="M416">
        <f t="shared" ca="1" si="147"/>
        <v>175736.75122484239</v>
      </c>
      <c r="N416">
        <f t="shared" ca="1" si="148"/>
        <v>2.2633680274596557</v>
      </c>
      <c r="O416">
        <f t="shared" ca="1" si="149"/>
        <v>2.9020679877454438E-4</v>
      </c>
      <c r="P416">
        <f t="shared" ca="1" si="150"/>
        <v>39452.122223954575</v>
      </c>
      <c r="Q416">
        <f t="shared" ca="1" si="151"/>
        <v>39452.122223958868</v>
      </c>
      <c r="R416">
        <f t="shared" ca="1" si="152"/>
        <v>6.3766235829532374E-12</v>
      </c>
      <c r="S416">
        <f t="shared" ca="1" si="170"/>
        <v>9.6087318524951115E-4</v>
      </c>
      <c r="T416">
        <f t="shared" ca="1" si="171"/>
        <v>1</v>
      </c>
      <c r="U416">
        <f t="shared" ca="1" si="153"/>
        <v>0.05</v>
      </c>
      <c r="V416">
        <f t="shared" ca="1" si="154"/>
        <v>0.22635000000000002</v>
      </c>
      <c r="W416">
        <f t="shared" ca="1" si="155"/>
        <v>4.8919386211368064E-2</v>
      </c>
      <c r="X416">
        <f t="shared" ca="1" si="156"/>
        <v>225.3147779986746</v>
      </c>
      <c r="Y416">
        <f t="shared" ca="1" si="157"/>
        <v>632.47899999999993</v>
      </c>
      <c r="Z416">
        <f t="shared" ca="1" si="158"/>
        <v>3219.97895843996</v>
      </c>
      <c r="AA416">
        <f t="shared" ca="1" si="159"/>
        <v>638.44066340855431</v>
      </c>
      <c r="AB416">
        <f t="shared" ca="1" si="160"/>
        <v>638.44016340855478</v>
      </c>
      <c r="AC416">
        <f t="shared" ca="1" si="161"/>
        <v>0</v>
      </c>
      <c r="AD416">
        <f ca="1">IF(V32="Supercritical",L416,U416)</f>
        <v>0.05</v>
      </c>
      <c r="AE416">
        <f t="shared" ca="1" si="162"/>
        <v>632.47899999999993</v>
      </c>
      <c r="AF416">
        <f t="shared" ca="1" si="163"/>
        <v>3219.97895843996</v>
      </c>
      <c r="AI416">
        <v>0</v>
      </c>
      <c r="AJ416">
        <v>0</v>
      </c>
      <c r="AK416">
        <f t="shared" si="164"/>
        <v>0</v>
      </c>
      <c r="AL416">
        <f t="shared" si="172"/>
        <v>0</v>
      </c>
      <c r="AM416">
        <f t="shared" ca="1" si="165"/>
        <v>321.71415625924578</v>
      </c>
      <c r="AN416" t="str">
        <f t="shared" ca="1" si="166"/>
        <v>Supercritical</v>
      </c>
      <c r="AO416">
        <f ca="1">IF(V32="Supercritical",R416,AA416)</f>
        <v>638.44066340855431</v>
      </c>
    </row>
    <row r="417" spans="1:41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174</v>
      </c>
      <c r="I417">
        <v>0</v>
      </c>
      <c r="J417">
        <f t="shared" si="167"/>
        <v>1</v>
      </c>
      <c r="K417">
        <f t="shared" si="168"/>
        <v>51</v>
      </c>
      <c r="L417">
        <f t="shared" ca="1" si="169"/>
        <v>38819.693054388721</v>
      </c>
      <c r="M417">
        <f t="shared" ca="1" si="147"/>
        <v>175736.75045721774</v>
      </c>
      <c r="N417">
        <f t="shared" ca="1" si="148"/>
        <v>2.2633680274590793</v>
      </c>
      <c r="O417">
        <f t="shared" ca="1" si="149"/>
        <v>2.9020680004217844E-4</v>
      </c>
      <c r="P417">
        <f t="shared" ca="1" si="150"/>
        <v>39452.121554388723</v>
      </c>
      <c r="Q417">
        <f t="shared" ca="1" si="151"/>
        <v>39452.121554393016</v>
      </c>
      <c r="R417">
        <f t="shared" ca="1" si="152"/>
        <v>6.3766236386620591E-12</v>
      </c>
      <c r="S417">
        <f t="shared" ca="1" si="170"/>
        <v>6.6956584487343207E-4</v>
      </c>
      <c r="T417">
        <f t="shared" ca="1" si="171"/>
        <v>1</v>
      </c>
      <c r="U417">
        <f t="shared" ca="1" si="153"/>
        <v>0.05</v>
      </c>
      <c r="V417">
        <f t="shared" ca="1" si="154"/>
        <v>0.22635000000000002</v>
      </c>
      <c r="W417">
        <f t="shared" ca="1" si="155"/>
        <v>4.8919386211368064E-2</v>
      </c>
      <c r="X417">
        <f t="shared" ca="1" si="156"/>
        <v>225.3147779986746</v>
      </c>
      <c r="Y417">
        <f t="shared" ca="1" si="157"/>
        <v>632.47849999999994</v>
      </c>
      <c r="Z417">
        <f t="shared" ca="1" si="158"/>
        <v>3219.9784584399604</v>
      </c>
      <c r="AA417">
        <f t="shared" ca="1" si="159"/>
        <v>638.44066340855431</v>
      </c>
      <c r="AB417">
        <f t="shared" ca="1" si="160"/>
        <v>638.44016340855433</v>
      </c>
      <c r="AC417">
        <f t="shared" ca="1" si="161"/>
        <v>0</v>
      </c>
      <c r="AD417">
        <f ca="1">IF(V32="Supercritical",L417,U417)</f>
        <v>0.05</v>
      </c>
      <c r="AE417">
        <f t="shared" ca="1" si="162"/>
        <v>632.47849999999994</v>
      </c>
      <c r="AF417">
        <f t="shared" ca="1" si="163"/>
        <v>3219.9784584399604</v>
      </c>
      <c r="AI417">
        <v>0</v>
      </c>
      <c r="AJ417">
        <v>0</v>
      </c>
      <c r="AK417">
        <f t="shared" si="164"/>
        <v>0</v>
      </c>
      <c r="AL417">
        <f t="shared" si="172"/>
        <v>0</v>
      </c>
      <c r="AM417">
        <f t="shared" ca="1" si="165"/>
        <v>321.71415625924578</v>
      </c>
      <c r="AN417" t="str">
        <f t="shared" ca="1" si="166"/>
        <v>Supercritical</v>
      </c>
      <c r="AO417">
        <f ca="1">IF(V32="Supercritical",R417,AA417)</f>
        <v>638.44066340855431</v>
      </c>
    </row>
    <row r="418" spans="1:41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174</v>
      </c>
      <c r="I418">
        <v>0</v>
      </c>
      <c r="J418">
        <f t="shared" si="167"/>
        <v>1</v>
      </c>
      <c r="K418">
        <f t="shared" si="168"/>
        <v>51</v>
      </c>
      <c r="L418">
        <f t="shared" ca="1" si="169"/>
        <v>38819.692592403284</v>
      </c>
      <c r="M418">
        <f t="shared" ca="1" si="147"/>
        <v>175736.74836580968</v>
      </c>
      <c r="N418">
        <f t="shared" ca="1" si="148"/>
        <v>2.263368027457509</v>
      </c>
      <c r="O418">
        <f t="shared" ca="1" si="149"/>
        <v>2.9020680349587183E-4</v>
      </c>
      <c r="P418">
        <f t="shared" ca="1" si="150"/>
        <v>39452.120592403284</v>
      </c>
      <c r="Q418">
        <f t="shared" ca="1" si="151"/>
        <v>39452.120592407577</v>
      </c>
      <c r="R418">
        <f t="shared" ca="1" si="152"/>
        <v>6.3766237904418183E-12</v>
      </c>
      <c r="S418">
        <f t="shared" ca="1" si="170"/>
        <v>9.6198543178616092E-4</v>
      </c>
      <c r="T418">
        <f t="shared" ca="1" si="171"/>
        <v>1</v>
      </c>
      <c r="U418">
        <f t="shared" ca="1" si="153"/>
        <v>0.05</v>
      </c>
      <c r="V418">
        <f t="shared" ca="1" si="154"/>
        <v>0.22635000000000002</v>
      </c>
      <c r="W418">
        <f t="shared" ca="1" si="155"/>
        <v>4.8919386211368064E-2</v>
      </c>
      <c r="X418">
        <f t="shared" ca="1" si="156"/>
        <v>225.3147779986746</v>
      </c>
      <c r="Y418">
        <f t="shared" ca="1" si="157"/>
        <v>632.47799999999995</v>
      </c>
      <c r="Z418">
        <f t="shared" ca="1" si="158"/>
        <v>3219.9779584399603</v>
      </c>
      <c r="AA418">
        <f t="shared" ca="1" si="159"/>
        <v>638.44066340855431</v>
      </c>
      <c r="AB418">
        <f t="shared" ca="1" si="160"/>
        <v>638.57385090640719</v>
      </c>
      <c r="AC418">
        <f t="shared" ca="1" si="161"/>
        <v>0</v>
      </c>
      <c r="AD418">
        <f ca="1">IF(V32="Supercritical",L418,U418)</f>
        <v>0.05</v>
      </c>
      <c r="AE418">
        <f t="shared" ca="1" si="162"/>
        <v>632.47799999999995</v>
      </c>
      <c r="AF418">
        <f t="shared" ca="1" si="163"/>
        <v>3219.9779584399603</v>
      </c>
      <c r="AI418">
        <v>0</v>
      </c>
      <c r="AJ418">
        <v>0</v>
      </c>
      <c r="AK418">
        <f t="shared" si="164"/>
        <v>0</v>
      </c>
      <c r="AL418">
        <f t="shared" si="172"/>
        <v>0</v>
      </c>
      <c r="AM418">
        <f t="shared" ca="1" si="165"/>
        <v>321.71415625924578</v>
      </c>
      <c r="AN418" t="str">
        <f t="shared" ca="1" si="166"/>
        <v>Supercritical</v>
      </c>
      <c r="AO418">
        <f ca="1">IF(V32="Supercritical",R418,AA418)</f>
        <v>638.44066340855431</v>
      </c>
    </row>
    <row r="419" spans="1:41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174</v>
      </c>
      <c r="I419">
        <v>3.1E-2</v>
      </c>
      <c r="J419">
        <f t="shared" si="167"/>
        <v>1</v>
      </c>
      <c r="K419">
        <f t="shared" si="168"/>
        <v>51</v>
      </c>
      <c r="L419">
        <f t="shared" ca="1" si="169"/>
        <v>38819.69242264115</v>
      </c>
      <c r="M419">
        <f t="shared" ca="1" si="147"/>
        <v>175736.74759729649</v>
      </c>
      <c r="N419">
        <f t="shared" ca="1" si="148"/>
        <v>2.2633680274569317</v>
      </c>
      <c r="O419">
        <f t="shared" ca="1" si="149"/>
        <v>2.9020680476497324E-4</v>
      </c>
      <c r="P419">
        <f t="shared" ca="1" si="150"/>
        <v>39452.119922641148</v>
      </c>
      <c r="Q419">
        <f t="shared" ca="1" si="151"/>
        <v>39452.119922645441</v>
      </c>
      <c r="R419">
        <f t="shared" ca="1" si="152"/>
        <v>6.376623846215127E-12</v>
      </c>
      <c r="S419">
        <f t="shared" ca="1" si="170"/>
        <v>6.697621283819899E-4</v>
      </c>
      <c r="T419">
        <f t="shared" ca="1" si="171"/>
        <v>1</v>
      </c>
      <c r="U419">
        <f t="shared" ca="1" si="153"/>
        <v>0.05</v>
      </c>
      <c r="V419">
        <f t="shared" ca="1" si="154"/>
        <v>0.22635000000000002</v>
      </c>
      <c r="W419">
        <f t="shared" ca="1" si="155"/>
        <v>4.8919386211368064E-2</v>
      </c>
      <c r="X419">
        <f t="shared" ca="1" si="156"/>
        <v>225.3147779986746</v>
      </c>
      <c r="Y419">
        <f t="shared" ca="1" si="157"/>
        <v>632.47749999999996</v>
      </c>
      <c r="Z419">
        <f t="shared" ca="1" si="158"/>
        <v>3219.9774584399602</v>
      </c>
      <c r="AA419">
        <f t="shared" ca="1" si="159"/>
        <v>638.44066340855431</v>
      </c>
      <c r="AB419">
        <f t="shared" ca="1" si="160"/>
        <v>639.21229156980053</v>
      </c>
      <c r="AC419">
        <f t="shared" ca="1" si="161"/>
        <v>0</v>
      </c>
      <c r="AD419">
        <f ca="1">IF(V32="Supercritical",L419,U419)</f>
        <v>0.05</v>
      </c>
      <c r="AE419">
        <f t="shared" ca="1" si="162"/>
        <v>632.47749999999996</v>
      </c>
      <c r="AF419">
        <f t="shared" ca="1" si="163"/>
        <v>3219.9774584399602</v>
      </c>
      <c r="AI419">
        <v>0</v>
      </c>
      <c r="AJ419">
        <v>0</v>
      </c>
      <c r="AK419">
        <f t="shared" si="164"/>
        <v>0</v>
      </c>
      <c r="AL419">
        <f t="shared" si="172"/>
        <v>0</v>
      </c>
      <c r="AM419">
        <f t="shared" ca="1" si="165"/>
        <v>321.71415625924578</v>
      </c>
      <c r="AN419" t="str">
        <f t="shared" ca="1" si="166"/>
        <v>Supercritical</v>
      </c>
      <c r="AO419">
        <f ca="1">IF(V32="Supercritical",R419,AA419)</f>
        <v>638.44066340855431</v>
      </c>
    </row>
    <row r="420" spans="1:41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174</v>
      </c>
      <c r="I420">
        <v>3.1E-2</v>
      </c>
      <c r="J420">
        <f t="shared" si="167"/>
        <v>1.0009999999999764</v>
      </c>
      <c r="K420">
        <f t="shared" si="168"/>
        <v>51</v>
      </c>
      <c r="L420">
        <f t="shared" ca="1" si="169"/>
        <v>38819.691959575764</v>
      </c>
      <c r="M420">
        <f t="shared" ca="1" si="147"/>
        <v>175736.7455009995</v>
      </c>
      <c r="N420">
        <f t="shared" ca="1" si="148"/>
        <v>2.2633680274553578</v>
      </c>
      <c r="O420">
        <f t="shared" ca="1" si="149"/>
        <v>2.9020680822674014E-4</v>
      </c>
      <c r="P420">
        <f t="shared" ca="1" si="150"/>
        <v>39452.118959575768</v>
      </c>
      <c r="Q420">
        <f t="shared" ca="1" si="151"/>
        <v>39452.118959580061</v>
      </c>
      <c r="R420">
        <f t="shared" ca="1" si="152"/>
        <v>6.3766239983496941E-12</v>
      </c>
      <c r="S420">
        <f t="shared" ca="1" si="170"/>
        <v>9.6306537307100371E-4</v>
      </c>
      <c r="T420">
        <f t="shared" ca="1" si="171"/>
        <v>1</v>
      </c>
      <c r="U420">
        <f t="shared" ca="1" si="153"/>
        <v>0.05</v>
      </c>
      <c r="V420">
        <f t="shared" ca="1" si="154"/>
        <v>0.22635000000000002</v>
      </c>
      <c r="W420">
        <f t="shared" ca="1" si="155"/>
        <v>4.8919386211368064E-2</v>
      </c>
      <c r="X420">
        <f t="shared" ca="1" si="156"/>
        <v>225.3147779986746</v>
      </c>
      <c r="Y420">
        <f t="shared" ca="1" si="157"/>
        <v>632.47699999999998</v>
      </c>
      <c r="Z420">
        <f t="shared" ca="1" si="158"/>
        <v>3219.9769584399601</v>
      </c>
      <c r="AA420">
        <f t="shared" ca="1" si="159"/>
        <v>638.44066340855431</v>
      </c>
      <c r="AB420">
        <f t="shared" ca="1" si="160"/>
        <v>638.44016340855433</v>
      </c>
      <c r="AC420">
        <f t="shared" ca="1" si="161"/>
        <v>0</v>
      </c>
      <c r="AD420">
        <f ca="1">IF(V32="Supercritical",L420,U420)</f>
        <v>0.05</v>
      </c>
      <c r="AE420">
        <f t="shared" ca="1" si="162"/>
        <v>632.47699999999998</v>
      </c>
      <c r="AF420">
        <f t="shared" ca="1" si="163"/>
        <v>3219.9769584399601</v>
      </c>
      <c r="AI420">
        <v>0</v>
      </c>
      <c r="AJ420">
        <v>0</v>
      </c>
      <c r="AK420">
        <f t="shared" si="164"/>
        <v>0</v>
      </c>
      <c r="AL420">
        <f t="shared" si="172"/>
        <v>0</v>
      </c>
      <c r="AM420">
        <f t="shared" ca="1" si="165"/>
        <v>321.71415625924578</v>
      </c>
      <c r="AN420" t="str">
        <f t="shared" ca="1" si="166"/>
        <v>Supercritical</v>
      </c>
      <c r="AO420">
        <f ca="1">IF(V32="Supercritical",R420,AA420)</f>
        <v>638.44066340855431</v>
      </c>
    </row>
    <row r="421" spans="1:41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174</v>
      </c>
      <c r="I421">
        <v>0</v>
      </c>
      <c r="J421">
        <f t="shared" si="167"/>
        <v>1</v>
      </c>
      <c r="K421">
        <f t="shared" si="168"/>
        <v>51</v>
      </c>
      <c r="L421">
        <f t="shared" ca="1" si="169"/>
        <v>38819.691789623052</v>
      </c>
      <c r="M421">
        <f t="shared" ca="1" si="147"/>
        <v>175736.74473162356</v>
      </c>
      <c r="N421">
        <f t="shared" ca="1" si="148"/>
        <v>2.2633680274547796</v>
      </c>
      <c r="O421">
        <f t="shared" ca="1" si="149"/>
        <v>2.902068094972663E-4</v>
      </c>
      <c r="P421">
        <f t="shared" ca="1" si="150"/>
        <v>39452.118289623053</v>
      </c>
      <c r="Q421">
        <f t="shared" ca="1" si="151"/>
        <v>39452.118289627346</v>
      </c>
      <c r="R421">
        <f t="shared" ca="1" si="152"/>
        <v>6.3766240541856214E-12</v>
      </c>
      <c r="S421">
        <f t="shared" ca="1" si="170"/>
        <v>6.699527075397782E-4</v>
      </c>
      <c r="T421">
        <f t="shared" ca="1" si="171"/>
        <v>1</v>
      </c>
      <c r="U421">
        <f t="shared" ca="1" si="153"/>
        <v>0.05</v>
      </c>
      <c r="V421">
        <f t="shared" ca="1" si="154"/>
        <v>0.22635000000000002</v>
      </c>
      <c r="W421">
        <f t="shared" ca="1" si="155"/>
        <v>4.8919386211368064E-2</v>
      </c>
      <c r="X421">
        <f t="shared" ca="1" si="156"/>
        <v>225.3147779986746</v>
      </c>
      <c r="Y421">
        <f t="shared" ca="1" si="157"/>
        <v>632.47649999999999</v>
      </c>
      <c r="Z421">
        <f t="shared" ca="1" si="158"/>
        <v>3219.97645843996</v>
      </c>
      <c r="AA421">
        <f t="shared" ca="1" si="159"/>
        <v>638.44066340855431</v>
      </c>
      <c r="AB421">
        <f t="shared" ca="1" si="160"/>
        <v>638.44016340855478</v>
      </c>
      <c r="AC421">
        <f t="shared" ca="1" si="161"/>
        <v>0</v>
      </c>
      <c r="AD421">
        <f ca="1">IF(V32="Supercritical",L421,U421)</f>
        <v>0.05</v>
      </c>
      <c r="AE421">
        <f t="shared" ca="1" si="162"/>
        <v>632.47649999999999</v>
      </c>
      <c r="AF421">
        <f t="shared" ca="1" si="163"/>
        <v>3219.97645843996</v>
      </c>
      <c r="AI421">
        <v>0</v>
      </c>
      <c r="AJ421">
        <v>0</v>
      </c>
      <c r="AK421">
        <f t="shared" si="164"/>
        <v>0</v>
      </c>
      <c r="AL421">
        <f t="shared" si="172"/>
        <v>0</v>
      </c>
      <c r="AM421">
        <f t="shared" ca="1" si="165"/>
        <v>321.71415625924578</v>
      </c>
      <c r="AN421" t="str">
        <f t="shared" ca="1" si="166"/>
        <v>Supercritical</v>
      </c>
      <c r="AO421">
        <f ca="1">IF(V32="Supercritical",R421,AA421)</f>
        <v>638.44066340855431</v>
      </c>
    </row>
    <row r="422" spans="1:41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174</v>
      </c>
      <c r="I422">
        <v>0</v>
      </c>
      <c r="J422">
        <f t="shared" si="167"/>
        <v>1</v>
      </c>
      <c r="K422">
        <f t="shared" si="168"/>
        <v>51</v>
      </c>
      <c r="L422">
        <f t="shared" ca="1" si="169"/>
        <v>38819.691325508946</v>
      </c>
      <c r="M422">
        <f t="shared" ca="1" si="147"/>
        <v>175736.74263057901</v>
      </c>
      <c r="N422">
        <f t="shared" ca="1" si="148"/>
        <v>2.2633680274532022</v>
      </c>
      <c r="O422">
        <f t="shared" ca="1" si="149"/>
        <v>2.9020681296687334E-4</v>
      </c>
      <c r="P422">
        <f t="shared" ca="1" si="150"/>
        <v>39452.117325508945</v>
      </c>
      <c r="Q422">
        <f t="shared" ca="1" si="151"/>
        <v>39452.117325513238</v>
      </c>
      <c r="R422">
        <f t="shared" ca="1" si="152"/>
        <v>6.3766242066647408E-12</v>
      </c>
      <c r="S422">
        <f t="shared" ca="1" si="170"/>
        <v>9.6411410049768165E-4</v>
      </c>
      <c r="T422">
        <f t="shared" ca="1" si="171"/>
        <v>1</v>
      </c>
      <c r="U422">
        <f t="shared" ca="1" si="153"/>
        <v>0.05</v>
      </c>
      <c r="V422">
        <f t="shared" ca="1" si="154"/>
        <v>0.22635000000000002</v>
      </c>
      <c r="W422">
        <f t="shared" ca="1" si="155"/>
        <v>4.8919386211368064E-2</v>
      </c>
      <c r="X422">
        <f t="shared" ca="1" si="156"/>
        <v>225.3147779986746</v>
      </c>
      <c r="Y422">
        <f t="shared" ca="1" si="157"/>
        <v>632.476</v>
      </c>
      <c r="Z422">
        <f t="shared" ca="1" si="158"/>
        <v>3219.9759584399603</v>
      </c>
      <c r="AA422">
        <f t="shared" ca="1" si="159"/>
        <v>638.44066340855431</v>
      </c>
      <c r="AB422">
        <f t="shared" ca="1" si="160"/>
        <v>637.80172274516053</v>
      </c>
      <c r="AC422">
        <f t="shared" ca="1" si="161"/>
        <v>0</v>
      </c>
      <c r="AD422">
        <f ca="1">IF(V32="Supercritical",L422,U422)</f>
        <v>0.05</v>
      </c>
      <c r="AE422">
        <f t="shared" ca="1" si="162"/>
        <v>632.476</v>
      </c>
      <c r="AF422">
        <f t="shared" ca="1" si="163"/>
        <v>3219.9759584399603</v>
      </c>
      <c r="AI422">
        <v>0</v>
      </c>
      <c r="AJ422">
        <v>0</v>
      </c>
      <c r="AK422">
        <f t="shared" si="164"/>
        <v>0</v>
      </c>
      <c r="AL422">
        <f t="shared" si="172"/>
        <v>0</v>
      </c>
      <c r="AM422">
        <f t="shared" ca="1" si="165"/>
        <v>321.71415625924578</v>
      </c>
      <c r="AN422" t="str">
        <f t="shared" ca="1" si="166"/>
        <v>Supercritical</v>
      </c>
      <c r="AO422">
        <f ca="1">IF(V32="Supercritical",R422,AA422)</f>
        <v>638.44066340855431</v>
      </c>
    </row>
    <row r="423" spans="1:41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174</v>
      </c>
      <c r="I423">
        <v>0</v>
      </c>
      <c r="J423">
        <f t="shared" si="167"/>
        <v>0.99900000000002365</v>
      </c>
      <c r="K423">
        <f t="shared" si="168"/>
        <v>51</v>
      </c>
      <c r="L423">
        <f t="shared" ca="1" si="169"/>
        <v>38819.691155371162</v>
      </c>
      <c r="M423">
        <f t="shared" ca="1" si="147"/>
        <v>175736.74186036526</v>
      </c>
      <c r="N423">
        <f t="shared" ca="1" si="148"/>
        <v>2.2633680274526236</v>
      </c>
      <c r="O423">
        <f t="shared" ca="1" si="149"/>
        <v>2.9020681423878311E-4</v>
      </c>
      <c r="P423">
        <f t="shared" ca="1" si="150"/>
        <v>39452.116655371159</v>
      </c>
      <c r="Q423">
        <f t="shared" ca="1" si="151"/>
        <v>39452.116655375452</v>
      </c>
      <c r="R423">
        <f t="shared" ca="1" si="152"/>
        <v>6.3766242625614706E-12</v>
      </c>
      <c r="S423">
        <f t="shared" ca="1" si="170"/>
        <v>6.7013777879765257E-4</v>
      </c>
      <c r="T423">
        <f t="shared" ca="1" si="171"/>
        <v>1</v>
      </c>
      <c r="U423">
        <f t="shared" ca="1" si="153"/>
        <v>0.05</v>
      </c>
      <c r="V423">
        <f t="shared" ca="1" si="154"/>
        <v>0.22635000000000002</v>
      </c>
      <c r="W423">
        <f t="shared" ca="1" si="155"/>
        <v>4.8919386211368064E-2</v>
      </c>
      <c r="X423">
        <f t="shared" ca="1" si="156"/>
        <v>225.3147779986746</v>
      </c>
      <c r="Y423">
        <f t="shared" ca="1" si="157"/>
        <v>632.47550000000001</v>
      </c>
      <c r="Z423">
        <f t="shared" ca="1" si="158"/>
        <v>3219.9754584399602</v>
      </c>
      <c r="AA423">
        <f t="shared" ca="1" si="159"/>
        <v>638.44066340855431</v>
      </c>
      <c r="AB423">
        <f t="shared" ca="1" si="160"/>
        <v>638.44016340855433</v>
      </c>
      <c r="AC423">
        <f t="shared" ca="1" si="161"/>
        <v>0</v>
      </c>
      <c r="AD423">
        <f ca="1">IF(V32="Supercritical",L423,U423)</f>
        <v>0.05</v>
      </c>
      <c r="AE423">
        <f t="shared" ca="1" si="162"/>
        <v>632.47550000000001</v>
      </c>
      <c r="AF423">
        <f t="shared" ca="1" si="163"/>
        <v>3219.9754584399602</v>
      </c>
      <c r="AI423">
        <v>0</v>
      </c>
      <c r="AJ423">
        <v>0</v>
      </c>
      <c r="AK423">
        <f t="shared" si="164"/>
        <v>0</v>
      </c>
      <c r="AL423">
        <f t="shared" si="172"/>
        <v>0</v>
      </c>
      <c r="AM423">
        <f t="shared" ca="1" si="165"/>
        <v>321.71415625924578</v>
      </c>
      <c r="AN423" t="str">
        <f t="shared" ca="1" si="166"/>
        <v>Supercritical</v>
      </c>
      <c r="AO423">
        <f ca="1">IF(V32="Supercritical",R423,AA423)</f>
        <v>638.44066340855431</v>
      </c>
    </row>
    <row r="424" spans="1:41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174</v>
      </c>
      <c r="I424">
        <v>0</v>
      </c>
      <c r="J424">
        <f t="shared" si="167"/>
        <v>1</v>
      </c>
      <c r="K424">
        <f t="shared" si="168"/>
        <v>51</v>
      </c>
      <c r="L424">
        <f t="shared" ca="1" si="169"/>
        <v>38819.690690238524</v>
      </c>
      <c r="M424">
        <f t="shared" ca="1" si="147"/>
        <v>175736.73975470979</v>
      </c>
      <c r="N424">
        <f t="shared" ca="1" si="148"/>
        <v>2.2633680274510422</v>
      </c>
      <c r="O424">
        <f t="shared" ca="1" si="149"/>
        <v>2.902068177160046E-4</v>
      </c>
      <c r="P424">
        <f t="shared" ca="1" si="150"/>
        <v>39452.115690238526</v>
      </c>
      <c r="Q424">
        <f t="shared" ca="1" si="151"/>
        <v>39452.115690242819</v>
      </c>
      <c r="R424">
        <f t="shared" ca="1" si="152"/>
        <v>6.3766244153752298E-12</v>
      </c>
      <c r="S424">
        <f t="shared" ca="1" si="170"/>
        <v>9.6513262542430311E-4</v>
      </c>
      <c r="T424">
        <f t="shared" ca="1" si="171"/>
        <v>1</v>
      </c>
      <c r="U424">
        <f t="shared" ca="1" si="153"/>
        <v>0.05</v>
      </c>
      <c r="V424">
        <f t="shared" ca="1" si="154"/>
        <v>0.22635000000000002</v>
      </c>
      <c r="W424">
        <f t="shared" ca="1" si="155"/>
        <v>4.8919386211368064E-2</v>
      </c>
      <c r="X424">
        <f t="shared" ca="1" si="156"/>
        <v>225.3147779986746</v>
      </c>
      <c r="Y424">
        <f t="shared" ca="1" si="157"/>
        <v>632.47499999999991</v>
      </c>
      <c r="Z424">
        <f t="shared" ca="1" si="158"/>
        <v>3219.9749584399601</v>
      </c>
      <c r="AA424">
        <f t="shared" ca="1" si="159"/>
        <v>638.44066340855431</v>
      </c>
      <c r="AB424">
        <f t="shared" ca="1" si="160"/>
        <v>638.44016340855433</v>
      </c>
      <c r="AC424">
        <f t="shared" ca="1" si="161"/>
        <v>0</v>
      </c>
      <c r="AD424">
        <f ca="1">IF(V32="Supercritical",L424,U424)</f>
        <v>0.05</v>
      </c>
      <c r="AE424">
        <f t="shared" ca="1" si="162"/>
        <v>632.47499999999991</v>
      </c>
      <c r="AF424">
        <f t="shared" ca="1" si="163"/>
        <v>3219.9749584399601</v>
      </c>
      <c r="AI424">
        <v>0</v>
      </c>
      <c r="AJ424">
        <v>0</v>
      </c>
      <c r="AK424">
        <f t="shared" si="164"/>
        <v>0</v>
      </c>
      <c r="AL424">
        <f t="shared" si="172"/>
        <v>0</v>
      </c>
      <c r="AM424">
        <f t="shared" ca="1" si="165"/>
        <v>321.71415625924578</v>
      </c>
      <c r="AN424" t="str">
        <f t="shared" ca="1" si="166"/>
        <v>Supercritical</v>
      </c>
      <c r="AO424">
        <f ca="1">IF(V32="Supercritical",R424,AA424)</f>
        <v>638.44066340855431</v>
      </c>
    </row>
    <row r="425" spans="1:41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174</v>
      </c>
      <c r="I425">
        <v>0</v>
      </c>
      <c r="J425">
        <f t="shared" si="167"/>
        <v>1</v>
      </c>
      <c r="K425">
        <f t="shared" si="168"/>
        <v>51</v>
      </c>
      <c r="L425">
        <f t="shared" ca="1" si="169"/>
        <v>38819.690519921001</v>
      </c>
      <c r="M425">
        <f t="shared" ca="1" si="147"/>
        <v>175736.73898368239</v>
      </c>
      <c r="N425">
        <f t="shared" ca="1" si="148"/>
        <v>2.2633680274504635</v>
      </c>
      <c r="O425">
        <f t="shared" ca="1" si="149"/>
        <v>2.9020681898925802E-4</v>
      </c>
      <c r="P425">
        <f t="shared" ca="1" si="150"/>
        <v>39452.115019921002</v>
      </c>
      <c r="Q425">
        <f t="shared" ca="1" si="151"/>
        <v>39452.115019925295</v>
      </c>
      <c r="R425">
        <f t="shared" ca="1" si="152"/>
        <v>6.3766244713310094E-12</v>
      </c>
      <c r="S425">
        <f t="shared" ca="1" si="170"/>
        <v>6.7031751677859575E-4</v>
      </c>
      <c r="T425">
        <f t="shared" ca="1" si="171"/>
        <v>1</v>
      </c>
      <c r="U425">
        <f t="shared" ca="1" si="153"/>
        <v>0.05</v>
      </c>
      <c r="V425">
        <f t="shared" ca="1" si="154"/>
        <v>0.22635000000000002</v>
      </c>
      <c r="W425">
        <f t="shared" ca="1" si="155"/>
        <v>4.8919386211368064E-2</v>
      </c>
      <c r="X425">
        <f t="shared" ca="1" si="156"/>
        <v>225.3147779986746</v>
      </c>
      <c r="Y425">
        <f t="shared" ca="1" si="157"/>
        <v>632.47449999999992</v>
      </c>
      <c r="Z425">
        <f t="shared" ca="1" si="158"/>
        <v>3219.97445843996</v>
      </c>
      <c r="AA425">
        <f t="shared" ca="1" si="159"/>
        <v>638.44066340855431</v>
      </c>
      <c r="AB425">
        <f t="shared" ca="1" si="160"/>
        <v>638.44016340855478</v>
      </c>
      <c r="AC425">
        <f t="shared" ca="1" si="161"/>
        <v>0</v>
      </c>
      <c r="AD425">
        <f ca="1">IF(V32="Supercritical",L425,U425)</f>
        <v>0.05</v>
      </c>
      <c r="AE425">
        <f t="shared" ca="1" si="162"/>
        <v>632.47449999999992</v>
      </c>
      <c r="AF425">
        <f t="shared" ca="1" si="163"/>
        <v>3219.97445843996</v>
      </c>
      <c r="AI425">
        <v>0</v>
      </c>
      <c r="AJ425">
        <v>0</v>
      </c>
      <c r="AK425">
        <f t="shared" si="164"/>
        <v>0</v>
      </c>
      <c r="AL425">
        <f t="shared" si="172"/>
        <v>0</v>
      </c>
      <c r="AM425">
        <f t="shared" ca="1" si="165"/>
        <v>321.71415625924578</v>
      </c>
      <c r="AN425" t="str">
        <f t="shared" ca="1" si="166"/>
        <v>Supercritical</v>
      </c>
      <c r="AO425">
        <f ca="1">IF(V32="Supercritical",R425,AA425)</f>
        <v>638.44066340855431</v>
      </c>
    </row>
    <row r="426" spans="1:41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174</v>
      </c>
      <c r="I426">
        <v>0</v>
      </c>
      <c r="J426">
        <f t="shared" si="167"/>
        <v>1</v>
      </c>
      <c r="K426">
        <f t="shared" si="168"/>
        <v>51</v>
      </c>
      <c r="L426">
        <f t="shared" ca="1" si="169"/>
        <v>38819.69005379903</v>
      </c>
      <c r="M426">
        <f t="shared" ca="1" si="147"/>
        <v>175736.73687354822</v>
      </c>
      <c r="N426">
        <f t="shared" ca="1" si="148"/>
        <v>2.263368027448879</v>
      </c>
      <c r="O426">
        <f t="shared" ca="1" si="149"/>
        <v>2.9020682247387562E-4</v>
      </c>
      <c r="P426">
        <f t="shared" ca="1" si="150"/>
        <v>39452.114053799029</v>
      </c>
      <c r="Q426">
        <f t="shared" ca="1" si="151"/>
        <v>39452.114053803321</v>
      </c>
      <c r="R426">
        <f t="shared" ca="1" si="152"/>
        <v>6.3766246244698069E-12</v>
      </c>
      <c r="S426">
        <f t="shared" ca="1" si="170"/>
        <v>9.6612196648493409E-4</v>
      </c>
      <c r="T426">
        <f t="shared" ca="1" si="171"/>
        <v>1</v>
      </c>
      <c r="U426">
        <f t="shared" ca="1" si="153"/>
        <v>0.05</v>
      </c>
      <c r="V426">
        <f t="shared" ca="1" si="154"/>
        <v>0.22635000000000002</v>
      </c>
      <c r="W426">
        <f t="shared" ca="1" si="155"/>
        <v>4.8919386211368064E-2</v>
      </c>
      <c r="X426">
        <f t="shared" ca="1" si="156"/>
        <v>225.3147779986746</v>
      </c>
      <c r="Y426">
        <f t="shared" ca="1" si="157"/>
        <v>632.47399999999993</v>
      </c>
      <c r="Z426">
        <f t="shared" ca="1" si="158"/>
        <v>3219.9739584399604</v>
      </c>
      <c r="AA426">
        <f t="shared" ca="1" si="159"/>
        <v>638.44066340855431</v>
      </c>
      <c r="AB426">
        <f t="shared" ca="1" si="160"/>
        <v>638.44016340855433</v>
      </c>
      <c r="AC426">
        <f t="shared" ca="1" si="161"/>
        <v>0</v>
      </c>
      <c r="AD426">
        <f ca="1">IF(V32="Supercritical",L426,U426)</f>
        <v>0.05</v>
      </c>
      <c r="AE426">
        <f t="shared" ca="1" si="162"/>
        <v>632.47399999999993</v>
      </c>
      <c r="AF426">
        <f t="shared" ca="1" si="163"/>
        <v>3219.9739584399604</v>
      </c>
      <c r="AI426">
        <v>0</v>
      </c>
      <c r="AJ426">
        <v>0</v>
      </c>
      <c r="AK426">
        <f t="shared" si="164"/>
        <v>0</v>
      </c>
      <c r="AL426">
        <f t="shared" si="172"/>
        <v>0</v>
      </c>
      <c r="AM426">
        <f t="shared" ca="1" si="165"/>
        <v>321.71415625924578</v>
      </c>
      <c r="AN426" t="str">
        <f t="shared" ca="1" si="166"/>
        <v>Supercritical</v>
      </c>
      <c r="AO426">
        <f ca="1">IF(V32="Supercritical",R426,AA426)</f>
        <v>638.44066340855431</v>
      </c>
    </row>
    <row r="427" spans="1:41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174</v>
      </c>
      <c r="I427">
        <v>0</v>
      </c>
      <c r="J427">
        <f t="shared" si="167"/>
        <v>1</v>
      </c>
      <c r="K427">
        <f t="shared" si="168"/>
        <v>51</v>
      </c>
      <c r="L427">
        <f t="shared" ca="1" si="169"/>
        <v>38819.689883306921</v>
      </c>
      <c r="M427">
        <f t="shared" ca="1" si="147"/>
        <v>175736.73610173044</v>
      </c>
      <c r="N427">
        <f t="shared" ca="1" si="148"/>
        <v>2.2633680274482995</v>
      </c>
      <c r="O427">
        <f t="shared" ca="1" si="149"/>
        <v>2.9020682374843431E-4</v>
      </c>
      <c r="P427">
        <f t="shared" ca="1" si="150"/>
        <v>39452.113383306918</v>
      </c>
      <c r="Q427">
        <f t="shared" ca="1" si="151"/>
        <v>39452.113383311211</v>
      </c>
      <c r="R427">
        <f t="shared" ca="1" si="152"/>
        <v>6.3766246804829512E-12</v>
      </c>
      <c r="S427">
        <f t="shared" ca="1" si="170"/>
        <v>6.7049210338154808E-4</v>
      </c>
      <c r="T427">
        <f t="shared" ca="1" si="171"/>
        <v>1</v>
      </c>
      <c r="U427">
        <f t="shared" ca="1" si="153"/>
        <v>0.05</v>
      </c>
      <c r="V427">
        <f t="shared" ca="1" si="154"/>
        <v>0.22635000000000002</v>
      </c>
      <c r="W427">
        <f t="shared" ca="1" si="155"/>
        <v>4.8919386211368064E-2</v>
      </c>
      <c r="X427">
        <f t="shared" ca="1" si="156"/>
        <v>225.3147779986746</v>
      </c>
      <c r="Y427">
        <f t="shared" ca="1" si="157"/>
        <v>632.47349999999994</v>
      </c>
      <c r="Z427">
        <f t="shared" ca="1" si="158"/>
        <v>3219.9734584399603</v>
      </c>
      <c r="AA427">
        <f t="shared" ca="1" si="159"/>
        <v>638.44066340855431</v>
      </c>
      <c r="AB427">
        <f t="shared" ca="1" si="160"/>
        <v>638.44016340855433</v>
      </c>
      <c r="AC427">
        <f t="shared" ca="1" si="161"/>
        <v>0</v>
      </c>
      <c r="AD427">
        <f ca="1">IF(V32="Supercritical",L427,U427)</f>
        <v>0.05</v>
      </c>
      <c r="AE427">
        <f t="shared" ca="1" si="162"/>
        <v>632.47349999999994</v>
      </c>
      <c r="AF427">
        <f t="shared" ca="1" si="163"/>
        <v>3219.9734584399603</v>
      </c>
      <c r="AI427">
        <v>0</v>
      </c>
      <c r="AJ427">
        <v>0</v>
      </c>
      <c r="AK427">
        <f t="shared" si="164"/>
        <v>0</v>
      </c>
      <c r="AL427">
        <f t="shared" si="172"/>
        <v>0</v>
      </c>
      <c r="AM427">
        <f t="shared" ca="1" si="165"/>
        <v>321.71415625924578</v>
      </c>
      <c r="AN427" t="str">
        <f t="shared" ca="1" si="166"/>
        <v>Supercritical</v>
      </c>
      <c r="AO427">
        <f ca="1">IF(V32="Supercritical",R427,AA427)</f>
        <v>638.44066340855431</v>
      </c>
    </row>
    <row r="428" spans="1:41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174</v>
      </c>
      <c r="I428">
        <v>0</v>
      </c>
      <c r="J428">
        <f t="shared" si="167"/>
        <v>1</v>
      </c>
      <c r="K428">
        <f t="shared" si="168"/>
        <v>51</v>
      </c>
      <c r="L428">
        <f t="shared" ca="1" si="169"/>
        <v>38819.689416223839</v>
      </c>
      <c r="M428">
        <f t="shared" ca="1" si="147"/>
        <v>175736.73398724533</v>
      </c>
      <c r="N428">
        <f t="shared" ca="1" si="148"/>
        <v>2.2633680274467114</v>
      </c>
      <c r="O428">
        <f t="shared" ca="1" si="149"/>
        <v>2.9020682724023702E-4</v>
      </c>
      <c r="P428">
        <f t="shared" ca="1" si="150"/>
        <v>39452.112416223841</v>
      </c>
      <c r="Q428">
        <f t="shared" ca="1" si="151"/>
        <v>39452.112416228134</v>
      </c>
      <c r="R428">
        <f t="shared" ca="1" si="152"/>
        <v>6.3766248339375192E-12</v>
      </c>
      <c r="S428">
        <f t="shared" ca="1" si="170"/>
        <v>9.6708306955406442E-4</v>
      </c>
      <c r="T428">
        <f t="shared" ca="1" si="171"/>
        <v>1</v>
      </c>
      <c r="U428">
        <f t="shared" ca="1" si="153"/>
        <v>0.05</v>
      </c>
      <c r="V428">
        <f t="shared" ca="1" si="154"/>
        <v>0.22635000000000002</v>
      </c>
      <c r="W428">
        <f t="shared" ca="1" si="155"/>
        <v>4.8919386211368064E-2</v>
      </c>
      <c r="X428">
        <f t="shared" ca="1" si="156"/>
        <v>225.3147779986746</v>
      </c>
      <c r="Y428">
        <f t="shared" ca="1" si="157"/>
        <v>632.47299999999996</v>
      </c>
      <c r="Z428">
        <f t="shared" ca="1" si="158"/>
        <v>3219.9729584399602</v>
      </c>
      <c r="AA428">
        <f t="shared" ca="1" si="159"/>
        <v>638.44066340855431</v>
      </c>
      <c r="AB428">
        <f t="shared" ca="1" si="160"/>
        <v>638.57385090640719</v>
      </c>
      <c r="AC428">
        <f t="shared" ca="1" si="161"/>
        <v>0</v>
      </c>
      <c r="AD428">
        <f ca="1">IF(V32="Supercritical",L428,U428)</f>
        <v>0.05</v>
      </c>
      <c r="AE428">
        <f t="shared" ca="1" si="162"/>
        <v>632.47299999999996</v>
      </c>
      <c r="AF428">
        <f t="shared" ca="1" si="163"/>
        <v>3219.9729584399602</v>
      </c>
      <c r="AI428">
        <v>0</v>
      </c>
      <c r="AJ428">
        <v>0</v>
      </c>
      <c r="AK428">
        <f t="shared" si="164"/>
        <v>0</v>
      </c>
      <c r="AL428">
        <f t="shared" si="172"/>
        <v>0</v>
      </c>
      <c r="AM428">
        <f t="shared" ca="1" si="165"/>
        <v>321.71415625924578</v>
      </c>
      <c r="AN428" t="str">
        <f t="shared" ca="1" si="166"/>
        <v>Supercritical</v>
      </c>
      <c r="AO428">
        <f ca="1">IF(V32="Supercritical",R428,AA428)</f>
        <v>638.44066340855431</v>
      </c>
    </row>
    <row r="429" spans="1:41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174</v>
      </c>
      <c r="I429">
        <v>3.1E-2</v>
      </c>
      <c r="J429">
        <f t="shared" si="167"/>
        <v>1</v>
      </c>
      <c r="K429">
        <f t="shared" si="168"/>
        <v>51</v>
      </c>
      <c r="L429">
        <f t="shared" ca="1" si="169"/>
        <v>38819.68924556212</v>
      </c>
      <c r="M429">
        <f t="shared" ca="1" si="147"/>
        <v>175736.73321465973</v>
      </c>
      <c r="N429">
        <f t="shared" ca="1" si="148"/>
        <v>2.2633680274461314</v>
      </c>
      <c r="O429">
        <f t="shared" ca="1" si="149"/>
        <v>2.9020682851606375E-4</v>
      </c>
      <c r="P429">
        <f t="shared" ca="1" si="150"/>
        <v>39452.111745562121</v>
      </c>
      <c r="Q429">
        <f t="shared" ca="1" si="151"/>
        <v>39452.111745566413</v>
      </c>
      <c r="R429">
        <f t="shared" ca="1" si="152"/>
        <v>6.3766248900063851E-12</v>
      </c>
      <c r="S429">
        <f t="shared" ca="1" si="170"/>
        <v>6.7066171322949231E-4</v>
      </c>
      <c r="T429">
        <f t="shared" ca="1" si="171"/>
        <v>1</v>
      </c>
      <c r="U429">
        <f t="shared" ca="1" si="153"/>
        <v>0.05</v>
      </c>
      <c r="V429">
        <f t="shared" ca="1" si="154"/>
        <v>0.22635000000000002</v>
      </c>
      <c r="W429">
        <f t="shared" ca="1" si="155"/>
        <v>4.8919386211368064E-2</v>
      </c>
      <c r="X429">
        <f t="shared" ca="1" si="156"/>
        <v>225.3147779986746</v>
      </c>
      <c r="Y429">
        <f t="shared" ca="1" si="157"/>
        <v>632.47249999999997</v>
      </c>
      <c r="Z429">
        <f t="shared" ca="1" si="158"/>
        <v>3219.9724584399601</v>
      </c>
      <c r="AA429">
        <f t="shared" ca="1" si="159"/>
        <v>638.44066340855431</v>
      </c>
      <c r="AB429">
        <f t="shared" ca="1" si="160"/>
        <v>639.21229156980053</v>
      </c>
      <c r="AC429">
        <f t="shared" ca="1" si="161"/>
        <v>0</v>
      </c>
      <c r="AD429">
        <f ca="1">IF(V32="Supercritical",L429,U429)</f>
        <v>0.05</v>
      </c>
      <c r="AE429">
        <f t="shared" ca="1" si="162"/>
        <v>632.47249999999997</v>
      </c>
      <c r="AF429">
        <f t="shared" ca="1" si="163"/>
        <v>3219.9724584399601</v>
      </c>
      <c r="AI429">
        <v>0</v>
      </c>
      <c r="AJ429">
        <v>0</v>
      </c>
      <c r="AK429">
        <f t="shared" si="164"/>
        <v>0</v>
      </c>
      <c r="AL429">
        <f t="shared" si="172"/>
        <v>0</v>
      </c>
      <c r="AM429">
        <f t="shared" ca="1" si="165"/>
        <v>321.71415625924578</v>
      </c>
      <c r="AN429" t="str">
        <f t="shared" ca="1" si="166"/>
        <v>Supercritical</v>
      </c>
      <c r="AO429">
        <f ca="1">IF(V32="Supercritical",R429,AA429)</f>
        <v>638.44066340855431</v>
      </c>
    </row>
    <row r="430" spans="1:41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174</v>
      </c>
      <c r="I430">
        <v>3.1E-2</v>
      </c>
      <c r="J430">
        <f t="shared" si="167"/>
        <v>1.0009999999999764</v>
      </c>
      <c r="K430">
        <f t="shared" si="168"/>
        <v>51</v>
      </c>
      <c r="L430">
        <f t="shared" ca="1" si="169"/>
        <v>38819.688777545249</v>
      </c>
      <c r="M430">
        <f t="shared" ca="1" si="147"/>
        <v>175736.73109594735</v>
      </c>
      <c r="N430">
        <f t="shared" ca="1" si="148"/>
        <v>2.2633680274445407</v>
      </c>
      <c r="O430">
        <f t="shared" ca="1" si="149"/>
        <v>2.9020683201484736E-4</v>
      </c>
      <c r="P430">
        <f t="shared" ca="1" si="150"/>
        <v>39452.110777545247</v>
      </c>
      <c r="Q430">
        <f t="shared" ca="1" si="151"/>
        <v>39452.11077754954</v>
      </c>
      <c r="R430">
        <f t="shared" ca="1" si="152"/>
        <v>6.3766250437677434E-12</v>
      </c>
      <c r="S430">
        <f t="shared" ca="1" si="170"/>
        <v>9.6801686595426872E-4</v>
      </c>
      <c r="T430">
        <f t="shared" ca="1" si="171"/>
        <v>1</v>
      </c>
      <c r="U430">
        <f t="shared" ca="1" si="153"/>
        <v>0.05</v>
      </c>
      <c r="V430">
        <f t="shared" ca="1" si="154"/>
        <v>0.22635000000000002</v>
      </c>
      <c r="W430">
        <f t="shared" ca="1" si="155"/>
        <v>4.8919386211368064E-2</v>
      </c>
      <c r="X430">
        <f t="shared" ca="1" si="156"/>
        <v>225.3147779986746</v>
      </c>
      <c r="Y430">
        <f t="shared" ca="1" si="157"/>
        <v>632.47199999999998</v>
      </c>
      <c r="Z430">
        <f t="shared" ca="1" si="158"/>
        <v>3219.97195843996</v>
      </c>
      <c r="AA430">
        <f t="shared" ca="1" si="159"/>
        <v>638.44066340855431</v>
      </c>
      <c r="AB430">
        <f t="shared" ca="1" si="160"/>
        <v>638.44016340855478</v>
      </c>
      <c r="AC430">
        <f t="shared" ca="1" si="161"/>
        <v>0</v>
      </c>
      <c r="AD430">
        <f ca="1">IF(V32="Supercritical",L430,U430)</f>
        <v>0.05</v>
      </c>
      <c r="AE430">
        <f t="shared" ca="1" si="162"/>
        <v>632.47199999999998</v>
      </c>
      <c r="AF430">
        <f t="shared" ca="1" si="163"/>
        <v>3219.97195843996</v>
      </c>
      <c r="AI430">
        <v>0</v>
      </c>
      <c r="AJ430">
        <v>0</v>
      </c>
      <c r="AK430">
        <f t="shared" si="164"/>
        <v>0</v>
      </c>
      <c r="AL430">
        <f t="shared" si="172"/>
        <v>0</v>
      </c>
      <c r="AM430">
        <f t="shared" ca="1" si="165"/>
        <v>321.71415625924578</v>
      </c>
      <c r="AN430" t="str">
        <f t="shared" ca="1" si="166"/>
        <v>Supercritical</v>
      </c>
      <c r="AO430">
        <f ca="1">IF(V32="Supercritical",R430,AA430)</f>
        <v>638.44066340855431</v>
      </c>
    </row>
    <row r="431" spans="1:41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174</v>
      </c>
      <c r="I431">
        <v>0</v>
      </c>
      <c r="J431">
        <f t="shared" si="167"/>
        <v>1</v>
      </c>
      <c r="K431">
        <f t="shared" si="168"/>
        <v>51</v>
      </c>
      <c r="L431">
        <f t="shared" ca="1" si="169"/>
        <v>38819.688606718744</v>
      </c>
      <c r="M431">
        <f t="shared" ca="1" si="147"/>
        <v>175736.73032261577</v>
      </c>
      <c r="N431">
        <f t="shared" ca="1" si="148"/>
        <v>2.2633680274439598</v>
      </c>
      <c r="O431">
        <f t="shared" ca="1" si="149"/>
        <v>2.9020683329190601E-4</v>
      </c>
      <c r="P431">
        <f t="shared" ca="1" si="150"/>
        <v>39452.110106718741</v>
      </c>
      <c r="Q431">
        <f t="shared" ca="1" si="151"/>
        <v>39452.110106723034</v>
      </c>
      <c r="R431">
        <f t="shared" ca="1" si="152"/>
        <v>6.3766250998907581E-12</v>
      </c>
      <c r="S431">
        <f t="shared" ca="1" si="170"/>
        <v>6.7082649911753833E-4</v>
      </c>
      <c r="T431">
        <f t="shared" ca="1" si="171"/>
        <v>1</v>
      </c>
      <c r="U431">
        <f t="shared" ca="1" si="153"/>
        <v>0.05</v>
      </c>
      <c r="V431">
        <f t="shared" ca="1" si="154"/>
        <v>0.22635000000000002</v>
      </c>
      <c r="W431">
        <f t="shared" ca="1" si="155"/>
        <v>4.8919386211368064E-2</v>
      </c>
      <c r="X431">
        <f t="shared" ca="1" si="156"/>
        <v>225.3147779986746</v>
      </c>
      <c r="Y431">
        <f t="shared" ca="1" si="157"/>
        <v>632.47149999999999</v>
      </c>
      <c r="Z431">
        <f t="shared" ca="1" si="158"/>
        <v>3219.9714584399603</v>
      </c>
      <c r="AA431">
        <f t="shared" ca="1" si="159"/>
        <v>638.44066340855431</v>
      </c>
      <c r="AB431">
        <f t="shared" ca="1" si="160"/>
        <v>358.11368236765838</v>
      </c>
      <c r="AC431">
        <f t="shared" ca="1" si="161"/>
        <v>0</v>
      </c>
      <c r="AD431">
        <f ca="1">IF(V32="Supercritical",L431,U431)</f>
        <v>0.05</v>
      </c>
      <c r="AE431">
        <f t="shared" ca="1" si="162"/>
        <v>632.47149999999999</v>
      </c>
      <c r="AF431">
        <f t="shared" ca="1" si="163"/>
        <v>3219.9714584399603</v>
      </c>
      <c r="AI431">
        <v>0</v>
      </c>
      <c r="AJ431">
        <v>0</v>
      </c>
      <c r="AK431">
        <f t="shared" si="164"/>
        <v>0</v>
      </c>
      <c r="AL431">
        <f t="shared" si="172"/>
        <v>0</v>
      </c>
      <c r="AM431">
        <f t="shared" ca="1" si="165"/>
        <v>321.71415625924578</v>
      </c>
      <c r="AN431" t="str">
        <f t="shared" ca="1" si="166"/>
        <v>Supercritical</v>
      </c>
      <c r="AO431">
        <f ca="1">IF(V32="Supercritical",R431,AA431)</f>
        <v>638.44066340855431</v>
      </c>
    </row>
    <row r="432" spans="1:41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174</v>
      </c>
      <c r="I432">
        <v>12.746</v>
      </c>
      <c r="J432">
        <f t="shared" si="167"/>
        <v>0.99900000000002365</v>
      </c>
      <c r="K432">
        <f t="shared" si="168"/>
        <v>51</v>
      </c>
      <c r="L432">
        <f t="shared" ca="1" si="169"/>
        <v>38819.688137794874</v>
      </c>
      <c r="M432">
        <f t="shared" ca="1" si="147"/>
        <v>191381.06251932873</v>
      </c>
      <c r="N432">
        <f t="shared" ca="1" si="148"/>
        <v>2.4648434856258894</v>
      </c>
      <c r="O432">
        <f t="shared" ca="1" si="149"/>
        <v>2.6648404669009091E-4</v>
      </c>
      <c r="P432">
        <f t="shared" ca="1" si="150"/>
        <v>39452.109137794876</v>
      </c>
      <c r="Q432">
        <f t="shared" ca="1" si="151"/>
        <v>39452.109137798492</v>
      </c>
      <c r="R432">
        <f t="shared" ca="1" si="152"/>
        <v>4.7988718329071717E-12</v>
      </c>
      <c r="S432">
        <f t="shared" ca="1" si="170"/>
        <v>9.6892424335237592E-4</v>
      </c>
      <c r="T432">
        <f t="shared" ca="1" si="171"/>
        <v>1</v>
      </c>
      <c r="U432">
        <f t="shared" ca="1" si="153"/>
        <v>0.05</v>
      </c>
      <c r="V432">
        <f t="shared" ca="1" si="154"/>
        <v>0.2465</v>
      </c>
      <c r="W432">
        <f t="shared" ca="1" si="155"/>
        <v>4.9005964214711734E-2</v>
      </c>
      <c r="X432">
        <f t="shared" ca="1" si="156"/>
        <v>206.89655172413794</v>
      </c>
      <c r="Y432">
        <f t="shared" ca="1" si="157"/>
        <v>632.471</v>
      </c>
      <c r="Z432">
        <f t="shared" ca="1" si="158"/>
        <v>2814.2336460417373</v>
      </c>
      <c r="AA432">
        <f t="shared" ca="1" si="159"/>
        <v>537.06119230570835</v>
      </c>
      <c r="AB432">
        <f t="shared" ca="1" si="160"/>
        <v>399.62627608848879</v>
      </c>
      <c r="AC432">
        <f t="shared" ca="1" si="161"/>
        <v>0</v>
      </c>
      <c r="AD432">
        <f ca="1">IF(V32="Supercritical",L432,U432)</f>
        <v>0.05</v>
      </c>
      <c r="AE432">
        <f t="shared" ca="1" si="162"/>
        <v>632.471</v>
      </c>
      <c r="AF432">
        <f t="shared" ca="1" si="163"/>
        <v>2814.2336460417373</v>
      </c>
      <c r="AI432">
        <v>0</v>
      </c>
      <c r="AJ432">
        <v>0</v>
      </c>
      <c r="AK432">
        <f t="shared" si="164"/>
        <v>0</v>
      </c>
      <c r="AL432">
        <f t="shared" si="172"/>
        <v>0</v>
      </c>
      <c r="AM432">
        <f t="shared" ca="1" si="165"/>
        <v>295.41581853663399</v>
      </c>
      <c r="AN432" t="str">
        <f t="shared" ca="1" si="166"/>
        <v>Supercritical</v>
      </c>
      <c r="AO432">
        <f ca="1">IF(V32="Supercritical",R432,AA432)</f>
        <v>537.06119230570835</v>
      </c>
    </row>
    <row r="433" spans="1:41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174</v>
      </c>
      <c r="I433">
        <v>16.733000000000001</v>
      </c>
      <c r="J433">
        <f t="shared" si="167"/>
        <v>0.96799999999996089</v>
      </c>
      <c r="K433">
        <f t="shared" si="168"/>
        <v>51</v>
      </c>
      <c r="L433">
        <f t="shared" ca="1" si="169"/>
        <v>38819.68796680824</v>
      </c>
      <c r="M433">
        <f t="shared" ca="1" si="147"/>
        <v>201862.37742740285</v>
      </c>
      <c r="N433">
        <f t="shared" ca="1" si="148"/>
        <v>2.5998258732198942</v>
      </c>
      <c r="O433">
        <f t="shared" ca="1" si="149"/>
        <v>2.5264737614784843E-4</v>
      </c>
      <c r="P433">
        <f t="shared" ca="1" si="150"/>
        <v>39452.10846680824</v>
      </c>
      <c r="Q433">
        <f t="shared" ca="1" si="151"/>
        <v>39452.108466811493</v>
      </c>
      <c r="R433">
        <f t="shared" ca="1" si="152"/>
        <v>4.0174741156065978E-12</v>
      </c>
      <c r="S433">
        <f t="shared" ca="1" si="170"/>
        <v>6.7098678118782118E-4</v>
      </c>
      <c r="T433">
        <f t="shared" ca="1" si="171"/>
        <v>1</v>
      </c>
      <c r="U433">
        <f t="shared" ca="1" si="153"/>
        <v>0.05</v>
      </c>
      <c r="V433">
        <f t="shared" ca="1" si="154"/>
        <v>0.26</v>
      </c>
      <c r="W433">
        <f t="shared" ca="1" si="155"/>
        <v>4.9056603773584909E-2</v>
      </c>
      <c r="X433">
        <f t="shared" ca="1" si="156"/>
        <v>196.15384615384616</v>
      </c>
      <c r="Y433">
        <f t="shared" ca="1" si="157"/>
        <v>632.4704999999999</v>
      </c>
      <c r="Z433">
        <f t="shared" ca="1" si="158"/>
        <v>2593.5475316486618</v>
      </c>
      <c r="AA433">
        <f t="shared" ca="1" si="159"/>
        <v>482.07306851378365</v>
      </c>
      <c r="AB433">
        <f t="shared" ca="1" si="160"/>
        <v>482.16081698020844</v>
      </c>
      <c r="AC433">
        <f t="shared" ca="1" si="161"/>
        <v>0</v>
      </c>
      <c r="AD433">
        <f ca="1">IF(V32="Supercritical",L433,U433)</f>
        <v>0.05</v>
      </c>
      <c r="AE433">
        <f t="shared" ca="1" si="162"/>
        <v>632.4704999999999</v>
      </c>
      <c r="AF433">
        <f t="shared" ca="1" si="163"/>
        <v>2593.5475316486618</v>
      </c>
      <c r="AI433">
        <v>0</v>
      </c>
      <c r="AJ433">
        <v>0</v>
      </c>
      <c r="AK433">
        <f t="shared" si="164"/>
        <v>0</v>
      </c>
      <c r="AL433">
        <f t="shared" si="172"/>
        <v>0</v>
      </c>
      <c r="AM433">
        <f t="shared" ca="1" si="165"/>
        <v>280.07692026646265</v>
      </c>
      <c r="AN433" t="str">
        <f t="shared" ca="1" si="166"/>
        <v>Supercritical</v>
      </c>
      <c r="AO433">
        <f ca="1">IF(V32="Supercritical",R433,AA433)</f>
        <v>482.07306851378365</v>
      </c>
    </row>
    <row r="434" spans="1:41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174</v>
      </c>
      <c r="I434">
        <v>2.7E-2</v>
      </c>
      <c r="J434">
        <f t="shared" si="167"/>
        <v>1</v>
      </c>
      <c r="K434">
        <f t="shared" si="168"/>
        <v>51</v>
      </c>
      <c r="L434">
        <f t="shared" ca="1" si="169"/>
        <v>38819.687497002167</v>
      </c>
      <c r="M434">
        <f t="shared" ca="1" si="147"/>
        <v>201862.37498441129</v>
      </c>
      <c r="N434">
        <f t="shared" ca="1" si="148"/>
        <v>2.5998258732177875</v>
      </c>
      <c r="O434">
        <f t="shared" ca="1" si="149"/>
        <v>2.5264737920545344E-4</v>
      </c>
      <c r="P434">
        <f t="shared" ca="1" si="150"/>
        <v>39452.107497002165</v>
      </c>
      <c r="Q434">
        <f t="shared" ca="1" si="151"/>
        <v>39452.107497005418</v>
      </c>
      <c r="R434">
        <f t="shared" ca="1" si="152"/>
        <v>4.0174742128519967E-12</v>
      </c>
      <c r="S434">
        <f t="shared" ca="1" si="170"/>
        <v>9.6980606758734211E-4</v>
      </c>
      <c r="T434">
        <f t="shared" ca="1" si="171"/>
        <v>1</v>
      </c>
      <c r="U434">
        <f t="shared" ca="1" si="153"/>
        <v>0.05</v>
      </c>
      <c r="V434">
        <f t="shared" ca="1" si="154"/>
        <v>0.26</v>
      </c>
      <c r="W434">
        <f t="shared" ca="1" si="155"/>
        <v>4.9056603773584909E-2</v>
      </c>
      <c r="X434">
        <f t="shared" ca="1" si="156"/>
        <v>196.15384615384616</v>
      </c>
      <c r="Y434">
        <f t="shared" ca="1" si="157"/>
        <v>632.46999999999991</v>
      </c>
      <c r="Z434">
        <f t="shared" ca="1" si="158"/>
        <v>2593.5470316486621</v>
      </c>
      <c r="AA434">
        <f t="shared" ca="1" si="159"/>
        <v>482.07306851378365</v>
      </c>
      <c r="AB434">
        <f t="shared" ca="1" si="160"/>
        <v>482.16081698020798</v>
      </c>
      <c r="AC434">
        <f t="shared" ca="1" si="161"/>
        <v>0</v>
      </c>
      <c r="AD434">
        <f ca="1">IF(V32="Supercritical",L434,U434)</f>
        <v>0.05</v>
      </c>
      <c r="AE434">
        <f t="shared" ca="1" si="162"/>
        <v>632.46999999999991</v>
      </c>
      <c r="AF434">
        <f t="shared" ca="1" si="163"/>
        <v>2593.5470316486621</v>
      </c>
      <c r="AI434">
        <v>0</v>
      </c>
      <c r="AJ434">
        <v>0</v>
      </c>
      <c r="AK434">
        <f t="shared" si="164"/>
        <v>0</v>
      </c>
      <c r="AL434">
        <f t="shared" si="172"/>
        <v>0</v>
      </c>
      <c r="AM434">
        <f t="shared" ca="1" si="165"/>
        <v>280.07692026646265</v>
      </c>
      <c r="AN434" t="str">
        <f t="shared" ca="1" si="166"/>
        <v>Supercritical</v>
      </c>
      <c r="AO434">
        <f ca="1">IF(V32="Supercritical",R434,AA434)</f>
        <v>482.07306851378365</v>
      </c>
    </row>
    <row r="435" spans="1:41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174</v>
      </c>
      <c r="I435">
        <v>2.7E-2</v>
      </c>
      <c r="J435">
        <f t="shared" si="167"/>
        <v>1</v>
      </c>
      <c r="K435">
        <f t="shared" si="168"/>
        <v>51</v>
      </c>
      <c r="L435">
        <f t="shared" ca="1" si="169"/>
        <v>38819.687325859923</v>
      </c>
      <c r="M435">
        <f t="shared" ca="1" si="147"/>
        <v>201862.3740944716</v>
      </c>
      <c r="N435">
        <f t="shared" ca="1" si="148"/>
        <v>2.5998258732170196</v>
      </c>
      <c r="O435">
        <f t="shared" ca="1" si="149"/>
        <v>2.5264738031928626E-4</v>
      </c>
      <c r="P435">
        <f t="shared" ca="1" si="150"/>
        <v>39452.106825859926</v>
      </c>
      <c r="Q435">
        <f t="shared" ca="1" si="151"/>
        <v>39452.106825863179</v>
      </c>
      <c r="R435">
        <f t="shared" ca="1" si="152"/>
        <v>4.0174742482768183E-12</v>
      </c>
      <c r="S435">
        <f t="shared" ca="1" si="170"/>
        <v>6.7114223202224821E-4</v>
      </c>
      <c r="T435">
        <f t="shared" ca="1" si="171"/>
        <v>1</v>
      </c>
      <c r="U435">
        <f t="shared" ca="1" si="153"/>
        <v>0.05</v>
      </c>
      <c r="V435">
        <f t="shared" ca="1" si="154"/>
        <v>0.26</v>
      </c>
      <c r="W435">
        <f t="shared" ca="1" si="155"/>
        <v>4.9056603773584909E-2</v>
      </c>
      <c r="X435">
        <f t="shared" ca="1" si="156"/>
        <v>196.15384615384616</v>
      </c>
      <c r="Y435">
        <f t="shared" ca="1" si="157"/>
        <v>632.46949999999993</v>
      </c>
      <c r="Z435">
        <f t="shared" ca="1" si="158"/>
        <v>2593.546531648662</v>
      </c>
      <c r="AA435">
        <f t="shared" ca="1" si="159"/>
        <v>482.07306851378365</v>
      </c>
      <c r="AB435">
        <f t="shared" ca="1" si="160"/>
        <v>482.1477431333301</v>
      </c>
      <c r="AC435">
        <f t="shared" ca="1" si="161"/>
        <v>0</v>
      </c>
      <c r="AD435">
        <f ca="1">IF(V32="Supercritical",L435,U435)</f>
        <v>0.05</v>
      </c>
      <c r="AE435">
        <f t="shared" ca="1" si="162"/>
        <v>632.46949999999993</v>
      </c>
      <c r="AF435">
        <f t="shared" ca="1" si="163"/>
        <v>2593.546531648662</v>
      </c>
      <c r="AI435">
        <v>0</v>
      </c>
      <c r="AJ435">
        <v>0</v>
      </c>
      <c r="AK435">
        <f t="shared" si="164"/>
        <v>0</v>
      </c>
      <c r="AL435">
        <f t="shared" si="172"/>
        <v>0</v>
      </c>
      <c r="AM435">
        <f t="shared" ca="1" si="165"/>
        <v>280.07692026646265</v>
      </c>
      <c r="AN435" t="str">
        <f t="shared" ca="1" si="166"/>
        <v>Supercritical</v>
      </c>
      <c r="AO435">
        <f ca="1">IF(V32="Supercritical",R435,AA435)</f>
        <v>482.07306851378365</v>
      </c>
    </row>
    <row r="436" spans="1:41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174</v>
      </c>
      <c r="I436">
        <v>2.3E-2</v>
      </c>
      <c r="J436">
        <f t="shared" si="167"/>
        <v>1</v>
      </c>
      <c r="K436">
        <f t="shared" si="168"/>
        <v>51</v>
      </c>
      <c r="L436">
        <f t="shared" ca="1" si="169"/>
        <v>38819.686855196749</v>
      </c>
      <c r="M436">
        <f t="shared" ca="1" si="147"/>
        <v>201862.3716470231</v>
      </c>
      <c r="N436">
        <f t="shared" ca="1" si="148"/>
        <v>2.5998258732149084</v>
      </c>
      <c r="O436">
        <f t="shared" ca="1" si="149"/>
        <v>2.5264738338246959E-4</v>
      </c>
      <c r="P436">
        <f t="shared" ca="1" si="150"/>
        <v>39452.105855196751</v>
      </c>
      <c r="Q436">
        <f t="shared" ca="1" si="151"/>
        <v>39452.105855200003</v>
      </c>
      <c r="R436">
        <f t="shared" ca="1" si="152"/>
        <v>4.0174743456996345E-12</v>
      </c>
      <c r="S436">
        <f t="shared" ca="1" si="170"/>
        <v>9.7066316811833531E-4</v>
      </c>
      <c r="T436">
        <f t="shared" ca="1" si="171"/>
        <v>1</v>
      </c>
      <c r="U436">
        <f t="shared" ca="1" si="153"/>
        <v>0.05</v>
      </c>
      <c r="V436">
        <f t="shared" ca="1" si="154"/>
        <v>0.26</v>
      </c>
      <c r="W436">
        <f t="shared" ca="1" si="155"/>
        <v>4.9056603773584909E-2</v>
      </c>
      <c r="X436">
        <f t="shared" ca="1" si="156"/>
        <v>196.15384615384616</v>
      </c>
      <c r="Y436">
        <f t="shared" ca="1" si="157"/>
        <v>632.46899999999994</v>
      </c>
      <c r="Z436">
        <f t="shared" ca="1" si="158"/>
        <v>2593.5460316486619</v>
      </c>
      <c r="AA436">
        <f t="shared" ca="1" si="159"/>
        <v>482.07306851378365</v>
      </c>
      <c r="AB436">
        <f t="shared" ca="1" si="160"/>
        <v>482.62981620186019</v>
      </c>
      <c r="AC436">
        <f t="shared" ca="1" si="161"/>
        <v>0</v>
      </c>
      <c r="AD436">
        <f ca="1">IF(V32="Supercritical",L436,U436)</f>
        <v>0.05</v>
      </c>
      <c r="AE436">
        <f t="shared" ca="1" si="162"/>
        <v>632.46899999999994</v>
      </c>
      <c r="AF436">
        <f t="shared" ca="1" si="163"/>
        <v>2593.5460316486619</v>
      </c>
      <c r="AI436">
        <v>0</v>
      </c>
      <c r="AJ436">
        <v>0</v>
      </c>
      <c r="AK436">
        <f t="shared" si="164"/>
        <v>0</v>
      </c>
      <c r="AL436">
        <f t="shared" si="172"/>
        <v>0</v>
      </c>
      <c r="AM436">
        <f t="shared" ca="1" si="165"/>
        <v>280.07692026646265</v>
      </c>
      <c r="AN436" t="str">
        <f t="shared" ca="1" si="166"/>
        <v>Supercritical</v>
      </c>
      <c r="AO436">
        <f ca="1">IF(V32="Supercritical",R436,AA436)</f>
        <v>482.07306851378365</v>
      </c>
    </row>
    <row r="437" spans="1:41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174</v>
      </c>
      <c r="I437">
        <v>2.3E-2</v>
      </c>
      <c r="J437">
        <f t="shared" si="167"/>
        <v>1.0010000000000332</v>
      </c>
      <c r="K437">
        <f t="shared" si="168"/>
        <v>51</v>
      </c>
      <c r="L437">
        <f t="shared" ca="1" si="169"/>
        <v>38819.686683903245</v>
      </c>
      <c r="M437">
        <f t="shared" ca="1" si="147"/>
        <v>201862.37075629688</v>
      </c>
      <c r="N437">
        <f t="shared" ca="1" si="148"/>
        <v>2.5998258732141402</v>
      </c>
      <c r="O437">
        <f t="shared" ca="1" si="149"/>
        <v>2.5264738449728682E-4</v>
      </c>
      <c r="P437">
        <f t="shared" ca="1" si="150"/>
        <v>39452.105183903244</v>
      </c>
      <c r="Q437">
        <f t="shared" ca="1" si="151"/>
        <v>39452.105183906497</v>
      </c>
      <c r="R437">
        <f t="shared" ca="1" si="152"/>
        <v>4.0174743811557686E-12</v>
      </c>
      <c r="S437">
        <f t="shared" ca="1" si="170"/>
        <v>6.7129349918104708E-4</v>
      </c>
      <c r="T437">
        <f t="shared" ca="1" si="171"/>
        <v>1</v>
      </c>
      <c r="U437">
        <f t="shared" ca="1" si="153"/>
        <v>0.05</v>
      </c>
      <c r="V437">
        <f t="shared" ca="1" si="154"/>
        <v>0.26</v>
      </c>
      <c r="W437">
        <f t="shared" ca="1" si="155"/>
        <v>4.9056603773584909E-2</v>
      </c>
      <c r="X437">
        <f t="shared" ca="1" si="156"/>
        <v>196.15384615384616</v>
      </c>
      <c r="Y437">
        <f t="shared" ca="1" si="157"/>
        <v>632.46849999999995</v>
      </c>
      <c r="Z437">
        <f t="shared" ca="1" si="158"/>
        <v>2593.5455316486623</v>
      </c>
      <c r="AA437">
        <f t="shared" ca="1" si="159"/>
        <v>482.07306851378365</v>
      </c>
      <c r="AB437">
        <f t="shared" ca="1" si="160"/>
        <v>481.59049544525351</v>
      </c>
      <c r="AC437">
        <f t="shared" ca="1" si="161"/>
        <v>0</v>
      </c>
      <c r="AD437">
        <f ca="1">IF(V32="Supercritical",L437,U437)</f>
        <v>0.05</v>
      </c>
      <c r="AE437">
        <f t="shared" ca="1" si="162"/>
        <v>632.46849999999995</v>
      </c>
      <c r="AF437">
        <f t="shared" ca="1" si="163"/>
        <v>2593.5455316486623</v>
      </c>
      <c r="AI437">
        <v>0</v>
      </c>
      <c r="AJ437">
        <v>0</v>
      </c>
      <c r="AK437">
        <f t="shared" si="164"/>
        <v>0</v>
      </c>
      <c r="AL437">
        <f t="shared" si="172"/>
        <v>0</v>
      </c>
      <c r="AM437">
        <f t="shared" ca="1" si="165"/>
        <v>280.07692026646265</v>
      </c>
      <c r="AN437" t="str">
        <f t="shared" ca="1" si="166"/>
        <v>Supercritical</v>
      </c>
      <c r="AO437">
        <f ca="1">IF(V32="Supercritical",R437,AA437)</f>
        <v>482.07306851378365</v>
      </c>
    </row>
    <row r="438" spans="1:41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174</v>
      </c>
      <c r="I438">
        <v>0</v>
      </c>
      <c r="J438">
        <f t="shared" si="167"/>
        <v>0.9989999999999668</v>
      </c>
      <c r="K438">
        <f t="shared" si="168"/>
        <v>51</v>
      </c>
      <c r="L438">
        <f t="shared" ca="1" si="169"/>
        <v>38819.686212406887</v>
      </c>
      <c r="M438">
        <f t="shared" ca="1" si="147"/>
        <v>201862.36830451581</v>
      </c>
      <c r="N438">
        <f t="shared" ca="1" si="148"/>
        <v>2.5998258732120254</v>
      </c>
      <c r="O438">
        <f t="shared" ca="1" si="149"/>
        <v>2.5264738756589279E-4</v>
      </c>
      <c r="P438">
        <f t="shared" ca="1" si="150"/>
        <v>39452.104212406884</v>
      </c>
      <c r="Q438">
        <f t="shared" ca="1" si="151"/>
        <v>39452.104212410137</v>
      </c>
      <c r="R438">
        <f t="shared" ca="1" si="152"/>
        <v>4.017474478751052E-12</v>
      </c>
      <c r="S438">
        <f t="shared" ca="1" si="170"/>
        <v>9.7149635257665068E-4</v>
      </c>
      <c r="T438">
        <f t="shared" ca="1" si="171"/>
        <v>1</v>
      </c>
      <c r="U438">
        <f t="shared" ca="1" si="153"/>
        <v>0.05</v>
      </c>
      <c r="V438">
        <f t="shared" ca="1" si="154"/>
        <v>0.26</v>
      </c>
      <c r="W438">
        <f t="shared" ca="1" si="155"/>
        <v>4.9056603773584909E-2</v>
      </c>
      <c r="X438">
        <f t="shared" ca="1" si="156"/>
        <v>196.15384615384616</v>
      </c>
      <c r="Y438">
        <f t="shared" ca="1" si="157"/>
        <v>632.46799999999996</v>
      </c>
      <c r="Z438">
        <f t="shared" ca="1" si="158"/>
        <v>2593.5450316486622</v>
      </c>
      <c r="AA438">
        <f t="shared" ca="1" si="159"/>
        <v>482.07306851378365</v>
      </c>
      <c r="AB438">
        <f t="shared" ca="1" si="160"/>
        <v>482.16081698020798</v>
      </c>
      <c r="AC438">
        <f t="shared" ca="1" si="161"/>
        <v>0</v>
      </c>
      <c r="AD438">
        <f ca="1">IF(V32="Supercritical",L438,U438)</f>
        <v>0.05</v>
      </c>
      <c r="AE438">
        <f t="shared" ca="1" si="162"/>
        <v>632.46799999999996</v>
      </c>
      <c r="AF438">
        <f t="shared" ca="1" si="163"/>
        <v>2593.5450316486622</v>
      </c>
      <c r="AI438">
        <v>0</v>
      </c>
      <c r="AJ438">
        <v>0</v>
      </c>
      <c r="AK438">
        <f t="shared" si="164"/>
        <v>0</v>
      </c>
      <c r="AL438">
        <f t="shared" si="172"/>
        <v>0</v>
      </c>
      <c r="AM438">
        <f t="shared" ca="1" si="165"/>
        <v>280.07692026646265</v>
      </c>
      <c r="AN438" t="str">
        <f t="shared" ca="1" si="166"/>
        <v>Supercritical</v>
      </c>
      <c r="AO438">
        <f ca="1">IF(V32="Supercritical",R438,AA438)</f>
        <v>482.07306851378365</v>
      </c>
    </row>
    <row r="439" spans="1:41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174</v>
      </c>
      <c r="I439">
        <v>2.7E-2</v>
      </c>
      <c r="J439">
        <f t="shared" si="167"/>
        <v>1</v>
      </c>
      <c r="K439">
        <f t="shared" si="168"/>
        <v>51</v>
      </c>
      <c r="L439">
        <f t="shared" ca="1" si="169"/>
        <v>38819.686040966357</v>
      </c>
      <c r="M439">
        <f t="shared" ca="1" si="147"/>
        <v>201862.36741302506</v>
      </c>
      <c r="N439">
        <f t="shared" ca="1" si="148"/>
        <v>2.5998258732112567</v>
      </c>
      <c r="O439">
        <f t="shared" ca="1" si="149"/>
        <v>2.5264738868166693E-4</v>
      </c>
      <c r="P439">
        <f t="shared" ca="1" si="150"/>
        <v>39452.10354096636</v>
      </c>
      <c r="Q439">
        <f t="shared" ca="1" si="151"/>
        <v>39452.103540969612</v>
      </c>
      <c r="R439">
        <f t="shared" ca="1" si="152"/>
        <v>4.0174745142376189E-12</v>
      </c>
      <c r="S439">
        <f t="shared" ca="1" si="170"/>
        <v>6.7144051718059927E-4</v>
      </c>
      <c r="T439">
        <f t="shared" ca="1" si="171"/>
        <v>1</v>
      </c>
      <c r="U439">
        <f t="shared" ca="1" si="153"/>
        <v>0.05</v>
      </c>
      <c r="V439">
        <f t="shared" ca="1" si="154"/>
        <v>0.26</v>
      </c>
      <c r="W439">
        <f t="shared" ca="1" si="155"/>
        <v>4.9056603773584909E-2</v>
      </c>
      <c r="X439">
        <f t="shared" ca="1" si="156"/>
        <v>196.15384615384616</v>
      </c>
      <c r="Y439">
        <f t="shared" ca="1" si="157"/>
        <v>632.46749999999997</v>
      </c>
      <c r="Z439">
        <f t="shared" ca="1" si="158"/>
        <v>2593.5445316486621</v>
      </c>
      <c r="AA439">
        <f t="shared" ca="1" si="159"/>
        <v>482.07306851378365</v>
      </c>
      <c r="AB439">
        <f t="shared" ca="1" si="160"/>
        <v>482.32750852789786</v>
      </c>
      <c r="AC439">
        <f t="shared" ca="1" si="161"/>
        <v>0</v>
      </c>
      <c r="AD439">
        <f ca="1">IF(V32="Supercritical",L439,U439)</f>
        <v>0.05</v>
      </c>
      <c r="AE439">
        <f t="shared" ca="1" si="162"/>
        <v>632.46749999999997</v>
      </c>
      <c r="AF439">
        <f t="shared" ca="1" si="163"/>
        <v>2593.5445316486621</v>
      </c>
      <c r="AI439">
        <v>0</v>
      </c>
      <c r="AJ439">
        <v>0</v>
      </c>
      <c r="AK439">
        <f t="shared" si="164"/>
        <v>0</v>
      </c>
      <c r="AL439">
        <f t="shared" si="172"/>
        <v>0</v>
      </c>
      <c r="AM439">
        <f t="shared" ca="1" si="165"/>
        <v>280.07692026646265</v>
      </c>
      <c r="AN439" t="str">
        <f t="shared" ca="1" si="166"/>
        <v>Supercritical</v>
      </c>
      <c r="AO439">
        <f ca="1">IF(V32="Supercritical",R439,AA439)</f>
        <v>482.07306851378365</v>
      </c>
    </row>
    <row r="440" spans="1:41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174</v>
      </c>
      <c r="I440">
        <v>7.8E-2</v>
      </c>
      <c r="J440">
        <f t="shared" si="167"/>
        <v>1</v>
      </c>
      <c r="K440">
        <f t="shared" si="168"/>
        <v>51</v>
      </c>
      <c r="L440">
        <f t="shared" ca="1" si="169"/>
        <v>38819.685568659974</v>
      </c>
      <c r="M440">
        <f t="shared" ca="1" si="147"/>
        <v>201862.36495703188</v>
      </c>
      <c r="N440">
        <f t="shared" ca="1" si="148"/>
        <v>2.5998258732091384</v>
      </c>
      <c r="O440">
        <f t="shared" ca="1" si="149"/>
        <v>2.5264739175554483E-4</v>
      </c>
      <c r="P440">
        <f t="shared" ca="1" si="150"/>
        <v>39452.102568659975</v>
      </c>
      <c r="Q440">
        <f t="shared" ca="1" si="151"/>
        <v>39452.102568663227</v>
      </c>
      <c r="R440">
        <f t="shared" ca="1" si="152"/>
        <v>4.017474612000572E-12</v>
      </c>
      <c r="S440">
        <f t="shared" ca="1" si="170"/>
        <v>9.7230637766188011E-4</v>
      </c>
      <c r="T440">
        <f t="shared" ca="1" si="171"/>
        <v>1</v>
      </c>
      <c r="U440">
        <f t="shared" ca="1" si="153"/>
        <v>0.05</v>
      </c>
      <c r="V440">
        <f t="shared" ca="1" si="154"/>
        <v>0.26</v>
      </c>
      <c r="W440">
        <f t="shared" ca="1" si="155"/>
        <v>4.9056603773584909E-2</v>
      </c>
      <c r="X440">
        <f t="shared" ca="1" si="156"/>
        <v>196.15384615384616</v>
      </c>
      <c r="Y440">
        <f t="shared" ca="1" si="157"/>
        <v>632.46699999999998</v>
      </c>
      <c r="Z440">
        <f t="shared" ca="1" si="158"/>
        <v>2593.544031648662</v>
      </c>
      <c r="AA440">
        <f t="shared" ca="1" si="159"/>
        <v>482.07306851378365</v>
      </c>
      <c r="AB440">
        <f t="shared" ca="1" si="160"/>
        <v>482.32750852789786</v>
      </c>
      <c r="AC440">
        <f t="shared" ca="1" si="161"/>
        <v>0</v>
      </c>
      <c r="AD440">
        <f ca="1">IF(V32="Supercritical",L440,U440)</f>
        <v>0.05</v>
      </c>
      <c r="AE440">
        <f t="shared" ca="1" si="162"/>
        <v>632.46699999999998</v>
      </c>
      <c r="AF440">
        <f t="shared" ca="1" si="163"/>
        <v>2593.544031648662</v>
      </c>
      <c r="AI440">
        <v>0</v>
      </c>
      <c r="AJ440">
        <v>0</v>
      </c>
      <c r="AK440">
        <f t="shared" si="164"/>
        <v>0</v>
      </c>
      <c r="AL440">
        <f t="shared" si="172"/>
        <v>0</v>
      </c>
      <c r="AM440">
        <f t="shared" ca="1" si="165"/>
        <v>280.07692026646265</v>
      </c>
      <c r="AN440" t="str">
        <f t="shared" ca="1" si="166"/>
        <v>Supercritical</v>
      </c>
      <c r="AO440">
        <f ca="1">IF(V32="Supercritical",R440,AA440)</f>
        <v>482.07306851378365</v>
      </c>
    </row>
    <row r="441" spans="1:41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174</v>
      </c>
      <c r="I441">
        <v>7.8E-2</v>
      </c>
      <c r="J441">
        <f t="shared" si="167"/>
        <v>1</v>
      </c>
      <c r="K441">
        <f t="shared" si="168"/>
        <v>51</v>
      </c>
      <c r="L441">
        <f t="shared" ca="1" si="169"/>
        <v>38819.685397076493</v>
      </c>
      <c r="M441">
        <f t="shared" ca="1" si="147"/>
        <v>201862.36406479776</v>
      </c>
      <c r="N441">
        <f t="shared" ca="1" si="148"/>
        <v>2.5998258732083683</v>
      </c>
      <c r="O441">
        <f t="shared" ca="1" si="149"/>
        <v>2.5264739287224943E-4</v>
      </c>
      <c r="P441">
        <f t="shared" ca="1" si="150"/>
        <v>39452.101897076493</v>
      </c>
      <c r="Q441">
        <f t="shared" ca="1" si="151"/>
        <v>39452.101897079745</v>
      </c>
      <c r="R441">
        <f t="shared" ca="1" si="152"/>
        <v>4.0174746475167332E-12</v>
      </c>
      <c r="S441">
        <f t="shared" ca="1" si="170"/>
        <v>6.7158347519580275E-4</v>
      </c>
      <c r="T441">
        <f t="shared" ca="1" si="171"/>
        <v>1</v>
      </c>
      <c r="U441">
        <f t="shared" ca="1" si="153"/>
        <v>0.05</v>
      </c>
      <c r="V441">
        <f t="shared" ca="1" si="154"/>
        <v>0.26</v>
      </c>
      <c r="W441">
        <f t="shared" ca="1" si="155"/>
        <v>4.9056603773584909E-2</v>
      </c>
      <c r="X441">
        <f t="shared" ca="1" si="156"/>
        <v>196.15384615384616</v>
      </c>
      <c r="Y441">
        <f t="shared" ca="1" si="157"/>
        <v>632.4665</v>
      </c>
      <c r="Z441">
        <f t="shared" ca="1" si="158"/>
        <v>2593.5435316486619</v>
      </c>
      <c r="AA441">
        <f t="shared" ca="1" si="159"/>
        <v>482.07306851378365</v>
      </c>
      <c r="AB441">
        <f t="shared" ca="1" si="160"/>
        <v>482.64289004873808</v>
      </c>
      <c r="AC441">
        <f t="shared" ca="1" si="161"/>
        <v>0</v>
      </c>
      <c r="AD441">
        <f ca="1">IF(V32="Supercritical",L441,U441)</f>
        <v>0.05</v>
      </c>
      <c r="AE441">
        <f t="shared" ca="1" si="162"/>
        <v>632.4665</v>
      </c>
      <c r="AF441">
        <f t="shared" ca="1" si="163"/>
        <v>2593.5435316486619</v>
      </c>
      <c r="AI441">
        <v>0</v>
      </c>
      <c r="AJ441">
        <v>0</v>
      </c>
      <c r="AK441">
        <f t="shared" si="164"/>
        <v>0</v>
      </c>
      <c r="AL441">
        <f t="shared" si="172"/>
        <v>0</v>
      </c>
      <c r="AM441">
        <f t="shared" ca="1" si="165"/>
        <v>280.07692026646265</v>
      </c>
      <c r="AN441" t="str">
        <f t="shared" ca="1" si="166"/>
        <v>Supercritical</v>
      </c>
      <c r="AO441">
        <f ca="1">IF(V32="Supercritical",R441,AA441)</f>
        <v>482.07306851378365</v>
      </c>
    </row>
    <row r="442" spans="1:41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174</v>
      </c>
      <c r="I442">
        <v>2.7E-2</v>
      </c>
      <c r="J442">
        <f t="shared" si="167"/>
        <v>1.0010000000000332</v>
      </c>
      <c r="K442">
        <f t="shared" si="168"/>
        <v>51</v>
      </c>
      <c r="L442">
        <f t="shared" ca="1" si="169"/>
        <v>38819.684923982495</v>
      </c>
      <c r="M442">
        <f t="shared" ca="1" si="147"/>
        <v>201862.36160470897</v>
      </c>
      <c r="N442">
        <f t="shared" ca="1" si="148"/>
        <v>2.5998258732062465</v>
      </c>
      <c r="O442">
        <f t="shared" ca="1" si="149"/>
        <v>2.5264739595125339E-4</v>
      </c>
      <c r="P442">
        <f t="shared" ca="1" si="150"/>
        <v>39452.100923982493</v>
      </c>
      <c r="Q442">
        <f t="shared" ca="1" si="151"/>
        <v>39452.100923985745</v>
      </c>
      <c r="R442">
        <f t="shared" ca="1" si="152"/>
        <v>4.0174747454427217E-12</v>
      </c>
      <c r="S442">
        <f t="shared" ca="1" si="170"/>
        <v>9.7309399279765785E-4</v>
      </c>
      <c r="T442">
        <f t="shared" ca="1" si="171"/>
        <v>1</v>
      </c>
      <c r="U442">
        <f t="shared" ca="1" si="153"/>
        <v>0.05</v>
      </c>
      <c r="V442">
        <f t="shared" ca="1" si="154"/>
        <v>0.26</v>
      </c>
      <c r="W442">
        <f t="shared" ca="1" si="155"/>
        <v>4.9056603773584909E-2</v>
      </c>
      <c r="X442">
        <f t="shared" ca="1" si="156"/>
        <v>196.15384615384616</v>
      </c>
      <c r="Y442">
        <f t="shared" ca="1" si="157"/>
        <v>632.46600000000001</v>
      </c>
      <c r="Z442">
        <f t="shared" ca="1" si="158"/>
        <v>2593.5430316486622</v>
      </c>
      <c r="AA442">
        <f t="shared" ca="1" si="159"/>
        <v>482.07306851378365</v>
      </c>
      <c r="AB442">
        <f t="shared" ca="1" si="160"/>
        <v>481.59049544525396</v>
      </c>
      <c r="AC442">
        <f t="shared" ca="1" si="161"/>
        <v>0</v>
      </c>
      <c r="AD442">
        <f ca="1">IF(V32="Supercritical",L442,U442)</f>
        <v>0.05</v>
      </c>
      <c r="AE442">
        <f t="shared" ca="1" si="162"/>
        <v>632.46600000000001</v>
      </c>
      <c r="AF442">
        <f t="shared" ca="1" si="163"/>
        <v>2593.5430316486622</v>
      </c>
      <c r="AI442">
        <v>0</v>
      </c>
      <c r="AJ442">
        <v>0</v>
      </c>
      <c r="AK442">
        <f t="shared" si="164"/>
        <v>0</v>
      </c>
      <c r="AL442">
        <f t="shared" si="172"/>
        <v>0</v>
      </c>
      <c r="AM442">
        <f t="shared" ca="1" si="165"/>
        <v>280.07692026646265</v>
      </c>
      <c r="AN442" t="str">
        <f t="shared" ca="1" si="166"/>
        <v>Supercritical</v>
      </c>
      <c r="AO442">
        <f ca="1">IF(V32="Supercritical",R442,AA442)</f>
        <v>482.07306851378365</v>
      </c>
    </row>
    <row r="443" spans="1:41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174</v>
      </c>
      <c r="I443">
        <v>0</v>
      </c>
      <c r="J443">
        <f t="shared" si="167"/>
        <v>0.9989999999999668</v>
      </c>
      <c r="K443">
        <f t="shared" si="168"/>
        <v>51</v>
      </c>
      <c r="L443">
        <f t="shared" ca="1" si="169"/>
        <v>38819.684752260022</v>
      </c>
      <c r="M443">
        <f t="shared" ca="1" si="147"/>
        <v>201862.36071175212</v>
      </c>
      <c r="N443">
        <f t="shared" ca="1" si="148"/>
        <v>2.5998258732054764</v>
      </c>
      <c r="O443">
        <f t="shared" ca="1" si="149"/>
        <v>2.5264739706886259E-4</v>
      </c>
      <c r="P443">
        <f t="shared" ca="1" si="150"/>
        <v>39452.100252260025</v>
      </c>
      <c r="Q443">
        <f t="shared" ca="1" si="151"/>
        <v>39452.100252263277</v>
      </c>
      <c r="R443">
        <f t="shared" ca="1" si="152"/>
        <v>4.0174747809876525E-12</v>
      </c>
      <c r="S443">
        <f t="shared" ca="1" si="170"/>
        <v>6.7172246053814888E-4</v>
      </c>
      <c r="T443">
        <f t="shared" ca="1" si="171"/>
        <v>1</v>
      </c>
      <c r="U443">
        <f t="shared" ca="1" si="153"/>
        <v>0.05</v>
      </c>
      <c r="V443">
        <f t="shared" ca="1" si="154"/>
        <v>0.26</v>
      </c>
      <c r="W443">
        <f t="shared" ca="1" si="155"/>
        <v>4.9056603773584909E-2</v>
      </c>
      <c r="X443">
        <f t="shared" ca="1" si="156"/>
        <v>196.15384615384616</v>
      </c>
      <c r="Y443">
        <f t="shared" ca="1" si="157"/>
        <v>632.46549999999991</v>
      </c>
      <c r="Z443">
        <f t="shared" ca="1" si="158"/>
        <v>2593.5425316486621</v>
      </c>
      <c r="AA443">
        <f t="shared" ca="1" si="159"/>
        <v>482.07306851378365</v>
      </c>
      <c r="AB443">
        <f t="shared" ca="1" si="160"/>
        <v>482.1477431333301</v>
      </c>
      <c r="AC443">
        <f t="shared" ca="1" si="161"/>
        <v>0</v>
      </c>
      <c r="AD443">
        <f ca="1">IF(V32="Supercritical",L443,U443)</f>
        <v>0.05</v>
      </c>
      <c r="AE443">
        <f t="shared" ca="1" si="162"/>
        <v>632.46549999999991</v>
      </c>
      <c r="AF443">
        <f t="shared" ca="1" si="163"/>
        <v>2593.5425316486621</v>
      </c>
      <c r="AI443">
        <v>0</v>
      </c>
      <c r="AJ443">
        <v>0</v>
      </c>
      <c r="AK443">
        <f t="shared" si="164"/>
        <v>0</v>
      </c>
      <c r="AL443">
        <f t="shared" si="172"/>
        <v>0</v>
      </c>
      <c r="AM443">
        <f t="shared" ca="1" si="165"/>
        <v>280.07692026646265</v>
      </c>
      <c r="AN443" t="str">
        <f t="shared" ca="1" si="166"/>
        <v>Supercritical</v>
      </c>
      <c r="AO443">
        <f ca="1">IF(V32="Supercritical",R443,AA443)</f>
        <v>482.07306851378365</v>
      </c>
    </row>
    <row r="444" spans="1:41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174</v>
      </c>
      <c r="I444">
        <v>2.3E-2</v>
      </c>
      <c r="J444">
        <f t="shared" si="167"/>
        <v>1</v>
      </c>
      <c r="K444">
        <f t="shared" si="168"/>
        <v>51</v>
      </c>
      <c r="L444">
        <f t="shared" ca="1" si="169"/>
        <v>38819.684278400084</v>
      </c>
      <c r="M444">
        <f t="shared" ca="1" si="147"/>
        <v>201862.35824768044</v>
      </c>
      <c r="N444">
        <f t="shared" ca="1" si="148"/>
        <v>2.599825873203351</v>
      </c>
      <c r="O444">
        <f t="shared" ca="1" si="149"/>
        <v>2.5264740015285155E-4</v>
      </c>
      <c r="P444">
        <f t="shared" ca="1" si="150"/>
        <v>39452.099278400085</v>
      </c>
      <c r="Q444">
        <f t="shared" ca="1" si="151"/>
        <v>39452.099278403337</v>
      </c>
      <c r="R444">
        <f t="shared" ca="1" si="152"/>
        <v>4.0174748790721882E-12</v>
      </c>
      <c r="S444">
        <f t="shared" ca="1" si="170"/>
        <v>9.7385993285570294E-4</v>
      </c>
      <c r="T444">
        <f t="shared" ca="1" si="171"/>
        <v>1</v>
      </c>
      <c r="U444">
        <f t="shared" ca="1" si="153"/>
        <v>0.05</v>
      </c>
      <c r="V444">
        <f t="shared" ca="1" si="154"/>
        <v>0.26</v>
      </c>
      <c r="W444">
        <f t="shared" ca="1" si="155"/>
        <v>4.9056603773584909E-2</v>
      </c>
      <c r="X444">
        <f t="shared" ca="1" si="156"/>
        <v>196.15384615384616</v>
      </c>
      <c r="Y444">
        <f t="shared" ca="1" si="157"/>
        <v>632.46499999999992</v>
      </c>
      <c r="Z444">
        <f t="shared" ca="1" si="158"/>
        <v>2593.542031648662</v>
      </c>
      <c r="AA444">
        <f t="shared" ca="1" si="159"/>
        <v>482.07306851378365</v>
      </c>
      <c r="AB444">
        <f t="shared" ca="1" si="160"/>
        <v>482.62981620185974</v>
      </c>
      <c r="AC444">
        <f t="shared" ca="1" si="161"/>
        <v>0</v>
      </c>
      <c r="AD444">
        <f ca="1">IF(V32="Supercritical",L444,U444)</f>
        <v>0.05</v>
      </c>
      <c r="AE444">
        <f t="shared" ca="1" si="162"/>
        <v>632.46499999999992</v>
      </c>
      <c r="AF444">
        <f t="shared" ca="1" si="163"/>
        <v>2593.542031648662</v>
      </c>
      <c r="AI444">
        <v>0</v>
      </c>
      <c r="AJ444">
        <v>0</v>
      </c>
      <c r="AK444">
        <f t="shared" si="164"/>
        <v>0</v>
      </c>
      <c r="AL444">
        <f t="shared" si="172"/>
        <v>0</v>
      </c>
      <c r="AM444">
        <f t="shared" ca="1" si="165"/>
        <v>280.07692026646265</v>
      </c>
      <c r="AN444" t="str">
        <f t="shared" ca="1" si="166"/>
        <v>Supercritical</v>
      </c>
      <c r="AO444">
        <f ca="1">IF(V32="Supercritical",R444,AA444)</f>
        <v>482.07306851378365</v>
      </c>
    </row>
    <row r="445" spans="1:41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174</v>
      </c>
      <c r="I445">
        <v>2.3E-2</v>
      </c>
      <c r="J445">
        <f t="shared" si="167"/>
        <v>1.0010000000000332</v>
      </c>
      <c r="K445">
        <f t="shared" si="168"/>
        <v>51</v>
      </c>
      <c r="L445">
        <f t="shared" ca="1" si="169"/>
        <v>38819.684106542452</v>
      </c>
      <c r="M445">
        <f t="shared" ca="1" si="147"/>
        <v>201862.35735402076</v>
      </c>
      <c r="N445">
        <f t="shared" ca="1" si="148"/>
        <v>2.5998258732025801</v>
      </c>
      <c r="O445">
        <f t="shared" ca="1" si="149"/>
        <v>2.5264740127134042E-4</v>
      </c>
      <c r="P445">
        <f t="shared" ca="1" si="150"/>
        <v>39452.098606542451</v>
      </c>
      <c r="Q445">
        <f t="shared" ca="1" si="151"/>
        <v>39452.098606545704</v>
      </c>
      <c r="R445">
        <f t="shared" ca="1" si="152"/>
        <v>4.0174749146450985E-12</v>
      </c>
      <c r="S445">
        <f t="shared" ca="1" si="170"/>
        <v>6.7185762600274757E-4</v>
      </c>
      <c r="T445">
        <f t="shared" ca="1" si="171"/>
        <v>1</v>
      </c>
      <c r="U445">
        <f t="shared" ca="1" si="153"/>
        <v>0.05</v>
      </c>
      <c r="V445">
        <f t="shared" ca="1" si="154"/>
        <v>0.26</v>
      </c>
      <c r="W445">
        <f t="shared" ca="1" si="155"/>
        <v>4.9056603773584909E-2</v>
      </c>
      <c r="X445">
        <f t="shared" ca="1" si="156"/>
        <v>196.15384615384616</v>
      </c>
      <c r="Y445">
        <f t="shared" ca="1" si="157"/>
        <v>632.46449999999993</v>
      </c>
      <c r="Z445">
        <f t="shared" ca="1" si="158"/>
        <v>2593.5415316486619</v>
      </c>
      <c r="AA445">
        <f t="shared" ca="1" si="159"/>
        <v>482.07306851378365</v>
      </c>
      <c r="AB445">
        <f t="shared" ca="1" si="160"/>
        <v>481.67874391167834</v>
      </c>
      <c r="AC445">
        <f t="shared" ca="1" si="161"/>
        <v>0</v>
      </c>
      <c r="AD445">
        <f ca="1">IF(V32="Supercritical",L445,U445)</f>
        <v>0.05</v>
      </c>
      <c r="AE445">
        <f t="shared" ca="1" si="162"/>
        <v>632.46449999999993</v>
      </c>
      <c r="AF445">
        <f t="shared" ca="1" si="163"/>
        <v>2593.5415316486619</v>
      </c>
      <c r="AI445">
        <v>0</v>
      </c>
      <c r="AJ445">
        <v>0</v>
      </c>
      <c r="AK445">
        <f t="shared" si="164"/>
        <v>0</v>
      </c>
      <c r="AL445">
        <f t="shared" si="172"/>
        <v>0</v>
      </c>
      <c r="AM445">
        <f t="shared" ca="1" si="165"/>
        <v>280.07692026646265</v>
      </c>
      <c r="AN445" t="str">
        <f t="shared" ca="1" si="166"/>
        <v>Supercritical</v>
      </c>
      <c r="AO445">
        <f ca="1">IF(V32="Supercritical",R445,AA445)</f>
        <v>482.07306851378365</v>
      </c>
    </row>
    <row r="446" spans="1:41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174</v>
      </c>
      <c r="I446">
        <v>2.7E-2</v>
      </c>
      <c r="J446">
        <f t="shared" si="167"/>
        <v>0.9989999999999668</v>
      </c>
      <c r="K446">
        <f t="shared" si="168"/>
        <v>51</v>
      </c>
      <c r="L446">
        <f t="shared" ca="1" si="169"/>
        <v>38819.683631937587</v>
      </c>
      <c r="M446">
        <f t="shared" ca="1" si="147"/>
        <v>201862.35488607545</v>
      </c>
      <c r="N446">
        <f t="shared" ca="1" si="148"/>
        <v>2.5998258732004516</v>
      </c>
      <c r="O446">
        <f t="shared" ca="1" si="149"/>
        <v>2.5264740436017772E-4</v>
      </c>
      <c r="P446">
        <f t="shared" ca="1" si="150"/>
        <v>39452.097631937584</v>
      </c>
      <c r="Q446">
        <f t="shared" ca="1" si="151"/>
        <v>39452.097631940836</v>
      </c>
      <c r="R446">
        <f t="shared" ca="1" si="152"/>
        <v>4.0174750128838299E-12</v>
      </c>
      <c r="S446">
        <f t="shared" ca="1" si="170"/>
        <v>9.7460485994815826E-4</v>
      </c>
      <c r="T446">
        <f t="shared" ca="1" si="171"/>
        <v>1</v>
      </c>
      <c r="U446">
        <f t="shared" ca="1" si="153"/>
        <v>0.05</v>
      </c>
      <c r="V446">
        <f t="shared" ca="1" si="154"/>
        <v>0.26</v>
      </c>
      <c r="W446">
        <f t="shared" ca="1" si="155"/>
        <v>4.9056603773584909E-2</v>
      </c>
      <c r="X446">
        <f t="shared" ca="1" si="156"/>
        <v>196.15384615384616</v>
      </c>
      <c r="Y446">
        <f t="shared" ca="1" si="157"/>
        <v>632.46399999999994</v>
      </c>
      <c r="Z446">
        <f t="shared" ca="1" si="158"/>
        <v>2593.5410316486623</v>
      </c>
      <c r="AA446">
        <f t="shared" ca="1" si="159"/>
        <v>482.07306851378365</v>
      </c>
      <c r="AB446">
        <f t="shared" ca="1" si="160"/>
        <v>482.64289004873763</v>
      </c>
      <c r="AC446">
        <f t="shared" ca="1" si="161"/>
        <v>0</v>
      </c>
      <c r="AD446">
        <f ca="1">IF(V32="Supercritical",L446,U446)</f>
        <v>0.05</v>
      </c>
      <c r="AE446">
        <f t="shared" ca="1" si="162"/>
        <v>632.46399999999994</v>
      </c>
      <c r="AF446">
        <f t="shared" ca="1" si="163"/>
        <v>2593.5410316486623</v>
      </c>
      <c r="AI446">
        <v>0</v>
      </c>
      <c r="AJ446">
        <v>0</v>
      </c>
      <c r="AK446">
        <f t="shared" si="164"/>
        <v>0</v>
      </c>
      <c r="AL446">
        <f t="shared" si="172"/>
        <v>0</v>
      </c>
      <c r="AM446">
        <f t="shared" ca="1" si="165"/>
        <v>280.07692026646265</v>
      </c>
      <c r="AN446" t="str">
        <f t="shared" ca="1" si="166"/>
        <v>Supercritical</v>
      </c>
      <c r="AO446">
        <f ca="1">IF(V32="Supercritical",R446,AA446)</f>
        <v>482.07306851378365</v>
      </c>
    </row>
    <row r="447" spans="1:41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174</v>
      </c>
      <c r="I447">
        <v>2.7E-2</v>
      </c>
      <c r="J447">
        <f t="shared" si="167"/>
        <v>1.0010000000000332</v>
      </c>
      <c r="K447">
        <f t="shared" si="168"/>
        <v>51</v>
      </c>
      <c r="L447">
        <f t="shared" ca="1" si="169"/>
        <v>38819.683459948494</v>
      </c>
      <c r="M447">
        <f t="shared" ca="1" si="147"/>
        <v>201862.35399173218</v>
      </c>
      <c r="N447">
        <f t="shared" ca="1" si="148"/>
        <v>2.5998258731996802</v>
      </c>
      <c r="O447">
        <f t="shared" ca="1" si="149"/>
        <v>2.5264740547952219E-4</v>
      </c>
      <c r="P447">
        <f t="shared" ca="1" si="150"/>
        <v>39452.096959948496</v>
      </c>
      <c r="Q447">
        <f t="shared" ca="1" si="151"/>
        <v>39452.096959951748</v>
      </c>
      <c r="R447">
        <f t="shared" ca="1" si="152"/>
        <v>4.0174750484839524E-12</v>
      </c>
      <c r="S447">
        <f t="shared" ca="1" si="170"/>
        <v>6.7198908072896302E-4</v>
      </c>
      <c r="T447">
        <f t="shared" ca="1" si="171"/>
        <v>1</v>
      </c>
      <c r="U447">
        <f t="shared" ca="1" si="153"/>
        <v>0.05</v>
      </c>
      <c r="V447">
        <f t="shared" ca="1" si="154"/>
        <v>0.26</v>
      </c>
      <c r="W447">
        <f t="shared" ca="1" si="155"/>
        <v>4.9056603773584909E-2</v>
      </c>
      <c r="X447">
        <f t="shared" ca="1" si="156"/>
        <v>196.15384615384616</v>
      </c>
      <c r="Y447">
        <f t="shared" ca="1" si="157"/>
        <v>632.46349999999995</v>
      </c>
      <c r="Z447">
        <f t="shared" ca="1" si="158"/>
        <v>2593.5405316486622</v>
      </c>
      <c r="AA447">
        <f t="shared" ca="1" si="159"/>
        <v>482.07306851378365</v>
      </c>
      <c r="AB447">
        <f t="shared" ca="1" si="160"/>
        <v>481.59049544525351</v>
      </c>
      <c r="AC447">
        <f t="shared" ca="1" si="161"/>
        <v>0</v>
      </c>
      <c r="AD447">
        <f ca="1">IF(V32="Supercritical",L447,U447)</f>
        <v>0.05</v>
      </c>
      <c r="AE447">
        <f t="shared" ca="1" si="162"/>
        <v>632.46349999999995</v>
      </c>
      <c r="AF447">
        <f t="shared" ca="1" si="163"/>
        <v>2593.5405316486622</v>
      </c>
      <c r="AI447">
        <v>0</v>
      </c>
      <c r="AJ447">
        <v>0</v>
      </c>
      <c r="AK447">
        <f t="shared" si="164"/>
        <v>0</v>
      </c>
      <c r="AL447">
        <f t="shared" si="172"/>
        <v>0</v>
      </c>
      <c r="AM447">
        <f t="shared" ca="1" si="165"/>
        <v>280.07692026646265</v>
      </c>
      <c r="AN447" t="str">
        <f t="shared" ca="1" si="166"/>
        <v>Supercritical</v>
      </c>
      <c r="AO447">
        <f ca="1">IF(V32="Supercritical",R447,AA447)</f>
        <v>482.07306851378365</v>
      </c>
    </row>
    <row r="448" spans="1:41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174</v>
      </c>
      <c r="I448">
        <v>0</v>
      </c>
      <c r="J448">
        <f t="shared" si="167"/>
        <v>0.9989999999999668</v>
      </c>
      <c r="K448">
        <f t="shared" si="168"/>
        <v>51</v>
      </c>
      <c r="L448">
        <f t="shared" ca="1" si="169"/>
        <v>38819.68298461903</v>
      </c>
      <c r="M448">
        <f t="shared" ca="1" si="147"/>
        <v>201862.35152001897</v>
      </c>
      <c r="N448">
        <f t="shared" ca="1" si="148"/>
        <v>2.5998258731975481</v>
      </c>
      <c r="O448">
        <f t="shared" ca="1" si="149"/>
        <v>2.5264740857307538E-4</v>
      </c>
      <c r="P448">
        <f t="shared" ca="1" si="150"/>
        <v>39452.095984619031</v>
      </c>
      <c r="Q448">
        <f t="shared" ca="1" si="151"/>
        <v>39452.095984622283</v>
      </c>
      <c r="R448">
        <f t="shared" ca="1" si="152"/>
        <v>4.0174751468726765E-12</v>
      </c>
      <c r="S448">
        <f t="shared" ca="1" si="170"/>
        <v>9.7532945801503956E-4</v>
      </c>
      <c r="T448">
        <f t="shared" ca="1" si="171"/>
        <v>1</v>
      </c>
      <c r="U448">
        <f t="shared" ca="1" si="153"/>
        <v>0.05</v>
      </c>
      <c r="V448">
        <f t="shared" ca="1" si="154"/>
        <v>0.26</v>
      </c>
      <c r="W448">
        <f t="shared" ca="1" si="155"/>
        <v>4.9056603773584909E-2</v>
      </c>
      <c r="X448">
        <f t="shared" ca="1" si="156"/>
        <v>196.15384615384616</v>
      </c>
      <c r="Y448">
        <f t="shared" ca="1" si="157"/>
        <v>632.46299999999997</v>
      </c>
      <c r="Z448">
        <f t="shared" ca="1" si="158"/>
        <v>2593.5400316486621</v>
      </c>
      <c r="AA448">
        <f t="shared" ca="1" si="159"/>
        <v>482.07306851378365</v>
      </c>
      <c r="AB448">
        <f t="shared" ca="1" si="160"/>
        <v>482.1477431333301</v>
      </c>
      <c r="AC448">
        <f t="shared" ca="1" si="161"/>
        <v>0</v>
      </c>
      <c r="AD448">
        <f ca="1">IF(V32="Supercritical",L448,U448)</f>
        <v>0.05</v>
      </c>
      <c r="AE448">
        <f t="shared" ca="1" si="162"/>
        <v>632.46299999999997</v>
      </c>
      <c r="AF448">
        <f t="shared" ca="1" si="163"/>
        <v>2593.5400316486621</v>
      </c>
      <c r="AI448">
        <v>0</v>
      </c>
      <c r="AJ448">
        <v>0</v>
      </c>
      <c r="AK448">
        <f t="shared" si="164"/>
        <v>0</v>
      </c>
      <c r="AL448">
        <f t="shared" si="172"/>
        <v>0</v>
      </c>
      <c r="AM448">
        <f t="shared" ca="1" si="165"/>
        <v>280.07692026646265</v>
      </c>
      <c r="AN448" t="str">
        <f t="shared" ca="1" si="166"/>
        <v>Supercritical</v>
      </c>
      <c r="AO448">
        <f ca="1">IF(V32="Supercritical",R448,AA448)</f>
        <v>482.07306851378365</v>
      </c>
    </row>
    <row r="449" spans="1:41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174</v>
      </c>
      <c r="I449">
        <v>2.3E-2</v>
      </c>
      <c r="J449">
        <f t="shared" si="167"/>
        <v>1</v>
      </c>
      <c r="K449">
        <f t="shared" si="168"/>
        <v>51</v>
      </c>
      <c r="L449">
        <f t="shared" ca="1" si="169"/>
        <v>38819.682812502069</v>
      </c>
      <c r="M449">
        <f t="shared" ca="1" si="147"/>
        <v>201862.35062501076</v>
      </c>
      <c r="N449">
        <f t="shared" ca="1" si="148"/>
        <v>2.5998258731967763</v>
      </c>
      <c r="O449">
        <f t="shared" ca="1" si="149"/>
        <v>2.5264740969325214E-4</v>
      </c>
      <c r="P449">
        <f t="shared" ca="1" si="150"/>
        <v>39452.095312502068</v>
      </c>
      <c r="Q449">
        <f t="shared" ca="1" si="151"/>
        <v>39452.09531250532</v>
      </c>
      <c r="R449">
        <f t="shared" ca="1" si="152"/>
        <v>4.0174751824992679E-12</v>
      </c>
      <c r="S449">
        <f t="shared" ca="1" si="170"/>
        <v>6.7211695568403229E-4</v>
      </c>
      <c r="T449">
        <f t="shared" ca="1" si="171"/>
        <v>1</v>
      </c>
      <c r="U449">
        <f t="shared" ca="1" si="153"/>
        <v>0.05</v>
      </c>
      <c r="V449">
        <f t="shared" ca="1" si="154"/>
        <v>0.26</v>
      </c>
      <c r="W449">
        <f t="shared" ca="1" si="155"/>
        <v>4.9056603773584909E-2</v>
      </c>
      <c r="X449">
        <f t="shared" ca="1" si="156"/>
        <v>196.15384615384616</v>
      </c>
      <c r="Y449">
        <f t="shared" ca="1" si="157"/>
        <v>632.46249999999998</v>
      </c>
      <c r="Z449">
        <f t="shared" ca="1" si="158"/>
        <v>2593.539531648662</v>
      </c>
      <c r="AA449">
        <f t="shared" ca="1" si="159"/>
        <v>482.07306851378365</v>
      </c>
      <c r="AB449">
        <f t="shared" ca="1" si="160"/>
        <v>482.62981620185974</v>
      </c>
      <c r="AC449">
        <f t="shared" ca="1" si="161"/>
        <v>0</v>
      </c>
      <c r="AD449">
        <f ca="1">IF(V32="Supercritical",L449,U449)</f>
        <v>0.05</v>
      </c>
      <c r="AE449">
        <f t="shared" ca="1" si="162"/>
        <v>632.46249999999998</v>
      </c>
      <c r="AF449">
        <f t="shared" ca="1" si="163"/>
        <v>2593.539531648662</v>
      </c>
      <c r="AI449">
        <v>0</v>
      </c>
      <c r="AJ449">
        <v>0</v>
      </c>
      <c r="AK449">
        <f t="shared" si="164"/>
        <v>0</v>
      </c>
      <c r="AL449">
        <f t="shared" si="172"/>
        <v>0</v>
      </c>
      <c r="AM449">
        <f t="shared" ca="1" si="165"/>
        <v>280.07692026646265</v>
      </c>
      <c r="AN449" t="str">
        <f t="shared" ca="1" si="166"/>
        <v>Supercritical</v>
      </c>
      <c r="AO449">
        <f ca="1">IF(V32="Supercritical",R449,AA449)</f>
        <v>482.07306851378365</v>
      </c>
    </row>
    <row r="450" spans="1:41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174</v>
      </c>
      <c r="I450">
        <v>2.3E-2</v>
      </c>
      <c r="J450">
        <f t="shared" si="167"/>
        <v>1.0010000000000332</v>
      </c>
      <c r="K450">
        <f t="shared" si="168"/>
        <v>51</v>
      </c>
      <c r="L450">
        <f t="shared" ca="1" si="169"/>
        <v>38819.682336467682</v>
      </c>
      <c r="M450">
        <f t="shared" ca="1" si="147"/>
        <v>201862.34814963196</v>
      </c>
      <c r="N450">
        <f t="shared" ca="1" si="148"/>
        <v>2.5998258731946411</v>
      </c>
      <c r="O450">
        <f t="shared" ca="1" si="149"/>
        <v>2.5264741279139324E-4</v>
      </c>
      <c r="P450">
        <f t="shared" ca="1" si="150"/>
        <v>39452.094336467679</v>
      </c>
      <c r="Q450">
        <f t="shared" ca="1" si="151"/>
        <v>39452.094336470931</v>
      </c>
      <c r="R450">
        <f t="shared" ca="1" si="152"/>
        <v>4.0174752810339094E-12</v>
      </c>
      <c r="S450">
        <f t="shared" ca="1" si="170"/>
        <v>9.7603438189253211E-4</v>
      </c>
      <c r="T450">
        <f t="shared" ca="1" si="171"/>
        <v>1</v>
      </c>
      <c r="U450">
        <f t="shared" ca="1" si="153"/>
        <v>0.05</v>
      </c>
      <c r="V450">
        <f t="shared" ca="1" si="154"/>
        <v>0.26</v>
      </c>
      <c r="W450">
        <f t="shared" ca="1" si="155"/>
        <v>4.9056603773584909E-2</v>
      </c>
      <c r="X450">
        <f t="shared" ca="1" si="156"/>
        <v>196.15384615384616</v>
      </c>
      <c r="Y450">
        <f t="shared" ca="1" si="157"/>
        <v>632.46199999999999</v>
      </c>
      <c r="Z450">
        <f t="shared" ca="1" si="158"/>
        <v>2593.5390316486619</v>
      </c>
      <c r="AA450">
        <f t="shared" ca="1" si="159"/>
        <v>482.07306851378365</v>
      </c>
      <c r="AB450">
        <f t="shared" ca="1" si="160"/>
        <v>481.67874391167879</v>
      </c>
      <c r="AC450">
        <f t="shared" ca="1" si="161"/>
        <v>0</v>
      </c>
      <c r="AD450">
        <f ca="1">IF(V32="Supercritical",L450,U450)</f>
        <v>0.05</v>
      </c>
      <c r="AE450">
        <f t="shared" ca="1" si="162"/>
        <v>632.46199999999999</v>
      </c>
      <c r="AF450">
        <f t="shared" ca="1" si="163"/>
        <v>2593.5390316486619</v>
      </c>
      <c r="AI450">
        <v>0</v>
      </c>
      <c r="AJ450">
        <v>0</v>
      </c>
      <c r="AK450">
        <f t="shared" si="164"/>
        <v>0</v>
      </c>
      <c r="AL450">
        <f t="shared" si="172"/>
        <v>0</v>
      </c>
      <c r="AM450">
        <f t="shared" ca="1" si="165"/>
        <v>280.07692026646265</v>
      </c>
      <c r="AN450" t="str">
        <f t="shared" ca="1" si="166"/>
        <v>Supercritical</v>
      </c>
      <c r="AO450">
        <f ca="1">IF(V32="Supercritical",R450,AA450)</f>
        <v>482.07306851378365</v>
      </c>
    </row>
    <row r="451" spans="1:41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174</v>
      </c>
      <c r="I451">
        <v>2.7E-2</v>
      </c>
      <c r="J451">
        <f t="shared" si="167"/>
        <v>0.9989999999999668</v>
      </c>
      <c r="K451">
        <f t="shared" si="168"/>
        <v>51</v>
      </c>
      <c r="L451">
        <f t="shared" ca="1" si="169"/>
        <v>38819.682164226324</v>
      </c>
      <c r="M451">
        <f t="shared" ca="1" si="147"/>
        <v>201862.34725397688</v>
      </c>
      <c r="N451">
        <f t="shared" ca="1" si="148"/>
        <v>2.5998258731938684</v>
      </c>
      <c r="O451">
        <f t="shared" ca="1" si="149"/>
        <v>2.5264741391237957E-4</v>
      </c>
      <c r="P451">
        <f t="shared" ca="1" si="150"/>
        <v>39452.093664226326</v>
      </c>
      <c r="Q451">
        <f t="shared" ca="1" si="151"/>
        <v>39452.093664229578</v>
      </c>
      <c r="R451">
        <f t="shared" ca="1" si="152"/>
        <v>4.0174753166862525E-12</v>
      </c>
      <c r="S451">
        <f t="shared" ca="1" si="170"/>
        <v>6.7224134545540437E-4</v>
      </c>
      <c r="T451">
        <f t="shared" ca="1" si="171"/>
        <v>1</v>
      </c>
      <c r="U451">
        <f t="shared" ca="1" si="153"/>
        <v>0.05</v>
      </c>
      <c r="V451">
        <f t="shared" ca="1" si="154"/>
        <v>0.26</v>
      </c>
      <c r="W451">
        <f t="shared" ca="1" si="155"/>
        <v>4.9056603773584909E-2</v>
      </c>
      <c r="X451">
        <f t="shared" ca="1" si="156"/>
        <v>196.15384615384616</v>
      </c>
      <c r="Y451">
        <f t="shared" ca="1" si="157"/>
        <v>632.4615</v>
      </c>
      <c r="Z451">
        <f t="shared" ca="1" si="158"/>
        <v>2593.5385316486622</v>
      </c>
      <c r="AA451">
        <f t="shared" ca="1" si="159"/>
        <v>482.07306851378365</v>
      </c>
      <c r="AB451">
        <f t="shared" ca="1" si="160"/>
        <v>482.64289004873763</v>
      </c>
      <c r="AC451">
        <f t="shared" ca="1" si="161"/>
        <v>0</v>
      </c>
      <c r="AD451">
        <f ca="1">IF(V32="Supercritical",L451,U451)</f>
        <v>0.05</v>
      </c>
      <c r="AE451">
        <f t="shared" ca="1" si="162"/>
        <v>632.4615</v>
      </c>
      <c r="AF451">
        <f t="shared" ca="1" si="163"/>
        <v>2593.5385316486622</v>
      </c>
      <c r="AI451">
        <v>0</v>
      </c>
      <c r="AJ451">
        <v>0</v>
      </c>
      <c r="AK451">
        <f t="shared" si="164"/>
        <v>0</v>
      </c>
      <c r="AL451">
        <f t="shared" si="172"/>
        <v>0</v>
      </c>
      <c r="AM451">
        <f t="shared" ca="1" si="165"/>
        <v>280.07692026646265</v>
      </c>
      <c r="AN451" t="str">
        <f t="shared" ca="1" si="166"/>
        <v>Supercritical</v>
      </c>
      <c r="AO451">
        <f ca="1">IF(V32="Supercritical",R451,AA451)</f>
        <v>482.07306851378365</v>
      </c>
    </row>
    <row r="452" spans="1:41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174</v>
      </c>
      <c r="I452">
        <v>2.7E-2</v>
      </c>
      <c r="J452">
        <f t="shared" si="167"/>
        <v>1.0010000000000332</v>
      </c>
      <c r="K452">
        <f t="shared" si="168"/>
        <v>51</v>
      </c>
      <c r="L452">
        <f t="shared" ca="1" si="169"/>
        <v>38819.681687506105</v>
      </c>
      <c r="M452">
        <f t="shared" ca="1" si="147"/>
        <v>201862.34477503176</v>
      </c>
      <c r="N452">
        <f t="shared" ca="1" si="148"/>
        <v>2.5998258731917305</v>
      </c>
      <c r="O452">
        <f t="shared" ca="1" si="149"/>
        <v>2.5264741701498439E-4</v>
      </c>
      <c r="P452">
        <f t="shared" ca="1" si="150"/>
        <v>39452.092687506105</v>
      </c>
      <c r="Q452">
        <f t="shared" ca="1" si="151"/>
        <v>39452.092687509357</v>
      </c>
      <c r="R452">
        <f t="shared" ca="1" si="152"/>
        <v>4.0174754153628573E-12</v>
      </c>
      <c r="S452">
        <f t="shared" ca="1" si="170"/>
        <v>9.7672021365724504E-4</v>
      </c>
      <c r="T452">
        <f t="shared" ca="1" si="171"/>
        <v>1</v>
      </c>
      <c r="U452">
        <f t="shared" ca="1" si="153"/>
        <v>0.05</v>
      </c>
      <c r="V452">
        <f t="shared" ca="1" si="154"/>
        <v>0.26</v>
      </c>
      <c r="W452">
        <f t="shared" ca="1" si="155"/>
        <v>4.9056603773584909E-2</v>
      </c>
      <c r="X452">
        <f t="shared" ca="1" si="156"/>
        <v>196.15384615384616</v>
      </c>
      <c r="Y452">
        <f t="shared" ca="1" si="157"/>
        <v>632.4609999999999</v>
      </c>
      <c r="Z452">
        <f t="shared" ca="1" si="158"/>
        <v>2593.5380316486621</v>
      </c>
      <c r="AA452">
        <f t="shared" ca="1" si="159"/>
        <v>482.07306851378365</v>
      </c>
      <c r="AB452">
        <f t="shared" ca="1" si="160"/>
        <v>481.75391853122483</v>
      </c>
      <c r="AC452">
        <f t="shared" ca="1" si="161"/>
        <v>0</v>
      </c>
      <c r="AD452">
        <f ca="1">IF(V32="Supercritical",L452,U452)</f>
        <v>0.05</v>
      </c>
      <c r="AE452">
        <f t="shared" ca="1" si="162"/>
        <v>632.4609999999999</v>
      </c>
      <c r="AF452">
        <f t="shared" ca="1" si="163"/>
        <v>2593.5380316486621</v>
      </c>
      <c r="AI452">
        <v>0</v>
      </c>
      <c r="AJ452">
        <v>0</v>
      </c>
      <c r="AK452">
        <f t="shared" si="164"/>
        <v>0</v>
      </c>
      <c r="AL452">
        <f t="shared" si="172"/>
        <v>0</v>
      </c>
      <c r="AM452">
        <f t="shared" ca="1" si="165"/>
        <v>280.07692026646265</v>
      </c>
      <c r="AN452" t="str">
        <f t="shared" ca="1" si="166"/>
        <v>Supercritical</v>
      </c>
      <c r="AO452">
        <f ca="1">IF(V32="Supercritical",R452,AA452)</f>
        <v>482.07306851378365</v>
      </c>
    </row>
    <row r="453" spans="1:41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174</v>
      </c>
      <c r="I453">
        <v>0.05</v>
      </c>
      <c r="J453">
        <f t="shared" si="167"/>
        <v>0.9989999999999668</v>
      </c>
      <c r="K453">
        <f t="shared" si="168"/>
        <v>51</v>
      </c>
      <c r="L453">
        <f t="shared" ca="1" si="169"/>
        <v>38819.681515143711</v>
      </c>
      <c r="M453">
        <f t="shared" ca="1" si="147"/>
        <v>201862.34387874731</v>
      </c>
      <c r="N453">
        <f t="shared" ca="1" si="148"/>
        <v>2.5998258731909574</v>
      </c>
      <c r="O453">
        <f t="shared" ca="1" si="149"/>
        <v>2.5264741813675845E-4</v>
      </c>
      <c r="P453">
        <f t="shared" ca="1" si="150"/>
        <v>39452.092015143709</v>
      </c>
      <c r="Q453">
        <f t="shared" ca="1" si="151"/>
        <v>39452.092015146962</v>
      </c>
      <c r="R453">
        <f t="shared" ca="1" si="152"/>
        <v>4.0174754510402549E-12</v>
      </c>
      <c r="S453">
        <f t="shared" ca="1" si="170"/>
        <v>6.7236238828627393E-4</v>
      </c>
      <c r="T453">
        <f t="shared" ca="1" si="171"/>
        <v>1</v>
      </c>
      <c r="U453">
        <f t="shared" ca="1" si="153"/>
        <v>0.05</v>
      </c>
      <c r="V453">
        <f t="shared" ca="1" si="154"/>
        <v>0.26</v>
      </c>
      <c r="W453">
        <f t="shared" ca="1" si="155"/>
        <v>4.9056603773584909E-2</v>
      </c>
      <c r="X453">
        <f t="shared" ca="1" si="156"/>
        <v>196.15384615384616</v>
      </c>
      <c r="Y453">
        <f t="shared" ca="1" si="157"/>
        <v>632.46049999999991</v>
      </c>
      <c r="Z453">
        <f t="shared" ca="1" si="158"/>
        <v>2593.537531648662</v>
      </c>
      <c r="AA453">
        <f t="shared" ca="1" si="159"/>
        <v>482.07306851378365</v>
      </c>
      <c r="AB453">
        <f t="shared" ca="1" si="160"/>
        <v>482.32750852789786</v>
      </c>
      <c r="AC453">
        <f t="shared" ca="1" si="161"/>
        <v>0</v>
      </c>
      <c r="AD453">
        <f ca="1">IF(V32="Supercritical",L453,U453)</f>
        <v>0.05</v>
      </c>
      <c r="AE453">
        <f t="shared" ca="1" si="162"/>
        <v>632.46049999999991</v>
      </c>
      <c r="AF453">
        <f t="shared" ca="1" si="163"/>
        <v>2593.537531648662</v>
      </c>
      <c r="AI453">
        <v>0</v>
      </c>
      <c r="AJ453">
        <v>0</v>
      </c>
      <c r="AK453">
        <f t="shared" si="164"/>
        <v>0</v>
      </c>
      <c r="AL453">
        <f t="shared" si="172"/>
        <v>0</v>
      </c>
      <c r="AM453">
        <f t="shared" ca="1" si="165"/>
        <v>280.07692026646265</v>
      </c>
      <c r="AN453" t="str">
        <f t="shared" ca="1" si="166"/>
        <v>Supercritical</v>
      </c>
      <c r="AO453">
        <f ca="1">IF(V32="Supercritical",R453,AA453)</f>
        <v>482.07306851378365</v>
      </c>
    </row>
    <row r="454" spans="1:41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174</v>
      </c>
      <c r="I454">
        <v>7.8E-2</v>
      </c>
      <c r="J454">
        <f t="shared" si="167"/>
        <v>1</v>
      </c>
      <c r="K454">
        <f t="shared" si="168"/>
        <v>51</v>
      </c>
      <c r="L454">
        <f t="shared" ca="1" si="169"/>
        <v>38819.681037756098</v>
      </c>
      <c r="M454">
        <f t="shared" ca="1" si="147"/>
        <v>201862.34139633173</v>
      </c>
      <c r="N454">
        <f t="shared" ca="1" si="148"/>
        <v>2.599825873188816</v>
      </c>
      <c r="O454">
        <f t="shared" ca="1" si="149"/>
        <v>2.526474212437069E-4</v>
      </c>
      <c r="P454">
        <f t="shared" ca="1" si="150"/>
        <v>39452.091037756101</v>
      </c>
      <c r="Q454">
        <f t="shared" ca="1" si="151"/>
        <v>39452.091037759354</v>
      </c>
      <c r="R454">
        <f t="shared" ca="1" si="152"/>
        <v>4.0174755498550102E-12</v>
      </c>
      <c r="S454">
        <f t="shared" ca="1" si="170"/>
        <v>9.7738760086940601E-4</v>
      </c>
      <c r="T454">
        <f t="shared" ca="1" si="171"/>
        <v>1</v>
      </c>
      <c r="U454">
        <f t="shared" ca="1" si="153"/>
        <v>0.05</v>
      </c>
      <c r="V454">
        <f t="shared" ca="1" si="154"/>
        <v>0.26</v>
      </c>
      <c r="W454">
        <f t="shared" ca="1" si="155"/>
        <v>4.9056603773584909E-2</v>
      </c>
      <c r="X454">
        <f t="shared" ca="1" si="156"/>
        <v>196.15384615384616</v>
      </c>
      <c r="Y454">
        <f t="shared" ca="1" si="157"/>
        <v>632.45999999999992</v>
      </c>
      <c r="Z454">
        <f t="shared" ca="1" si="158"/>
        <v>2593.5370316486619</v>
      </c>
      <c r="AA454">
        <f t="shared" ca="1" si="159"/>
        <v>482.07306851378365</v>
      </c>
      <c r="AB454">
        <f t="shared" ca="1" si="160"/>
        <v>482.64289004873808</v>
      </c>
      <c r="AC454">
        <f t="shared" ca="1" si="161"/>
        <v>0</v>
      </c>
      <c r="AD454">
        <f ca="1">IF(V32="Supercritical",L454,U454)</f>
        <v>0.05</v>
      </c>
      <c r="AE454">
        <f t="shared" ca="1" si="162"/>
        <v>632.45999999999992</v>
      </c>
      <c r="AF454">
        <f t="shared" ca="1" si="163"/>
        <v>2593.5370316486619</v>
      </c>
      <c r="AI454">
        <v>0</v>
      </c>
      <c r="AJ454">
        <v>0</v>
      </c>
      <c r="AK454">
        <f t="shared" si="164"/>
        <v>0</v>
      </c>
      <c r="AL454">
        <f t="shared" si="172"/>
        <v>0</v>
      </c>
      <c r="AM454">
        <f t="shared" ca="1" si="165"/>
        <v>280.07692026646265</v>
      </c>
      <c r="AN454" t="str">
        <f t="shared" ca="1" si="166"/>
        <v>Supercritical</v>
      </c>
      <c r="AO454">
        <f ca="1">IF(V32="Supercritical",R454,AA454)</f>
        <v>482.07306851378365</v>
      </c>
    </row>
    <row r="455" spans="1:41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174</v>
      </c>
      <c r="I455">
        <v>2.7E-2</v>
      </c>
      <c r="J455">
        <f t="shared" si="167"/>
        <v>1.0010000000000332</v>
      </c>
      <c r="K455">
        <f t="shared" si="168"/>
        <v>51</v>
      </c>
      <c r="L455">
        <f t="shared" ca="1" si="169"/>
        <v>38819.680865275936</v>
      </c>
      <c r="M455">
        <f t="shared" ca="1" si="147"/>
        <v>201862.34049943488</v>
      </c>
      <c r="N455">
        <f t="shared" ca="1" si="148"/>
        <v>2.5998258731880424</v>
      </c>
      <c r="O455">
        <f t="shared" ca="1" si="149"/>
        <v>2.5264742236624755E-4</v>
      </c>
      <c r="P455">
        <f t="shared" ca="1" si="150"/>
        <v>39452.090365275937</v>
      </c>
      <c r="Q455">
        <f t="shared" ca="1" si="151"/>
        <v>39452.090365279189</v>
      </c>
      <c r="R455">
        <f t="shared" ca="1" si="152"/>
        <v>4.017475585556787E-12</v>
      </c>
      <c r="S455">
        <f t="shared" ca="1" si="170"/>
        <v>6.724801569362171E-4</v>
      </c>
      <c r="T455">
        <f t="shared" ca="1" si="171"/>
        <v>1</v>
      </c>
      <c r="U455">
        <f t="shared" ca="1" si="153"/>
        <v>0.05</v>
      </c>
      <c r="V455">
        <f t="shared" ca="1" si="154"/>
        <v>0.26</v>
      </c>
      <c r="W455">
        <f t="shared" ca="1" si="155"/>
        <v>4.9056603773584909E-2</v>
      </c>
      <c r="X455">
        <f t="shared" ca="1" si="156"/>
        <v>196.15384615384616</v>
      </c>
      <c r="Y455">
        <f t="shared" ca="1" si="157"/>
        <v>632.45949999999993</v>
      </c>
      <c r="Z455">
        <f t="shared" ca="1" si="158"/>
        <v>2593.5365316486623</v>
      </c>
      <c r="AA455">
        <f t="shared" ca="1" si="159"/>
        <v>482.07306851378365</v>
      </c>
      <c r="AB455">
        <f t="shared" ca="1" si="160"/>
        <v>481.67874391167788</v>
      </c>
      <c r="AC455">
        <f t="shared" ca="1" si="161"/>
        <v>0</v>
      </c>
      <c r="AD455">
        <f ca="1">IF(V32="Supercritical",L455,U455)</f>
        <v>0.05</v>
      </c>
      <c r="AE455">
        <f t="shared" ca="1" si="162"/>
        <v>632.45949999999993</v>
      </c>
      <c r="AF455">
        <f t="shared" ca="1" si="163"/>
        <v>2593.5365316486623</v>
      </c>
      <c r="AI455">
        <v>0</v>
      </c>
      <c r="AJ455">
        <v>0</v>
      </c>
      <c r="AK455">
        <f t="shared" si="164"/>
        <v>0</v>
      </c>
      <c r="AL455">
        <f t="shared" si="172"/>
        <v>0</v>
      </c>
      <c r="AM455">
        <f t="shared" ca="1" si="165"/>
        <v>280.07692026646265</v>
      </c>
      <c r="AN455" t="str">
        <f t="shared" ca="1" si="166"/>
        <v>Supercritical</v>
      </c>
      <c r="AO455">
        <f ca="1">IF(V32="Supercritical",R455,AA455)</f>
        <v>482.07306851378365</v>
      </c>
    </row>
    <row r="456" spans="1:41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174</v>
      </c>
      <c r="I456">
        <v>2.7E-2</v>
      </c>
      <c r="J456">
        <f t="shared" si="167"/>
        <v>0.9989999999999668</v>
      </c>
      <c r="K456">
        <f t="shared" si="168"/>
        <v>51</v>
      </c>
      <c r="L456">
        <f t="shared" ca="1" si="169"/>
        <v>38819.680387238848</v>
      </c>
      <c r="M456">
        <f t="shared" ca="1" si="147"/>
        <v>201862.33801364203</v>
      </c>
      <c r="N456">
        <f t="shared" ca="1" si="148"/>
        <v>2.5998258731858983</v>
      </c>
      <c r="O456">
        <f t="shared" ca="1" si="149"/>
        <v>2.5264742547742304E-4</v>
      </c>
      <c r="P456">
        <f t="shared" ca="1" si="150"/>
        <v>39452.089387238848</v>
      </c>
      <c r="Q456">
        <f t="shared" ca="1" si="151"/>
        <v>39452.0893872421</v>
      </c>
      <c r="R456">
        <f t="shared" ca="1" si="152"/>
        <v>4.0174756845059833E-12</v>
      </c>
      <c r="S456">
        <f t="shared" ca="1" si="170"/>
        <v>9.7803708194987848E-4</v>
      </c>
      <c r="T456">
        <f t="shared" ca="1" si="171"/>
        <v>1</v>
      </c>
      <c r="U456">
        <f t="shared" ca="1" si="153"/>
        <v>0.05</v>
      </c>
      <c r="V456">
        <f t="shared" ca="1" si="154"/>
        <v>0.26</v>
      </c>
      <c r="W456">
        <f t="shared" ca="1" si="155"/>
        <v>4.9056603773584909E-2</v>
      </c>
      <c r="X456">
        <f t="shared" ca="1" si="156"/>
        <v>196.15384615384616</v>
      </c>
      <c r="Y456">
        <f t="shared" ca="1" si="157"/>
        <v>632.45899999999995</v>
      </c>
      <c r="Z456">
        <f t="shared" ca="1" si="158"/>
        <v>2593.5360316486622</v>
      </c>
      <c r="AA456">
        <f t="shared" ca="1" si="159"/>
        <v>482.07306851378365</v>
      </c>
      <c r="AB456">
        <f t="shared" ca="1" si="160"/>
        <v>482.80958159642751</v>
      </c>
      <c r="AC456">
        <f t="shared" ca="1" si="161"/>
        <v>0</v>
      </c>
      <c r="AD456">
        <f ca="1">IF(V32="Supercritical",L456,U456)</f>
        <v>0.05</v>
      </c>
      <c r="AE456">
        <f t="shared" ca="1" si="162"/>
        <v>632.45899999999995</v>
      </c>
      <c r="AF456">
        <f t="shared" ca="1" si="163"/>
        <v>2593.5360316486622</v>
      </c>
      <c r="AI456">
        <v>0</v>
      </c>
      <c r="AJ456">
        <v>0</v>
      </c>
      <c r="AK456">
        <f t="shared" si="164"/>
        <v>0</v>
      </c>
      <c r="AL456">
        <f t="shared" si="172"/>
        <v>0</v>
      </c>
      <c r="AM456">
        <f t="shared" ca="1" si="165"/>
        <v>280.07692026646265</v>
      </c>
      <c r="AN456" t="str">
        <f t="shared" ca="1" si="166"/>
        <v>Supercritical</v>
      </c>
      <c r="AO456">
        <f ca="1">IF(V32="Supercritical",R456,AA456)</f>
        <v>482.07306851378365</v>
      </c>
    </row>
    <row r="457" spans="1:41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174</v>
      </c>
      <c r="I457">
        <v>7.8E-2</v>
      </c>
      <c r="J457">
        <f t="shared" si="167"/>
        <v>1.0010000000000332</v>
      </c>
      <c r="K457">
        <f t="shared" si="168"/>
        <v>51</v>
      </c>
      <c r="L457">
        <f t="shared" ca="1" si="169"/>
        <v>38819.680214644068</v>
      </c>
      <c r="M457">
        <f t="shared" ca="1" si="147"/>
        <v>201862.33711614917</v>
      </c>
      <c r="N457">
        <f t="shared" ca="1" si="148"/>
        <v>2.5998258731851243</v>
      </c>
      <c r="O457">
        <f t="shared" ca="1" si="149"/>
        <v>2.5264742660070961E-4</v>
      </c>
      <c r="P457">
        <f t="shared" ca="1" si="150"/>
        <v>39452.088714644065</v>
      </c>
      <c r="Q457">
        <f t="shared" ca="1" si="151"/>
        <v>39452.088714647318</v>
      </c>
      <c r="R457">
        <f t="shared" ca="1" si="152"/>
        <v>4.0174757202314842E-12</v>
      </c>
      <c r="S457">
        <f t="shared" ca="1" si="170"/>
        <v>6.7259477509651333E-4</v>
      </c>
      <c r="T457">
        <f t="shared" ca="1" si="171"/>
        <v>1</v>
      </c>
      <c r="U457">
        <f t="shared" ca="1" si="153"/>
        <v>0.05</v>
      </c>
      <c r="V457">
        <f t="shared" ca="1" si="154"/>
        <v>0.26</v>
      </c>
      <c r="W457">
        <f t="shared" ca="1" si="155"/>
        <v>4.9056603773584909E-2</v>
      </c>
      <c r="X457">
        <f t="shared" ca="1" si="156"/>
        <v>196.15384615384616</v>
      </c>
      <c r="Y457">
        <f t="shared" ca="1" si="157"/>
        <v>632.45849999999996</v>
      </c>
      <c r="Z457">
        <f t="shared" ca="1" si="158"/>
        <v>2593.5355316486621</v>
      </c>
      <c r="AA457">
        <f t="shared" ca="1" si="159"/>
        <v>482.07306851378365</v>
      </c>
      <c r="AB457">
        <f t="shared" ca="1" si="160"/>
        <v>482.23599159975447</v>
      </c>
      <c r="AC457">
        <f t="shared" ca="1" si="161"/>
        <v>0</v>
      </c>
      <c r="AD457">
        <f ca="1">IF(V32="Supercritical",L457,U457)</f>
        <v>0.05</v>
      </c>
      <c r="AE457">
        <f t="shared" ca="1" si="162"/>
        <v>632.45849999999996</v>
      </c>
      <c r="AF457">
        <f t="shared" ca="1" si="163"/>
        <v>2593.5355316486621</v>
      </c>
      <c r="AI457">
        <v>0</v>
      </c>
      <c r="AJ457">
        <v>0</v>
      </c>
      <c r="AK457">
        <f t="shared" si="164"/>
        <v>0</v>
      </c>
      <c r="AL457">
        <f t="shared" si="172"/>
        <v>0</v>
      </c>
      <c r="AM457">
        <f t="shared" ca="1" si="165"/>
        <v>280.07692026646265</v>
      </c>
      <c r="AN457" t="str">
        <f t="shared" ca="1" si="166"/>
        <v>Supercritical</v>
      </c>
      <c r="AO457">
        <f ca="1">IF(V32="Supercritical",R457,AA457)</f>
        <v>482.07306851378365</v>
      </c>
    </row>
    <row r="458" spans="1:41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174</v>
      </c>
      <c r="I458">
        <v>0.05</v>
      </c>
      <c r="J458">
        <f t="shared" si="167"/>
        <v>1</v>
      </c>
      <c r="K458">
        <f t="shared" si="168"/>
        <v>51</v>
      </c>
      <c r="L458">
        <f t="shared" ca="1" si="169"/>
        <v>38819.679735974838</v>
      </c>
      <c r="M458">
        <f t="shared" ca="1" si="147"/>
        <v>201862.33462706915</v>
      </c>
      <c r="N458">
        <f t="shared" ca="1" si="148"/>
        <v>2.5998258731829771</v>
      </c>
      <c r="O458">
        <f t="shared" ca="1" si="149"/>
        <v>2.5264742971599938E-4</v>
      </c>
      <c r="P458">
        <f t="shared" ca="1" si="150"/>
        <v>39452.087735974841</v>
      </c>
      <c r="Q458">
        <f t="shared" ca="1" si="151"/>
        <v>39452.087735978093</v>
      </c>
      <c r="R458">
        <f t="shared" ca="1" si="152"/>
        <v>4.0174758193115359E-12</v>
      </c>
      <c r="S458">
        <f t="shared" ca="1" si="170"/>
        <v>9.7866921714739874E-4</v>
      </c>
      <c r="T458">
        <f t="shared" ca="1" si="171"/>
        <v>1</v>
      </c>
      <c r="U458">
        <f t="shared" ca="1" si="153"/>
        <v>0.05</v>
      </c>
      <c r="V458">
        <f t="shared" ca="1" si="154"/>
        <v>0.26</v>
      </c>
      <c r="W458">
        <f t="shared" ca="1" si="155"/>
        <v>4.9056603773584909E-2</v>
      </c>
      <c r="X458">
        <f t="shared" ca="1" si="156"/>
        <v>196.15384615384616</v>
      </c>
      <c r="Y458">
        <f t="shared" ca="1" si="157"/>
        <v>632.45799999999997</v>
      </c>
      <c r="Z458">
        <f t="shared" ca="1" si="158"/>
        <v>2593.535031648662</v>
      </c>
      <c r="AA458">
        <f t="shared" ca="1" si="159"/>
        <v>482.07306851378365</v>
      </c>
      <c r="AB458">
        <f t="shared" ca="1" si="160"/>
        <v>481.67874391167788</v>
      </c>
      <c r="AC458">
        <f t="shared" ca="1" si="161"/>
        <v>0</v>
      </c>
      <c r="AD458">
        <f ca="1">IF(V32="Supercritical",L458,U458)</f>
        <v>0.05</v>
      </c>
      <c r="AE458">
        <f t="shared" ca="1" si="162"/>
        <v>632.45799999999997</v>
      </c>
      <c r="AF458">
        <f t="shared" ca="1" si="163"/>
        <v>2593.535031648662</v>
      </c>
      <c r="AI458">
        <v>0</v>
      </c>
      <c r="AJ458">
        <v>0</v>
      </c>
      <c r="AK458">
        <f t="shared" si="164"/>
        <v>0</v>
      </c>
      <c r="AL458">
        <f t="shared" si="172"/>
        <v>0</v>
      </c>
      <c r="AM458">
        <f t="shared" ca="1" si="165"/>
        <v>280.07692026646265</v>
      </c>
      <c r="AN458" t="str">
        <f t="shared" ca="1" si="166"/>
        <v>Supercritical</v>
      </c>
      <c r="AO458">
        <f ca="1">IF(V32="Supercritical",R458,AA458)</f>
        <v>482.07306851378365</v>
      </c>
    </row>
    <row r="459" spans="1:41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174</v>
      </c>
      <c r="I459">
        <v>2.7E-2</v>
      </c>
      <c r="J459">
        <f t="shared" si="167"/>
        <v>0.9989999999999668</v>
      </c>
      <c r="K459">
        <f t="shared" si="168"/>
        <v>51</v>
      </c>
      <c r="L459">
        <f t="shared" ca="1" si="169"/>
        <v>38819.679563268503</v>
      </c>
      <c r="M459">
        <f t="shared" ca="1" si="147"/>
        <v>201862.33372899622</v>
      </c>
      <c r="N459">
        <f t="shared" ca="1" si="148"/>
        <v>2.5998258731822026</v>
      </c>
      <c r="O459">
        <f t="shared" ca="1" si="149"/>
        <v>2.5264743084001205E-4</v>
      </c>
      <c r="P459">
        <f t="shared" ca="1" si="150"/>
        <v>39452.087063268504</v>
      </c>
      <c r="Q459">
        <f t="shared" ca="1" si="151"/>
        <v>39452.087063271756</v>
      </c>
      <c r="R459">
        <f t="shared" ca="1" si="152"/>
        <v>4.0174758550601292E-12</v>
      </c>
      <c r="S459">
        <f t="shared" ca="1" si="170"/>
        <v>6.7270633007865399E-4</v>
      </c>
      <c r="T459">
        <f t="shared" ca="1" si="171"/>
        <v>1</v>
      </c>
      <c r="U459">
        <f t="shared" ca="1" si="153"/>
        <v>0.05</v>
      </c>
      <c r="V459">
        <f t="shared" ca="1" si="154"/>
        <v>0.26</v>
      </c>
      <c r="W459">
        <f t="shared" ca="1" si="155"/>
        <v>4.9056603773584909E-2</v>
      </c>
      <c r="X459">
        <f t="shared" ca="1" si="156"/>
        <v>196.15384615384616</v>
      </c>
      <c r="Y459">
        <f t="shared" ca="1" si="157"/>
        <v>632.45749999999998</v>
      </c>
      <c r="Z459">
        <f t="shared" ca="1" si="158"/>
        <v>2593.5345316486619</v>
      </c>
      <c r="AA459">
        <f t="shared" ca="1" si="159"/>
        <v>482.07306851378365</v>
      </c>
      <c r="AB459">
        <f t="shared" ca="1" si="160"/>
        <v>482.64289004873808</v>
      </c>
      <c r="AC459">
        <f t="shared" ca="1" si="161"/>
        <v>0</v>
      </c>
      <c r="AD459">
        <f ca="1">IF(V32="Supercritical",L459,U459)</f>
        <v>0.05</v>
      </c>
      <c r="AE459">
        <f t="shared" ca="1" si="162"/>
        <v>632.45749999999998</v>
      </c>
      <c r="AF459">
        <f t="shared" ca="1" si="163"/>
        <v>2593.5345316486619</v>
      </c>
      <c r="AI459">
        <v>0</v>
      </c>
      <c r="AJ459">
        <v>0</v>
      </c>
      <c r="AK459">
        <f t="shared" si="164"/>
        <v>0</v>
      </c>
      <c r="AL459">
        <f t="shared" si="172"/>
        <v>0</v>
      </c>
      <c r="AM459">
        <f t="shared" ca="1" si="165"/>
        <v>280.07692026646265</v>
      </c>
      <c r="AN459" t="str">
        <f t="shared" ca="1" si="166"/>
        <v>Supercritical</v>
      </c>
      <c r="AO459">
        <f ca="1">IF(V32="Supercritical",R459,AA459)</f>
        <v>482.07306851378365</v>
      </c>
    </row>
    <row r="460" spans="1:41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174</v>
      </c>
      <c r="I460">
        <v>2.7E-2</v>
      </c>
      <c r="J460">
        <f t="shared" si="167"/>
        <v>1.0010000000000332</v>
      </c>
      <c r="K460">
        <f t="shared" si="168"/>
        <v>51</v>
      </c>
      <c r="L460">
        <f t="shared" ca="1" si="169"/>
        <v>38819.679083983923</v>
      </c>
      <c r="M460">
        <f t="shared" ca="1" si="147"/>
        <v>201862.33123671642</v>
      </c>
      <c r="N460">
        <f t="shared" ca="1" si="148"/>
        <v>2.5998258731800532</v>
      </c>
      <c r="O460">
        <f t="shared" ca="1" si="149"/>
        <v>2.5264743395930669E-4</v>
      </c>
      <c r="P460">
        <f t="shared" ca="1" si="150"/>
        <v>39452.086083983922</v>
      </c>
      <c r="Q460">
        <f t="shared" ca="1" si="151"/>
        <v>39452.086083987175</v>
      </c>
      <c r="R460">
        <f t="shared" ca="1" si="152"/>
        <v>4.0174759542675545E-12</v>
      </c>
      <c r="S460">
        <f t="shared" ca="1" si="170"/>
        <v>9.7928457398666069E-4</v>
      </c>
      <c r="T460">
        <f t="shared" ca="1" si="171"/>
        <v>1</v>
      </c>
      <c r="U460">
        <f t="shared" ca="1" si="153"/>
        <v>0.05</v>
      </c>
      <c r="V460">
        <f t="shared" ca="1" si="154"/>
        <v>0.26</v>
      </c>
      <c r="W460">
        <f t="shared" ca="1" si="155"/>
        <v>4.9056603773584909E-2</v>
      </c>
      <c r="X460">
        <f t="shared" ca="1" si="156"/>
        <v>196.15384615384616</v>
      </c>
      <c r="Y460">
        <f t="shared" ca="1" si="157"/>
        <v>632.45699999999999</v>
      </c>
      <c r="Z460">
        <f t="shared" ca="1" si="158"/>
        <v>2593.5340316486622</v>
      </c>
      <c r="AA460">
        <f t="shared" ca="1" si="159"/>
        <v>482.07306851378365</v>
      </c>
      <c r="AB460">
        <f t="shared" ca="1" si="160"/>
        <v>481.67874391167834</v>
      </c>
      <c r="AC460">
        <f t="shared" ca="1" si="161"/>
        <v>0</v>
      </c>
      <c r="AD460">
        <f ca="1">IF(V32="Supercritical",L460,U460)</f>
        <v>0.05</v>
      </c>
      <c r="AE460">
        <f t="shared" ca="1" si="162"/>
        <v>632.45699999999999</v>
      </c>
      <c r="AF460">
        <f t="shared" ca="1" si="163"/>
        <v>2593.5340316486622</v>
      </c>
      <c r="AI460">
        <v>0</v>
      </c>
      <c r="AJ460">
        <v>0</v>
      </c>
      <c r="AK460">
        <f t="shared" si="164"/>
        <v>0</v>
      </c>
      <c r="AL460">
        <f t="shared" si="172"/>
        <v>0</v>
      </c>
      <c r="AM460">
        <f t="shared" ca="1" si="165"/>
        <v>280.07692026646265</v>
      </c>
      <c r="AN460" t="str">
        <f t="shared" ca="1" si="166"/>
        <v>Supercritical</v>
      </c>
      <c r="AO460">
        <f ca="1">IF(V32="Supercritical",R460,AA460)</f>
        <v>482.07306851378365</v>
      </c>
    </row>
    <row r="461" spans="1:41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174</v>
      </c>
      <c r="I461">
        <v>2.7E-2</v>
      </c>
      <c r="J461">
        <f t="shared" si="167"/>
        <v>0.9989999999999668</v>
      </c>
      <c r="K461">
        <f t="shared" si="168"/>
        <v>51</v>
      </c>
      <c r="L461">
        <f t="shared" ca="1" si="169"/>
        <v>38819.678911169001</v>
      </c>
      <c r="M461">
        <f t="shared" ca="1" si="147"/>
        <v>201862.33033807881</v>
      </c>
      <c r="N461">
        <f t="shared" ca="1" si="148"/>
        <v>2.5998258731792778</v>
      </c>
      <c r="O461">
        <f t="shared" ca="1" si="149"/>
        <v>2.5264743508402609E-4</v>
      </c>
      <c r="P461">
        <f t="shared" ca="1" si="150"/>
        <v>39452.085411168999</v>
      </c>
      <c r="Q461">
        <f t="shared" ca="1" si="151"/>
        <v>39452.085411172251</v>
      </c>
      <c r="R461">
        <f t="shared" ca="1" si="152"/>
        <v>4.0174759900386287E-12</v>
      </c>
      <c r="S461">
        <f t="shared" ca="1" si="170"/>
        <v>6.7281491647008806E-4</v>
      </c>
      <c r="T461">
        <f t="shared" ca="1" si="171"/>
        <v>1</v>
      </c>
      <c r="U461">
        <f t="shared" ca="1" si="153"/>
        <v>0.05</v>
      </c>
      <c r="V461">
        <f t="shared" ca="1" si="154"/>
        <v>0.26</v>
      </c>
      <c r="W461">
        <f t="shared" ca="1" si="155"/>
        <v>4.9056603773584909E-2</v>
      </c>
      <c r="X461">
        <f t="shared" ca="1" si="156"/>
        <v>196.15384615384616</v>
      </c>
      <c r="Y461">
        <f t="shared" ca="1" si="157"/>
        <v>632.45650000000001</v>
      </c>
      <c r="Z461">
        <f t="shared" ca="1" si="158"/>
        <v>2593.5335316486621</v>
      </c>
      <c r="AA461">
        <f t="shared" ca="1" si="159"/>
        <v>482.07306851378365</v>
      </c>
      <c r="AB461">
        <f t="shared" ca="1" si="160"/>
        <v>482.80958159642751</v>
      </c>
      <c r="AC461">
        <f t="shared" ca="1" si="161"/>
        <v>0</v>
      </c>
      <c r="AD461">
        <f ca="1">IF(V32="Supercritical",L461,U461)</f>
        <v>0.05</v>
      </c>
      <c r="AE461">
        <f t="shared" ca="1" si="162"/>
        <v>632.45650000000001</v>
      </c>
      <c r="AF461">
        <f t="shared" ca="1" si="163"/>
        <v>2593.5335316486621</v>
      </c>
      <c r="AI461">
        <v>0</v>
      </c>
      <c r="AJ461">
        <v>0</v>
      </c>
      <c r="AK461">
        <f t="shared" si="164"/>
        <v>0</v>
      </c>
      <c r="AL461">
        <f t="shared" si="172"/>
        <v>0</v>
      </c>
      <c r="AM461">
        <f t="shared" ca="1" si="165"/>
        <v>280.07692026646265</v>
      </c>
      <c r="AN461" t="str">
        <f t="shared" ca="1" si="166"/>
        <v>Supercritical</v>
      </c>
      <c r="AO461">
        <f ca="1">IF(V32="Supercritical",R461,AA461)</f>
        <v>482.07306851378365</v>
      </c>
    </row>
    <row r="462" spans="1:41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174</v>
      </c>
      <c r="I462">
        <v>7.8E-2</v>
      </c>
      <c r="J462">
        <f t="shared" si="167"/>
        <v>1.0010000000000332</v>
      </c>
      <c r="K462">
        <f t="shared" si="168"/>
        <v>51</v>
      </c>
      <c r="L462">
        <f t="shared" ca="1" si="169"/>
        <v>38819.678431285349</v>
      </c>
      <c r="M462">
        <f t="shared" ca="1" si="147"/>
        <v>201862.32784268382</v>
      </c>
      <c r="N462">
        <f t="shared" ca="1" si="148"/>
        <v>2.5998258731771253</v>
      </c>
      <c r="O462">
        <f t="shared" ca="1" si="149"/>
        <v>2.5264743820721975E-4</v>
      </c>
      <c r="P462">
        <f t="shared" ca="1" si="150"/>
        <v>39452.084431285351</v>
      </c>
      <c r="Q462">
        <f t="shared" ca="1" si="151"/>
        <v>39452.084431288604</v>
      </c>
      <c r="R462">
        <f t="shared" ca="1" si="152"/>
        <v>4.0174760893700624E-12</v>
      </c>
      <c r="S462">
        <f t="shared" ca="1" si="170"/>
        <v>9.7988363995682448E-4</v>
      </c>
      <c r="T462">
        <f t="shared" ca="1" si="171"/>
        <v>1</v>
      </c>
      <c r="U462">
        <f t="shared" ca="1" si="153"/>
        <v>0.05</v>
      </c>
      <c r="V462">
        <f t="shared" ca="1" si="154"/>
        <v>0.26</v>
      </c>
      <c r="W462">
        <f t="shared" ca="1" si="155"/>
        <v>4.9056603773584909E-2</v>
      </c>
      <c r="X462">
        <f t="shared" ca="1" si="156"/>
        <v>196.15384615384616</v>
      </c>
      <c r="Y462">
        <f t="shared" ca="1" si="157"/>
        <v>632.4559999999999</v>
      </c>
      <c r="Z462">
        <f t="shared" ca="1" si="158"/>
        <v>2593.533031648662</v>
      </c>
      <c r="AA462">
        <f t="shared" ca="1" si="159"/>
        <v>482.07306851378365</v>
      </c>
      <c r="AB462">
        <f t="shared" ca="1" si="160"/>
        <v>482.23599159975447</v>
      </c>
      <c r="AC462">
        <f t="shared" ca="1" si="161"/>
        <v>0</v>
      </c>
      <c r="AD462">
        <f ca="1">IF(V32="Supercritical",L462,U462)</f>
        <v>0.05</v>
      </c>
      <c r="AE462">
        <f t="shared" ca="1" si="162"/>
        <v>632.4559999999999</v>
      </c>
      <c r="AF462">
        <f t="shared" ca="1" si="163"/>
        <v>2593.533031648662</v>
      </c>
      <c r="AI462">
        <v>0</v>
      </c>
      <c r="AJ462">
        <v>0</v>
      </c>
      <c r="AK462">
        <f t="shared" si="164"/>
        <v>0</v>
      </c>
      <c r="AL462">
        <f t="shared" si="172"/>
        <v>0</v>
      </c>
      <c r="AM462">
        <f t="shared" ca="1" si="165"/>
        <v>280.07692026646265</v>
      </c>
      <c r="AN462" t="str">
        <f t="shared" ca="1" si="166"/>
        <v>Supercritical</v>
      </c>
      <c r="AO462">
        <f ca="1">IF(V32="Supercritical",R462,AA462)</f>
        <v>482.07306851378365</v>
      </c>
    </row>
    <row r="463" spans="1:41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174</v>
      </c>
      <c r="I463">
        <v>0.05</v>
      </c>
      <c r="J463">
        <f t="shared" si="167"/>
        <v>1</v>
      </c>
      <c r="K463">
        <f t="shared" si="168"/>
        <v>51</v>
      </c>
      <c r="L463">
        <f t="shared" ca="1" si="169"/>
        <v>38819.678258364707</v>
      </c>
      <c r="M463">
        <f t="shared" ca="1" si="147"/>
        <v>201862.32694349647</v>
      </c>
      <c r="N463">
        <f t="shared" ca="1" si="148"/>
        <v>2.5998258731763495</v>
      </c>
      <c r="O463">
        <f t="shared" ca="1" si="149"/>
        <v>2.5264743933262729E-4</v>
      </c>
      <c r="P463">
        <f t="shared" ca="1" si="150"/>
        <v>39452.083758364708</v>
      </c>
      <c r="Q463">
        <f t="shared" ca="1" si="151"/>
        <v>39452.08375836796</v>
      </c>
      <c r="R463">
        <f t="shared" ca="1" si="152"/>
        <v>4.0174761251630214E-12</v>
      </c>
      <c r="S463">
        <f t="shared" ca="1" si="170"/>
        <v>6.7292063613422215E-4</v>
      </c>
      <c r="T463">
        <f t="shared" ca="1" si="171"/>
        <v>1</v>
      </c>
      <c r="U463">
        <f t="shared" ca="1" si="153"/>
        <v>0.05</v>
      </c>
      <c r="V463">
        <f t="shared" ca="1" si="154"/>
        <v>0.26</v>
      </c>
      <c r="W463">
        <f t="shared" ca="1" si="155"/>
        <v>4.9056603773584909E-2</v>
      </c>
      <c r="X463">
        <f t="shared" ca="1" si="156"/>
        <v>196.15384615384616</v>
      </c>
      <c r="Y463">
        <f t="shared" ca="1" si="157"/>
        <v>632.45549999999992</v>
      </c>
      <c r="Z463">
        <f t="shared" ca="1" si="158"/>
        <v>2593.5325316486619</v>
      </c>
      <c r="AA463">
        <f t="shared" ca="1" si="159"/>
        <v>482.07306851378365</v>
      </c>
      <c r="AB463">
        <f t="shared" ca="1" si="160"/>
        <v>481.67874391167834</v>
      </c>
      <c r="AC463">
        <f t="shared" ca="1" si="161"/>
        <v>0</v>
      </c>
      <c r="AD463">
        <f ca="1">IF(V32="Supercritical",L463,U463)</f>
        <v>0.05</v>
      </c>
      <c r="AE463">
        <f t="shared" ca="1" si="162"/>
        <v>632.45549999999992</v>
      </c>
      <c r="AF463">
        <f t="shared" ca="1" si="163"/>
        <v>2593.5325316486619</v>
      </c>
      <c r="AI463">
        <v>0</v>
      </c>
      <c r="AJ463">
        <v>0</v>
      </c>
      <c r="AK463">
        <f t="shared" si="164"/>
        <v>0</v>
      </c>
      <c r="AL463">
        <f t="shared" si="172"/>
        <v>0</v>
      </c>
      <c r="AM463">
        <f t="shared" ca="1" si="165"/>
        <v>280.07692026646265</v>
      </c>
      <c r="AN463" t="str">
        <f t="shared" ca="1" si="166"/>
        <v>Supercritical</v>
      </c>
      <c r="AO463">
        <f ca="1">IF(V32="Supercritical",R463,AA463)</f>
        <v>482.07306851378365</v>
      </c>
    </row>
    <row r="464" spans="1:41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174</v>
      </c>
      <c r="I464">
        <v>2.7E-2</v>
      </c>
      <c r="J464">
        <f t="shared" si="167"/>
        <v>0.9989999999999668</v>
      </c>
      <c r="K464">
        <f t="shared" si="168"/>
        <v>51</v>
      </c>
      <c r="L464">
        <f t="shared" ca="1" si="169"/>
        <v>38819.677777897778</v>
      </c>
      <c r="M464">
        <f t="shared" ca="1" si="147"/>
        <v>201862.32444506846</v>
      </c>
      <c r="N464">
        <f t="shared" ca="1" si="148"/>
        <v>2.5998258731741948</v>
      </c>
      <c r="O464">
        <f t="shared" ca="1" si="149"/>
        <v>2.5264744245961712E-4</v>
      </c>
      <c r="P464">
        <f t="shared" ca="1" si="150"/>
        <v>39452.082777897776</v>
      </c>
      <c r="Q464">
        <f t="shared" ca="1" si="151"/>
        <v>39452.082777901029</v>
      </c>
      <c r="R464">
        <f t="shared" ca="1" si="152"/>
        <v>4.0174762246151912E-12</v>
      </c>
      <c r="S464">
        <f t="shared" ca="1" si="170"/>
        <v>9.8046692437492311E-4</v>
      </c>
      <c r="T464">
        <f t="shared" ca="1" si="171"/>
        <v>1</v>
      </c>
      <c r="U464">
        <f t="shared" ca="1" si="153"/>
        <v>0.05</v>
      </c>
      <c r="V464">
        <f t="shared" ca="1" si="154"/>
        <v>0.26</v>
      </c>
      <c r="W464">
        <f t="shared" ca="1" si="155"/>
        <v>4.9056603773584909E-2</v>
      </c>
      <c r="X464">
        <f t="shared" ca="1" si="156"/>
        <v>196.15384615384616</v>
      </c>
      <c r="Y464">
        <f t="shared" ca="1" si="157"/>
        <v>632.45499999999993</v>
      </c>
      <c r="Z464">
        <f t="shared" ca="1" si="158"/>
        <v>2593.5320316486623</v>
      </c>
      <c r="AA464">
        <f t="shared" ca="1" si="159"/>
        <v>482.07306851378365</v>
      </c>
      <c r="AB464">
        <f t="shared" ca="1" si="160"/>
        <v>482.16081698020798</v>
      </c>
      <c r="AC464">
        <f t="shared" ca="1" si="161"/>
        <v>0</v>
      </c>
      <c r="AD464">
        <f ca="1">IF(V32="Supercritical",L464,U464)</f>
        <v>0.05</v>
      </c>
      <c r="AE464">
        <f t="shared" ca="1" si="162"/>
        <v>632.45499999999993</v>
      </c>
      <c r="AF464">
        <f t="shared" ca="1" si="163"/>
        <v>2593.5320316486623</v>
      </c>
      <c r="AI464">
        <v>0</v>
      </c>
      <c r="AJ464">
        <v>0</v>
      </c>
      <c r="AK464">
        <f t="shared" si="164"/>
        <v>0</v>
      </c>
      <c r="AL464">
        <f t="shared" si="172"/>
        <v>0</v>
      </c>
      <c r="AM464">
        <f t="shared" ca="1" si="165"/>
        <v>280.07692026646265</v>
      </c>
      <c r="AN464" t="str">
        <f t="shared" ca="1" si="166"/>
        <v>Supercritical</v>
      </c>
      <c r="AO464">
        <f ca="1">IF(V32="Supercritical",R464,AA464)</f>
        <v>482.07306851378365</v>
      </c>
    </row>
    <row r="465" spans="1:41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174</v>
      </c>
      <c r="I465">
        <v>2.7E-2</v>
      </c>
      <c r="J465">
        <f t="shared" si="167"/>
        <v>1</v>
      </c>
      <c r="K465">
        <f t="shared" si="168"/>
        <v>51</v>
      </c>
      <c r="L465">
        <f t="shared" ca="1" si="169"/>
        <v>38819.677604874203</v>
      </c>
      <c r="M465">
        <f t="shared" ca="1" si="147"/>
        <v>201862.32354534586</v>
      </c>
      <c r="N465">
        <f t="shared" ca="1" si="148"/>
        <v>2.599825873173419</v>
      </c>
      <c r="O465">
        <f t="shared" ca="1" si="149"/>
        <v>2.5264744358569459E-4</v>
      </c>
      <c r="P465">
        <f t="shared" ca="1" si="150"/>
        <v>39452.0821048742</v>
      </c>
      <c r="Q465">
        <f t="shared" ca="1" si="151"/>
        <v>39452.082104877452</v>
      </c>
      <c r="R465">
        <f t="shared" ca="1" si="152"/>
        <v>4.0174762604294557E-12</v>
      </c>
      <c r="S465">
        <f t="shared" ca="1" si="170"/>
        <v>6.7302356910659E-4</v>
      </c>
      <c r="T465">
        <f t="shared" ca="1" si="171"/>
        <v>1</v>
      </c>
      <c r="U465">
        <f t="shared" ca="1" si="153"/>
        <v>0.05</v>
      </c>
      <c r="V465">
        <f t="shared" ca="1" si="154"/>
        <v>0.26</v>
      </c>
      <c r="W465">
        <f t="shared" ca="1" si="155"/>
        <v>4.9056603773584909E-2</v>
      </c>
      <c r="X465">
        <f t="shared" ca="1" si="156"/>
        <v>196.15384615384616</v>
      </c>
      <c r="Y465">
        <f t="shared" ca="1" si="157"/>
        <v>632.45449999999994</v>
      </c>
      <c r="Z465">
        <f t="shared" ca="1" si="158"/>
        <v>2593.5315316486622</v>
      </c>
      <c r="AA465">
        <f t="shared" ca="1" si="159"/>
        <v>482.07306851378365</v>
      </c>
      <c r="AB465">
        <f t="shared" ca="1" si="160"/>
        <v>482.1477431333301</v>
      </c>
      <c r="AC465">
        <f t="shared" ca="1" si="161"/>
        <v>0</v>
      </c>
      <c r="AD465">
        <f ca="1">IF(V32="Supercritical",L465,U465)</f>
        <v>0.05</v>
      </c>
      <c r="AE465">
        <f t="shared" ca="1" si="162"/>
        <v>632.45449999999994</v>
      </c>
      <c r="AF465">
        <f t="shared" ca="1" si="163"/>
        <v>2593.5315316486622</v>
      </c>
      <c r="AI465">
        <v>0</v>
      </c>
      <c r="AJ465">
        <v>0</v>
      </c>
      <c r="AK465">
        <f t="shared" si="164"/>
        <v>0</v>
      </c>
      <c r="AL465">
        <f t="shared" si="172"/>
        <v>0</v>
      </c>
      <c r="AM465">
        <f t="shared" ca="1" si="165"/>
        <v>280.07692026646265</v>
      </c>
      <c r="AN465" t="str">
        <f t="shared" ca="1" si="166"/>
        <v>Supercritical</v>
      </c>
      <c r="AO465">
        <f ca="1">IF(V32="Supercritical",R465,AA465)</f>
        <v>482.07306851378365</v>
      </c>
    </row>
    <row r="466" spans="1:41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174</v>
      </c>
      <c r="I466">
        <v>2.3E-2</v>
      </c>
      <c r="J466">
        <f t="shared" si="167"/>
        <v>1</v>
      </c>
      <c r="K466">
        <f t="shared" si="168"/>
        <v>51</v>
      </c>
      <c r="L466">
        <f t="shared" ca="1" si="169"/>
        <v>38819.677123839283</v>
      </c>
      <c r="M466">
        <f t="shared" ca="1" si="147"/>
        <v>201862.32104396427</v>
      </c>
      <c r="N466">
        <f t="shared" ca="1" si="148"/>
        <v>2.5998258731712611</v>
      </c>
      <c r="O466">
        <f t="shared" ca="1" si="149"/>
        <v>2.5264744671638122E-4</v>
      </c>
      <c r="P466">
        <f t="shared" ca="1" si="150"/>
        <v>39452.081123839285</v>
      </c>
      <c r="Q466">
        <f t="shared" ca="1" si="151"/>
        <v>39452.081123842538</v>
      </c>
      <c r="R466">
        <f t="shared" ca="1" si="152"/>
        <v>4.0174763599992031E-12</v>
      </c>
      <c r="S466">
        <f t="shared" ca="1" si="170"/>
        <v>9.8103490745415911E-4</v>
      </c>
      <c r="T466">
        <f t="shared" ca="1" si="171"/>
        <v>1</v>
      </c>
      <c r="U466">
        <f t="shared" ca="1" si="153"/>
        <v>0.05</v>
      </c>
      <c r="V466">
        <f t="shared" ca="1" si="154"/>
        <v>0.26</v>
      </c>
      <c r="W466">
        <f t="shared" ca="1" si="155"/>
        <v>4.9056603773584909E-2</v>
      </c>
      <c r="X466">
        <f t="shared" ca="1" si="156"/>
        <v>196.15384615384616</v>
      </c>
      <c r="Y466">
        <f t="shared" ca="1" si="157"/>
        <v>632.45399999999995</v>
      </c>
      <c r="Z466">
        <f t="shared" ca="1" si="158"/>
        <v>2593.5310316486621</v>
      </c>
      <c r="AA466">
        <f t="shared" ca="1" si="159"/>
        <v>482.07306851378365</v>
      </c>
      <c r="AB466">
        <f t="shared" ca="1" si="160"/>
        <v>482.62981620185974</v>
      </c>
      <c r="AC466">
        <f t="shared" ca="1" si="161"/>
        <v>0</v>
      </c>
      <c r="AD466">
        <f ca="1">IF(V32="Supercritical",L466,U466)</f>
        <v>0.05</v>
      </c>
      <c r="AE466">
        <f t="shared" ca="1" si="162"/>
        <v>632.45399999999995</v>
      </c>
      <c r="AF466">
        <f t="shared" ca="1" si="163"/>
        <v>2593.5310316486621</v>
      </c>
      <c r="AI466">
        <v>0</v>
      </c>
      <c r="AJ466">
        <v>0</v>
      </c>
      <c r="AK466">
        <f t="shared" si="164"/>
        <v>0</v>
      </c>
      <c r="AL466">
        <f t="shared" si="172"/>
        <v>0</v>
      </c>
      <c r="AM466">
        <f t="shared" ca="1" si="165"/>
        <v>280.07692026646265</v>
      </c>
      <c r="AN466" t="str">
        <f t="shared" ca="1" si="166"/>
        <v>Supercritical</v>
      </c>
      <c r="AO466">
        <f ca="1">IF(V32="Supercritical",R466,AA466)</f>
        <v>482.07306851378365</v>
      </c>
    </row>
    <row r="467" spans="1:41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174</v>
      </c>
      <c r="I467">
        <v>2.3E-2</v>
      </c>
      <c r="J467">
        <f t="shared" si="167"/>
        <v>1.0010000000000332</v>
      </c>
      <c r="K467">
        <f t="shared" si="168"/>
        <v>51</v>
      </c>
      <c r="L467">
        <f t="shared" ca="1" si="169"/>
        <v>38819.676950715475</v>
      </c>
      <c r="M467">
        <f t="shared" ca="1" si="147"/>
        <v>201862.32014372048</v>
      </c>
      <c r="N467">
        <f t="shared" ca="1" si="148"/>
        <v>2.5998258731704849</v>
      </c>
      <c r="O467">
        <f t="shared" ca="1" si="149"/>
        <v>2.5264744784311101E-4</v>
      </c>
      <c r="P467">
        <f t="shared" ca="1" si="150"/>
        <v>39452.080450715475</v>
      </c>
      <c r="Q467">
        <f t="shared" ca="1" si="151"/>
        <v>39452.080450718728</v>
      </c>
      <c r="R467">
        <f t="shared" ca="1" si="152"/>
        <v>4.0174763958342182E-12</v>
      </c>
      <c r="S467">
        <f t="shared" ca="1" si="170"/>
        <v>6.7312380269868299E-4</v>
      </c>
      <c r="T467">
        <f t="shared" ca="1" si="171"/>
        <v>1</v>
      </c>
      <c r="U467">
        <f t="shared" ca="1" si="153"/>
        <v>0.05</v>
      </c>
      <c r="V467">
        <f t="shared" ca="1" si="154"/>
        <v>0.26</v>
      </c>
      <c r="W467">
        <f t="shared" ca="1" si="155"/>
        <v>4.9056603773584909E-2</v>
      </c>
      <c r="X467">
        <f t="shared" ca="1" si="156"/>
        <v>196.15384615384616</v>
      </c>
      <c r="Y467">
        <f t="shared" ca="1" si="157"/>
        <v>632.45349999999996</v>
      </c>
      <c r="Z467">
        <f t="shared" ca="1" si="158"/>
        <v>2593.530531648662</v>
      </c>
      <c r="AA467">
        <f t="shared" ca="1" si="159"/>
        <v>482.07306851378365</v>
      </c>
      <c r="AB467">
        <f t="shared" ca="1" si="160"/>
        <v>481.59049544525351</v>
      </c>
      <c r="AC467">
        <f t="shared" ca="1" si="161"/>
        <v>0</v>
      </c>
      <c r="AD467">
        <f ca="1">IF(V32="Supercritical",L467,U467)</f>
        <v>0.05</v>
      </c>
      <c r="AE467">
        <f t="shared" ca="1" si="162"/>
        <v>632.45349999999996</v>
      </c>
      <c r="AF467">
        <f t="shared" ca="1" si="163"/>
        <v>2593.530531648662</v>
      </c>
      <c r="AI467">
        <v>0</v>
      </c>
      <c r="AJ467">
        <v>0</v>
      </c>
      <c r="AK467">
        <f t="shared" si="164"/>
        <v>0</v>
      </c>
      <c r="AL467">
        <f t="shared" si="172"/>
        <v>0</v>
      </c>
      <c r="AM467">
        <f t="shared" ca="1" si="165"/>
        <v>280.07692026646265</v>
      </c>
      <c r="AN467" t="str">
        <f t="shared" ca="1" si="166"/>
        <v>Supercritical</v>
      </c>
      <c r="AO467">
        <f ca="1">IF(V32="Supercritical",R467,AA467)</f>
        <v>482.07306851378365</v>
      </c>
    </row>
    <row r="468" spans="1:41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174</v>
      </c>
      <c r="I468">
        <v>0</v>
      </c>
      <c r="J468">
        <f t="shared" si="167"/>
        <v>0.9989999999999668</v>
      </c>
      <c r="K468">
        <f t="shared" si="168"/>
        <v>51</v>
      </c>
      <c r="L468">
        <f t="shared" ca="1" si="169"/>
        <v>38819.676469127415</v>
      </c>
      <c r="M468">
        <f t="shared" ca="1" si="147"/>
        <v>201862.31763946256</v>
      </c>
      <c r="N468">
        <f t="shared" ca="1" si="148"/>
        <v>2.5998258731683248</v>
      </c>
      <c r="O468">
        <f t="shared" ca="1" si="149"/>
        <v>2.5264745097739767E-4</v>
      </c>
      <c r="P468">
        <f t="shared" ca="1" si="150"/>
        <v>39452.079469127413</v>
      </c>
      <c r="Q468">
        <f t="shared" ca="1" si="151"/>
        <v>39452.079469130666</v>
      </c>
      <c r="R468">
        <f t="shared" ca="1" si="152"/>
        <v>4.0174764955184606E-12</v>
      </c>
      <c r="S468">
        <f t="shared" ca="1" si="170"/>
        <v>9.8158805485581979E-4</v>
      </c>
      <c r="T468">
        <f t="shared" ca="1" si="171"/>
        <v>1</v>
      </c>
      <c r="U468">
        <f t="shared" ca="1" si="153"/>
        <v>0.05</v>
      </c>
      <c r="V468">
        <f t="shared" ca="1" si="154"/>
        <v>0.26</v>
      </c>
      <c r="W468">
        <f t="shared" ca="1" si="155"/>
        <v>4.9056603773584909E-2</v>
      </c>
      <c r="X468">
        <f t="shared" ca="1" si="156"/>
        <v>196.15384615384616</v>
      </c>
      <c r="Y468">
        <f t="shared" ca="1" si="157"/>
        <v>632.45299999999997</v>
      </c>
      <c r="Z468">
        <f t="shared" ca="1" si="158"/>
        <v>2593.5300316486619</v>
      </c>
      <c r="AA468">
        <f t="shared" ca="1" si="159"/>
        <v>482.07306851378365</v>
      </c>
      <c r="AB468">
        <f t="shared" ca="1" si="160"/>
        <v>482.16081698020844</v>
      </c>
      <c r="AC468">
        <f t="shared" ca="1" si="161"/>
        <v>0</v>
      </c>
      <c r="AD468">
        <f ca="1">IF(V32="Supercritical",L468,U468)</f>
        <v>0.05</v>
      </c>
      <c r="AE468">
        <f t="shared" ca="1" si="162"/>
        <v>632.45299999999997</v>
      </c>
      <c r="AF468">
        <f t="shared" ca="1" si="163"/>
        <v>2593.5300316486619</v>
      </c>
      <c r="AI468">
        <v>0</v>
      </c>
      <c r="AJ468">
        <v>0</v>
      </c>
      <c r="AK468">
        <f t="shared" si="164"/>
        <v>0</v>
      </c>
      <c r="AL468">
        <f t="shared" si="172"/>
        <v>0</v>
      </c>
      <c r="AM468">
        <f t="shared" ca="1" si="165"/>
        <v>280.07692026646265</v>
      </c>
      <c r="AN468" t="str">
        <f t="shared" ca="1" si="166"/>
        <v>Supercritical</v>
      </c>
      <c r="AO468">
        <f ca="1">IF(V32="Supercritical",R468,AA468)</f>
        <v>482.07306851378365</v>
      </c>
    </row>
    <row r="469" spans="1:41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174</v>
      </c>
      <c r="I469">
        <v>2.7E-2</v>
      </c>
      <c r="J469">
        <f t="shared" si="167"/>
        <v>1</v>
      </c>
      <c r="K469">
        <f t="shared" si="168"/>
        <v>51</v>
      </c>
      <c r="L469">
        <f t="shared" ca="1" si="169"/>
        <v>38819.676295905992</v>
      </c>
      <c r="M469">
        <f t="shared" ca="1" si="147"/>
        <v>201862.31673871118</v>
      </c>
      <c r="N469">
        <f t="shared" ca="1" si="148"/>
        <v>2.5998258731675477</v>
      </c>
      <c r="O469">
        <f t="shared" ca="1" si="149"/>
        <v>2.5264745210476286E-4</v>
      </c>
      <c r="P469">
        <f t="shared" ca="1" si="150"/>
        <v>39452.078795905989</v>
      </c>
      <c r="Q469">
        <f t="shared" ca="1" si="151"/>
        <v>39452.078795909241</v>
      </c>
      <c r="R469">
        <f t="shared" ca="1" si="152"/>
        <v>4.0174765313736851E-12</v>
      </c>
      <c r="S469">
        <f t="shared" ca="1" si="170"/>
        <v>6.7322141694603488E-4</v>
      </c>
      <c r="T469">
        <f t="shared" ca="1" si="171"/>
        <v>1</v>
      </c>
      <c r="U469">
        <f t="shared" ca="1" si="153"/>
        <v>0.05</v>
      </c>
      <c r="V469">
        <f t="shared" ca="1" si="154"/>
        <v>0.26</v>
      </c>
      <c r="W469">
        <f t="shared" ca="1" si="155"/>
        <v>4.9056603773584909E-2</v>
      </c>
      <c r="X469">
        <f t="shared" ca="1" si="156"/>
        <v>196.15384615384616</v>
      </c>
      <c r="Y469">
        <f t="shared" ca="1" si="157"/>
        <v>632.45249999999999</v>
      </c>
      <c r="Z469">
        <f t="shared" ca="1" si="158"/>
        <v>2593.5295316486622</v>
      </c>
      <c r="AA469">
        <f t="shared" ca="1" si="159"/>
        <v>482.07306851378365</v>
      </c>
      <c r="AB469">
        <f t="shared" ca="1" si="160"/>
        <v>482.32750852789786</v>
      </c>
      <c r="AC469">
        <f t="shared" ca="1" si="161"/>
        <v>0</v>
      </c>
      <c r="AD469">
        <f ca="1">IF(V32="Supercritical",L469,U469)</f>
        <v>0.05</v>
      </c>
      <c r="AE469">
        <f t="shared" ca="1" si="162"/>
        <v>632.45249999999999</v>
      </c>
      <c r="AF469">
        <f t="shared" ca="1" si="163"/>
        <v>2593.5295316486622</v>
      </c>
      <c r="AI469">
        <v>0</v>
      </c>
      <c r="AJ469">
        <v>0</v>
      </c>
      <c r="AK469">
        <f t="shared" si="164"/>
        <v>0</v>
      </c>
      <c r="AL469">
        <f t="shared" si="172"/>
        <v>0</v>
      </c>
      <c r="AM469">
        <f t="shared" ca="1" si="165"/>
        <v>280.07692026646265</v>
      </c>
      <c r="AN469" t="str">
        <f t="shared" ca="1" si="166"/>
        <v>Supercritical</v>
      </c>
      <c r="AO469">
        <f ca="1">IF(V32="Supercritical",R469,AA469)</f>
        <v>482.07306851378365</v>
      </c>
    </row>
    <row r="470" spans="1:41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174</v>
      </c>
      <c r="I470">
        <v>7.8E-2</v>
      </c>
      <c r="J470">
        <f t="shared" si="167"/>
        <v>1</v>
      </c>
      <c r="K470">
        <f t="shared" si="168"/>
        <v>51</v>
      </c>
      <c r="L470">
        <f t="shared" ca="1" si="169"/>
        <v>38819.675813779148</v>
      </c>
      <c r="M470">
        <f t="shared" ref="M470:M533" ca="1" si="173">((F470)+(G470)*(L470))*(L470)</f>
        <v>201862.31423165157</v>
      </c>
      <c r="N470">
        <f t="shared" ref="N470:N533" ca="1" si="174">(((F470)+(G470)*(L470))*(L470))/MAX((F470)+2*(L470)*SQRT(1+(G470)^2),0.000001)</f>
        <v>2.5998258731653854</v>
      </c>
      <c r="O470">
        <f t="shared" ref="O470:O533" ca="1" si="175">ABS(K470)/MAX(((F470)+(G470)*(L470))*(L470),0.000001)</f>
        <v>2.5264745524255616E-4</v>
      </c>
      <c r="P470">
        <f t="shared" ref="P470:P533" ca="1" si="176">E470+L470</f>
        <v>39452.077813779149</v>
      </c>
      <c r="Q470">
        <f t="shared" ref="Q470:Q533" ca="1" si="177">P470+((ABS(K470)/MAX(((F470)+(G470)*(L470))*(L470),0.000001))^2)/(2*$I$5)</f>
        <v>39452.077813782402</v>
      </c>
      <c r="R470">
        <f t="shared" ref="R470:R533" ca="1" si="178">((ABS(K470)*$D$6)/(MAX(((F470)+(G470)*(L470))*(L470),0.000001)*MAX(((((F470)+(G470)*(L470))*(L470))/MAX((F470)+2*(L470)*SQRT(1+(G470)^2),0.000001))^(2/3),0.000001)))^2</f>
        <v>4.017476631169458E-12</v>
      </c>
      <c r="S470">
        <f t="shared" ca="1" si="170"/>
        <v>9.8212683224119246E-4</v>
      </c>
      <c r="T470">
        <f t="shared" ca="1" si="171"/>
        <v>1</v>
      </c>
      <c r="U470">
        <f t="shared" ref="U470:U533" ca="1" si="179">IF($D$20=0,U471,IF(AC471=0,U471,IF(U470=0,U471,IF(ABS(AB470)&gt;$D$19,MAX($D$16,U470+((AB470)*$D$18*IF((ABS(ABS(K470)/MAX(((F470)+(G470)*(U470))*(U470),0.000001))/SQRT($I$5*MAX((((F470)+(G470)*(U470))*(U470))/MAX((F470)+2*(G470)*(U470),0.000001),0.000001)))&lt;1,1,-1))),U470))))</f>
        <v>0.05</v>
      </c>
      <c r="V470">
        <f t="shared" ref="V470:V533" ca="1" si="180">((F470)+(G470)*(U470))*(U470)</f>
        <v>0.26</v>
      </c>
      <c r="W470">
        <f t="shared" ref="W470:W533" ca="1" si="181">(((F470)+(G470)*(U470))*(U470))/MAX((F470)+2*(U470)*SQRT(1+(G470)^2),0.000001)</f>
        <v>4.9056603773584909E-2</v>
      </c>
      <c r="X470">
        <f t="shared" ref="X470:X533" ca="1" si="182">ABS(K470)/MAX(((F470)+(G470)*(U470))*(U470),0.000001)</f>
        <v>196.15384615384616</v>
      </c>
      <c r="Y470">
        <f t="shared" ref="Y470:Y533" ca="1" si="183">E470+U470</f>
        <v>632.452</v>
      </c>
      <c r="Z470">
        <f t="shared" ref="Z470:Z533" ca="1" si="184">Y470+((ABS(K470)/MAX(((F470)+(G470)*(U470))*(U470),0.000001))^2)/(2*$I$5)</f>
        <v>2593.5290316486621</v>
      </c>
      <c r="AA470">
        <f t="shared" ref="AA470:AA533" ca="1" si="185">((ABS(K470)*$D$6)/(MAX(((F470)+(G470)*(U470))*(U470),0.000001)*MAX(((((F470)+(G470)*(U470))*(U470))/MAX((F470)+2*(U470)*SQRT(1+(G470)^2),0.000001))^(2/3),0.000001)))^2</f>
        <v>482.07306851378365</v>
      </c>
      <c r="AB470">
        <f t="shared" ref="AB470:AB533" ca="1" si="186">Z471+(((AA470+AA471)/2)*J471)+(IF(X470&gt;X471,$D$8*((X470^2-X471^2)/(2*$I$5)),$D$9*((X471^2-X470^2)/(2*$I$5)))+($D$10*(ABS(I471)/90)*(MAX(X470^2,X471^2)/(2*$I$5))))-Z470</f>
        <v>482.32750852789786</v>
      </c>
      <c r="AC470">
        <f t="shared" ref="AC470:AC533" ca="1" si="187">IF(ABS(AB470)&lt;$D$19,1,0)</f>
        <v>0</v>
      </c>
      <c r="AD470">
        <f ca="1">IF(V32="Supercritical",L470,U470)</f>
        <v>0.05</v>
      </c>
      <c r="AE470">
        <f t="shared" ref="AE470:AE533" ca="1" si="188">E470+AD470</f>
        <v>632.452</v>
      </c>
      <c r="AF470">
        <f t="shared" ref="AF470:AF533" ca="1" si="189">AE470+((ABS(K470)/MAX(((F470)+(G470)*(AD470))*(AD470),0.000001))^2)/(2*$I$5)</f>
        <v>2593.5290316486621</v>
      </c>
      <c r="AI470">
        <v>0</v>
      </c>
      <c r="AJ470">
        <v>0</v>
      </c>
      <c r="AK470">
        <f t="shared" ref="AK470:AK533" si="190">AI470+AJ470</f>
        <v>0</v>
      </c>
      <c r="AL470">
        <f t="shared" si="172"/>
        <v>0</v>
      </c>
      <c r="AM470">
        <f t="shared" ref="AM470:AM533" ca="1" si="191">ABS(ABS(K470)/MAX(((F470)+(G470)*(AD470))*(AD470),0.000001))/SQRT($I$5*MAX((((F470)+(G470)*(AD470))*(AD470))/MAX((F470)+2*(G470)*(AD470),0.000001),0.000001))</f>
        <v>280.07692026646265</v>
      </c>
      <c r="AN470" t="str">
        <f t="shared" ref="AN470:AN533" ca="1" si="192">IF(AM470&lt;1,"Subcritical","Supercritical")</f>
        <v>Supercritical</v>
      </c>
      <c r="AO470">
        <f ca="1">IF(V32="Supercritical",R470,AA470)</f>
        <v>482.07306851378365</v>
      </c>
    </row>
    <row r="471" spans="1:41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174</v>
      </c>
      <c r="I471">
        <v>7.8E-2</v>
      </c>
      <c r="J471">
        <f t="shared" ref="J471:J534" si="193">B471-B470</f>
        <v>1</v>
      </c>
      <c r="K471">
        <f t="shared" ref="K471:K534" si="194">MAX(0,K470-AK470)</f>
        <v>51</v>
      </c>
      <c r="L471">
        <f t="shared" ref="L471:L534" ca="1" si="195">IF($D$20=0,L470,IF(T470=0,L470,IF(L471=0,L470,IF(ABS(S471)&gt;$D$19,MAX($D$16,L471+((S471)*$D$18*IF((ABS(ABS(K471)/MAX(((F471)+(G471)*(L471))*(L471),0.000001))/SQRT($I$5*MAX((((F471)+(G471)*(L471))*(L471))/MAX((F471)+2*(G471)*(L471),0.000001),0.000001)))&lt;1,1,-1))),L471))))</f>
        <v>38819.67564046265</v>
      </c>
      <c r="M471">
        <f t="shared" ca="1" si="173"/>
        <v>201862.3133304058</v>
      </c>
      <c r="N471">
        <f t="shared" ca="1" si="174"/>
        <v>2.5998258731646082</v>
      </c>
      <c r="O471">
        <f t="shared" ca="1" si="175"/>
        <v>2.5264745637054015E-4</v>
      </c>
      <c r="P471">
        <f t="shared" ca="1" si="176"/>
        <v>39452.07714046265</v>
      </c>
      <c r="Q471">
        <f t="shared" ca="1" si="177"/>
        <v>39452.077140465903</v>
      </c>
      <c r="R471">
        <f t="shared" ca="1" si="178"/>
        <v>4.0174766670443603E-12</v>
      </c>
      <c r="S471">
        <f t="shared" ref="S471:S534" ca="1" si="196">Q470-(((R470+R471)/2)*J471)-(IF(O470&gt;O471,$D$8*((O470^2-O471^2)/(2*$I$5)),$D$9*((O471^2-O470^2)/(2*$I$5)))+($D$10*(ABS(I471)/90)*(MAX(O470^2,O471^2)/(2*$I$5))))-Q471</f>
        <v>6.7331649188417941E-4</v>
      </c>
      <c r="T471">
        <f t="shared" ref="T471:T534" ca="1" si="197">IF(ABS(S471)&lt;$D$19,1,0)</f>
        <v>1</v>
      </c>
      <c r="U471">
        <f t="shared" ca="1" si="179"/>
        <v>0.05</v>
      </c>
      <c r="V471">
        <f t="shared" ca="1" si="180"/>
        <v>0.26</v>
      </c>
      <c r="W471">
        <f t="shared" ca="1" si="181"/>
        <v>4.9056603773584909E-2</v>
      </c>
      <c r="X471">
        <f t="shared" ca="1" si="182"/>
        <v>196.15384615384616</v>
      </c>
      <c r="Y471">
        <f t="shared" ca="1" si="183"/>
        <v>632.45150000000001</v>
      </c>
      <c r="Z471">
        <f t="shared" ca="1" si="184"/>
        <v>2593.528531648662</v>
      </c>
      <c r="AA471">
        <f t="shared" ca="1" si="185"/>
        <v>482.07306851378365</v>
      </c>
      <c r="AB471">
        <f t="shared" ca="1" si="186"/>
        <v>482.64289004873763</v>
      </c>
      <c r="AC471">
        <f t="shared" ca="1" si="187"/>
        <v>0</v>
      </c>
      <c r="AD471">
        <f ca="1">IF(V32="Supercritical",L471,U471)</f>
        <v>0.05</v>
      </c>
      <c r="AE471">
        <f t="shared" ca="1" si="188"/>
        <v>632.45150000000001</v>
      </c>
      <c r="AF471">
        <f t="shared" ca="1" si="189"/>
        <v>2593.528531648662</v>
      </c>
      <c r="AI471">
        <v>0</v>
      </c>
      <c r="AJ471">
        <v>0</v>
      </c>
      <c r="AK471">
        <f t="shared" si="190"/>
        <v>0</v>
      </c>
      <c r="AL471">
        <f t="shared" ref="AL471:AL534" si="198">AL470+AK471</f>
        <v>0</v>
      </c>
      <c r="AM471">
        <f t="shared" ca="1" si="191"/>
        <v>280.07692026646265</v>
      </c>
      <c r="AN471" t="str">
        <f t="shared" ca="1" si="192"/>
        <v>Supercritical</v>
      </c>
      <c r="AO471">
        <f ca="1">IF(V32="Supercritical",R471,AA471)</f>
        <v>482.07306851378365</v>
      </c>
    </row>
    <row r="472" spans="1:41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174</v>
      </c>
      <c r="I472">
        <v>2.7E-2</v>
      </c>
      <c r="J472">
        <f t="shared" si="193"/>
        <v>1.0010000000000332</v>
      </c>
      <c r="K472">
        <f t="shared" si="194"/>
        <v>51</v>
      </c>
      <c r="L472">
        <f t="shared" ca="1" si="195"/>
        <v>38819.675157810991</v>
      </c>
      <c r="M472">
        <f t="shared" ca="1" si="173"/>
        <v>201862.31082061716</v>
      </c>
      <c r="N472">
        <f t="shared" ca="1" si="174"/>
        <v>2.5998258731624433</v>
      </c>
      <c r="O472">
        <f t="shared" ca="1" si="175"/>
        <v>2.5264745951174918E-4</v>
      </c>
      <c r="P472">
        <f t="shared" ca="1" si="176"/>
        <v>39452.076157810989</v>
      </c>
      <c r="Q472">
        <f t="shared" ca="1" si="177"/>
        <v>39452.076157814241</v>
      </c>
      <c r="R472">
        <f t="shared" ca="1" si="178"/>
        <v>4.0174767669487717E-12</v>
      </c>
      <c r="S472">
        <f t="shared" ca="1" si="196"/>
        <v>9.8265165433986112E-4</v>
      </c>
      <c r="T472">
        <f t="shared" ca="1" si="197"/>
        <v>1</v>
      </c>
      <c r="U472">
        <f t="shared" ca="1" si="179"/>
        <v>0.05</v>
      </c>
      <c r="V472">
        <f t="shared" ca="1" si="180"/>
        <v>0.26</v>
      </c>
      <c r="W472">
        <f t="shared" ca="1" si="181"/>
        <v>4.9056603773584909E-2</v>
      </c>
      <c r="X472">
        <f t="shared" ca="1" si="182"/>
        <v>196.15384615384616</v>
      </c>
      <c r="Y472">
        <f t="shared" ca="1" si="183"/>
        <v>632.45099999999991</v>
      </c>
      <c r="Z472">
        <f t="shared" ca="1" si="184"/>
        <v>2593.5280316486619</v>
      </c>
      <c r="AA472">
        <f t="shared" ca="1" si="185"/>
        <v>482.07306851378365</v>
      </c>
      <c r="AB472">
        <f t="shared" ca="1" si="186"/>
        <v>481.59049544525396</v>
      </c>
      <c r="AC472">
        <f t="shared" ca="1" si="187"/>
        <v>0</v>
      </c>
      <c r="AD472">
        <f ca="1">IF(V32="Supercritical",L472,U472)</f>
        <v>0.05</v>
      </c>
      <c r="AE472">
        <f t="shared" ca="1" si="188"/>
        <v>632.45099999999991</v>
      </c>
      <c r="AF472">
        <f t="shared" ca="1" si="189"/>
        <v>2593.5280316486619</v>
      </c>
      <c r="AI472">
        <v>0</v>
      </c>
      <c r="AJ472">
        <v>0</v>
      </c>
      <c r="AK472">
        <f t="shared" si="190"/>
        <v>0</v>
      </c>
      <c r="AL472">
        <f t="shared" si="198"/>
        <v>0</v>
      </c>
      <c r="AM472">
        <f t="shared" ca="1" si="191"/>
        <v>280.07692026646265</v>
      </c>
      <c r="AN472" t="str">
        <f t="shared" ca="1" si="192"/>
        <v>Supercritical</v>
      </c>
      <c r="AO472">
        <f ca="1">IF(V32="Supercritical",R472,AA472)</f>
        <v>482.07306851378365</v>
      </c>
    </row>
    <row r="473" spans="1:41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174</v>
      </c>
      <c r="I473">
        <v>0</v>
      </c>
      <c r="J473">
        <f t="shared" si="193"/>
        <v>0.9989999999999668</v>
      </c>
      <c r="K473">
        <f t="shared" si="194"/>
        <v>51</v>
      </c>
      <c r="L473">
        <f t="shared" ca="1" si="195"/>
        <v>38819.674984401878</v>
      </c>
      <c r="M473">
        <f t="shared" ca="1" si="173"/>
        <v>201862.30991888978</v>
      </c>
      <c r="N473">
        <f t="shared" ca="1" si="174"/>
        <v>2.5998258731616652</v>
      </c>
      <c r="O473">
        <f t="shared" ca="1" si="175"/>
        <v>2.5264746064033593E-4</v>
      </c>
      <c r="P473">
        <f t="shared" ca="1" si="176"/>
        <v>39452.075484401881</v>
      </c>
      <c r="Q473">
        <f t="shared" ca="1" si="177"/>
        <v>39452.075484405133</v>
      </c>
      <c r="R473">
        <f t="shared" ca="1" si="178"/>
        <v>4.017476802842847E-12</v>
      </c>
      <c r="S473">
        <f t="shared" ca="1" si="196"/>
        <v>6.7340910027269274E-4</v>
      </c>
      <c r="T473">
        <f t="shared" ca="1" si="197"/>
        <v>1</v>
      </c>
      <c r="U473">
        <f t="shared" ca="1" si="179"/>
        <v>0.05</v>
      </c>
      <c r="V473">
        <f t="shared" ca="1" si="180"/>
        <v>0.26</v>
      </c>
      <c r="W473">
        <f t="shared" ca="1" si="181"/>
        <v>4.9056603773584909E-2</v>
      </c>
      <c r="X473">
        <f t="shared" ca="1" si="182"/>
        <v>196.15384615384616</v>
      </c>
      <c r="Y473">
        <f t="shared" ca="1" si="183"/>
        <v>632.45049999999992</v>
      </c>
      <c r="Z473">
        <f t="shared" ca="1" si="184"/>
        <v>2593.5275316486623</v>
      </c>
      <c r="AA473">
        <f t="shared" ca="1" si="185"/>
        <v>482.07306851378365</v>
      </c>
      <c r="AB473">
        <f t="shared" ca="1" si="186"/>
        <v>482.16081698020798</v>
      </c>
      <c r="AC473">
        <f t="shared" ca="1" si="187"/>
        <v>0</v>
      </c>
      <c r="AD473">
        <f ca="1">IF(V32="Supercritical",L473,U473)</f>
        <v>0.05</v>
      </c>
      <c r="AE473">
        <f t="shared" ca="1" si="188"/>
        <v>632.45049999999992</v>
      </c>
      <c r="AF473">
        <f t="shared" ca="1" si="189"/>
        <v>2593.5275316486623</v>
      </c>
      <c r="AI473">
        <v>0</v>
      </c>
      <c r="AJ473">
        <v>0</v>
      </c>
      <c r="AK473">
        <f t="shared" si="190"/>
        <v>0</v>
      </c>
      <c r="AL473">
        <f t="shared" si="198"/>
        <v>0</v>
      </c>
      <c r="AM473">
        <f t="shared" ca="1" si="191"/>
        <v>280.07692026646265</v>
      </c>
      <c r="AN473" t="str">
        <f t="shared" ca="1" si="192"/>
        <v>Supercritical</v>
      </c>
      <c r="AO473">
        <f ca="1">IF(V32="Supercritical",R473,AA473)</f>
        <v>482.07306851378365</v>
      </c>
    </row>
    <row r="474" spans="1:41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174</v>
      </c>
      <c r="I474">
        <v>2.7E-2</v>
      </c>
      <c r="J474">
        <f t="shared" si="193"/>
        <v>1</v>
      </c>
      <c r="K474">
        <f t="shared" si="194"/>
        <v>51</v>
      </c>
      <c r="L474">
        <f t="shared" ca="1" si="195"/>
        <v>38819.674501238929</v>
      </c>
      <c r="M474">
        <f t="shared" ca="1" si="173"/>
        <v>201862.30740644244</v>
      </c>
      <c r="N474">
        <f t="shared" ca="1" si="174"/>
        <v>2.5998258731594981</v>
      </c>
      <c r="O474">
        <f t="shared" ca="1" si="175"/>
        <v>2.5264746378487264E-4</v>
      </c>
      <c r="P474">
        <f t="shared" ca="1" si="176"/>
        <v>39452.074501238931</v>
      </c>
      <c r="Q474">
        <f t="shared" ca="1" si="177"/>
        <v>39452.074501242183</v>
      </c>
      <c r="R474">
        <f t="shared" ca="1" si="178"/>
        <v>4.0174769028530956E-12</v>
      </c>
      <c r="S474">
        <f t="shared" ca="1" si="196"/>
        <v>9.8316294315736741E-4</v>
      </c>
      <c r="T474">
        <f t="shared" ca="1" si="197"/>
        <v>1</v>
      </c>
      <c r="U474">
        <f t="shared" ca="1" si="179"/>
        <v>0.05</v>
      </c>
      <c r="V474">
        <f t="shared" ca="1" si="180"/>
        <v>0.26</v>
      </c>
      <c r="W474">
        <f t="shared" ca="1" si="181"/>
        <v>4.9056603773584909E-2</v>
      </c>
      <c r="X474">
        <f t="shared" ca="1" si="182"/>
        <v>196.15384615384616</v>
      </c>
      <c r="Y474">
        <f t="shared" ca="1" si="183"/>
        <v>632.44999999999993</v>
      </c>
      <c r="Z474">
        <f t="shared" ca="1" si="184"/>
        <v>2593.5270316486622</v>
      </c>
      <c r="AA474">
        <f t="shared" ca="1" si="185"/>
        <v>482.07306851378365</v>
      </c>
      <c r="AB474">
        <f t="shared" ca="1" si="186"/>
        <v>482.32750852789786</v>
      </c>
      <c r="AC474">
        <f t="shared" ca="1" si="187"/>
        <v>0</v>
      </c>
      <c r="AD474">
        <f ca="1">IF(V32="Supercritical",L474,U474)</f>
        <v>0.05</v>
      </c>
      <c r="AE474">
        <f t="shared" ca="1" si="188"/>
        <v>632.44999999999993</v>
      </c>
      <c r="AF474">
        <f t="shared" ca="1" si="189"/>
        <v>2593.5270316486622</v>
      </c>
      <c r="AI474">
        <v>0</v>
      </c>
      <c r="AJ474">
        <v>0</v>
      </c>
      <c r="AK474">
        <f t="shared" si="190"/>
        <v>0</v>
      </c>
      <c r="AL474">
        <f t="shared" si="198"/>
        <v>0</v>
      </c>
      <c r="AM474">
        <f t="shared" ca="1" si="191"/>
        <v>280.07692026646265</v>
      </c>
      <c r="AN474" t="str">
        <f t="shared" ca="1" si="192"/>
        <v>Supercritical</v>
      </c>
      <c r="AO474">
        <f ca="1">IF(V32="Supercritical",R474,AA474)</f>
        <v>482.07306851378365</v>
      </c>
    </row>
    <row r="475" spans="1:41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174</v>
      </c>
      <c r="I475">
        <v>7.8E-2</v>
      </c>
      <c r="J475">
        <f t="shared" si="193"/>
        <v>1</v>
      </c>
      <c r="K475">
        <f t="shared" si="194"/>
        <v>51</v>
      </c>
      <c r="L475">
        <f t="shared" ca="1" si="195"/>
        <v>38819.674327739587</v>
      </c>
      <c r="M475">
        <f t="shared" ca="1" si="173"/>
        <v>201862.30650424585</v>
      </c>
      <c r="N475">
        <f t="shared" ca="1" si="174"/>
        <v>2.59982587315872</v>
      </c>
      <c r="O475">
        <f t="shared" ca="1" si="175"/>
        <v>2.5264746491404671E-4</v>
      </c>
      <c r="P475">
        <f t="shared" ca="1" si="176"/>
        <v>39452.073827739587</v>
      </c>
      <c r="Q475">
        <f t="shared" ca="1" si="177"/>
        <v>39452.073827742839</v>
      </c>
      <c r="R475">
        <f t="shared" ca="1" si="178"/>
        <v>4.0174769387658487E-12</v>
      </c>
      <c r="S475">
        <f t="shared" ca="1" si="196"/>
        <v>6.7349933669902384E-4</v>
      </c>
      <c r="T475">
        <f t="shared" ca="1" si="197"/>
        <v>1</v>
      </c>
      <c r="U475">
        <f t="shared" ca="1" si="179"/>
        <v>0.05</v>
      </c>
      <c r="V475">
        <f t="shared" ca="1" si="180"/>
        <v>0.26</v>
      </c>
      <c r="W475">
        <f t="shared" ca="1" si="181"/>
        <v>4.9056603773584909E-2</v>
      </c>
      <c r="X475">
        <f t="shared" ca="1" si="182"/>
        <v>196.15384615384616</v>
      </c>
      <c r="Y475">
        <f t="shared" ca="1" si="183"/>
        <v>632.44949999999994</v>
      </c>
      <c r="Z475">
        <f t="shared" ca="1" si="184"/>
        <v>2593.5265316486621</v>
      </c>
      <c r="AA475">
        <f t="shared" ca="1" si="185"/>
        <v>482.07306851378365</v>
      </c>
      <c r="AB475">
        <f t="shared" ca="1" si="186"/>
        <v>482.32750852789786</v>
      </c>
      <c r="AC475">
        <f t="shared" ca="1" si="187"/>
        <v>0</v>
      </c>
      <c r="AD475">
        <f ca="1">IF(V32="Supercritical",L475,U475)</f>
        <v>0.05</v>
      </c>
      <c r="AE475">
        <f t="shared" ca="1" si="188"/>
        <v>632.44949999999994</v>
      </c>
      <c r="AF475">
        <f t="shared" ca="1" si="189"/>
        <v>2593.5265316486621</v>
      </c>
      <c r="AI475">
        <v>0</v>
      </c>
      <c r="AJ475">
        <v>0</v>
      </c>
      <c r="AK475">
        <f t="shared" si="190"/>
        <v>0</v>
      </c>
      <c r="AL475">
        <f t="shared" si="198"/>
        <v>0</v>
      </c>
      <c r="AM475">
        <f t="shared" ca="1" si="191"/>
        <v>280.07692026646265</v>
      </c>
      <c r="AN475" t="str">
        <f t="shared" ca="1" si="192"/>
        <v>Supercritical</v>
      </c>
      <c r="AO475">
        <f ca="1">IF(V32="Supercritical",R475,AA475)</f>
        <v>482.07306851378365</v>
      </c>
    </row>
    <row r="476" spans="1:41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174</v>
      </c>
      <c r="I476">
        <v>7.8E-2</v>
      </c>
      <c r="J476">
        <f t="shared" si="193"/>
        <v>1</v>
      </c>
      <c r="K476">
        <f t="shared" si="194"/>
        <v>51</v>
      </c>
      <c r="L476">
        <f t="shared" ca="1" si="195"/>
        <v>38819.673844078483</v>
      </c>
      <c r="M476">
        <f t="shared" ca="1" si="173"/>
        <v>201862.30398920813</v>
      </c>
      <c r="N476">
        <f t="shared" ca="1" si="174"/>
        <v>2.5998258731565507</v>
      </c>
      <c r="O476">
        <f t="shared" ca="1" si="175"/>
        <v>2.5264746806182562E-4</v>
      </c>
      <c r="P476">
        <f t="shared" ca="1" si="176"/>
        <v>39452.072844078481</v>
      </c>
      <c r="Q476">
        <f t="shared" ca="1" si="177"/>
        <v>39452.072844081733</v>
      </c>
      <c r="R476">
        <f t="shared" ca="1" si="178"/>
        <v>4.0174770388792137E-12</v>
      </c>
      <c r="S476">
        <f t="shared" ca="1" si="196"/>
        <v>9.8366109887138009E-4</v>
      </c>
      <c r="T476">
        <f t="shared" ca="1" si="197"/>
        <v>1</v>
      </c>
      <c r="U476">
        <f t="shared" ca="1" si="179"/>
        <v>0.05</v>
      </c>
      <c r="V476">
        <f t="shared" ca="1" si="180"/>
        <v>0.26</v>
      </c>
      <c r="W476">
        <f t="shared" ca="1" si="181"/>
        <v>4.9056603773584909E-2</v>
      </c>
      <c r="X476">
        <f t="shared" ca="1" si="182"/>
        <v>196.15384615384616</v>
      </c>
      <c r="Y476">
        <f t="shared" ca="1" si="183"/>
        <v>632.44899999999996</v>
      </c>
      <c r="Z476">
        <f t="shared" ca="1" si="184"/>
        <v>2593.526031648662</v>
      </c>
      <c r="AA476">
        <f t="shared" ca="1" si="185"/>
        <v>482.07306851378365</v>
      </c>
      <c r="AB476">
        <f t="shared" ca="1" si="186"/>
        <v>482.64289004873763</v>
      </c>
      <c r="AC476">
        <f t="shared" ca="1" si="187"/>
        <v>0</v>
      </c>
      <c r="AD476">
        <f ca="1">IF(V32="Supercritical",L476,U476)</f>
        <v>0.05</v>
      </c>
      <c r="AE476">
        <f t="shared" ca="1" si="188"/>
        <v>632.44899999999996</v>
      </c>
      <c r="AF476">
        <f t="shared" ca="1" si="189"/>
        <v>2593.526031648662</v>
      </c>
      <c r="AI476">
        <v>0</v>
      </c>
      <c r="AJ476">
        <v>0</v>
      </c>
      <c r="AK476">
        <f t="shared" si="190"/>
        <v>0</v>
      </c>
      <c r="AL476">
        <f t="shared" si="198"/>
        <v>0</v>
      </c>
      <c r="AM476">
        <f t="shared" ca="1" si="191"/>
        <v>280.07692026646265</v>
      </c>
      <c r="AN476" t="str">
        <f t="shared" ca="1" si="192"/>
        <v>Supercritical</v>
      </c>
      <c r="AO476">
        <f ca="1">IF(V32="Supercritical",R476,AA476)</f>
        <v>482.07306851378365</v>
      </c>
    </row>
    <row r="477" spans="1:41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174</v>
      </c>
      <c r="I477">
        <v>2.7E-2</v>
      </c>
      <c r="J477">
        <f t="shared" si="193"/>
        <v>1.0010000000000332</v>
      </c>
      <c r="K477">
        <f t="shared" si="194"/>
        <v>51</v>
      </c>
      <c r="L477">
        <f t="shared" ca="1" si="195"/>
        <v>38819.673670491233</v>
      </c>
      <c r="M477">
        <f t="shared" ca="1" si="173"/>
        <v>201862.30308655443</v>
      </c>
      <c r="N477">
        <f t="shared" ca="1" si="174"/>
        <v>2.5998258731557722</v>
      </c>
      <c r="O477">
        <f t="shared" ca="1" si="175"/>
        <v>2.5264746919157187E-4</v>
      </c>
      <c r="P477">
        <f t="shared" ca="1" si="176"/>
        <v>39452.072170491236</v>
      </c>
      <c r="Q477">
        <f t="shared" ca="1" si="177"/>
        <v>39452.072170494488</v>
      </c>
      <c r="R477">
        <f t="shared" ca="1" si="178"/>
        <v>4.017477074810168E-12</v>
      </c>
      <c r="S477">
        <f t="shared" ca="1" si="196"/>
        <v>6.7358723754296079E-4</v>
      </c>
      <c r="T477">
        <f t="shared" ca="1" si="197"/>
        <v>1</v>
      </c>
      <c r="U477">
        <f t="shared" ca="1" si="179"/>
        <v>0.05</v>
      </c>
      <c r="V477">
        <f t="shared" ca="1" si="180"/>
        <v>0.26</v>
      </c>
      <c r="W477">
        <f t="shared" ca="1" si="181"/>
        <v>4.9056603773584909E-2</v>
      </c>
      <c r="X477">
        <f t="shared" ca="1" si="182"/>
        <v>196.15384615384616</v>
      </c>
      <c r="Y477">
        <f t="shared" ca="1" si="183"/>
        <v>632.44849999999997</v>
      </c>
      <c r="Z477">
        <f t="shared" ca="1" si="184"/>
        <v>2593.5255316486619</v>
      </c>
      <c r="AA477">
        <f t="shared" ca="1" si="185"/>
        <v>482.07306851378365</v>
      </c>
      <c r="AB477">
        <f t="shared" ca="1" si="186"/>
        <v>481.59049544525442</v>
      </c>
      <c r="AC477">
        <f t="shared" ca="1" si="187"/>
        <v>0</v>
      </c>
      <c r="AD477">
        <f ca="1">IF(V32="Supercritical",L477,U477)</f>
        <v>0.05</v>
      </c>
      <c r="AE477">
        <f t="shared" ca="1" si="188"/>
        <v>632.44849999999997</v>
      </c>
      <c r="AF477">
        <f t="shared" ca="1" si="189"/>
        <v>2593.5255316486619</v>
      </c>
      <c r="AI477">
        <v>0</v>
      </c>
      <c r="AJ477">
        <v>0</v>
      </c>
      <c r="AK477">
        <f t="shared" si="190"/>
        <v>0</v>
      </c>
      <c r="AL477">
        <f t="shared" si="198"/>
        <v>0</v>
      </c>
      <c r="AM477">
        <f t="shared" ca="1" si="191"/>
        <v>280.07692026646265</v>
      </c>
      <c r="AN477" t="str">
        <f t="shared" ca="1" si="192"/>
        <v>Supercritical</v>
      </c>
      <c r="AO477">
        <f ca="1">IF(V32="Supercritical",R477,AA477)</f>
        <v>482.07306851378365</v>
      </c>
    </row>
    <row r="478" spans="1:41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174</v>
      </c>
      <c r="I478">
        <v>0</v>
      </c>
      <c r="J478">
        <f t="shared" si="193"/>
        <v>0.9989999999999668</v>
      </c>
      <c r="K478">
        <f t="shared" si="194"/>
        <v>51</v>
      </c>
      <c r="L478">
        <f t="shared" ca="1" si="195"/>
        <v>38819.673186344698</v>
      </c>
      <c r="M478">
        <f t="shared" ca="1" si="173"/>
        <v>201862.30056899245</v>
      </c>
      <c r="N478">
        <f t="shared" ca="1" si="174"/>
        <v>2.5998258731536006</v>
      </c>
      <c r="O478">
        <f t="shared" ca="1" si="175"/>
        <v>2.5264747234251021E-4</v>
      </c>
      <c r="P478">
        <f t="shared" ca="1" si="176"/>
        <v>39452.0711863447</v>
      </c>
      <c r="Q478">
        <f t="shared" ca="1" si="177"/>
        <v>39452.071186347952</v>
      </c>
      <c r="R478">
        <f t="shared" ca="1" si="178"/>
        <v>4.0174771750240169E-12</v>
      </c>
      <c r="S478">
        <f t="shared" ca="1" si="196"/>
        <v>9.8414652893552557E-4</v>
      </c>
      <c r="T478">
        <f t="shared" ca="1" si="197"/>
        <v>1</v>
      </c>
      <c r="U478">
        <f t="shared" ca="1" si="179"/>
        <v>0.05</v>
      </c>
      <c r="V478">
        <f t="shared" ca="1" si="180"/>
        <v>0.26</v>
      </c>
      <c r="W478">
        <f t="shared" ca="1" si="181"/>
        <v>4.9056603773584909E-2</v>
      </c>
      <c r="X478">
        <f t="shared" ca="1" si="182"/>
        <v>196.15384615384616</v>
      </c>
      <c r="Y478">
        <f t="shared" ca="1" si="183"/>
        <v>632.44799999999998</v>
      </c>
      <c r="Z478">
        <f t="shared" ca="1" si="184"/>
        <v>2593.5250316486622</v>
      </c>
      <c r="AA478">
        <f t="shared" ca="1" si="185"/>
        <v>482.07306851378365</v>
      </c>
      <c r="AB478">
        <f t="shared" ca="1" si="186"/>
        <v>482.1477431333301</v>
      </c>
      <c r="AC478">
        <f t="shared" ca="1" si="187"/>
        <v>0</v>
      </c>
      <c r="AD478">
        <f ca="1">IF(V32="Supercritical",L478,U478)</f>
        <v>0.05</v>
      </c>
      <c r="AE478">
        <f t="shared" ca="1" si="188"/>
        <v>632.44799999999998</v>
      </c>
      <c r="AF478">
        <f t="shared" ca="1" si="189"/>
        <v>2593.5250316486622</v>
      </c>
      <c r="AI478">
        <v>0</v>
      </c>
      <c r="AJ478">
        <v>0</v>
      </c>
      <c r="AK478">
        <f t="shared" si="190"/>
        <v>0</v>
      </c>
      <c r="AL478">
        <f t="shared" si="198"/>
        <v>0</v>
      </c>
      <c r="AM478">
        <f t="shared" ca="1" si="191"/>
        <v>280.07692026646265</v>
      </c>
      <c r="AN478" t="str">
        <f t="shared" ca="1" si="192"/>
        <v>Supercritical</v>
      </c>
      <c r="AO478">
        <f ca="1">IF(V32="Supercritical",R478,AA478)</f>
        <v>482.07306851378365</v>
      </c>
    </row>
    <row r="479" spans="1:41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174</v>
      </c>
      <c r="I479">
        <v>2.3E-2</v>
      </c>
      <c r="J479">
        <f t="shared" si="193"/>
        <v>1</v>
      </c>
      <c r="K479">
        <f t="shared" si="194"/>
        <v>51</v>
      </c>
      <c r="L479">
        <f t="shared" ca="1" si="195"/>
        <v>38819.673012671781</v>
      </c>
      <c r="M479">
        <f t="shared" ca="1" si="173"/>
        <v>201862.29966589328</v>
      </c>
      <c r="N479">
        <f t="shared" ca="1" si="174"/>
        <v>2.5998258731528217</v>
      </c>
      <c r="O479">
        <f t="shared" ca="1" si="175"/>
        <v>2.5264747347281396E-4</v>
      </c>
      <c r="P479">
        <f t="shared" ca="1" si="176"/>
        <v>39452.07051267178</v>
      </c>
      <c r="Q479">
        <f t="shared" ca="1" si="177"/>
        <v>39452.070512675033</v>
      </c>
      <c r="R479">
        <f t="shared" ca="1" si="178"/>
        <v>4.0174772109727047E-12</v>
      </c>
      <c r="S479">
        <f t="shared" ca="1" si="196"/>
        <v>6.736729119438678E-4</v>
      </c>
      <c r="T479">
        <f t="shared" ca="1" si="197"/>
        <v>1</v>
      </c>
      <c r="U479">
        <f t="shared" ca="1" si="179"/>
        <v>0.05</v>
      </c>
      <c r="V479">
        <f t="shared" ca="1" si="180"/>
        <v>0.26</v>
      </c>
      <c r="W479">
        <f t="shared" ca="1" si="181"/>
        <v>4.9056603773584909E-2</v>
      </c>
      <c r="X479">
        <f t="shared" ca="1" si="182"/>
        <v>196.15384615384616</v>
      </c>
      <c r="Y479">
        <f t="shared" ca="1" si="183"/>
        <v>632.44749999999999</v>
      </c>
      <c r="Z479">
        <f t="shared" ca="1" si="184"/>
        <v>2593.5245316486621</v>
      </c>
      <c r="AA479">
        <f t="shared" ca="1" si="185"/>
        <v>482.07306851378365</v>
      </c>
      <c r="AB479">
        <f t="shared" ca="1" si="186"/>
        <v>482.62981620185974</v>
      </c>
      <c r="AC479">
        <f t="shared" ca="1" si="187"/>
        <v>0</v>
      </c>
      <c r="AD479">
        <f ca="1">IF(V32="Supercritical",L479,U479)</f>
        <v>0.05</v>
      </c>
      <c r="AE479">
        <f t="shared" ca="1" si="188"/>
        <v>632.44749999999999</v>
      </c>
      <c r="AF479">
        <f t="shared" ca="1" si="189"/>
        <v>2593.5245316486621</v>
      </c>
      <c r="AI479">
        <v>0</v>
      </c>
      <c r="AJ479">
        <v>0</v>
      </c>
      <c r="AK479">
        <f t="shared" si="190"/>
        <v>0</v>
      </c>
      <c r="AL479">
        <f t="shared" si="198"/>
        <v>0</v>
      </c>
      <c r="AM479">
        <f t="shared" ca="1" si="191"/>
        <v>280.07692026646265</v>
      </c>
      <c r="AN479" t="str">
        <f t="shared" ca="1" si="192"/>
        <v>Supercritical</v>
      </c>
      <c r="AO479">
        <f ca="1">IF(V32="Supercritical",R479,AA479)</f>
        <v>482.07306851378365</v>
      </c>
    </row>
    <row r="480" spans="1:41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174</v>
      </c>
      <c r="I480">
        <v>2.3E-2</v>
      </c>
      <c r="J480">
        <f t="shared" si="193"/>
        <v>1.0010000000000332</v>
      </c>
      <c r="K480">
        <f t="shared" si="194"/>
        <v>51</v>
      </c>
      <c r="L480">
        <f t="shared" ca="1" si="195"/>
        <v>38819.672528052186</v>
      </c>
      <c r="M480">
        <f t="shared" ca="1" si="173"/>
        <v>201862.29714587139</v>
      </c>
      <c r="N480">
        <f t="shared" ca="1" si="174"/>
        <v>2.5998258731506483</v>
      </c>
      <c r="O480">
        <f t="shared" ca="1" si="175"/>
        <v>2.5264747662683121E-4</v>
      </c>
      <c r="P480">
        <f t="shared" ca="1" si="176"/>
        <v>39452.069528052183</v>
      </c>
      <c r="Q480">
        <f t="shared" ca="1" si="177"/>
        <v>39452.069528055436</v>
      </c>
      <c r="R480">
        <f t="shared" ca="1" si="178"/>
        <v>4.0174773112844783E-12</v>
      </c>
      <c r="S480">
        <f t="shared" ca="1" si="196"/>
        <v>9.8461958987172693E-4</v>
      </c>
      <c r="T480">
        <f t="shared" ca="1" si="197"/>
        <v>1</v>
      </c>
      <c r="U480">
        <f t="shared" ca="1" si="179"/>
        <v>0.05</v>
      </c>
      <c r="V480">
        <f t="shared" ca="1" si="180"/>
        <v>0.26</v>
      </c>
      <c r="W480">
        <f t="shared" ca="1" si="181"/>
        <v>4.9056603773584909E-2</v>
      </c>
      <c r="X480">
        <f t="shared" ca="1" si="182"/>
        <v>196.15384615384616</v>
      </c>
      <c r="Y480">
        <f t="shared" ca="1" si="183"/>
        <v>632.447</v>
      </c>
      <c r="Z480">
        <f t="shared" ca="1" si="184"/>
        <v>2593.524031648662</v>
      </c>
      <c r="AA480">
        <f t="shared" ca="1" si="185"/>
        <v>482.07306851378365</v>
      </c>
      <c r="AB480">
        <f t="shared" ca="1" si="186"/>
        <v>481.67874391167834</v>
      </c>
      <c r="AC480">
        <f t="shared" ca="1" si="187"/>
        <v>0</v>
      </c>
      <c r="AD480">
        <f ca="1">IF(V32="Supercritical",L480,U480)</f>
        <v>0.05</v>
      </c>
      <c r="AE480">
        <f t="shared" ca="1" si="188"/>
        <v>632.447</v>
      </c>
      <c r="AF480">
        <f t="shared" ca="1" si="189"/>
        <v>2593.524031648662</v>
      </c>
      <c r="AI480">
        <v>0</v>
      </c>
      <c r="AJ480">
        <v>0</v>
      </c>
      <c r="AK480">
        <f t="shared" si="190"/>
        <v>0</v>
      </c>
      <c r="AL480">
        <f t="shared" si="198"/>
        <v>0</v>
      </c>
      <c r="AM480">
        <f t="shared" ca="1" si="191"/>
        <v>280.07692026646265</v>
      </c>
      <c r="AN480" t="str">
        <f t="shared" ca="1" si="192"/>
        <v>Supercritical</v>
      </c>
      <c r="AO480">
        <f ca="1">IF(V32="Supercritical",R480,AA480)</f>
        <v>482.07306851378365</v>
      </c>
    </row>
    <row r="481" spans="1:41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174</v>
      </c>
      <c r="I481">
        <v>2.7E-2</v>
      </c>
      <c r="J481">
        <f t="shared" si="193"/>
        <v>0.9989999999999668</v>
      </c>
      <c r="K481">
        <f t="shared" si="194"/>
        <v>51</v>
      </c>
      <c r="L481">
        <f t="shared" ca="1" si="195"/>
        <v>38819.672354295784</v>
      </c>
      <c r="M481">
        <f t="shared" ca="1" si="173"/>
        <v>201862.29624233808</v>
      </c>
      <c r="N481">
        <f t="shared" ca="1" si="174"/>
        <v>2.5998258731498685</v>
      </c>
      <c r="O481">
        <f t="shared" ca="1" si="175"/>
        <v>2.5264747775767841E-4</v>
      </c>
      <c r="P481">
        <f t="shared" ca="1" si="176"/>
        <v>39452.068854295787</v>
      </c>
      <c r="Q481">
        <f t="shared" ca="1" si="177"/>
        <v>39452.068854299039</v>
      </c>
      <c r="R481">
        <f t="shared" ca="1" si="178"/>
        <v>4.0174773472504481E-12</v>
      </c>
      <c r="S481">
        <f t="shared" ca="1" si="196"/>
        <v>6.7375638900557533E-4</v>
      </c>
      <c r="T481">
        <f t="shared" ca="1" si="197"/>
        <v>1</v>
      </c>
      <c r="U481">
        <f t="shared" ca="1" si="179"/>
        <v>0.05</v>
      </c>
      <c r="V481">
        <f t="shared" ca="1" si="180"/>
        <v>0.26</v>
      </c>
      <c r="W481">
        <f t="shared" ca="1" si="181"/>
        <v>4.9056603773584909E-2</v>
      </c>
      <c r="X481">
        <f t="shared" ca="1" si="182"/>
        <v>196.15384615384616</v>
      </c>
      <c r="Y481">
        <f t="shared" ca="1" si="183"/>
        <v>632.4464999999999</v>
      </c>
      <c r="Z481">
        <f t="shared" ca="1" si="184"/>
        <v>2593.5235316486619</v>
      </c>
      <c r="AA481">
        <f t="shared" ca="1" si="185"/>
        <v>482.07306851378365</v>
      </c>
      <c r="AB481">
        <f t="shared" ca="1" si="186"/>
        <v>482.64289004873808</v>
      </c>
      <c r="AC481">
        <f t="shared" ca="1" si="187"/>
        <v>0</v>
      </c>
      <c r="AD481">
        <f ca="1">IF(V32="Supercritical",L481,U481)</f>
        <v>0.05</v>
      </c>
      <c r="AE481">
        <f t="shared" ca="1" si="188"/>
        <v>632.4464999999999</v>
      </c>
      <c r="AF481">
        <f t="shared" ca="1" si="189"/>
        <v>2593.5235316486619</v>
      </c>
      <c r="AI481">
        <v>0</v>
      </c>
      <c r="AJ481">
        <v>0</v>
      </c>
      <c r="AK481">
        <f t="shared" si="190"/>
        <v>0</v>
      </c>
      <c r="AL481">
        <f t="shared" si="198"/>
        <v>0</v>
      </c>
      <c r="AM481">
        <f t="shared" ca="1" si="191"/>
        <v>280.07692026646265</v>
      </c>
      <c r="AN481" t="str">
        <f t="shared" ca="1" si="192"/>
        <v>Supercritical</v>
      </c>
      <c r="AO481">
        <f ca="1">IF(V32="Supercritical",R481,AA481)</f>
        <v>482.07306851378365</v>
      </c>
    </row>
    <row r="482" spans="1:41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174</v>
      </c>
      <c r="I482">
        <v>2.7E-2</v>
      </c>
      <c r="J482">
        <f t="shared" si="193"/>
        <v>1.0010000000000332</v>
      </c>
      <c r="K482">
        <f t="shared" si="194"/>
        <v>51</v>
      </c>
      <c r="L482">
        <f t="shared" ca="1" si="195"/>
        <v>38819.671869215104</v>
      </c>
      <c r="M482">
        <f t="shared" ca="1" si="173"/>
        <v>201862.29371991855</v>
      </c>
      <c r="N482">
        <f t="shared" ca="1" si="174"/>
        <v>2.5998258731476929</v>
      </c>
      <c r="O482">
        <f t="shared" ca="1" si="175"/>
        <v>2.5264748091469657E-4</v>
      </c>
      <c r="P482">
        <f t="shared" ca="1" si="176"/>
        <v>39452.067869215105</v>
      </c>
      <c r="Q482">
        <f t="shared" ca="1" si="177"/>
        <v>39452.067869218357</v>
      </c>
      <c r="R482">
        <f t="shared" ca="1" si="178"/>
        <v>4.017477447657669E-12</v>
      </c>
      <c r="S482">
        <f t="shared" ca="1" si="196"/>
        <v>9.8508067458169535E-4</v>
      </c>
      <c r="T482">
        <f t="shared" ca="1" si="197"/>
        <v>1</v>
      </c>
      <c r="U482">
        <f t="shared" ca="1" si="179"/>
        <v>0.05</v>
      </c>
      <c r="V482">
        <f t="shared" ca="1" si="180"/>
        <v>0.26</v>
      </c>
      <c r="W482">
        <f t="shared" ca="1" si="181"/>
        <v>4.9056603773584909E-2</v>
      </c>
      <c r="X482">
        <f t="shared" ca="1" si="182"/>
        <v>196.15384615384616</v>
      </c>
      <c r="Y482">
        <f t="shared" ca="1" si="183"/>
        <v>632.44599999999991</v>
      </c>
      <c r="Z482">
        <f t="shared" ca="1" si="184"/>
        <v>2593.5230316486623</v>
      </c>
      <c r="AA482">
        <f t="shared" ca="1" si="185"/>
        <v>482.07306851378365</v>
      </c>
      <c r="AB482">
        <f t="shared" ca="1" si="186"/>
        <v>481.75391853122437</v>
      </c>
      <c r="AC482">
        <f t="shared" ca="1" si="187"/>
        <v>0</v>
      </c>
      <c r="AD482">
        <f ca="1">IF(V32="Supercritical",L482,U482)</f>
        <v>0.05</v>
      </c>
      <c r="AE482">
        <f t="shared" ca="1" si="188"/>
        <v>632.44599999999991</v>
      </c>
      <c r="AF482">
        <f t="shared" ca="1" si="189"/>
        <v>2593.5230316486623</v>
      </c>
      <c r="AI482">
        <v>0</v>
      </c>
      <c r="AJ482">
        <v>0</v>
      </c>
      <c r="AK482">
        <f t="shared" si="190"/>
        <v>0</v>
      </c>
      <c r="AL482">
        <f t="shared" si="198"/>
        <v>0</v>
      </c>
      <c r="AM482">
        <f t="shared" ca="1" si="191"/>
        <v>280.07692026646265</v>
      </c>
      <c r="AN482" t="str">
        <f t="shared" ca="1" si="192"/>
        <v>Supercritical</v>
      </c>
      <c r="AO482">
        <f ca="1">IF(V32="Supercritical",R482,AA482)</f>
        <v>482.07306851378365</v>
      </c>
    </row>
    <row r="483" spans="1:41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174</v>
      </c>
      <c r="I483">
        <v>0.05</v>
      </c>
      <c r="J483">
        <f t="shared" si="193"/>
        <v>0.9989999999999668</v>
      </c>
      <c r="K483">
        <f t="shared" si="194"/>
        <v>51</v>
      </c>
      <c r="L483">
        <f t="shared" ca="1" si="195"/>
        <v>38819.671695377336</v>
      </c>
      <c r="M483">
        <f t="shared" ca="1" si="173"/>
        <v>201862.29281596217</v>
      </c>
      <c r="N483">
        <f t="shared" ca="1" si="174"/>
        <v>2.5998258731469135</v>
      </c>
      <c r="O483">
        <f t="shared" ca="1" si="175"/>
        <v>2.5264748204607335E-4</v>
      </c>
      <c r="P483">
        <f t="shared" ca="1" si="176"/>
        <v>39452.067195377334</v>
      </c>
      <c r="Q483">
        <f t="shared" ca="1" si="177"/>
        <v>39452.067195380587</v>
      </c>
      <c r="R483">
        <f t="shared" ca="1" si="178"/>
        <v>4.0174774836404796E-12</v>
      </c>
      <c r="S483">
        <f t="shared" ca="1" si="196"/>
        <v>6.7383776331553236E-4</v>
      </c>
      <c r="T483">
        <f t="shared" ca="1" si="197"/>
        <v>1</v>
      </c>
      <c r="U483">
        <f t="shared" ca="1" si="179"/>
        <v>0.05</v>
      </c>
      <c r="V483">
        <f t="shared" ca="1" si="180"/>
        <v>0.26</v>
      </c>
      <c r="W483">
        <f t="shared" ca="1" si="181"/>
        <v>4.9056603773584909E-2</v>
      </c>
      <c r="X483">
        <f t="shared" ca="1" si="182"/>
        <v>196.15384615384616</v>
      </c>
      <c r="Y483">
        <f t="shared" ca="1" si="183"/>
        <v>632.44549999999992</v>
      </c>
      <c r="Z483">
        <f t="shared" ca="1" si="184"/>
        <v>2593.5225316486622</v>
      </c>
      <c r="AA483">
        <f t="shared" ca="1" si="185"/>
        <v>482.07306851378365</v>
      </c>
      <c r="AB483">
        <f t="shared" ca="1" si="186"/>
        <v>482.32750852789786</v>
      </c>
      <c r="AC483">
        <f t="shared" ca="1" si="187"/>
        <v>0</v>
      </c>
      <c r="AD483">
        <f ca="1">IF(V32="Supercritical",L483,U483)</f>
        <v>0.05</v>
      </c>
      <c r="AE483">
        <f t="shared" ca="1" si="188"/>
        <v>632.44549999999992</v>
      </c>
      <c r="AF483">
        <f t="shared" ca="1" si="189"/>
        <v>2593.5225316486622</v>
      </c>
      <c r="AI483">
        <v>0</v>
      </c>
      <c r="AJ483">
        <v>0</v>
      </c>
      <c r="AK483">
        <f t="shared" si="190"/>
        <v>0</v>
      </c>
      <c r="AL483">
        <f t="shared" si="198"/>
        <v>0</v>
      </c>
      <c r="AM483">
        <f t="shared" ca="1" si="191"/>
        <v>280.07692026646265</v>
      </c>
      <c r="AN483" t="str">
        <f t="shared" ca="1" si="192"/>
        <v>Supercritical</v>
      </c>
      <c r="AO483">
        <f ca="1">IF(V32="Supercritical",R483,AA483)</f>
        <v>482.07306851378365</v>
      </c>
    </row>
    <row r="484" spans="1:41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174</v>
      </c>
      <c r="I484">
        <v>7.8E-2</v>
      </c>
      <c r="J484">
        <f t="shared" si="193"/>
        <v>1</v>
      </c>
      <c r="K484">
        <f t="shared" si="194"/>
        <v>51</v>
      </c>
      <c r="L484">
        <f t="shared" ca="1" si="195"/>
        <v>38819.671209847213</v>
      </c>
      <c r="M484">
        <f t="shared" ca="1" si="173"/>
        <v>201862.29029120551</v>
      </c>
      <c r="N484">
        <f t="shared" ca="1" si="174"/>
        <v>2.5998258731447357</v>
      </c>
      <c r="O484">
        <f t="shared" ca="1" si="175"/>
        <v>2.5264748520601674E-4</v>
      </c>
      <c r="P484">
        <f t="shared" ca="1" si="176"/>
        <v>39452.066209847209</v>
      </c>
      <c r="Q484">
        <f t="shared" ca="1" si="177"/>
        <v>39452.066209850462</v>
      </c>
      <c r="R484">
        <f t="shared" ca="1" si="178"/>
        <v>4.0174775841407381E-12</v>
      </c>
      <c r="S484">
        <f t="shared" ca="1" si="196"/>
        <v>9.8553011775948107E-4</v>
      </c>
      <c r="T484">
        <f t="shared" ca="1" si="197"/>
        <v>1</v>
      </c>
      <c r="U484">
        <f t="shared" ca="1" si="179"/>
        <v>0.05</v>
      </c>
      <c r="V484">
        <f t="shared" ca="1" si="180"/>
        <v>0.26</v>
      </c>
      <c r="W484">
        <f t="shared" ca="1" si="181"/>
        <v>4.9056603773584909E-2</v>
      </c>
      <c r="X484">
        <f t="shared" ca="1" si="182"/>
        <v>196.15384615384616</v>
      </c>
      <c r="Y484">
        <f t="shared" ca="1" si="183"/>
        <v>632.44499999999994</v>
      </c>
      <c r="Z484">
        <f t="shared" ca="1" si="184"/>
        <v>2593.5220316486621</v>
      </c>
      <c r="AA484">
        <f t="shared" ca="1" si="185"/>
        <v>482.07306851378365</v>
      </c>
      <c r="AB484">
        <f t="shared" ca="1" si="186"/>
        <v>482.64289004873763</v>
      </c>
      <c r="AC484">
        <f t="shared" ca="1" si="187"/>
        <v>0</v>
      </c>
      <c r="AD484">
        <f ca="1">IF(V32="Supercritical",L484,U484)</f>
        <v>0.05</v>
      </c>
      <c r="AE484">
        <f t="shared" ca="1" si="188"/>
        <v>632.44499999999994</v>
      </c>
      <c r="AF484">
        <f t="shared" ca="1" si="189"/>
        <v>2593.5220316486621</v>
      </c>
      <c r="AI484">
        <v>0</v>
      </c>
      <c r="AJ484">
        <v>0</v>
      </c>
      <c r="AK484">
        <f t="shared" si="190"/>
        <v>0</v>
      </c>
      <c r="AL484">
        <f t="shared" si="198"/>
        <v>0</v>
      </c>
      <c r="AM484">
        <f t="shared" ca="1" si="191"/>
        <v>280.07692026646265</v>
      </c>
      <c r="AN484" t="str">
        <f t="shared" ca="1" si="192"/>
        <v>Supercritical</v>
      </c>
      <c r="AO484">
        <f ca="1">IF(V32="Supercritical",R484,AA484)</f>
        <v>482.07306851378365</v>
      </c>
    </row>
    <row r="485" spans="1:41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174</v>
      </c>
      <c r="I485">
        <v>2.7E-2</v>
      </c>
      <c r="J485">
        <f t="shared" si="193"/>
        <v>1.0010000000000332</v>
      </c>
      <c r="K485">
        <f t="shared" si="194"/>
        <v>51</v>
      </c>
      <c r="L485">
        <f t="shared" ca="1" si="195"/>
        <v>38819.671035930136</v>
      </c>
      <c r="M485">
        <f t="shared" ca="1" si="173"/>
        <v>201862.28938683672</v>
      </c>
      <c r="N485">
        <f t="shared" ca="1" si="174"/>
        <v>2.5998258731439559</v>
      </c>
      <c r="O485">
        <f t="shared" ca="1" si="175"/>
        <v>2.5264748633790966E-4</v>
      </c>
      <c r="P485">
        <f t="shared" ca="1" si="176"/>
        <v>39452.065535930138</v>
      </c>
      <c r="Q485">
        <f t="shared" ca="1" si="177"/>
        <v>39452.06553593339</v>
      </c>
      <c r="R485">
        <f t="shared" ca="1" si="178"/>
        <v>4.0174776201399664E-12</v>
      </c>
      <c r="S485">
        <f t="shared" ca="1" si="196"/>
        <v>6.7391706397756934E-4</v>
      </c>
      <c r="T485">
        <f t="shared" ca="1" si="197"/>
        <v>1</v>
      </c>
      <c r="U485">
        <f t="shared" ca="1" si="179"/>
        <v>0.05</v>
      </c>
      <c r="V485">
        <f t="shared" ca="1" si="180"/>
        <v>0.26</v>
      </c>
      <c r="W485">
        <f t="shared" ca="1" si="181"/>
        <v>4.9056603773584909E-2</v>
      </c>
      <c r="X485">
        <f t="shared" ca="1" si="182"/>
        <v>196.15384615384616</v>
      </c>
      <c r="Y485">
        <f t="shared" ca="1" si="183"/>
        <v>632.44449999999995</v>
      </c>
      <c r="Z485">
        <f t="shared" ca="1" si="184"/>
        <v>2593.5215316486619</v>
      </c>
      <c r="AA485">
        <f t="shared" ca="1" si="185"/>
        <v>482.07306851378365</v>
      </c>
      <c r="AB485">
        <f t="shared" ca="1" si="186"/>
        <v>481.67874391167788</v>
      </c>
      <c r="AC485">
        <f t="shared" ca="1" si="187"/>
        <v>0</v>
      </c>
      <c r="AD485">
        <f ca="1">IF(V32="Supercritical",L485,U485)</f>
        <v>0.05</v>
      </c>
      <c r="AE485">
        <f t="shared" ca="1" si="188"/>
        <v>632.44449999999995</v>
      </c>
      <c r="AF485">
        <f t="shared" ca="1" si="189"/>
        <v>2593.5215316486619</v>
      </c>
      <c r="AI485">
        <v>0</v>
      </c>
      <c r="AJ485">
        <v>0</v>
      </c>
      <c r="AK485">
        <f t="shared" si="190"/>
        <v>0</v>
      </c>
      <c r="AL485">
        <f t="shared" si="198"/>
        <v>0</v>
      </c>
      <c r="AM485">
        <f t="shared" ca="1" si="191"/>
        <v>280.07692026646265</v>
      </c>
      <c r="AN485" t="str">
        <f t="shared" ca="1" si="192"/>
        <v>Supercritical</v>
      </c>
      <c r="AO485">
        <f ca="1">IF(V32="Supercritical",R485,AA485)</f>
        <v>482.07306851378365</v>
      </c>
    </row>
    <row r="486" spans="1:41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174</v>
      </c>
      <c r="I486">
        <v>2.7E-2</v>
      </c>
      <c r="J486">
        <f t="shared" si="193"/>
        <v>0.9989999999999668</v>
      </c>
      <c r="K486">
        <f t="shared" si="194"/>
        <v>51</v>
      </c>
      <c r="L486">
        <f t="shared" ca="1" si="195"/>
        <v>38819.670549961884</v>
      </c>
      <c r="M486">
        <f t="shared" ca="1" si="173"/>
        <v>201862.2868598018</v>
      </c>
      <c r="N486">
        <f t="shared" ca="1" si="174"/>
        <v>2.5998258731417758</v>
      </c>
      <c r="O486">
        <f t="shared" ca="1" si="175"/>
        <v>2.5264748950070461E-4</v>
      </c>
      <c r="P486">
        <f t="shared" ca="1" si="176"/>
        <v>39452.064549961884</v>
      </c>
      <c r="Q486">
        <f t="shared" ca="1" si="177"/>
        <v>39452.064549965136</v>
      </c>
      <c r="R486">
        <f t="shared" ca="1" si="178"/>
        <v>4.0174777207309175E-12</v>
      </c>
      <c r="S486">
        <f t="shared" ca="1" si="196"/>
        <v>9.8596824682317674E-4</v>
      </c>
      <c r="T486">
        <f t="shared" ca="1" si="197"/>
        <v>1</v>
      </c>
      <c r="U486">
        <f t="shared" ca="1" si="179"/>
        <v>0.05</v>
      </c>
      <c r="V486">
        <f t="shared" ca="1" si="180"/>
        <v>0.26</v>
      </c>
      <c r="W486">
        <f t="shared" ca="1" si="181"/>
        <v>4.9056603773584909E-2</v>
      </c>
      <c r="X486">
        <f t="shared" ca="1" si="182"/>
        <v>196.15384615384616</v>
      </c>
      <c r="Y486">
        <f t="shared" ca="1" si="183"/>
        <v>632.44399999999996</v>
      </c>
      <c r="Z486">
        <f t="shared" ca="1" si="184"/>
        <v>2593.5210316486618</v>
      </c>
      <c r="AA486">
        <f t="shared" ca="1" si="185"/>
        <v>482.07306851378365</v>
      </c>
      <c r="AB486">
        <f t="shared" ca="1" si="186"/>
        <v>482.64289004873808</v>
      </c>
      <c r="AC486">
        <f t="shared" ca="1" si="187"/>
        <v>0</v>
      </c>
      <c r="AD486">
        <f ca="1">IF(V32="Supercritical",L486,U486)</f>
        <v>0.05</v>
      </c>
      <c r="AE486">
        <f t="shared" ca="1" si="188"/>
        <v>632.44399999999996</v>
      </c>
      <c r="AF486">
        <f t="shared" ca="1" si="189"/>
        <v>2593.5210316486618</v>
      </c>
      <c r="AI486">
        <v>0</v>
      </c>
      <c r="AJ486">
        <v>0</v>
      </c>
      <c r="AK486">
        <f t="shared" si="190"/>
        <v>0</v>
      </c>
      <c r="AL486">
        <f t="shared" si="198"/>
        <v>0</v>
      </c>
      <c r="AM486">
        <f t="shared" ca="1" si="191"/>
        <v>280.07692026646265</v>
      </c>
      <c r="AN486" t="str">
        <f t="shared" ca="1" si="192"/>
        <v>Supercritical</v>
      </c>
      <c r="AO486">
        <f ca="1">IF(V32="Supercritical",R486,AA486)</f>
        <v>482.07306851378365</v>
      </c>
    </row>
    <row r="487" spans="1:41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174</v>
      </c>
      <c r="I487">
        <v>2.7E-2</v>
      </c>
      <c r="J487">
        <f t="shared" si="193"/>
        <v>1.0010000000000332</v>
      </c>
      <c r="K487">
        <f t="shared" si="194"/>
        <v>51</v>
      </c>
      <c r="L487">
        <f t="shared" ca="1" si="195"/>
        <v>38819.670375967486</v>
      </c>
      <c r="M487">
        <f t="shared" ca="1" si="173"/>
        <v>201862.28595503094</v>
      </c>
      <c r="N487">
        <f t="shared" ca="1" si="174"/>
        <v>2.5998258731409956</v>
      </c>
      <c r="O487">
        <f t="shared" ca="1" si="175"/>
        <v>2.5264749063310082E-4</v>
      </c>
      <c r="P487">
        <f t="shared" ca="1" si="176"/>
        <v>39452.063875967484</v>
      </c>
      <c r="Q487">
        <f t="shared" ca="1" si="177"/>
        <v>39452.063875970736</v>
      </c>
      <c r="R487">
        <f t="shared" ca="1" si="178"/>
        <v>4.0174777567461546E-12</v>
      </c>
      <c r="S487">
        <f t="shared" ca="1" si="196"/>
        <v>6.7399439285509288E-4</v>
      </c>
      <c r="T487">
        <f t="shared" ca="1" si="197"/>
        <v>1</v>
      </c>
      <c r="U487">
        <f t="shared" ca="1" si="179"/>
        <v>0.05</v>
      </c>
      <c r="V487">
        <f t="shared" ca="1" si="180"/>
        <v>0.26</v>
      </c>
      <c r="W487">
        <f t="shared" ca="1" si="181"/>
        <v>4.9056603773584909E-2</v>
      </c>
      <c r="X487">
        <f t="shared" ca="1" si="182"/>
        <v>196.15384615384616</v>
      </c>
      <c r="Y487">
        <f t="shared" ca="1" si="183"/>
        <v>632.44349999999997</v>
      </c>
      <c r="Z487">
        <f t="shared" ca="1" si="184"/>
        <v>2593.5205316486622</v>
      </c>
      <c r="AA487">
        <f t="shared" ca="1" si="185"/>
        <v>482.07306851378365</v>
      </c>
      <c r="AB487">
        <f t="shared" ca="1" si="186"/>
        <v>481.75391853122483</v>
      </c>
      <c r="AC487">
        <f t="shared" ca="1" si="187"/>
        <v>0</v>
      </c>
      <c r="AD487">
        <f ca="1">IF(V32="Supercritical",L487,U487)</f>
        <v>0.05</v>
      </c>
      <c r="AE487">
        <f t="shared" ca="1" si="188"/>
        <v>632.44349999999997</v>
      </c>
      <c r="AF487">
        <f t="shared" ca="1" si="189"/>
        <v>2593.5205316486622</v>
      </c>
      <c r="AI487">
        <v>0</v>
      </c>
      <c r="AJ487">
        <v>0</v>
      </c>
      <c r="AK487">
        <f t="shared" si="190"/>
        <v>0</v>
      </c>
      <c r="AL487">
        <f t="shared" si="198"/>
        <v>0</v>
      </c>
      <c r="AM487">
        <f t="shared" ca="1" si="191"/>
        <v>280.07692026646265</v>
      </c>
      <c r="AN487" t="str">
        <f t="shared" ca="1" si="192"/>
        <v>Supercritical</v>
      </c>
      <c r="AO487">
        <f ca="1">IF(V32="Supercritical",R487,AA487)</f>
        <v>482.07306851378365</v>
      </c>
    </row>
    <row r="488" spans="1:41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174</v>
      </c>
      <c r="I488">
        <v>0.05</v>
      </c>
      <c r="J488">
        <f t="shared" si="193"/>
        <v>0.9989999999999668</v>
      </c>
      <c r="K488">
        <f t="shared" si="194"/>
        <v>51</v>
      </c>
      <c r="L488">
        <f t="shared" ca="1" si="195"/>
        <v>38819.669889572062</v>
      </c>
      <c r="M488">
        <f t="shared" ca="1" si="173"/>
        <v>201862.28342577472</v>
      </c>
      <c r="N488">
        <f t="shared" ca="1" si="174"/>
        <v>2.5998258731388137</v>
      </c>
      <c r="O488">
        <f t="shared" ca="1" si="175"/>
        <v>2.5264749379867604E-4</v>
      </c>
      <c r="P488">
        <f t="shared" ca="1" si="176"/>
        <v>39452.062889572058</v>
      </c>
      <c r="Q488">
        <f t="shared" ca="1" si="177"/>
        <v>39452.062889575311</v>
      </c>
      <c r="R488">
        <f t="shared" ca="1" si="178"/>
        <v>4.0174778574255324E-12</v>
      </c>
      <c r="S488">
        <f t="shared" ca="1" si="196"/>
        <v>9.8639541829470545E-4</v>
      </c>
      <c r="T488">
        <f t="shared" ca="1" si="197"/>
        <v>1</v>
      </c>
      <c r="U488">
        <f t="shared" ca="1" si="179"/>
        <v>0.05</v>
      </c>
      <c r="V488">
        <f t="shared" ca="1" si="180"/>
        <v>0.26</v>
      </c>
      <c r="W488">
        <f t="shared" ca="1" si="181"/>
        <v>4.9056603773584909E-2</v>
      </c>
      <c r="X488">
        <f t="shared" ca="1" si="182"/>
        <v>196.15384615384616</v>
      </c>
      <c r="Y488">
        <f t="shared" ca="1" si="183"/>
        <v>632.44299999999998</v>
      </c>
      <c r="Z488">
        <f t="shared" ca="1" si="184"/>
        <v>2593.5200316486621</v>
      </c>
      <c r="AA488">
        <f t="shared" ca="1" si="185"/>
        <v>482.07306851378365</v>
      </c>
      <c r="AB488">
        <f t="shared" ca="1" si="186"/>
        <v>482.32750852789786</v>
      </c>
      <c r="AC488">
        <f t="shared" ca="1" si="187"/>
        <v>0</v>
      </c>
      <c r="AD488">
        <f ca="1">IF(V32="Supercritical",L488,U488)</f>
        <v>0.05</v>
      </c>
      <c r="AE488">
        <f t="shared" ca="1" si="188"/>
        <v>632.44299999999998</v>
      </c>
      <c r="AF488">
        <f t="shared" ca="1" si="189"/>
        <v>2593.5200316486621</v>
      </c>
      <c r="AI488">
        <v>0</v>
      </c>
      <c r="AJ488">
        <v>0</v>
      </c>
      <c r="AK488">
        <f t="shared" si="190"/>
        <v>0</v>
      </c>
      <c r="AL488">
        <f t="shared" si="198"/>
        <v>0</v>
      </c>
      <c r="AM488">
        <f t="shared" ca="1" si="191"/>
        <v>280.07692026646265</v>
      </c>
      <c r="AN488" t="str">
        <f t="shared" ca="1" si="192"/>
        <v>Supercritical</v>
      </c>
      <c r="AO488">
        <f ca="1">IF(V32="Supercritical",R488,AA488)</f>
        <v>482.07306851378365</v>
      </c>
    </row>
    <row r="489" spans="1:41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174</v>
      </c>
      <c r="I489">
        <v>7.8E-2</v>
      </c>
      <c r="J489">
        <f t="shared" si="193"/>
        <v>1</v>
      </c>
      <c r="K489">
        <f t="shared" si="194"/>
        <v>51</v>
      </c>
      <c r="L489">
        <f t="shared" ca="1" si="195"/>
        <v>38819.669715502285</v>
      </c>
      <c r="M489">
        <f t="shared" ca="1" si="173"/>
        <v>201862.28252061189</v>
      </c>
      <c r="N489">
        <f t="shared" ca="1" si="174"/>
        <v>2.599825873138033</v>
      </c>
      <c r="O489">
        <f t="shared" ca="1" si="175"/>
        <v>2.5264749493156285E-4</v>
      </c>
      <c r="P489">
        <f t="shared" ca="1" si="176"/>
        <v>39452.062215502287</v>
      </c>
      <c r="Q489">
        <f t="shared" ca="1" si="177"/>
        <v>39452.062215505539</v>
      </c>
      <c r="R489">
        <f t="shared" ca="1" si="178"/>
        <v>4.017477893456372E-12</v>
      </c>
      <c r="S489">
        <f t="shared" ca="1" si="196"/>
        <v>6.7406976450001821E-4</v>
      </c>
      <c r="T489">
        <f t="shared" ca="1" si="197"/>
        <v>1</v>
      </c>
      <c r="U489">
        <f t="shared" ca="1" si="179"/>
        <v>0.05</v>
      </c>
      <c r="V489">
        <f t="shared" ca="1" si="180"/>
        <v>0.26</v>
      </c>
      <c r="W489">
        <f t="shared" ca="1" si="181"/>
        <v>4.9056603773584909E-2</v>
      </c>
      <c r="X489">
        <f t="shared" ca="1" si="182"/>
        <v>196.15384615384616</v>
      </c>
      <c r="Y489">
        <f t="shared" ca="1" si="183"/>
        <v>632.4425</v>
      </c>
      <c r="Z489">
        <f t="shared" ca="1" si="184"/>
        <v>2593.519531648662</v>
      </c>
      <c r="AA489">
        <f t="shared" ca="1" si="185"/>
        <v>482.07306851378365</v>
      </c>
      <c r="AB489">
        <f t="shared" ca="1" si="186"/>
        <v>482.64289004873808</v>
      </c>
      <c r="AC489">
        <f t="shared" ca="1" si="187"/>
        <v>0</v>
      </c>
      <c r="AD489">
        <f ca="1">IF(V32="Supercritical",L489,U489)</f>
        <v>0.05</v>
      </c>
      <c r="AE489">
        <f t="shared" ca="1" si="188"/>
        <v>632.4425</v>
      </c>
      <c r="AF489">
        <f t="shared" ca="1" si="189"/>
        <v>2593.519531648662</v>
      </c>
      <c r="AI489">
        <v>0</v>
      </c>
      <c r="AJ489">
        <v>0</v>
      </c>
      <c r="AK489">
        <f t="shared" si="190"/>
        <v>0</v>
      </c>
      <c r="AL489">
        <f t="shared" si="198"/>
        <v>0</v>
      </c>
      <c r="AM489">
        <f t="shared" ca="1" si="191"/>
        <v>280.07692026646265</v>
      </c>
      <c r="AN489" t="str">
        <f t="shared" ca="1" si="192"/>
        <v>Supercritical</v>
      </c>
      <c r="AO489">
        <f ca="1">IF(V32="Supercritical",R489,AA489)</f>
        <v>482.07306851378365</v>
      </c>
    </row>
    <row r="490" spans="1:41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174</v>
      </c>
      <c r="I490">
        <v>2.7E-2</v>
      </c>
      <c r="J490">
        <f t="shared" si="193"/>
        <v>1.0010000000000332</v>
      </c>
      <c r="K490">
        <f t="shared" si="194"/>
        <v>51</v>
      </c>
      <c r="L490">
        <f t="shared" ca="1" si="195"/>
        <v>38819.669228690349</v>
      </c>
      <c r="M490">
        <f t="shared" ca="1" si="173"/>
        <v>201862.27998918982</v>
      </c>
      <c r="N490">
        <f t="shared" ca="1" si="174"/>
        <v>2.5998258731358495</v>
      </c>
      <c r="O490">
        <f t="shared" ca="1" si="175"/>
        <v>2.5264749809984891E-4</v>
      </c>
      <c r="P490">
        <f t="shared" ca="1" si="176"/>
        <v>39452.061228690349</v>
      </c>
      <c r="Q490">
        <f t="shared" ca="1" si="177"/>
        <v>39452.061228693601</v>
      </c>
      <c r="R490">
        <f t="shared" ca="1" si="178"/>
        <v>4.0174779942219673E-12</v>
      </c>
      <c r="S490">
        <f t="shared" ca="1" si="196"/>
        <v>9.8681193048832938E-4</v>
      </c>
      <c r="T490">
        <f t="shared" ca="1" si="197"/>
        <v>1</v>
      </c>
      <c r="U490">
        <f t="shared" ca="1" si="179"/>
        <v>0.05</v>
      </c>
      <c r="V490">
        <f t="shared" ca="1" si="180"/>
        <v>0.26</v>
      </c>
      <c r="W490">
        <f t="shared" ca="1" si="181"/>
        <v>4.9056603773584909E-2</v>
      </c>
      <c r="X490">
        <f t="shared" ca="1" si="182"/>
        <v>196.15384615384616</v>
      </c>
      <c r="Y490">
        <f t="shared" ca="1" si="183"/>
        <v>632.44200000000001</v>
      </c>
      <c r="Z490">
        <f t="shared" ca="1" si="184"/>
        <v>2593.5190316486623</v>
      </c>
      <c r="AA490">
        <f t="shared" ca="1" si="185"/>
        <v>482.07306851378365</v>
      </c>
      <c r="AB490">
        <f t="shared" ca="1" si="186"/>
        <v>481.67874391167788</v>
      </c>
      <c r="AC490">
        <f t="shared" ca="1" si="187"/>
        <v>0</v>
      </c>
      <c r="AD490">
        <f ca="1">IF(V32="Supercritical",L490,U490)</f>
        <v>0.05</v>
      </c>
      <c r="AE490">
        <f t="shared" ca="1" si="188"/>
        <v>632.44200000000001</v>
      </c>
      <c r="AF490">
        <f t="shared" ca="1" si="189"/>
        <v>2593.5190316486623</v>
      </c>
      <c r="AI490">
        <v>0</v>
      </c>
      <c r="AJ490">
        <v>0</v>
      </c>
      <c r="AK490">
        <f t="shared" si="190"/>
        <v>0</v>
      </c>
      <c r="AL490">
        <f t="shared" si="198"/>
        <v>0</v>
      </c>
      <c r="AM490">
        <f t="shared" ca="1" si="191"/>
        <v>280.07692026646265</v>
      </c>
      <c r="AN490" t="str">
        <f t="shared" ca="1" si="192"/>
        <v>Supercritical</v>
      </c>
      <c r="AO490">
        <f ca="1">IF(V32="Supercritical",R490,AA490)</f>
        <v>482.07306851378365</v>
      </c>
    </row>
    <row r="491" spans="1:41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174</v>
      </c>
      <c r="I491">
        <v>2.7E-2</v>
      </c>
      <c r="J491">
        <f t="shared" si="193"/>
        <v>0.9989999999999668</v>
      </c>
      <c r="K491">
        <f t="shared" si="194"/>
        <v>51</v>
      </c>
      <c r="L491">
        <f t="shared" ca="1" si="195"/>
        <v>38819.66905454707</v>
      </c>
      <c r="M491">
        <f t="shared" ca="1" si="173"/>
        <v>201862.27908364477</v>
      </c>
      <c r="N491">
        <f t="shared" ca="1" si="174"/>
        <v>2.5998258731350683</v>
      </c>
      <c r="O491">
        <f t="shared" ca="1" si="175"/>
        <v>2.5264749923321412E-4</v>
      </c>
      <c r="P491">
        <f t="shared" ca="1" si="176"/>
        <v>39452.060554547068</v>
      </c>
      <c r="Q491">
        <f t="shared" ca="1" si="177"/>
        <v>39452.06055455032</v>
      </c>
      <c r="R491">
        <f t="shared" ca="1" si="178"/>
        <v>4.0174780302680266E-12</v>
      </c>
      <c r="S491">
        <f t="shared" ca="1" si="196"/>
        <v>6.741432734997943E-4</v>
      </c>
      <c r="T491">
        <f t="shared" ca="1" si="197"/>
        <v>1</v>
      </c>
      <c r="U491">
        <f t="shared" ca="1" si="179"/>
        <v>0.05</v>
      </c>
      <c r="V491">
        <f t="shared" ca="1" si="180"/>
        <v>0.26</v>
      </c>
      <c r="W491">
        <f t="shared" ca="1" si="181"/>
        <v>4.9056603773584909E-2</v>
      </c>
      <c r="X491">
        <f t="shared" ca="1" si="182"/>
        <v>196.15384615384616</v>
      </c>
      <c r="Y491">
        <f t="shared" ca="1" si="183"/>
        <v>632.44149999999991</v>
      </c>
      <c r="Z491">
        <f t="shared" ca="1" si="184"/>
        <v>2593.5185316486622</v>
      </c>
      <c r="AA491">
        <f t="shared" ca="1" si="185"/>
        <v>482.07306851378365</v>
      </c>
      <c r="AB491">
        <f t="shared" ca="1" si="186"/>
        <v>482.80958159642751</v>
      </c>
      <c r="AC491">
        <f t="shared" ca="1" si="187"/>
        <v>0</v>
      </c>
      <c r="AD491">
        <f ca="1">IF(V32="Supercritical",L491,U491)</f>
        <v>0.05</v>
      </c>
      <c r="AE491">
        <f t="shared" ca="1" si="188"/>
        <v>632.44149999999991</v>
      </c>
      <c r="AF491">
        <f t="shared" ca="1" si="189"/>
        <v>2593.5185316486622</v>
      </c>
      <c r="AI491">
        <v>0</v>
      </c>
      <c r="AJ491">
        <v>0</v>
      </c>
      <c r="AK491">
        <f t="shared" si="190"/>
        <v>0</v>
      </c>
      <c r="AL491">
        <f t="shared" si="198"/>
        <v>0</v>
      </c>
      <c r="AM491">
        <f t="shared" ca="1" si="191"/>
        <v>280.07692026646265</v>
      </c>
      <c r="AN491" t="str">
        <f t="shared" ca="1" si="192"/>
        <v>Supercritical</v>
      </c>
      <c r="AO491">
        <f ca="1">IF(V32="Supercritical",R491,AA491)</f>
        <v>482.07306851378365</v>
      </c>
    </row>
    <row r="492" spans="1:41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174</v>
      </c>
      <c r="I492">
        <v>7.8E-2</v>
      </c>
      <c r="J492">
        <f t="shared" si="193"/>
        <v>1.0010000000000332</v>
      </c>
      <c r="K492">
        <f t="shared" si="194"/>
        <v>51</v>
      </c>
      <c r="L492">
        <f t="shared" ca="1" si="195"/>
        <v>38819.668567328961</v>
      </c>
      <c r="M492">
        <f t="shared" ca="1" si="173"/>
        <v>201862.2765501106</v>
      </c>
      <c r="N492">
        <f t="shared" ca="1" si="174"/>
        <v>2.5998258731328834</v>
      </c>
      <c r="O492">
        <f t="shared" ca="1" si="175"/>
        <v>2.5264750240414373E-4</v>
      </c>
      <c r="P492">
        <f t="shared" ca="1" si="176"/>
        <v>39452.059567328964</v>
      </c>
      <c r="Q492">
        <f t="shared" ca="1" si="177"/>
        <v>39452.059567332217</v>
      </c>
      <c r="R492">
        <f t="shared" ca="1" si="178"/>
        <v>4.0174781311176987E-12</v>
      </c>
      <c r="S492">
        <f t="shared" ca="1" si="196"/>
        <v>9.8721809627022594E-4</v>
      </c>
      <c r="T492">
        <f t="shared" ca="1" si="197"/>
        <v>1</v>
      </c>
      <c r="U492">
        <f t="shared" ca="1" si="179"/>
        <v>0.05</v>
      </c>
      <c r="V492">
        <f t="shared" ca="1" si="180"/>
        <v>0.26</v>
      </c>
      <c r="W492">
        <f t="shared" ca="1" si="181"/>
        <v>4.9056603773584909E-2</v>
      </c>
      <c r="X492">
        <f t="shared" ca="1" si="182"/>
        <v>196.15384615384616</v>
      </c>
      <c r="Y492">
        <f t="shared" ca="1" si="183"/>
        <v>632.44099999999992</v>
      </c>
      <c r="Z492">
        <f t="shared" ca="1" si="184"/>
        <v>2593.5180316486621</v>
      </c>
      <c r="AA492">
        <f t="shared" ca="1" si="185"/>
        <v>482.07306851378365</v>
      </c>
      <c r="AB492">
        <f t="shared" ca="1" si="186"/>
        <v>482.23599159975447</v>
      </c>
      <c r="AC492">
        <f t="shared" ca="1" si="187"/>
        <v>0</v>
      </c>
      <c r="AD492">
        <f ca="1">IF(V32="Supercritical",L492,U492)</f>
        <v>0.05</v>
      </c>
      <c r="AE492">
        <f t="shared" ca="1" si="188"/>
        <v>632.44099999999992</v>
      </c>
      <c r="AF492">
        <f t="shared" ca="1" si="189"/>
        <v>2593.5180316486621</v>
      </c>
      <c r="AI492">
        <v>0</v>
      </c>
      <c r="AJ492">
        <v>0</v>
      </c>
      <c r="AK492">
        <f t="shared" si="190"/>
        <v>0</v>
      </c>
      <c r="AL492">
        <f t="shared" si="198"/>
        <v>0</v>
      </c>
      <c r="AM492">
        <f t="shared" ca="1" si="191"/>
        <v>280.07692026646265</v>
      </c>
      <c r="AN492" t="str">
        <f t="shared" ca="1" si="192"/>
        <v>Supercritical</v>
      </c>
      <c r="AO492">
        <f ca="1">IF(V32="Supercritical",R492,AA492)</f>
        <v>482.07306851378365</v>
      </c>
    </row>
    <row r="493" spans="1:41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174</v>
      </c>
      <c r="I493">
        <v>0.05</v>
      </c>
      <c r="J493">
        <f t="shared" si="193"/>
        <v>1</v>
      </c>
      <c r="K493">
        <f t="shared" si="194"/>
        <v>51</v>
      </c>
      <c r="L493">
        <f t="shared" ca="1" si="195"/>
        <v>38819.668393114</v>
      </c>
      <c r="M493">
        <f t="shared" ca="1" si="173"/>
        <v>201862.27564419279</v>
      </c>
      <c r="N493">
        <f t="shared" ca="1" si="174"/>
        <v>2.5998258731321018</v>
      </c>
      <c r="O493">
        <f t="shared" ca="1" si="175"/>
        <v>2.5264750353797558E-4</v>
      </c>
      <c r="P493">
        <f t="shared" ca="1" si="176"/>
        <v>39452.058893114001</v>
      </c>
      <c r="Q493">
        <f t="shared" ca="1" si="177"/>
        <v>39452.058893117253</v>
      </c>
      <c r="R493">
        <f t="shared" ca="1" si="178"/>
        <v>4.0174781671785971E-12</v>
      </c>
      <c r="S493">
        <f t="shared" ca="1" si="196"/>
        <v>6.7421495623420924E-4</v>
      </c>
      <c r="T493">
        <f t="shared" ca="1" si="197"/>
        <v>1</v>
      </c>
      <c r="U493">
        <f t="shared" ca="1" si="179"/>
        <v>0.05</v>
      </c>
      <c r="V493">
        <f t="shared" ca="1" si="180"/>
        <v>0.26</v>
      </c>
      <c r="W493">
        <f t="shared" ca="1" si="181"/>
        <v>4.9056603773584909E-2</v>
      </c>
      <c r="X493">
        <f t="shared" ca="1" si="182"/>
        <v>196.15384615384616</v>
      </c>
      <c r="Y493">
        <f t="shared" ca="1" si="183"/>
        <v>632.44049999999993</v>
      </c>
      <c r="Z493">
        <f t="shared" ca="1" si="184"/>
        <v>2593.517531648662</v>
      </c>
      <c r="AA493">
        <f t="shared" ca="1" si="185"/>
        <v>482.07306851378365</v>
      </c>
      <c r="AB493">
        <f t="shared" ca="1" si="186"/>
        <v>481.67874391167788</v>
      </c>
      <c r="AC493">
        <f t="shared" ca="1" si="187"/>
        <v>0</v>
      </c>
      <c r="AD493">
        <f ca="1">IF(V32="Supercritical",L493,U493)</f>
        <v>0.05</v>
      </c>
      <c r="AE493">
        <f t="shared" ca="1" si="188"/>
        <v>632.44049999999993</v>
      </c>
      <c r="AF493">
        <f t="shared" ca="1" si="189"/>
        <v>2593.517531648662</v>
      </c>
      <c r="AI493">
        <v>0</v>
      </c>
      <c r="AJ493">
        <v>0</v>
      </c>
      <c r="AK493">
        <f t="shared" si="190"/>
        <v>0</v>
      </c>
      <c r="AL493">
        <f t="shared" si="198"/>
        <v>0</v>
      </c>
      <c r="AM493">
        <f t="shared" ca="1" si="191"/>
        <v>280.07692026646265</v>
      </c>
      <c r="AN493" t="str">
        <f t="shared" ca="1" si="192"/>
        <v>Supercritical</v>
      </c>
      <c r="AO493">
        <f ca="1">IF(V32="Supercritical",R493,AA493)</f>
        <v>482.07306851378365</v>
      </c>
    </row>
    <row r="494" spans="1:41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174</v>
      </c>
      <c r="I494">
        <v>2.7E-2</v>
      </c>
      <c r="J494">
        <f t="shared" si="193"/>
        <v>0.9989999999999668</v>
      </c>
      <c r="K494">
        <f t="shared" si="194"/>
        <v>51</v>
      </c>
      <c r="L494">
        <f t="shared" ca="1" si="195"/>
        <v>38819.667905499773</v>
      </c>
      <c r="M494">
        <f t="shared" ca="1" si="173"/>
        <v>201862.27310859883</v>
      </c>
      <c r="N494">
        <f t="shared" ca="1" si="174"/>
        <v>2.5998258731299151</v>
      </c>
      <c r="O494">
        <f t="shared" ca="1" si="175"/>
        <v>2.5264750671148331E-4</v>
      </c>
      <c r="P494">
        <f t="shared" ca="1" si="176"/>
        <v>39452.057905499772</v>
      </c>
      <c r="Q494">
        <f t="shared" ca="1" si="177"/>
        <v>39452.057905503025</v>
      </c>
      <c r="R494">
        <f t="shared" ca="1" si="178"/>
        <v>4.0174782681102675E-12</v>
      </c>
      <c r="S494">
        <f t="shared" ca="1" si="196"/>
        <v>9.8761422123061493E-4</v>
      </c>
      <c r="T494">
        <f t="shared" ca="1" si="197"/>
        <v>1</v>
      </c>
      <c r="U494">
        <f t="shared" ca="1" si="179"/>
        <v>0.05</v>
      </c>
      <c r="V494">
        <f t="shared" ca="1" si="180"/>
        <v>0.26</v>
      </c>
      <c r="W494">
        <f t="shared" ca="1" si="181"/>
        <v>4.9056603773584909E-2</v>
      </c>
      <c r="X494">
        <f t="shared" ca="1" si="182"/>
        <v>196.15384615384616</v>
      </c>
      <c r="Y494">
        <f t="shared" ca="1" si="183"/>
        <v>632.43999999999994</v>
      </c>
      <c r="Z494">
        <f t="shared" ca="1" si="184"/>
        <v>2593.5170316486619</v>
      </c>
      <c r="AA494">
        <f t="shared" ca="1" si="185"/>
        <v>482.07306851378365</v>
      </c>
      <c r="AB494">
        <f t="shared" ca="1" si="186"/>
        <v>482.16081698020798</v>
      </c>
      <c r="AC494">
        <f t="shared" ca="1" si="187"/>
        <v>0</v>
      </c>
      <c r="AD494">
        <f ca="1">IF(V32="Supercritical",L494,U494)</f>
        <v>0.05</v>
      </c>
      <c r="AE494">
        <f t="shared" ca="1" si="188"/>
        <v>632.43999999999994</v>
      </c>
      <c r="AF494">
        <f t="shared" ca="1" si="189"/>
        <v>2593.5170316486619</v>
      </c>
      <c r="AI494">
        <v>0</v>
      </c>
      <c r="AJ494">
        <v>0</v>
      </c>
      <c r="AK494">
        <f t="shared" si="190"/>
        <v>0</v>
      </c>
      <c r="AL494">
        <f t="shared" si="198"/>
        <v>0</v>
      </c>
      <c r="AM494">
        <f t="shared" ca="1" si="191"/>
        <v>280.07692026646265</v>
      </c>
      <c r="AN494" t="str">
        <f t="shared" ca="1" si="192"/>
        <v>Supercritical</v>
      </c>
      <c r="AO494">
        <f ca="1">IF(V32="Supercritical",R494,AA494)</f>
        <v>482.07306851378365</v>
      </c>
    </row>
    <row r="495" spans="1:41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174</v>
      </c>
      <c r="I495">
        <v>2.7E-2</v>
      </c>
      <c r="J495">
        <f t="shared" si="193"/>
        <v>1</v>
      </c>
      <c r="K495">
        <f t="shared" si="194"/>
        <v>51</v>
      </c>
      <c r="L495">
        <f t="shared" ca="1" si="195"/>
        <v>38819.667731214911</v>
      </c>
      <c r="M495">
        <f t="shared" ca="1" si="173"/>
        <v>201862.27220231754</v>
      </c>
      <c r="N495">
        <f t="shared" ca="1" si="174"/>
        <v>2.599825873129133</v>
      </c>
      <c r="O495">
        <f t="shared" ca="1" si="175"/>
        <v>2.526475078457701E-4</v>
      </c>
      <c r="P495">
        <f t="shared" ca="1" si="176"/>
        <v>39452.057231214909</v>
      </c>
      <c r="Q495">
        <f t="shared" ca="1" si="177"/>
        <v>39452.057231218161</v>
      </c>
      <c r="R495">
        <f t="shared" ca="1" si="178"/>
        <v>4.0174783041856383E-12</v>
      </c>
      <c r="S495">
        <f t="shared" ca="1" si="196"/>
        <v>6.742848563590087E-4</v>
      </c>
      <c r="T495">
        <f t="shared" ca="1" si="197"/>
        <v>1</v>
      </c>
      <c r="U495">
        <f t="shared" ca="1" si="179"/>
        <v>0.05</v>
      </c>
      <c r="V495">
        <f t="shared" ca="1" si="180"/>
        <v>0.26</v>
      </c>
      <c r="W495">
        <f t="shared" ca="1" si="181"/>
        <v>4.9056603773584909E-2</v>
      </c>
      <c r="X495">
        <f t="shared" ca="1" si="182"/>
        <v>196.15384615384616</v>
      </c>
      <c r="Y495">
        <f t="shared" ca="1" si="183"/>
        <v>632.43949999999995</v>
      </c>
      <c r="Z495">
        <f t="shared" ca="1" si="184"/>
        <v>2593.5165316486618</v>
      </c>
      <c r="AA495">
        <f t="shared" ca="1" si="185"/>
        <v>482.07306851378365</v>
      </c>
      <c r="AB495">
        <f t="shared" ca="1" si="186"/>
        <v>482.14774313333055</v>
      </c>
      <c r="AC495">
        <f t="shared" ca="1" si="187"/>
        <v>0</v>
      </c>
      <c r="AD495">
        <f ca="1">IF(V32="Supercritical",L495,U495)</f>
        <v>0.05</v>
      </c>
      <c r="AE495">
        <f t="shared" ca="1" si="188"/>
        <v>632.43949999999995</v>
      </c>
      <c r="AF495">
        <f t="shared" ca="1" si="189"/>
        <v>2593.5165316486618</v>
      </c>
      <c r="AI495">
        <v>0</v>
      </c>
      <c r="AJ495">
        <v>0</v>
      </c>
      <c r="AK495">
        <f t="shared" si="190"/>
        <v>0</v>
      </c>
      <c r="AL495">
        <f t="shared" si="198"/>
        <v>0</v>
      </c>
      <c r="AM495">
        <f t="shared" ca="1" si="191"/>
        <v>280.07692026646265</v>
      </c>
      <c r="AN495" t="str">
        <f t="shared" ca="1" si="192"/>
        <v>Supercritical</v>
      </c>
      <c r="AO495">
        <f ca="1">IF(V32="Supercritical",R495,AA495)</f>
        <v>482.07306851378365</v>
      </c>
    </row>
    <row r="496" spans="1:41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174</v>
      </c>
      <c r="I496">
        <v>2.3E-2</v>
      </c>
      <c r="J496">
        <f t="shared" si="193"/>
        <v>1</v>
      </c>
      <c r="K496">
        <f t="shared" si="194"/>
        <v>51</v>
      </c>
      <c r="L496">
        <f t="shared" ca="1" si="195"/>
        <v>38819.667243214324</v>
      </c>
      <c r="M496">
        <f t="shared" ca="1" si="173"/>
        <v>201862.26966471449</v>
      </c>
      <c r="N496">
        <f t="shared" ca="1" si="174"/>
        <v>2.5998258731269441</v>
      </c>
      <c r="O496">
        <f t="shared" ca="1" si="175"/>
        <v>2.5264751102179248E-4</v>
      </c>
      <c r="P496">
        <f t="shared" ca="1" si="176"/>
        <v>39452.056243214327</v>
      </c>
      <c r="Q496">
        <f t="shared" ca="1" si="177"/>
        <v>39452.056243217579</v>
      </c>
      <c r="R496">
        <f t="shared" ca="1" si="178"/>
        <v>4.0174784051972867E-12</v>
      </c>
      <c r="S496">
        <f t="shared" ca="1" si="196"/>
        <v>9.8800057457992807E-4</v>
      </c>
      <c r="T496">
        <f t="shared" ca="1" si="197"/>
        <v>1</v>
      </c>
      <c r="U496">
        <f t="shared" ca="1" si="179"/>
        <v>0.05</v>
      </c>
      <c r="V496">
        <f t="shared" ca="1" si="180"/>
        <v>0.26</v>
      </c>
      <c r="W496">
        <f t="shared" ca="1" si="181"/>
        <v>4.9056603773584909E-2</v>
      </c>
      <c r="X496">
        <f t="shared" ca="1" si="182"/>
        <v>196.15384615384616</v>
      </c>
      <c r="Y496">
        <f t="shared" ca="1" si="183"/>
        <v>632.43899999999996</v>
      </c>
      <c r="Z496">
        <f t="shared" ca="1" si="184"/>
        <v>2593.5160316486622</v>
      </c>
      <c r="AA496">
        <f t="shared" ca="1" si="185"/>
        <v>482.07306851378365</v>
      </c>
      <c r="AB496">
        <f t="shared" ca="1" si="186"/>
        <v>482.62981620185974</v>
      </c>
      <c r="AC496">
        <f t="shared" ca="1" si="187"/>
        <v>0</v>
      </c>
      <c r="AD496">
        <f ca="1">IF(V32="Supercritical",L496,U496)</f>
        <v>0.05</v>
      </c>
      <c r="AE496">
        <f t="shared" ca="1" si="188"/>
        <v>632.43899999999996</v>
      </c>
      <c r="AF496">
        <f t="shared" ca="1" si="189"/>
        <v>2593.5160316486622</v>
      </c>
      <c r="AI496">
        <v>0</v>
      </c>
      <c r="AJ496">
        <v>0</v>
      </c>
      <c r="AK496">
        <f t="shared" si="190"/>
        <v>0</v>
      </c>
      <c r="AL496">
        <f t="shared" si="198"/>
        <v>0</v>
      </c>
      <c r="AM496">
        <f t="shared" ca="1" si="191"/>
        <v>280.07692026646265</v>
      </c>
      <c r="AN496" t="str">
        <f t="shared" ca="1" si="192"/>
        <v>Supercritical</v>
      </c>
      <c r="AO496">
        <f ca="1">IF(V32="Supercritical",R496,AA496)</f>
        <v>482.07306851378365</v>
      </c>
    </row>
    <row r="497" spans="1:41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174</v>
      </c>
      <c r="I497">
        <v>2.3E-2</v>
      </c>
      <c r="J497">
        <f t="shared" si="193"/>
        <v>1.0010000000000332</v>
      </c>
      <c r="K497">
        <f t="shared" si="194"/>
        <v>51</v>
      </c>
      <c r="L497">
        <f t="shared" ca="1" si="195"/>
        <v>38819.667068861279</v>
      </c>
      <c r="M497">
        <f t="shared" ca="1" si="173"/>
        <v>201862.26875807866</v>
      </c>
      <c r="N497">
        <f t="shared" ca="1" si="174"/>
        <v>2.5998258731261621</v>
      </c>
      <c r="O497">
        <f t="shared" ca="1" si="175"/>
        <v>2.5264751215652302E-4</v>
      </c>
      <c r="P497">
        <f t="shared" ca="1" si="176"/>
        <v>39452.05556886128</v>
      </c>
      <c r="Q497">
        <f t="shared" ca="1" si="177"/>
        <v>39452.055568864533</v>
      </c>
      <c r="R497">
        <f t="shared" ca="1" si="178"/>
        <v>4.0174784412867721E-12</v>
      </c>
      <c r="S497">
        <f t="shared" ca="1" si="196"/>
        <v>6.7435303935781121E-4</v>
      </c>
      <c r="T497">
        <f t="shared" ca="1" si="197"/>
        <v>1</v>
      </c>
      <c r="U497">
        <f t="shared" ca="1" si="179"/>
        <v>0.05</v>
      </c>
      <c r="V497">
        <f t="shared" ca="1" si="180"/>
        <v>0.26</v>
      </c>
      <c r="W497">
        <f t="shared" ca="1" si="181"/>
        <v>4.9056603773584909E-2</v>
      </c>
      <c r="X497">
        <f t="shared" ca="1" si="182"/>
        <v>196.15384615384616</v>
      </c>
      <c r="Y497">
        <f t="shared" ca="1" si="183"/>
        <v>632.43849999999998</v>
      </c>
      <c r="Z497">
        <f t="shared" ca="1" si="184"/>
        <v>2593.5155316486621</v>
      </c>
      <c r="AA497">
        <f t="shared" ca="1" si="185"/>
        <v>482.07306851378365</v>
      </c>
      <c r="AB497">
        <f t="shared" ca="1" si="186"/>
        <v>481.59049544525396</v>
      </c>
      <c r="AC497">
        <f t="shared" ca="1" si="187"/>
        <v>0</v>
      </c>
      <c r="AD497">
        <f ca="1">IF(V32="Supercritical",L497,U497)</f>
        <v>0.05</v>
      </c>
      <c r="AE497">
        <f t="shared" ca="1" si="188"/>
        <v>632.43849999999998</v>
      </c>
      <c r="AF497">
        <f t="shared" ca="1" si="189"/>
        <v>2593.5155316486621</v>
      </c>
      <c r="AI497">
        <v>0</v>
      </c>
      <c r="AJ497">
        <v>0</v>
      </c>
      <c r="AK497">
        <f t="shared" si="190"/>
        <v>0</v>
      </c>
      <c r="AL497">
        <f t="shared" si="198"/>
        <v>0</v>
      </c>
      <c r="AM497">
        <f t="shared" ca="1" si="191"/>
        <v>280.07692026646265</v>
      </c>
      <c r="AN497" t="str">
        <f t="shared" ca="1" si="192"/>
        <v>Supercritical</v>
      </c>
      <c r="AO497">
        <f ca="1">IF(V32="Supercritical",R497,AA497)</f>
        <v>482.07306851378365</v>
      </c>
    </row>
    <row r="498" spans="1:41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174</v>
      </c>
      <c r="I498">
        <v>0</v>
      </c>
      <c r="J498">
        <f t="shared" si="193"/>
        <v>0.9989999999999668</v>
      </c>
      <c r="K498">
        <f t="shared" si="194"/>
        <v>51</v>
      </c>
      <c r="L498">
        <f t="shared" ca="1" si="195"/>
        <v>38819.666580483819</v>
      </c>
      <c r="M498">
        <f t="shared" ca="1" si="173"/>
        <v>201862.26621851587</v>
      </c>
      <c r="N498">
        <f t="shared" ca="1" si="174"/>
        <v>2.5998258731239718</v>
      </c>
      <c r="O498">
        <f t="shared" ca="1" si="175"/>
        <v>2.526475153349983E-4</v>
      </c>
      <c r="P498">
        <f t="shared" ca="1" si="176"/>
        <v>39452.054580483818</v>
      </c>
      <c r="Q498">
        <f t="shared" ca="1" si="177"/>
        <v>39452.054580487071</v>
      </c>
      <c r="R498">
        <f t="shared" ca="1" si="178"/>
        <v>4.017478542376434E-12</v>
      </c>
      <c r="S498">
        <f t="shared" ca="1" si="196"/>
        <v>9.8837745463242754E-4</v>
      </c>
      <c r="T498">
        <f t="shared" ca="1" si="197"/>
        <v>1</v>
      </c>
      <c r="U498">
        <f t="shared" ca="1" si="179"/>
        <v>0.05</v>
      </c>
      <c r="V498">
        <f t="shared" ca="1" si="180"/>
        <v>0.26</v>
      </c>
      <c r="W498">
        <f t="shared" ca="1" si="181"/>
        <v>4.9056603773584909E-2</v>
      </c>
      <c r="X498">
        <f t="shared" ca="1" si="182"/>
        <v>196.15384615384616</v>
      </c>
      <c r="Y498">
        <f t="shared" ca="1" si="183"/>
        <v>632.43799999999999</v>
      </c>
      <c r="Z498">
        <f t="shared" ca="1" si="184"/>
        <v>2593.515031648662</v>
      </c>
      <c r="AA498">
        <f t="shared" ca="1" si="185"/>
        <v>482.07306851378365</v>
      </c>
      <c r="AB498">
        <f t="shared" ca="1" si="186"/>
        <v>482.16081698020844</v>
      </c>
      <c r="AC498">
        <f t="shared" ca="1" si="187"/>
        <v>0</v>
      </c>
      <c r="AD498">
        <f ca="1">IF(V32="Supercritical",L498,U498)</f>
        <v>0.05</v>
      </c>
      <c r="AE498">
        <f t="shared" ca="1" si="188"/>
        <v>632.43799999999999</v>
      </c>
      <c r="AF498">
        <f t="shared" ca="1" si="189"/>
        <v>2593.515031648662</v>
      </c>
      <c r="AI498">
        <v>0</v>
      </c>
      <c r="AJ498">
        <v>0</v>
      </c>
      <c r="AK498">
        <f t="shared" si="190"/>
        <v>0</v>
      </c>
      <c r="AL498">
        <f t="shared" si="198"/>
        <v>0</v>
      </c>
      <c r="AM498">
        <f t="shared" ca="1" si="191"/>
        <v>280.07692026646265</v>
      </c>
      <c r="AN498" t="str">
        <f t="shared" ca="1" si="192"/>
        <v>Supercritical</v>
      </c>
      <c r="AO498">
        <f ca="1">IF(V32="Supercritical",R498,AA498)</f>
        <v>482.07306851378365</v>
      </c>
    </row>
    <row r="499" spans="1:41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174</v>
      </c>
      <c r="I499">
        <v>2.7E-2</v>
      </c>
      <c r="J499">
        <f t="shared" si="193"/>
        <v>1</v>
      </c>
      <c r="K499">
        <f t="shared" si="194"/>
        <v>51</v>
      </c>
      <c r="L499">
        <f t="shared" ca="1" si="195"/>
        <v>38819.666406064272</v>
      </c>
      <c r="M499">
        <f t="shared" ca="1" si="173"/>
        <v>201862.26531153423</v>
      </c>
      <c r="N499">
        <f t="shared" ca="1" si="174"/>
        <v>2.5998258731231894</v>
      </c>
      <c r="O499">
        <f t="shared" ca="1" si="175"/>
        <v>2.5264751647016172E-4</v>
      </c>
      <c r="P499">
        <f t="shared" ca="1" si="176"/>
        <v>39452.05390606427</v>
      </c>
      <c r="Q499">
        <f t="shared" ca="1" si="177"/>
        <v>39452.053906067522</v>
      </c>
      <c r="R499">
        <f t="shared" ca="1" si="178"/>
        <v>4.0174785784796875E-12</v>
      </c>
      <c r="S499">
        <f t="shared" ca="1" si="196"/>
        <v>6.7441954161040485E-4</v>
      </c>
      <c r="T499">
        <f t="shared" ca="1" si="197"/>
        <v>1</v>
      </c>
      <c r="U499">
        <f t="shared" ca="1" si="179"/>
        <v>0.05</v>
      </c>
      <c r="V499">
        <f t="shared" ca="1" si="180"/>
        <v>0.26</v>
      </c>
      <c r="W499">
        <f t="shared" ca="1" si="181"/>
        <v>4.9056603773584909E-2</v>
      </c>
      <c r="X499">
        <f t="shared" ca="1" si="182"/>
        <v>196.15384615384616</v>
      </c>
      <c r="Y499">
        <f t="shared" ca="1" si="183"/>
        <v>632.4375</v>
      </c>
      <c r="Z499">
        <f t="shared" ca="1" si="184"/>
        <v>2593.5145316486623</v>
      </c>
      <c r="AA499">
        <f t="shared" ca="1" si="185"/>
        <v>482.07306851378365</v>
      </c>
      <c r="AB499">
        <f t="shared" ca="1" si="186"/>
        <v>482.16081698020798</v>
      </c>
      <c r="AC499">
        <f t="shared" ca="1" si="187"/>
        <v>0</v>
      </c>
      <c r="AD499">
        <f ca="1">IF(V32="Supercritical",L499,U499)</f>
        <v>0.05</v>
      </c>
      <c r="AE499">
        <f t="shared" ca="1" si="188"/>
        <v>632.4375</v>
      </c>
      <c r="AF499">
        <f t="shared" ca="1" si="189"/>
        <v>2593.5145316486623</v>
      </c>
      <c r="AI499">
        <v>0</v>
      </c>
      <c r="AJ499">
        <v>0</v>
      </c>
      <c r="AK499">
        <f t="shared" si="190"/>
        <v>0</v>
      </c>
      <c r="AL499">
        <f t="shared" si="198"/>
        <v>0</v>
      </c>
      <c r="AM499">
        <f t="shared" ca="1" si="191"/>
        <v>280.07692026646265</v>
      </c>
      <c r="AN499" t="str">
        <f t="shared" ca="1" si="192"/>
        <v>Supercritical</v>
      </c>
      <c r="AO499">
        <f ca="1">IF(V32="Supercritical",R499,AA499)</f>
        <v>482.07306851378365</v>
      </c>
    </row>
    <row r="500" spans="1:41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174</v>
      </c>
      <c r="I500">
        <v>2.7E-2</v>
      </c>
      <c r="J500">
        <f t="shared" si="193"/>
        <v>1</v>
      </c>
      <c r="K500">
        <f t="shared" si="194"/>
        <v>51</v>
      </c>
      <c r="L500">
        <f t="shared" ca="1" si="195"/>
        <v>38819.665917319136</v>
      </c>
      <c r="M500">
        <f t="shared" ca="1" si="173"/>
        <v>201862.26277005952</v>
      </c>
      <c r="N500">
        <f t="shared" ca="1" si="174"/>
        <v>2.5998258731209973</v>
      </c>
      <c r="O500">
        <f t="shared" ca="1" si="175"/>
        <v>2.5264751965103005E-4</v>
      </c>
      <c r="P500">
        <f t="shared" ca="1" si="176"/>
        <v>39452.052917319139</v>
      </c>
      <c r="Q500">
        <f t="shared" ca="1" si="177"/>
        <v>39452.052917322391</v>
      </c>
      <c r="R500">
        <f t="shared" ca="1" si="178"/>
        <v>4.0174786796454605E-12</v>
      </c>
      <c r="S500">
        <f t="shared" ca="1" si="196"/>
        <v>9.8874512332258746E-4</v>
      </c>
      <c r="T500">
        <f t="shared" ca="1" si="197"/>
        <v>1</v>
      </c>
      <c r="U500">
        <f t="shared" ca="1" si="179"/>
        <v>0.05</v>
      </c>
      <c r="V500">
        <f t="shared" ca="1" si="180"/>
        <v>0.26</v>
      </c>
      <c r="W500">
        <f t="shared" ca="1" si="181"/>
        <v>4.9056603773584909E-2</v>
      </c>
      <c r="X500">
        <f t="shared" ca="1" si="182"/>
        <v>196.15384615384616</v>
      </c>
      <c r="Y500">
        <f t="shared" ca="1" si="183"/>
        <v>632.4369999999999</v>
      </c>
      <c r="Z500">
        <f t="shared" ca="1" si="184"/>
        <v>2593.5140316486622</v>
      </c>
      <c r="AA500">
        <f t="shared" ca="1" si="185"/>
        <v>482.07306851378365</v>
      </c>
      <c r="AB500">
        <f t="shared" ca="1" si="186"/>
        <v>482.1477431333301</v>
      </c>
      <c r="AC500">
        <f t="shared" ca="1" si="187"/>
        <v>0</v>
      </c>
      <c r="AD500">
        <f ca="1">IF(V32="Supercritical",L500,U500)</f>
        <v>0.05</v>
      </c>
      <c r="AE500">
        <f t="shared" ca="1" si="188"/>
        <v>632.4369999999999</v>
      </c>
      <c r="AF500">
        <f t="shared" ca="1" si="189"/>
        <v>2593.5140316486622</v>
      </c>
      <c r="AI500">
        <v>0</v>
      </c>
      <c r="AJ500">
        <v>0</v>
      </c>
      <c r="AK500">
        <f t="shared" si="190"/>
        <v>0</v>
      </c>
      <c r="AL500">
        <f t="shared" si="198"/>
        <v>0</v>
      </c>
      <c r="AM500">
        <f t="shared" ca="1" si="191"/>
        <v>280.07692026646265</v>
      </c>
      <c r="AN500" t="str">
        <f t="shared" ca="1" si="192"/>
        <v>Supercritical</v>
      </c>
      <c r="AO500">
        <f ca="1">IF(V32="Supercritical",R500,AA500)</f>
        <v>482.07306851378365</v>
      </c>
    </row>
    <row r="501" spans="1:41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174</v>
      </c>
      <c r="I501">
        <v>2.3E-2</v>
      </c>
      <c r="J501">
        <f t="shared" si="193"/>
        <v>1</v>
      </c>
      <c r="K501">
        <f t="shared" si="194"/>
        <v>51</v>
      </c>
      <c r="L501">
        <f t="shared" ca="1" si="195"/>
        <v>38819.665742834703</v>
      </c>
      <c r="M501">
        <f t="shared" ca="1" si="173"/>
        <v>201862.26186274047</v>
      </c>
      <c r="N501">
        <f t="shared" ca="1" si="174"/>
        <v>2.5998258731202148</v>
      </c>
      <c r="O501">
        <f t="shared" ca="1" si="175"/>
        <v>2.5264752078661576E-4</v>
      </c>
      <c r="P501">
        <f t="shared" ca="1" si="176"/>
        <v>39452.052242834703</v>
      </c>
      <c r="Q501">
        <f t="shared" ca="1" si="177"/>
        <v>39452.052242837955</v>
      </c>
      <c r="R501">
        <f t="shared" ca="1" si="178"/>
        <v>4.0174787157621451E-12</v>
      </c>
      <c r="S501">
        <f t="shared" ca="1" si="196"/>
        <v>6.7448442860040814E-4</v>
      </c>
      <c r="T501">
        <f t="shared" ca="1" si="197"/>
        <v>1</v>
      </c>
      <c r="U501">
        <f t="shared" ca="1" si="179"/>
        <v>0.05</v>
      </c>
      <c r="V501">
        <f t="shared" ca="1" si="180"/>
        <v>0.26</v>
      </c>
      <c r="W501">
        <f t="shared" ca="1" si="181"/>
        <v>4.9056603773584909E-2</v>
      </c>
      <c r="X501">
        <f t="shared" ca="1" si="182"/>
        <v>196.15384615384616</v>
      </c>
      <c r="Y501">
        <f t="shared" ca="1" si="183"/>
        <v>632.43649999999991</v>
      </c>
      <c r="Z501">
        <f t="shared" ca="1" si="184"/>
        <v>2593.5135316486621</v>
      </c>
      <c r="AA501">
        <f t="shared" ca="1" si="185"/>
        <v>482.07306851378365</v>
      </c>
      <c r="AB501">
        <f t="shared" ca="1" si="186"/>
        <v>482.62981620185974</v>
      </c>
      <c r="AC501">
        <f t="shared" ca="1" si="187"/>
        <v>0</v>
      </c>
      <c r="AD501">
        <f ca="1">IF(V32="Supercritical",L501,U501)</f>
        <v>0.05</v>
      </c>
      <c r="AE501">
        <f t="shared" ca="1" si="188"/>
        <v>632.43649999999991</v>
      </c>
      <c r="AF501">
        <f t="shared" ca="1" si="189"/>
        <v>2593.5135316486621</v>
      </c>
      <c r="AI501">
        <v>0</v>
      </c>
      <c r="AJ501">
        <v>0</v>
      </c>
      <c r="AK501">
        <f t="shared" si="190"/>
        <v>0</v>
      </c>
      <c r="AL501">
        <f t="shared" si="198"/>
        <v>0</v>
      </c>
      <c r="AM501">
        <f t="shared" ca="1" si="191"/>
        <v>280.07692026646265</v>
      </c>
      <c r="AN501" t="str">
        <f t="shared" ca="1" si="192"/>
        <v>Supercritical</v>
      </c>
      <c r="AO501">
        <f ca="1">IF(V32="Supercritical",R501,AA501)</f>
        <v>482.07306851378365</v>
      </c>
    </row>
    <row r="502" spans="1:41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174</v>
      </c>
      <c r="I502">
        <v>2.3E-2</v>
      </c>
      <c r="J502">
        <f t="shared" si="193"/>
        <v>1.0010000000000332</v>
      </c>
      <c r="K502">
        <f t="shared" si="194"/>
        <v>51</v>
      </c>
      <c r="L502">
        <f t="shared" ca="1" si="195"/>
        <v>38819.665253730855</v>
      </c>
      <c r="M502">
        <f t="shared" ca="1" si="173"/>
        <v>201862.25931940044</v>
      </c>
      <c r="N502">
        <f t="shared" ca="1" si="174"/>
        <v>2.599825873118021</v>
      </c>
      <c r="O502">
        <f t="shared" ca="1" si="175"/>
        <v>2.5264752396981881E-4</v>
      </c>
      <c r="P502">
        <f t="shared" ca="1" si="176"/>
        <v>39452.051253730853</v>
      </c>
      <c r="Q502">
        <f t="shared" ca="1" si="177"/>
        <v>39452.051253734106</v>
      </c>
      <c r="R502">
        <f t="shared" ca="1" si="178"/>
        <v>4.0174788170021745E-12</v>
      </c>
      <c r="S502">
        <f t="shared" ca="1" si="196"/>
        <v>9.8910384258488193E-4</v>
      </c>
      <c r="T502">
        <f t="shared" ca="1" si="197"/>
        <v>1</v>
      </c>
      <c r="U502">
        <f t="shared" ca="1" si="179"/>
        <v>0.05</v>
      </c>
      <c r="V502">
        <f t="shared" ca="1" si="180"/>
        <v>0.26</v>
      </c>
      <c r="W502">
        <f t="shared" ca="1" si="181"/>
        <v>4.9056603773584909E-2</v>
      </c>
      <c r="X502">
        <f t="shared" ca="1" si="182"/>
        <v>196.15384615384616</v>
      </c>
      <c r="Y502">
        <f t="shared" ca="1" si="183"/>
        <v>632.43599999999992</v>
      </c>
      <c r="Z502">
        <f t="shared" ca="1" si="184"/>
        <v>2593.513031648662</v>
      </c>
      <c r="AA502">
        <f t="shared" ca="1" si="185"/>
        <v>482.07306851378365</v>
      </c>
      <c r="AB502">
        <f t="shared" ca="1" si="186"/>
        <v>481.59049544525351</v>
      </c>
      <c r="AC502">
        <f t="shared" ca="1" si="187"/>
        <v>0</v>
      </c>
      <c r="AD502">
        <f ca="1">IF(V32="Supercritical",L502,U502)</f>
        <v>0.05</v>
      </c>
      <c r="AE502">
        <f t="shared" ca="1" si="188"/>
        <v>632.43599999999992</v>
      </c>
      <c r="AF502">
        <f t="shared" ca="1" si="189"/>
        <v>2593.513031648662</v>
      </c>
      <c r="AI502">
        <v>0</v>
      </c>
      <c r="AJ502">
        <v>0</v>
      </c>
      <c r="AK502">
        <f t="shared" si="190"/>
        <v>0</v>
      </c>
      <c r="AL502">
        <f t="shared" si="198"/>
        <v>0</v>
      </c>
      <c r="AM502">
        <f t="shared" ca="1" si="191"/>
        <v>280.07692026646265</v>
      </c>
      <c r="AN502" t="str">
        <f t="shared" ca="1" si="192"/>
        <v>Supercritical</v>
      </c>
      <c r="AO502">
        <f ca="1">IF(V32="Supercritical",R502,AA502)</f>
        <v>482.07306851378365</v>
      </c>
    </row>
    <row r="503" spans="1:41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174</v>
      </c>
      <c r="I503">
        <v>0</v>
      </c>
      <c r="J503">
        <f t="shared" si="193"/>
        <v>0.9989999999999668</v>
      </c>
      <c r="K503">
        <f t="shared" si="194"/>
        <v>51</v>
      </c>
      <c r="L503">
        <f t="shared" ca="1" si="195"/>
        <v>38819.66507918312</v>
      </c>
      <c r="M503">
        <f t="shared" ca="1" si="173"/>
        <v>201862.25841175223</v>
      </c>
      <c r="N503">
        <f t="shared" ca="1" si="174"/>
        <v>2.5998258731172381</v>
      </c>
      <c r="O503">
        <f t="shared" ca="1" si="175"/>
        <v>2.5264752510581657E-4</v>
      </c>
      <c r="P503">
        <f t="shared" ca="1" si="176"/>
        <v>39452.050579183116</v>
      </c>
      <c r="Q503">
        <f t="shared" ca="1" si="177"/>
        <v>39452.050579186369</v>
      </c>
      <c r="R503">
        <f t="shared" ca="1" si="178"/>
        <v>4.0174788531319632E-12</v>
      </c>
      <c r="S503">
        <f t="shared" ca="1" si="196"/>
        <v>6.7454772943165153E-4</v>
      </c>
      <c r="T503">
        <f t="shared" ca="1" si="197"/>
        <v>1</v>
      </c>
      <c r="U503">
        <f t="shared" ca="1" si="179"/>
        <v>0.05</v>
      </c>
      <c r="V503">
        <f t="shared" ca="1" si="180"/>
        <v>0.26</v>
      </c>
      <c r="W503">
        <f t="shared" ca="1" si="181"/>
        <v>4.9056603773584909E-2</v>
      </c>
      <c r="X503">
        <f t="shared" ca="1" si="182"/>
        <v>196.15384615384616</v>
      </c>
      <c r="Y503">
        <f t="shared" ca="1" si="183"/>
        <v>632.43549999999993</v>
      </c>
      <c r="Z503">
        <f t="shared" ca="1" si="184"/>
        <v>2593.5125316486619</v>
      </c>
      <c r="AA503">
        <f t="shared" ca="1" si="185"/>
        <v>482.07306851378365</v>
      </c>
      <c r="AB503">
        <f t="shared" ca="1" si="186"/>
        <v>482.16081698020798</v>
      </c>
      <c r="AC503">
        <f t="shared" ca="1" si="187"/>
        <v>0</v>
      </c>
      <c r="AD503">
        <f ca="1">IF(V32="Supercritical",L503,U503)</f>
        <v>0.05</v>
      </c>
      <c r="AE503">
        <f t="shared" ca="1" si="188"/>
        <v>632.43549999999993</v>
      </c>
      <c r="AF503">
        <f t="shared" ca="1" si="189"/>
        <v>2593.5125316486619</v>
      </c>
      <c r="AI503">
        <v>0</v>
      </c>
      <c r="AJ503">
        <v>0</v>
      </c>
      <c r="AK503">
        <f t="shared" si="190"/>
        <v>0</v>
      </c>
      <c r="AL503">
        <f t="shared" si="198"/>
        <v>0</v>
      </c>
      <c r="AM503">
        <f t="shared" ca="1" si="191"/>
        <v>280.07692026646265</v>
      </c>
      <c r="AN503" t="str">
        <f t="shared" ca="1" si="192"/>
        <v>Supercritical</v>
      </c>
      <c r="AO503">
        <f ca="1">IF(V32="Supercritical",R503,AA503)</f>
        <v>482.07306851378365</v>
      </c>
    </row>
    <row r="504" spans="1:41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174</v>
      </c>
      <c r="I504">
        <v>2.7E-2</v>
      </c>
      <c r="J504">
        <f t="shared" si="193"/>
        <v>1</v>
      </c>
      <c r="K504">
        <f t="shared" si="194"/>
        <v>51</v>
      </c>
      <c r="L504">
        <f t="shared" ca="1" si="195"/>
        <v>38819.664589729255</v>
      </c>
      <c r="M504">
        <f t="shared" ca="1" si="173"/>
        <v>201862.25586659214</v>
      </c>
      <c r="N504">
        <f t="shared" ca="1" si="174"/>
        <v>2.599825873115043</v>
      </c>
      <c r="O504">
        <f t="shared" ca="1" si="175"/>
        <v>2.5264752829129764E-4</v>
      </c>
      <c r="P504">
        <f t="shared" ca="1" si="176"/>
        <v>39452.049589729257</v>
      </c>
      <c r="Q504">
        <f t="shared" ca="1" si="177"/>
        <v>39452.049589732509</v>
      </c>
      <c r="R504">
        <f t="shared" ca="1" si="178"/>
        <v>4.0174789544444485E-12</v>
      </c>
      <c r="S504">
        <f t="shared" ca="1" si="196"/>
        <v>9.8945385252591223E-4</v>
      </c>
      <c r="T504">
        <f t="shared" ca="1" si="197"/>
        <v>1</v>
      </c>
      <c r="U504">
        <f t="shared" ca="1" si="179"/>
        <v>0.05</v>
      </c>
      <c r="V504">
        <f t="shared" ca="1" si="180"/>
        <v>0.26</v>
      </c>
      <c r="W504">
        <f t="shared" ca="1" si="181"/>
        <v>4.9056603773584909E-2</v>
      </c>
      <c r="X504">
        <f t="shared" ca="1" si="182"/>
        <v>196.15384615384616</v>
      </c>
      <c r="Y504">
        <f t="shared" ca="1" si="183"/>
        <v>632.43499999999995</v>
      </c>
      <c r="Z504">
        <f t="shared" ca="1" si="184"/>
        <v>2593.5120316486618</v>
      </c>
      <c r="AA504">
        <f t="shared" ca="1" si="185"/>
        <v>482.07306851378365</v>
      </c>
      <c r="AB504">
        <f t="shared" ca="1" si="186"/>
        <v>482.32750852789832</v>
      </c>
      <c r="AC504">
        <f t="shared" ca="1" si="187"/>
        <v>0</v>
      </c>
      <c r="AD504">
        <f ca="1">IF(V32="Supercritical",L504,U504)</f>
        <v>0.05</v>
      </c>
      <c r="AE504">
        <f t="shared" ca="1" si="188"/>
        <v>632.43499999999995</v>
      </c>
      <c r="AF504">
        <f t="shared" ca="1" si="189"/>
        <v>2593.5120316486618</v>
      </c>
      <c r="AI504">
        <v>0</v>
      </c>
      <c r="AJ504">
        <v>0</v>
      </c>
      <c r="AK504">
        <f t="shared" si="190"/>
        <v>0</v>
      </c>
      <c r="AL504">
        <f t="shared" si="198"/>
        <v>0</v>
      </c>
      <c r="AM504">
        <f t="shared" ca="1" si="191"/>
        <v>280.07692026646265</v>
      </c>
      <c r="AN504" t="str">
        <f t="shared" ca="1" si="192"/>
        <v>Supercritical</v>
      </c>
      <c r="AO504">
        <f ca="1">IF(V32="Supercritical",R504,AA504)</f>
        <v>482.07306851378365</v>
      </c>
    </row>
    <row r="505" spans="1:41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174</v>
      </c>
      <c r="I505">
        <v>7.8E-2</v>
      </c>
      <c r="J505">
        <f t="shared" si="193"/>
        <v>1</v>
      </c>
      <c r="K505">
        <f t="shared" si="194"/>
        <v>51</v>
      </c>
      <c r="L505">
        <f t="shared" ca="1" si="195"/>
        <v>38819.664415119754</v>
      </c>
      <c r="M505">
        <f t="shared" ca="1" si="173"/>
        <v>201862.25495862274</v>
      </c>
      <c r="N505">
        <f t="shared" ca="1" si="174"/>
        <v>2.5998258731142596</v>
      </c>
      <c r="O505">
        <f t="shared" ca="1" si="175"/>
        <v>2.5264752942769742E-4</v>
      </c>
      <c r="P505">
        <f t="shared" ca="1" si="176"/>
        <v>39452.048915119754</v>
      </c>
      <c r="Q505">
        <f t="shared" ca="1" si="177"/>
        <v>39452.048915123007</v>
      </c>
      <c r="R505">
        <f t="shared" ca="1" si="178"/>
        <v>4.0174789905870237E-12</v>
      </c>
      <c r="S505">
        <f t="shared" ca="1" si="196"/>
        <v>6.7460949503583834E-4</v>
      </c>
      <c r="T505">
        <f t="shared" ca="1" si="197"/>
        <v>1</v>
      </c>
      <c r="U505">
        <f t="shared" ca="1" si="179"/>
        <v>0.05</v>
      </c>
      <c r="V505">
        <f t="shared" ca="1" si="180"/>
        <v>0.26</v>
      </c>
      <c r="W505">
        <f t="shared" ca="1" si="181"/>
        <v>4.9056603773584909E-2</v>
      </c>
      <c r="X505">
        <f t="shared" ca="1" si="182"/>
        <v>196.15384615384616</v>
      </c>
      <c r="Y505">
        <f t="shared" ca="1" si="183"/>
        <v>632.43449999999996</v>
      </c>
      <c r="Z505">
        <f t="shared" ca="1" si="184"/>
        <v>2593.5115316486622</v>
      </c>
      <c r="AA505">
        <f t="shared" ca="1" si="185"/>
        <v>482.07306851378365</v>
      </c>
      <c r="AB505">
        <f t="shared" ca="1" si="186"/>
        <v>482.32750852789786</v>
      </c>
      <c r="AC505">
        <f t="shared" ca="1" si="187"/>
        <v>0</v>
      </c>
      <c r="AD505">
        <f ca="1">IF(V32="Supercritical",L505,U505)</f>
        <v>0.05</v>
      </c>
      <c r="AE505">
        <f t="shared" ca="1" si="188"/>
        <v>632.43449999999996</v>
      </c>
      <c r="AF505">
        <f t="shared" ca="1" si="189"/>
        <v>2593.5115316486622</v>
      </c>
      <c r="AI505">
        <v>0</v>
      </c>
      <c r="AJ505">
        <v>0</v>
      </c>
      <c r="AK505">
        <f t="shared" si="190"/>
        <v>0</v>
      </c>
      <c r="AL505">
        <f t="shared" si="198"/>
        <v>0</v>
      </c>
      <c r="AM505">
        <f t="shared" ca="1" si="191"/>
        <v>280.07692026646265</v>
      </c>
      <c r="AN505" t="str">
        <f t="shared" ca="1" si="192"/>
        <v>Supercritical</v>
      </c>
      <c r="AO505">
        <f ca="1">IF(V32="Supercritical",R505,AA505)</f>
        <v>482.07306851378365</v>
      </c>
    </row>
    <row r="506" spans="1:41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174</v>
      </c>
      <c r="I506">
        <v>7.8E-2</v>
      </c>
      <c r="J506">
        <f t="shared" si="193"/>
        <v>1</v>
      </c>
      <c r="K506">
        <f t="shared" si="194"/>
        <v>51</v>
      </c>
      <c r="L506">
        <f t="shared" ca="1" si="195"/>
        <v>38819.663925324341</v>
      </c>
      <c r="M506">
        <f t="shared" ca="1" si="173"/>
        <v>201862.25241168658</v>
      </c>
      <c r="N506">
        <f t="shared" ca="1" si="174"/>
        <v>2.5998258731120627</v>
      </c>
      <c r="O506">
        <f t="shared" ca="1" si="175"/>
        <v>2.5264753261540154E-4</v>
      </c>
      <c r="P506">
        <f t="shared" ca="1" si="176"/>
        <v>39452.047925324339</v>
      </c>
      <c r="Q506">
        <f t="shared" ca="1" si="177"/>
        <v>39452.047925327592</v>
      </c>
      <c r="R506">
        <f t="shared" ca="1" si="178"/>
        <v>4.0174790919702119E-12</v>
      </c>
      <c r="S506">
        <f t="shared" ca="1" si="196"/>
        <v>9.8979540780419484E-4</v>
      </c>
      <c r="T506">
        <f t="shared" ca="1" si="197"/>
        <v>1</v>
      </c>
      <c r="U506">
        <f t="shared" ca="1" si="179"/>
        <v>0.05</v>
      </c>
      <c r="V506">
        <f t="shared" ca="1" si="180"/>
        <v>0.26</v>
      </c>
      <c r="W506">
        <f t="shared" ca="1" si="181"/>
        <v>4.9056603773584909E-2</v>
      </c>
      <c r="X506">
        <f t="shared" ca="1" si="182"/>
        <v>196.15384615384616</v>
      </c>
      <c r="Y506">
        <f t="shared" ca="1" si="183"/>
        <v>632.43399999999997</v>
      </c>
      <c r="Z506">
        <f t="shared" ca="1" si="184"/>
        <v>2593.5110316486621</v>
      </c>
      <c r="AA506">
        <f t="shared" ca="1" si="185"/>
        <v>482.07306851378365</v>
      </c>
      <c r="AB506">
        <f t="shared" ca="1" si="186"/>
        <v>482.64289004873763</v>
      </c>
      <c r="AC506">
        <f t="shared" ca="1" si="187"/>
        <v>0</v>
      </c>
      <c r="AD506">
        <f ca="1">IF(V32="Supercritical",L506,U506)</f>
        <v>0.05</v>
      </c>
      <c r="AE506">
        <f t="shared" ca="1" si="188"/>
        <v>632.43399999999997</v>
      </c>
      <c r="AF506">
        <f t="shared" ca="1" si="189"/>
        <v>2593.5110316486621</v>
      </c>
      <c r="AI506">
        <v>0</v>
      </c>
      <c r="AJ506">
        <v>0</v>
      </c>
      <c r="AK506">
        <f t="shared" si="190"/>
        <v>0</v>
      </c>
      <c r="AL506">
        <f t="shared" si="198"/>
        <v>0</v>
      </c>
      <c r="AM506">
        <f t="shared" ca="1" si="191"/>
        <v>280.07692026646265</v>
      </c>
      <c r="AN506" t="str">
        <f t="shared" ca="1" si="192"/>
        <v>Supercritical</v>
      </c>
      <c r="AO506">
        <f ca="1">IF(V32="Supercritical",R506,AA506)</f>
        <v>482.07306851378365</v>
      </c>
    </row>
    <row r="507" spans="1:41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174</v>
      </c>
      <c r="I507">
        <v>2.7E-2</v>
      </c>
      <c r="J507">
        <f t="shared" si="193"/>
        <v>1.0010000000000332</v>
      </c>
      <c r="K507">
        <f t="shared" si="194"/>
        <v>51</v>
      </c>
      <c r="L507">
        <f t="shared" ca="1" si="195"/>
        <v>38819.663750654567</v>
      </c>
      <c r="M507">
        <f t="shared" ca="1" si="173"/>
        <v>201862.25150340376</v>
      </c>
      <c r="N507">
        <f t="shared" ca="1" si="174"/>
        <v>2.5998258731112793</v>
      </c>
      <c r="O507">
        <f t="shared" ca="1" si="175"/>
        <v>2.5264753375219364E-4</v>
      </c>
      <c r="P507">
        <f t="shared" ca="1" si="176"/>
        <v>39452.04725065457</v>
      </c>
      <c r="Q507">
        <f t="shared" ca="1" si="177"/>
        <v>39452.047250657823</v>
      </c>
      <c r="R507">
        <f t="shared" ca="1" si="178"/>
        <v>4.0174791281252643E-12</v>
      </c>
      <c r="S507">
        <f t="shared" ca="1" si="196"/>
        <v>6.7466976179275662E-4</v>
      </c>
      <c r="T507">
        <f t="shared" ca="1" si="197"/>
        <v>1</v>
      </c>
      <c r="U507">
        <f t="shared" ca="1" si="179"/>
        <v>0.05</v>
      </c>
      <c r="V507">
        <f t="shared" ca="1" si="180"/>
        <v>0.26</v>
      </c>
      <c r="W507">
        <f t="shared" ca="1" si="181"/>
        <v>4.9056603773584909E-2</v>
      </c>
      <c r="X507">
        <f t="shared" ca="1" si="182"/>
        <v>196.15384615384616</v>
      </c>
      <c r="Y507">
        <f t="shared" ca="1" si="183"/>
        <v>632.43349999999998</v>
      </c>
      <c r="Z507">
        <f t="shared" ca="1" si="184"/>
        <v>2593.510531648662</v>
      </c>
      <c r="AA507">
        <f t="shared" ca="1" si="185"/>
        <v>482.07306851378365</v>
      </c>
      <c r="AB507">
        <f t="shared" ca="1" si="186"/>
        <v>481.59049544525396</v>
      </c>
      <c r="AC507">
        <f t="shared" ca="1" si="187"/>
        <v>0</v>
      </c>
      <c r="AD507">
        <f ca="1">IF(V32="Supercritical",L507,U507)</f>
        <v>0.05</v>
      </c>
      <c r="AE507">
        <f t="shared" ca="1" si="188"/>
        <v>632.43349999999998</v>
      </c>
      <c r="AF507">
        <f t="shared" ca="1" si="189"/>
        <v>2593.510531648662</v>
      </c>
      <c r="AI507">
        <v>0</v>
      </c>
      <c r="AJ507">
        <v>0</v>
      </c>
      <c r="AK507">
        <f t="shared" si="190"/>
        <v>0</v>
      </c>
      <c r="AL507">
        <f t="shared" si="198"/>
        <v>0</v>
      </c>
      <c r="AM507">
        <f t="shared" ca="1" si="191"/>
        <v>280.07692026646265</v>
      </c>
      <c r="AN507" t="str">
        <f t="shared" ca="1" si="192"/>
        <v>Supercritical</v>
      </c>
      <c r="AO507">
        <f ca="1">IF(V32="Supercritical",R507,AA507)</f>
        <v>482.07306851378365</v>
      </c>
    </row>
    <row r="508" spans="1:41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174</v>
      </c>
      <c r="I508">
        <v>0</v>
      </c>
      <c r="J508">
        <f t="shared" si="193"/>
        <v>0.9989999999999668</v>
      </c>
      <c r="K508">
        <f t="shared" si="194"/>
        <v>51</v>
      </c>
      <c r="L508">
        <f t="shared" ca="1" si="195"/>
        <v>38819.66326052582</v>
      </c>
      <c r="M508">
        <f t="shared" ca="1" si="173"/>
        <v>201862.24895473427</v>
      </c>
      <c r="N508">
        <f t="shared" ca="1" si="174"/>
        <v>2.5998258731090811</v>
      </c>
      <c r="O508">
        <f t="shared" ca="1" si="175"/>
        <v>2.5264753694206725E-4</v>
      </c>
      <c r="P508">
        <f t="shared" ca="1" si="176"/>
        <v>39452.046260525822</v>
      </c>
      <c r="Q508">
        <f t="shared" ca="1" si="177"/>
        <v>39452.046260529074</v>
      </c>
      <c r="R508">
        <f t="shared" ca="1" si="178"/>
        <v>4.0174792295774559E-12</v>
      </c>
      <c r="S508">
        <f t="shared" ca="1" si="196"/>
        <v>9.9012874125037342E-4</v>
      </c>
      <c r="T508">
        <f t="shared" ca="1" si="197"/>
        <v>1</v>
      </c>
      <c r="U508">
        <f t="shared" ca="1" si="179"/>
        <v>0.05</v>
      </c>
      <c r="V508">
        <f t="shared" ca="1" si="180"/>
        <v>0.26</v>
      </c>
      <c r="W508">
        <f t="shared" ca="1" si="181"/>
        <v>4.9056603773584909E-2</v>
      </c>
      <c r="X508">
        <f t="shared" ca="1" si="182"/>
        <v>196.15384615384616</v>
      </c>
      <c r="Y508">
        <f t="shared" ca="1" si="183"/>
        <v>632.43299999999999</v>
      </c>
      <c r="Z508">
        <f t="shared" ca="1" si="184"/>
        <v>2593.5100316486623</v>
      </c>
      <c r="AA508">
        <f t="shared" ca="1" si="185"/>
        <v>482.07306851378365</v>
      </c>
      <c r="AB508">
        <f t="shared" ca="1" si="186"/>
        <v>482.1477431333301</v>
      </c>
      <c r="AC508">
        <f t="shared" ca="1" si="187"/>
        <v>0</v>
      </c>
      <c r="AD508">
        <f ca="1">IF(V32="Supercritical",L508,U508)</f>
        <v>0.05</v>
      </c>
      <c r="AE508">
        <f t="shared" ca="1" si="188"/>
        <v>632.43299999999999</v>
      </c>
      <c r="AF508">
        <f t="shared" ca="1" si="189"/>
        <v>2593.5100316486623</v>
      </c>
      <c r="AI508">
        <v>0</v>
      </c>
      <c r="AJ508">
        <v>0</v>
      </c>
      <c r="AK508">
        <f t="shared" si="190"/>
        <v>0</v>
      </c>
      <c r="AL508">
        <f t="shared" si="198"/>
        <v>0</v>
      </c>
      <c r="AM508">
        <f t="shared" ca="1" si="191"/>
        <v>280.07692026646265</v>
      </c>
      <c r="AN508" t="str">
        <f t="shared" ca="1" si="192"/>
        <v>Supercritical</v>
      </c>
      <c r="AO508">
        <f ca="1">IF(V32="Supercritical",R508,AA508)</f>
        <v>482.07306851378365</v>
      </c>
    </row>
    <row r="509" spans="1:41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174</v>
      </c>
      <c r="I509">
        <v>2.3E-2</v>
      </c>
      <c r="J509">
        <f t="shared" si="193"/>
        <v>1</v>
      </c>
      <c r="K509">
        <f t="shared" si="194"/>
        <v>51</v>
      </c>
      <c r="L509">
        <f t="shared" ca="1" si="195"/>
        <v>38819.66308579722</v>
      </c>
      <c r="M509">
        <f t="shared" ca="1" si="173"/>
        <v>201862.24804614554</v>
      </c>
      <c r="N509">
        <f t="shared" ca="1" si="174"/>
        <v>2.5998258731082973</v>
      </c>
      <c r="O509">
        <f t="shared" ca="1" si="175"/>
        <v>2.5264753807924224E-4</v>
      </c>
      <c r="P509">
        <f t="shared" ca="1" si="176"/>
        <v>39452.045585797219</v>
      </c>
      <c r="Q509">
        <f t="shared" ca="1" si="177"/>
        <v>39452.045585800472</v>
      </c>
      <c r="R509">
        <f t="shared" ca="1" si="178"/>
        <v>4.0174792657446866E-12</v>
      </c>
      <c r="S509">
        <f t="shared" ca="1" si="196"/>
        <v>6.747285951860249E-4</v>
      </c>
      <c r="T509">
        <f t="shared" ca="1" si="197"/>
        <v>1</v>
      </c>
      <c r="U509">
        <f t="shared" ca="1" si="179"/>
        <v>0.05</v>
      </c>
      <c r="V509">
        <f t="shared" ca="1" si="180"/>
        <v>0.26</v>
      </c>
      <c r="W509">
        <f t="shared" ca="1" si="181"/>
        <v>4.9056603773584909E-2</v>
      </c>
      <c r="X509">
        <f t="shared" ca="1" si="182"/>
        <v>196.15384615384616</v>
      </c>
      <c r="Y509">
        <f t="shared" ca="1" si="183"/>
        <v>632.4325</v>
      </c>
      <c r="Z509">
        <f t="shared" ca="1" si="184"/>
        <v>2593.5095316486622</v>
      </c>
      <c r="AA509">
        <f t="shared" ca="1" si="185"/>
        <v>482.07306851378365</v>
      </c>
      <c r="AB509">
        <f t="shared" ca="1" si="186"/>
        <v>482.62981620185974</v>
      </c>
      <c r="AC509">
        <f t="shared" ca="1" si="187"/>
        <v>0</v>
      </c>
      <c r="AD509">
        <f ca="1">IF(V32="Supercritical",L509,U509)</f>
        <v>0.05</v>
      </c>
      <c r="AE509">
        <f t="shared" ca="1" si="188"/>
        <v>632.4325</v>
      </c>
      <c r="AF509">
        <f t="shared" ca="1" si="189"/>
        <v>2593.5095316486622</v>
      </c>
      <c r="AI509">
        <v>0</v>
      </c>
      <c r="AJ509">
        <v>0</v>
      </c>
      <c r="AK509">
        <f t="shared" si="190"/>
        <v>0</v>
      </c>
      <c r="AL509">
        <f t="shared" si="198"/>
        <v>0</v>
      </c>
      <c r="AM509">
        <f t="shared" ca="1" si="191"/>
        <v>280.07692026646265</v>
      </c>
      <c r="AN509" t="str">
        <f t="shared" ca="1" si="192"/>
        <v>Supercritical</v>
      </c>
      <c r="AO509">
        <f ca="1">IF(V32="Supercritical",R509,AA509)</f>
        <v>482.07306851378365</v>
      </c>
    </row>
    <row r="510" spans="1:41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174</v>
      </c>
      <c r="I510">
        <v>2.3E-2</v>
      </c>
      <c r="J510">
        <f t="shared" si="193"/>
        <v>1.0010000000000332</v>
      </c>
      <c r="K510">
        <f t="shared" si="194"/>
        <v>51</v>
      </c>
      <c r="L510">
        <f t="shared" ca="1" si="195"/>
        <v>38819.662595343136</v>
      </c>
      <c r="M510">
        <f t="shared" ca="1" si="173"/>
        <v>201862.2454957843</v>
      </c>
      <c r="N510">
        <f t="shared" ca="1" si="174"/>
        <v>2.5998258731060973</v>
      </c>
      <c r="O510">
        <f t="shared" ca="1" si="175"/>
        <v>2.5264754127123334E-4</v>
      </c>
      <c r="P510">
        <f t="shared" ca="1" si="176"/>
        <v>39452.044595343134</v>
      </c>
      <c r="Q510">
        <f t="shared" ca="1" si="177"/>
        <v>39452.044595346386</v>
      </c>
      <c r="R510">
        <f t="shared" ca="1" si="178"/>
        <v>4.0174793672642247E-12</v>
      </c>
      <c r="S510">
        <f t="shared" ca="1" si="196"/>
        <v>9.9045407841913402E-4</v>
      </c>
      <c r="T510">
        <f t="shared" ca="1" si="197"/>
        <v>1</v>
      </c>
      <c r="U510">
        <f t="shared" ca="1" si="179"/>
        <v>0.05</v>
      </c>
      <c r="V510">
        <f t="shared" ca="1" si="180"/>
        <v>0.26</v>
      </c>
      <c r="W510">
        <f t="shared" ca="1" si="181"/>
        <v>4.9056603773584909E-2</v>
      </c>
      <c r="X510">
        <f t="shared" ca="1" si="182"/>
        <v>196.15384615384616</v>
      </c>
      <c r="Y510">
        <f t="shared" ca="1" si="183"/>
        <v>632.4319999999999</v>
      </c>
      <c r="Z510">
        <f t="shared" ca="1" si="184"/>
        <v>2593.5090316486621</v>
      </c>
      <c r="AA510">
        <f t="shared" ca="1" si="185"/>
        <v>482.07306851378365</v>
      </c>
      <c r="AB510">
        <f t="shared" ca="1" si="186"/>
        <v>481.67874391167788</v>
      </c>
      <c r="AC510">
        <f t="shared" ca="1" si="187"/>
        <v>0</v>
      </c>
      <c r="AD510">
        <f ca="1">IF(V32="Supercritical",L510,U510)</f>
        <v>0.05</v>
      </c>
      <c r="AE510">
        <f t="shared" ca="1" si="188"/>
        <v>632.4319999999999</v>
      </c>
      <c r="AF510">
        <f t="shared" ca="1" si="189"/>
        <v>2593.5090316486621</v>
      </c>
      <c r="AI510">
        <v>0</v>
      </c>
      <c r="AJ510">
        <v>0</v>
      </c>
      <c r="AK510">
        <f t="shared" si="190"/>
        <v>0</v>
      </c>
      <c r="AL510">
        <f t="shared" si="198"/>
        <v>0</v>
      </c>
      <c r="AM510">
        <f t="shared" ca="1" si="191"/>
        <v>280.07692026646265</v>
      </c>
      <c r="AN510" t="str">
        <f t="shared" ca="1" si="192"/>
        <v>Supercritical</v>
      </c>
      <c r="AO510">
        <f ca="1">IF(V32="Supercritical",R510,AA510)</f>
        <v>482.07306851378365</v>
      </c>
    </row>
    <row r="511" spans="1:41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174</v>
      </c>
      <c r="I511">
        <v>2.7E-2</v>
      </c>
      <c r="J511">
        <f t="shared" si="193"/>
        <v>0.9989999999999668</v>
      </c>
      <c r="K511">
        <f t="shared" si="194"/>
        <v>51</v>
      </c>
      <c r="L511">
        <f t="shared" ca="1" si="195"/>
        <v>38819.662420557121</v>
      </c>
      <c r="M511">
        <f t="shared" ca="1" si="173"/>
        <v>201862.24458689702</v>
      </c>
      <c r="N511">
        <f t="shared" ca="1" si="174"/>
        <v>2.5998258731053134</v>
      </c>
      <c r="O511">
        <f t="shared" ca="1" si="175"/>
        <v>2.5264754240878206E-4</v>
      </c>
      <c r="P511">
        <f t="shared" ca="1" si="176"/>
        <v>39452.043920557124</v>
      </c>
      <c r="Q511">
        <f t="shared" ca="1" si="177"/>
        <v>39452.043920560376</v>
      </c>
      <c r="R511">
        <f t="shared" ca="1" si="178"/>
        <v>4.0174794034433437E-12</v>
      </c>
      <c r="S511">
        <f t="shared" ca="1" si="196"/>
        <v>6.7478600249160081E-4</v>
      </c>
      <c r="T511">
        <f t="shared" ca="1" si="197"/>
        <v>1</v>
      </c>
      <c r="U511">
        <f t="shared" ca="1" si="179"/>
        <v>0.05</v>
      </c>
      <c r="V511">
        <f t="shared" ca="1" si="180"/>
        <v>0.26</v>
      </c>
      <c r="W511">
        <f t="shared" ca="1" si="181"/>
        <v>4.9056603773584909E-2</v>
      </c>
      <c r="X511">
        <f t="shared" ca="1" si="182"/>
        <v>196.15384615384616</v>
      </c>
      <c r="Y511">
        <f t="shared" ca="1" si="183"/>
        <v>632.43149999999991</v>
      </c>
      <c r="Z511">
        <f t="shared" ca="1" si="184"/>
        <v>2593.508531648662</v>
      </c>
      <c r="AA511">
        <f t="shared" ca="1" si="185"/>
        <v>482.07306851378365</v>
      </c>
      <c r="AB511">
        <f t="shared" ca="1" si="186"/>
        <v>482.64289004873763</v>
      </c>
      <c r="AC511">
        <f t="shared" ca="1" si="187"/>
        <v>0</v>
      </c>
      <c r="AD511">
        <f ca="1">IF(V32="Supercritical",L511,U511)</f>
        <v>0.05</v>
      </c>
      <c r="AE511">
        <f t="shared" ca="1" si="188"/>
        <v>632.43149999999991</v>
      </c>
      <c r="AF511">
        <f t="shared" ca="1" si="189"/>
        <v>2593.508531648662</v>
      </c>
      <c r="AI511">
        <v>0</v>
      </c>
      <c r="AJ511">
        <v>0</v>
      </c>
      <c r="AK511">
        <f t="shared" si="190"/>
        <v>0</v>
      </c>
      <c r="AL511">
        <f t="shared" si="198"/>
        <v>0</v>
      </c>
      <c r="AM511">
        <f t="shared" ca="1" si="191"/>
        <v>280.07692026646265</v>
      </c>
      <c r="AN511" t="str">
        <f t="shared" ca="1" si="192"/>
        <v>Supercritical</v>
      </c>
      <c r="AO511">
        <f ca="1">IF(V32="Supercritical",R511,AA511)</f>
        <v>482.07306851378365</v>
      </c>
    </row>
    <row r="512" spans="1:41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174</v>
      </c>
      <c r="I512">
        <v>2.7E-2</v>
      </c>
      <c r="J512">
        <f t="shared" si="193"/>
        <v>1.0010000000000332</v>
      </c>
      <c r="K512">
        <f t="shared" si="194"/>
        <v>51</v>
      </c>
      <c r="L512">
        <f t="shared" ca="1" si="195"/>
        <v>38819.66192978547</v>
      </c>
      <c r="M512">
        <f t="shared" ca="1" si="173"/>
        <v>201862.24203488446</v>
      </c>
      <c r="N512">
        <f t="shared" ca="1" si="174"/>
        <v>2.5998258731031125</v>
      </c>
      <c r="O512">
        <f t="shared" ca="1" si="175"/>
        <v>2.5264754560284003E-4</v>
      </c>
      <c r="P512">
        <f t="shared" ca="1" si="176"/>
        <v>39452.042929785472</v>
      </c>
      <c r="Q512">
        <f t="shared" ca="1" si="177"/>
        <v>39452.042929788724</v>
      </c>
      <c r="R512">
        <f t="shared" ca="1" si="178"/>
        <v>4.017479505028616E-12</v>
      </c>
      <c r="S512">
        <f t="shared" ca="1" si="196"/>
        <v>9.9077164486516267E-4</v>
      </c>
      <c r="T512">
        <f t="shared" ca="1" si="197"/>
        <v>1</v>
      </c>
      <c r="U512">
        <f t="shared" ca="1" si="179"/>
        <v>0.05</v>
      </c>
      <c r="V512">
        <f t="shared" ca="1" si="180"/>
        <v>0.26</v>
      </c>
      <c r="W512">
        <f t="shared" ca="1" si="181"/>
        <v>4.9056603773584909E-2</v>
      </c>
      <c r="X512">
        <f t="shared" ca="1" si="182"/>
        <v>196.15384615384616</v>
      </c>
      <c r="Y512">
        <f t="shared" ca="1" si="183"/>
        <v>632.43099999999993</v>
      </c>
      <c r="Z512">
        <f t="shared" ca="1" si="184"/>
        <v>2593.5080316486619</v>
      </c>
      <c r="AA512">
        <f t="shared" ca="1" si="185"/>
        <v>482.07306851378365</v>
      </c>
      <c r="AB512">
        <f t="shared" ca="1" si="186"/>
        <v>481.59049544525351</v>
      </c>
      <c r="AC512">
        <f t="shared" ca="1" si="187"/>
        <v>0</v>
      </c>
      <c r="AD512">
        <f ca="1">IF(V32="Supercritical",L512,U512)</f>
        <v>0.05</v>
      </c>
      <c r="AE512">
        <f t="shared" ca="1" si="188"/>
        <v>632.43099999999993</v>
      </c>
      <c r="AF512">
        <f t="shared" ca="1" si="189"/>
        <v>2593.5080316486619</v>
      </c>
      <c r="AI512">
        <v>0</v>
      </c>
      <c r="AJ512">
        <v>0</v>
      </c>
      <c r="AK512">
        <f t="shared" si="190"/>
        <v>0</v>
      </c>
      <c r="AL512">
        <f t="shared" si="198"/>
        <v>0</v>
      </c>
      <c r="AM512">
        <f t="shared" ca="1" si="191"/>
        <v>280.07692026646265</v>
      </c>
      <c r="AN512" t="str">
        <f t="shared" ca="1" si="192"/>
        <v>Supercritical</v>
      </c>
      <c r="AO512">
        <f ca="1">IF(V32="Supercritical",R512,AA512)</f>
        <v>482.07306851378365</v>
      </c>
    </row>
    <row r="513" spans="1:41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174</v>
      </c>
      <c r="I513">
        <v>0</v>
      </c>
      <c r="J513">
        <f t="shared" si="193"/>
        <v>0.9989999999999668</v>
      </c>
      <c r="K513">
        <f t="shared" si="194"/>
        <v>51</v>
      </c>
      <c r="L513">
        <f t="shared" ca="1" si="195"/>
        <v>38819.661754943416</v>
      </c>
      <c r="M513">
        <f t="shared" ca="1" si="173"/>
        <v>201862.24112570577</v>
      </c>
      <c r="N513">
        <f t="shared" ca="1" si="174"/>
        <v>2.5998258731023283</v>
      </c>
      <c r="O513">
        <f t="shared" ca="1" si="175"/>
        <v>2.5264754674075347E-4</v>
      </c>
      <c r="P513">
        <f t="shared" ca="1" si="176"/>
        <v>39452.042254943415</v>
      </c>
      <c r="Q513">
        <f t="shared" ca="1" si="177"/>
        <v>39452.042254946668</v>
      </c>
      <c r="R513">
        <f t="shared" ca="1" si="178"/>
        <v>4.0174795412193365E-12</v>
      </c>
      <c r="S513">
        <f t="shared" ca="1" si="196"/>
        <v>6.7484204919310287E-4</v>
      </c>
      <c r="T513">
        <f t="shared" ca="1" si="197"/>
        <v>1</v>
      </c>
      <c r="U513">
        <f t="shared" ca="1" si="179"/>
        <v>0.05</v>
      </c>
      <c r="V513">
        <f t="shared" ca="1" si="180"/>
        <v>0.26</v>
      </c>
      <c r="W513">
        <f t="shared" ca="1" si="181"/>
        <v>4.9056603773584909E-2</v>
      </c>
      <c r="X513">
        <f t="shared" ca="1" si="182"/>
        <v>196.15384615384616</v>
      </c>
      <c r="Y513">
        <f t="shared" ca="1" si="183"/>
        <v>632.43049999999994</v>
      </c>
      <c r="Z513">
        <f t="shared" ca="1" si="184"/>
        <v>2593.5075316486618</v>
      </c>
      <c r="AA513">
        <f t="shared" ca="1" si="185"/>
        <v>482.07306851378365</v>
      </c>
      <c r="AB513">
        <f t="shared" ca="1" si="186"/>
        <v>482.14774313333055</v>
      </c>
      <c r="AC513">
        <f t="shared" ca="1" si="187"/>
        <v>0</v>
      </c>
      <c r="AD513">
        <f ca="1">IF(V32="Supercritical",L513,U513)</f>
        <v>0.05</v>
      </c>
      <c r="AE513">
        <f t="shared" ca="1" si="188"/>
        <v>632.43049999999994</v>
      </c>
      <c r="AF513">
        <f t="shared" ca="1" si="189"/>
        <v>2593.5075316486618</v>
      </c>
      <c r="AI513">
        <v>0</v>
      </c>
      <c r="AJ513">
        <v>0</v>
      </c>
      <c r="AK513">
        <f t="shared" si="190"/>
        <v>0</v>
      </c>
      <c r="AL513">
        <f t="shared" si="198"/>
        <v>0</v>
      </c>
      <c r="AM513">
        <f t="shared" ca="1" si="191"/>
        <v>280.07692026646265</v>
      </c>
      <c r="AN513" t="str">
        <f t="shared" ca="1" si="192"/>
        <v>Supercritical</v>
      </c>
      <c r="AO513">
        <f ca="1">IF(V32="Supercritical",R513,AA513)</f>
        <v>482.07306851378365</v>
      </c>
    </row>
    <row r="514" spans="1:41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174</v>
      </c>
      <c r="I514">
        <v>2.3E-2</v>
      </c>
      <c r="J514">
        <f t="shared" si="193"/>
        <v>1</v>
      </c>
      <c r="K514">
        <f t="shared" si="194"/>
        <v>51</v>
      </c>
      <c r="L514">
        <f t="shared" ca="1" si="195"/>
        <v>38819.661263861744</v>
      </c>
      <c r="M514">
        <f t="shared" ca="1" si="173"/>
        <v>201862.23857208109</v>
      </c>
      <c r="N514">
        <f t="shared" ca="1" si="174"/>
        <v>2.5998258731001256</v>
      </c>
      <c r="O514">
        <f t="shared" ca="1" si="175"/>
        <v>2.5264754993682925E-4</v>
      </c>
      <c r="P514">
        <f t="shared" ca="1" si="176"/>
        <v>39452.041263861742</v>
      </c>
      <c r="Q514">
        <f t="shared" ca="1" si="177"/>
        <v>39452.041263864994</v>
      </c>
      <c r="R514">
        <f t="shared" ca="1" si="178"/>
        <v>4.0174796428687897E-12</v>
      </c>
      <c r="S514">
        <f t="shared" ca="1" si="196"/>
        <v>9.9108166614314541E-4</v>
      </c>
      <c r="T514">
        <f t="shared" ca="1" si="197"/>
        <v>1</v>
      </c>
      <c r="U514">
        <f t="shared" ca="1" si="179"/>
        <v>0.05</v>
      </c>
      <c r="V514">
        <f t="shared" ca="1" si="180"/>
        <v>0.26</v>
      </c>
      <c r="W514">
        <f t="shared" ca="1" si="181"/>
        <v>4.9056603773584909E-2</v>
      </c>
      <c r="X514">
        <f t="shared" ca="1" si="182"/>
        <v>196.15384615384616</v>
      </c>
      <c r="Y514">
        <f t="shared" ca="1" si="183"/>
        <v>632.42999999999995</v>
      </c>
      <c r="Z514">
        <f t="shared" ca="1" si="184"/>
        <v>2593.5070316486622</v>
      </c>
      <c r="AA514">
        <f t="shared" ca="1" si="185"/>
        <v>482.07306851378365</v>
      </c>
      <c r="AB514">
        <f t="shared" ca="1" si="186"/>
        <v>482.62981620185974</v>
      </c>
      <c r="AC514">
        <f t="shared" ca="1" si="187"/>
        <v>0</v>
      </c>
      <c r="AD514">
        <f ca="1">IF(V32="Supercritical",L514,U514)</f>
        <v>0.05</v>
      </c>
      <c r="AE514">
        <f t="shared" ca="1" si="188"/>
        <v>632.42999999999995</v>
      </c>
      <c r="AF514">
        <f t="shared" ca="1" si="189"/>
        <v>2593.5070316486622</v>
      </c>
      <c r="AI514">
        <v>0</v>
      </c>
      <c r="AJ514">
        <v>0</v>
      </c>
      <c r="AK514">
        <f t="shared" si="190"/>
        <v>0</v>
      </c>
      <c r="AL514">
        <f t="shared" si="198"/>
        <v>0</v>
      </c>
      <c r="AM514">
        <f t="shared" ca="1" si="191"/>
        <v>280.07692026646265</v>
      </c>
      <c r="AN514" t="str">
        <f t="shared" ca="1" si="192"/>
        <v>Supercritical</v>
      </c>
      <c r="AO514">
        <f ca="1">IF(V32="Supercritical",R514,AA514)</f>
        <v>482.07306851378365</v>
      </c>
    </row>
    <row r="515" spans="1:41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174</v>
      </c>
      <c r="I515">
        <v>2.3E-2</v>
      </c>
      <c r="J515">
        <f t="shared" si="193"/>
        <v>1.0010000000000332</v>
      </c>
      <c r="K515">
        <f t="shared" si="194"/>
        <v>51</v>
      </c>
      <c r="L515">
        <f t="shared" ca="1" si="195"/>
        <v>38819.661088964982</v>
      </c>
      <c r="M515">
        <f t="shared" ca="1" si="173"/>
        <v>201862.2376626179</v>
      </c>
      <c r="N515">
        <f t="shared" ca="1" si="174"/>
        <v>2.5998258730993409</v>
      </c>
      <c r="O515">
        <f t="shared" ca="1" si="175"/>
        <v>2.5264755107509885E-4</v>
      </c>
      <c r="P515">
        <f t="shared" ca="1" si="176"/>
        <v>39452.040588964985</v>
      </c>
      <c r="Q515">
        <f t="shared" ca="1" si="177"/>
        <v>39452.040588968237</v>
      </c>
      <c r="R515">
        <f t="shared" ca="1" si="178"/>
        <v>4.0174796790708347E-12</v>
      </c>
      <c r="S515">
        <f t="shared" ca="1" si="196"/>
        <v>6.748967498424463E-4</v>
      </c>
      <c r="T515">
        <f t="shared" ca="1" si="197"/>
        <v>1</v>
      </c>
      <c r="U515">
        <f t="shared" ca="1" si="179"/>
        <v>0.05</v>
      </c>
      <c r="V515">
        <f t="shared" ca="1" si="180"/>
        <v>0.26</v>
      </c>
      <c r="W515">
        <f t="shared" ca="1" si="181"/>
        <v>4.9056603773584909E-2</v>
      </c>
      <c r="X515">
        <f t="shared" ca="1" si="182"/>
        <v>196.15384615384616</v>
      </c>
      <c r="Y515">
        <f t="shared" ca="1" si="183"/>
        <v>632.42949999999996</v>
      </c>
      <c r="Z515">
        <f t="shared" ca="1" si="184"/>
        <v>2593.5065316486621</v>
      </c>
      <c r="AA515">
        <f t="shared" ca="1" si="185"/>
        <v>482.07306851378365</v>
      </c>
      <c r="AB515">
        <f t="shared" ca="1" si="186"/>
        <v>481.67874391167834</v>
      </c>
      <c r="AC515">
        <f t="shared" ca="1" si="187"/>
        <v>0</v>
      </c>
      <c r="AD515">
        <f ca="1">IF(V32="Supercritical",L515,U515)</f>
        <v>0.05</v>
      </c>
      <c r="AE515">
        <f t="shared" ca="1" si="188"/>
        <v>632.42949999999996</v>
      </c>
      <c r="AF515">
        <f t="shared" ca="1" si="189"/>
        <v>2593.5065316486621</v>
      </c>
      <c r="AI515">
        <v>0</v>
      </c>
      <c r="AJ515">
        <v>0</v>
      </c>
      <c r="AK515">
        <f t="shared" si="190"/>
        <v>0</v>
      </c>
      <c r="AL515">
        <f t="shared" si="198"/>
        <v>0</v>
      </c>
      <c r="AM515">
        <f t="shared" ca="1" si="191"/>
        <v>280.07692026646265</v>
      </c>
      <c r="AN515" t="str">
        <f t="shared" ca="1" si="192"/>
        <v>Supercritical</v>
      </c>
      <c r="AO515">
        <f ca="1">IF(V32="Supercritical",R515,AA515)</f>
        <v>482.07306851378365</v>
      </c>
    </row>
    <row r="516" spans="1:41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174</v>
      </c>
      <c r="I516">
        <v>2.7E-2</v>
      </c>
      <c r="J516">
        <f t="shared" si="193"/>
        <v>0.9989999999999668</v>
      </c>
      <c r="K516">
        <f t="shared" si="194"/>
        <v>51</v>
      </c>
      <c r="L516">
        <f t="shared" ca="1" si="195"/>
        <v>38819.660597580645</v>
      </c>
      <c r="M516">
        <f t="shared" ca="1" si="173"/>
        <v>201862.23510741937</v>
      </c>
      <c r="N516">
        <f t="shared" ca="1" si="174"/>
        <v>2.5998258730971373</v>
      </c>
      <c r="O516">
        <f t="shared" ca="1" si="175"/>
        <v>2.5264755427314452E-4</v>
      </c>
      <c r="P516">
        <f t="shared" ca="1" si="176"/>
        <v>39452.039597580646</v>
      </c>
      <c r="Q516">
        <f t="shared" ca="1" si="177"/>
        <v>39452.039597583898</v>
      </c>
      <c r="R516">
        <f t="shared" ca="1" si="178"/>
        <v>4.0174797807829419E-12</v>
      </c>
      <c r="S516">
        <f t="shared" ca="1" si="196"/>
        <v>9.9138433142798021E-4</v>
      </c>
      <c r="T516">
        <f t="shared" ca="1" si="197"/>
        <v>1</v>
      </c>
      <c r="U516">
        <f t="shared" ca="1" si="179"/>
        <v>0.05</v>
      </c>
      <c r="V516">
        <f t="shared" ca="1" si="180"/>
        <v>0.26</v>
      </c>
      <c r="W516">
        <f t="shared" ca="1" si="181"/>
        <v>4.9056603773584909E-2</v>
      </c>
      <c r="X516">
        <f t="shared" ca="1" si="182"/>
        <v>196.15384615384616</v>
      </c>
      <c r="Y516">
        <f t="shared" ca="1" si="183"/>
        <v>632.42899999999997</v>
      </c>
      <c r="Z516">
        <f t="shared" ca="1" si="184"/>
        <v>2593.506031648662</v>
      </c>
      <c r="AA516">
        <f t="shared" ca="1" si="185"/>
        <v>482.07306851378365</v>
      </c>
      <c r="AB516">
        <f t="shared" ca="1" si="186"/>
        <v>482.64289004873808</v>
      </c>
      <c r="AC516">
        <f t="shared" ca="1" si="187"/>
        <v>0</v>
      </c>
      <c r="AD516">
        <f ca="1">IF(V32="Supercritical",L516,U516)</f>
        <v>0.05</v>
      </c>
      <c r="AE516">
        <f t="shared" ca="1" si="188"/>
        <v>632.42899999999997</v>
      </c>
      <c r="AF516">
        <f t="shared" ca="1" si="189"/>
        <v>2593.506031648662</v>
      </c>
      <c r="AI516">
        <v>0</v>
      </c>
      <c r="AJ516">
        <v>0</v>
      </c>
      <c r="AK516">
        <f t="shared" si="190"/>
        <v>0</v>
      </c>
      <c r="AL516">
        <f t="shared" si="198"/>
        <v>0</v>
      </c>
      <c r="AM516">
        <f t="shared" ca="1" si="191"/>
        <v>280.07692026646265</v>
      </c>
      <c r="AN516" t="str">
        <f t="shared" ca="1" si="192"/>
        <v>Supercritical</v>
      </c>
      <c r="AO516">
        <f ca="1">IF(V32="Supercritical",R516,AA516)</f>
        <v>482.07306851378365</v>
      </c>
    </row>
    <row r="517" spans="1:41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174</v>
      </c>
      <c r="I517">
        <v>2.7E-2</v>
      </c>
      <c r="J517">
        <f t="shared" si="193"/>
        <v>1.0010000000000332</v>
      </c>
      <c r="K517">
        <f t="shared" si="194"/>
        <v>51</v>
      </c>
      <c r="L517">
        <f t="shared" ca="1" si="195"/>
        <v>38819.66042263047</v>
      </c>
      <c r="M517">
        <f t="shared" ca="1" si="173"/>
        <v>201862.23419767845</v>
      </c>
      <c r="N517">
        <f t="shared" ca="1" si="174"/>
        <v>2.5998258730963526</v>
      </c>
      <c r="O517">
        <f t="shared" ca="1" si="175"/>
        <v>2.5264755541176177E-4</v>
      </c>
      <c r="P517">
        <f t="shared" ca="1" si="176"/>
        <v>39452.038922630469</v>
      </c>
      <c r="Q517">
        <f t="shared" ca="1" si="177"/>
        <v>39452.038922633721</v>
      </c>
      <c r="R517">
        <f t="shared" ca="1" si="178"/>
        <v>4.0174798169960439E-12</v>
      </c>
      <c r="S517">
        <f t="shared" ca="1" si="196"/>
        <v>6.7495016992324963E-4</v>
      </c>
      <c r="T517">
        <f t="shared" ca="1" si="197"/>
        <v>1</v>
      </c>
      <c r="U517">
        <f t="shared" ca="1" si="179"/>
        <v>0.05</v>
      </c>
      <c r="V517">
        <f t="shared" ca="1" si="180"/>
        <v>0.26</v>
      </c>
      <c r="W517">
        <f t="shared" ca="1" si="181"/>
        <v>4.9056603773584909E-2</v>
      </c>
      <c r="X517">
        <f t="shared" ca="1" si="182"/>
        <v>196.15384615384616</v>
      </c>
      <c r="Y517">
        <f t="shared" ca="1" si="183"/>
        <v>632.42849999999999</v>
      </c>
      <c r="Z517">
        <f t="shared" ca="1" si="184"/>
        <v>2593.5055316486623</v>
      </c>
      <c r="AA517">
        <f t="shared" ca="1" si="185"/>
        <v>482.07306851378365</v>
      </c>
      <c r="AB517">
        <f t="shared" ca="1" si="186"/>
        <v>481.75391853122437</v>
      </c>
      <c r="AC517">
        <f t="shared" ca="1" si="187"/>
        <v>0</v>
      </c>
      <c r="AD517">
        <f ca="1">IF(V32="Supercritical",L517,U517)</f>
        <v>0.05</v>
      </c>
      <c r="AE517">
        <f t="shared" ca="1" si="188"/>
        <v>632.42849999999999</v>
      </c>
      <c r="AF517">
        <f t="shared" ca="1" si="189"/>
        <v>2593.5055316486623</v>
      </c>
      <c r="AI517">
        <v>0</v>
      </c>
      <c r="AJ517">
        <v>0</v>
      </c>
      <c r="AK517">
        <f t="shared" si="190"/>
        <v>0</v>
      </c>
      <c r="AL517">
        <f t="shared" si="198"/>
        <v>0</v>
      </c>
      <c r="AM517">
        <f t="shared" ca="1" si="191"/>
        <v>280.07692026646265</v>
      </c>
      <c r="AN517" t="str">
        <f t="shared" ca="1" si="192"/>
        <v>Supercritical</v>
      </c>
      <c r="AO517">
        <f ca="1">IF(V32="Supercritical",R517,AA517)</f>
        <v>482.07306851378365</v>
      </c>
    </row>
    <row r="518" spans="1:41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174</v>
      </c>
      <c r="I518">
        <v>0.05</v>
      </c>
      <c r="J518">
        <f t="shared" si="193"/>
        <v>0.9989999999999668</v>
      </c>
      <c r="K518">
        <f t="shared" si="194"/>
        <v>51</v>
      </c>
      <c r="L518">
        <f t="shared" ca="1" si="195"/>
        <v>38819.659930950627</v>
      </c>
      <c r="M518">
        <f t="shared" ca="1" si="173"/>
        <v>201862.23164094327</v>
      </c>
      <c r="N518">
        <f t="shared" ca="1" si="174"/>
        <v>2.5998258730941473</v>
      </c>
      <c r="O518">
        <f t="shared" ca="1" si="175"/>
        <v>2.5264755861173081E-4</v>
      </c>
      <c r="P518">
        <f t="shared" ca="1" si="176"/>
        <v>39452.037930950624</v>
      </c>
      <c r="Q518">
        <f t="shared" ca="1" si="177"/>
        <v>39452.037930953877</v>
      </c>
      <c r="R518">
        <f t="shared" ca="1" si="178"/>
        <v>4.0174799187693246E-12</v>
      </c>
      <c r="S518">
        <f t="shared" ca="1" si="196"/>
        <v>9.9167983717052266E-4</v>
      </c>
      <c r="T518">
        <f t="shared" ca="1" si="197"/>
        <v>1</v>
      </c>
      <c r="U518">
        <f t="shared" ca="1" si="179"/>
        <v>0.05</v>
      </c>
      <c r="V518">
        <f t="shared" ca="1" si="180"/>
        <v>0.26</v>
      </c>
      <c r="W518">
        <f t="shared" ca="1" si="181"/>
        <v>4.9056603773584909E-2</v>
      </c>
      <c r="X518">
        <f t="shared" ca="1" si="182"/>
        <v>196.15384615384616</v>
      </c>
      <c r="Y518">
        <f t="shared" ca="1" si="183"/>
        <v>632.428</v>
      </c>
      <c r="Z518">
        <f t="shared" ca="1" si="184"/>
        <v>2593.5050316486622</v>
      </c>
      <c r="AA518">
        <f t="shared" ca="1" si="185"/>
        <v>482.07306851378365</v>
      </c>
      <c r="AB518">
        <f t="shared" ca="1" si="186"/>
        <v>482.32750852789786</v>
      </c>
      <c r="AC518">
        <f t="shared" ca="1" si="187"/>
        <v>0</v>
      </c>
      <c r="AD518">
        <f ca="1">IF(V32="Supercritical",L518,U518)</f>
        <v>0.05</v>
      </c>
      <c r="AE518">
        <f t="shared" ca="1" si="188"/>
        <v>632.428</v>
      </c>
      <c r="AF518">
        <f t="shared" ca="1" si="189"/>
        <v>2593.5050316486622</v>
      </c>
      <c r="AI518">
        <v>0</v>
      </c>
      <c r="AJ518">
        <v>0</v>
      </c>
      <c r="AK518">
        <f t="shared" si="190"/>
        <v>0</v>
      </c>
      <c r="AL518">
        <f t="shared" si="198"/>
        <v>0</v>
      </c>
      <c r="AM518">
        <f t="shared" ca="1" si="191"/>
        <v>280.07692026646265</v>
      </c>
      <c r="AN518" t="str">
        <f t="shared" ca="1" si="192"/>
        <v>Supercritical</v>
      </c>
      <c r="AO518">
        <f ca="1">IF(V32="Supercritical",R518,AA518)</f>
        <v>482.07306851378365</v>
      </c>
    </row>
    <row r="519" spans="1:41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174</v>
      </c>
      <c r="I519">
        <v>7.8E-2</v>
      </c>
      <c r="J519">
        <f t="shared" si="193"/>
        <v>1</v>
      </c>
      <c r="K519">
        <f t="shared" si="194"/>
        <v>51</v>
      </c>
      <c r="L519">
        <f t="shared" ca="1" si="195"/>
        <v>38819.659755948305</v>
      </c>
      <c r="M519">
        <f t="shared" ca="1" si="173"/>
        <v>201862.23073093119</v>
      </c>
      <c r="N519">
        <f t="shared" ca="1" si="174"/>
        <v>2.5998258730933621</v>
      </c>
      <c r="O519">
        <f t="shared" ca="1" si="175"/>
        <v>2.5264755975068747E-4</v>
      </c>
      <c r="P519">
        <f t="shared" ca="1" si="176"/>
        <v>39452.037255948308</v>
      </c>
      <c r="Q519">
        <f t="shared" ca="1" si="177"/>
        <v>39452.03725595156</v>
      </c>
      <c r="R519">
        <f t="shared" ca="1" si="178"/>
        <v>4.0174799549932236E-12</v>
      </c>
      <c r="S519">
        <f t="shared" ca="1" si="196"/>
        <v>6.7500230943551287E-4</v>
      </c>
      <c r="T519">
        <f t="shared" ca="1" si="197"/>
        <v>1</v>
      </c>
      <c r="U519">
        <f t="shared" ca="1" si="179"/>
        <v>0.05</v>
      </c>
      <c r="V519">
        <f t="shared" ca="1" si="180"/>
        <v>0.26</v>
      </c>
      <c r="W519">
        <f t="shared" ca="1" si="181"/>
        <v>4.9056603773584909E-2</v>
      </c>
      <c r="X519">
        <f t="shared" ca="1" si="182"/>
        <v>196.15384615384616</v>
      </c>
      <c r="Y519">
        <f t="shared" ca="1" si="183"/>
        <v>632.42750000000001</v>
      </c>
      <c r="Z519">
        <f t="shared" ca="1" si="184"/>
        <v>2593.5045316486621</v>
      </c>
      <c r="AA519">
        <f t="shared" ca="1" si="185"/>
        <v>482.07306851378365</v>
      </c>
      <c r="AB519">
        <f t="shared" ca="1" si="186"/>
        <v>482.64289004873763</v>
      </c>
      <c r="AC519">
        <f t="shared" ca="1" si="187"/>
        <v>0</v>
      </c>
      <c r="AD519">
        <f ca="1">IF(V32="Supercritical",L519,U519)</f>
        <v>0.05</v>
      </c>
      <c r="AE519">
        <f t="shared" ca="1" si="188"/>
        <v>632.42750000000001</v>
      </c>
      <c r="AF519">
        <f t="shared" ca="1" si="189"/>
        <v>2593.5045316486621</v>
      </c>
      <c r="AI519">
        <v>0</v>
      </c>
      <c r="AJ519">
        <v>0</v>
      </c>
      <c r="AK519">
        <f t="shared" si="190"/>
        <v>0</v>
      </c>
      <c r="AL519">
        <f t="shared" si="198"/>
        <v>0</v>
      </c>
      <c r="AM519">
        <f t="shared" ca="1" si="191"/>
        <v>280.07692026646265</v>
      </c>
      <c r="AN519" t="str">
        <f t="shared" ca="1" si="192"/>
        <v>Supercritical</v>
      </c>
      <c r="AO519">
        <f ca="1">IF(V32="Supercritical",R519,AA519)</f>
        <v>482.07306851378365</v>
      </c>
    </row>
    <row r="520" spans="1:41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174</v>
      </c>
      <c r="I520">
        <v>2.7E-2</v>
      </c>
      <c r="J520">
        <f t="shared" si="193"/>
        <v>1.0010000000000332</v>
      </c>
      <c r="K520">
        <f t="shared" si="194"/>
        <v>51</v>
      </c>
      <c r="L520">
        <f t="shared" ca="1" si="195"/>
        <v>38819.659263979906</v>
      </c>
      <c r="M520">
        <f t="shared" ca="1" si="173"/>
        <v>201862.22817269553</v>
      </c>
      <c r="N520">
        <f t="shared" ca="1" si="174"/>
        <v>2.5998258730911559</v>
      </c>
      <c r="O520">
        <f t="shared" ca="1" si="175"/>
        <v>2.5264756295253463E-4</v>
      </c>
      <c r="P520">
        <f t="shared" ca="1" si="176"/>
        <v>39452.036263979906</v>
      </c>
      <c r="Q520">
        <f t="shared" ca="1" si="177"/>
        <v>39452.036263983158</v>
      </c>
      <c r="R520">
        <f t="shared" ca="1" si="178"/>
        <v>4.0174800568262349E-12</v>
      </c>
      <c r="S520">
        <f t="shared" ca="1" si="196"/>
        <v>9.9196839437354356E-4</v>
      </c>
      <c r="T520">
        <f t="shared" ca="1" si="197"/>
        <v>1</v>
      </c>
      <c r="U520">
        <f t="shared" ca="1" si="179"/>
        <v>0.05</v>
      </c>
      <c r="V520">
        <f t="shared" ca="1" si="180"/>
        <v>0.26</v>
      </c>
      <c r="W520">
        <f t="shared" ca="1" si="181"/>
        <v>4.9056603773584909E-2</v>
      </c>
      <c r="X520">
        <f t="shared" ca="1" si="182"/>
        <v>196.15384615384616</v>
      </c>
      <c r="Y520">
        <f t="shared" ca="1" si="183"/>
        <v>632.42699999999991</v>
      </c>
      <c r="Z520">
        <f t="shared" ca="1" si="184"/>
        <v>2593.504031648662</v>
      </c>
      <c r="AA520">
        <f t="shared" ca="1" si="185"/>
        <v>482.07306851378365</v>
      </c>
      <c r="AB520">
        <f t="shared" ca="1" si="186"/>
        <v>481.67874391167788</v>
      </c>
      <c r="AC520">
        <f t="shared" ca="1" si="187"/>
        <v>0</v>
      </c>
      <c r="AD520">
        <f ca="1">IF(V32="Supercritical",L520,U520)</f>
        <v>0.05</v>
      </c>
      <c r="AE520">
        <f t="shared" ca="1" si="188"/>
        <v>632.42699999999991</v>
      </c>
      <c r="AF520">
        <f t="shared" ca="1" si="189"/>
        <v>2593.504031648662</v>
      </c>
      <c r="AI520">
        <v>0</v>
      </c>
      <c r="AJ520">
        <v>0</v>
      </c>
      <c r="AK520">
        <f t="shared" si="190"/>
        <v>0</v>
      </c>
      <c r="AL520">
        <f t="shared" si="198"/>
        <v>0</v>
      </c>
      <c r="AM520">
        <f t="shared" ca="1" si="191"/>
        <v>280.07692026646265</v>
      </c>
      <c r="AN520" t="str">
        <f t="shared" ca="1" si="192"/>
        <v>Supercritical</v>
      </c>
      <c r="AO520">
        <f ca="1">IF(V32="Supercritical",R520,AA520)</f>
        <v>482.07306851378365</v>
      </c>
    </row>
    <row r="521" spans="1:41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174</v>
      </c>
      <c r="I521">
        <v>2.7E-2</v>
      </c>
      <c r="J521">
        <f t="shared" si="193"/>
        <v>0.9989999999999668</v>
      </c>
      <c r="K521">
        <f t="shared" si="194"/>
        <v>51</v>
      </c>
      <c r="L521">
        <f t="shared" ca="1" si="195"/>
        <v>38819.659088926659</v>
      </c>
      <c r="M521">
        <f t="shared" ca="1" si="173"/>
        <v>201862.22726241863</v>
      </c>
      <c r="N521">
        <f t="shared" ca="1" si="174"/>
        <v>2.5998258730903703</v>
      </c>
      <c r="O521">
        <f t="shared" ca="1" si="175"/>
        <v>2.5264756409182273E-4</v>
      </c>
      <c r="P521">
        <f t="shared" ca="1" si="176"/>
        <v>39452.035588926658</v>
      </c>
      <c r="Q521">
        <f t="shared" ca="1" si="177"/>
        <v>39452.03558892991</v>
      </c>
      <c r="R521">
        <f t="shared" ca="1" si="178"/>
        <v>4.0174800930606789E-12</v>
      </c>
      <c r="S521">
        <f t="shared" ca="1" si="196"/>
        <v>6.7505324113881215E-4</v>
      </c>
      <c r="T521">
        <f t="shared" ca="1" si="197"/>
        <v>1</v>
      </c>
      <c r="U521">
        <f t="shared" ca="1" si="179"/>
        <v>0.05</v>
      </c>
      <c r="V521">
        <f t="shared" ca="1" si="180"/>
        <v>0.26</v>
      </c>
      <c r="W521">
        <f t="shared" ca="1" si="181"/>
        <v>4.9056603773584909E-2</v>
      </c>
      <c r="X521">
        <f t="shared" ca="1" si="182"/>
        <v>196.15384615384616</v>
      </c>
      <c r="Y521">
        <f t="shared" ca="1" si="183"/>
        <v>632.42649999999992</v>
      </c>
      <c r="Z521">
        <f t="shared" ca="1" si="184"/>
        <v>2593.5035316486619</v>
      </c>
      <c r="AA521">
        <f t="shared" ca="1" si="185"/>
        <v>482.07306851378365</v>
      </c>
      <c r="AB521">
        <f t="shared" ca="1" si="186"/>
        <v>482.80958159642751</v>
      </c>
      <c r="AC521">
        <f t="shared" ca="1" si="187"/>
        <v>0</v>
      </c>
      <c r="AD521">
        <f ca="1">IF(V32="Supercritical",L521,U521)</f>
        <v>0.05</v>
      </c>
      <c r="AE521">
        <f t="shared" ca="1" si="188"/>
        <v>632.42649999999992</v>
      </c>
      <c r="AF521">
        <f t="shared" ca="1" si="189"/>
        <v>2593.5035316486619</v>
      </c>
      <c r="AI521">
        <v>0</v>
      </c>
      <c r="AJ521">
        <v>0</v>
      </c>
      <c r="AK521">
        <f t="shared" si="190"/>
        <v>0</v>
      </c>
      <c r="AL521">
        <f t="shared" si="198"/>
        <v>0</v>
      </c>
      <c r="AM521">
        <f t="shared" ca="1" si="191"/>
        <v>280.07692026646265</v>
      </c>
      <c r="AN521" t="str">
        <f t="shared" ca="1" si="192"/>
        <v>Supercritical</v>
      </c>
      <c r="AO521">
        <f ca="1">IF(V32="Supercritical",R521,AA521)</f>
        <v>482.07306851378365</v>
      </c>
    </row>
    <row r="522" spans="1:41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174</v>
      </c>
      <c r="I522">
        <v>7.8E-2</v>
      </c>
      <c r="J522">
        <f t="shared" si="193"/>
        <v>1.0010000000000332</v>
      </c>
      <c r="K522">
        <f t="shared" si="194"/>
        <v>51</v>
      </c>
      <c r="L522">
        <f t="shared" ca="1" si="195"/>
        <v>38819.657973212939</v>
      </c>
      <c r="M522">
        <f t="shared" ca="1" si="173"/>
        <v>201862.22146070728</v>
      </c>
      <c r="N522">
        <f t="shared" ca="1" si="174"/>
        <v>2.5998258730853663</v>
      </c>
      <c r="O522">
        <f t="shared" ca="1" si="175"/>
        <v>2.5264757135315294E-4</v>
      </c>
      <c r="P522">
        <f t="shared" ca="1" si="176"/>
        <v>39452.033973212936</v>
      </c>
      <c r="Q522">
        <f t="shared" ca="1" si="177"/>
        <v>39452.033973216188</v>
      </c>
      <c r="R522">
        <f t="shared" ca="1" si="178"/>
        <v>4.0174803240033529E-12</v>
      </c>
      <c r="S522">
        <f t="shared" ca="1" si="196"/>
        <v>1.6157137142727152E-3</v>
      </c>
      <c r="T522">
        <f t="shared" ca="1" si="197"/>
        <v>0</v>
      </c>
      <c r="U522">
        <f t="shared" ca="1" si="179"/>
        <v>0.05</v>
      </c>
      <c r="V522">
        <f t="shared" ca="1" si="180"/>
        <v>0.26</v>
      </c>
      <c r="W522">
        <f t="shared" ca="1" si="181"/>
        <v>4.9056603773584909E-2</v>
      </c>
      <c r="X522">
        <f t="shared" ca="1" si="182"/>
        <v>196.15384615384616</v>
      </c>
      <c r="Y522">
        <f t="shared" ca="1" si="183"/>
        <v>632.42599999999993</v>
      </c>
      <c r="Z522">
        <f t="shared" ca="1" si="184"/>
        <v>2593.5030316486618</v>
      </c>
      <c r="AA522">
        <f t="shared" ca="1" si="185"/>
        <v>482.07306851378365</v>
      </c>
      <c r="AB522">
        <f t="shared" ca="1" si="186"/>
        <v>482.23599159975493</v>
      </c>
      <c r="AC522">
        <f t="shared" ca="1" si="187"/>
        <v>0</v>
      </c>
      <c r="AD522">
        <f ca="1">IF(V32="Supercritical",L522,U522)</f>
        <v>0.05</v>
      </c>
      <c r="AE522">
        <f t="shared" ca="1" si="188"/>
        <v>632.42599999999993</v>
      </c>
      <c r="AF522">
        <f t="shared" ca="1" si="189"/>
        <v>2593.5030316486618</v>
      </c>
      <c r="AI522">
        <v>0</v>
      </c>
      <c r="AJ522">
        <v>0</v>
      </c>
      <c r="AK522">
        <f t="shared" si="190"/>
        <v>0</v>
      </c>
      <c r="AL522">
        <f t="shared" si="198"/>
        <v>0</v>
      </c>
      <c r="AM522">
        <f t="shared" ca="1" si="191"/>
        <v>280.07692026646265</v>
      </c>
      <c r="AN522" t="str">
        <f t="shared" ca="1" si="192"/>
        <v>Supercritical</v>
      </c>
      <c r="AO522">
        <f ca="1">IF(V32="Supercritical",R522,AA522)</f>
        <v>482.07306851378365</v>
      </c>
    </row>
    <row r="523" spans="1:41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174</v>
      </c>
      <c r="I523">
        <v>0.05</v>
      </c>
      <c r="J523">
        <f t="shared" si="193"/>
        <v>1</v>
      </c>
      <c r="K523">
        <f t="shared" si="194"/>
        <v>51</v>
      </c>
      <c r="L523">
        <f t="shared" ca="1" si="195"/>
        <v>38819.657973212939</v>
      </c>
      <c r="M523">
        <f t="shared" ca="1" si="173"/>
        <v>201862.22146070728</v>
      </c>
      <c r="N523">
        <f t="shared" ca="1" si="174"/>
        <v>2.5998258730853663</v>
      </c>
      <c r="O523">
        <f t="shared" ca="1" si="175"/>
        <v>2.5264757135315294E-4</v>
      </c>
      <c r="P523">
        <f t="shared" ca="1" si="176"/>
        <v>39452.033473212941</v>
      </c>
      <c r="Q523">
        <f t="shared" ca="1" si="177"/>
        <v>39452.033473216194</v>
      </c>
      <c r="R523">
        <f t="shared" ca="1" si="178"/>
        <v>4.0174803240033529E-12</v>
      </c>
      <c r="S523">
        <f t="shared" ca="1" si="196"/>
        <v>4.9999998736893758E-4</v>
      </c>
      <c r="T523">
        <f t="shared" ca="1" si="197"/>
        <v>1</v>
      </c>
      <c r="U523">
        <f t="shared" ca="1" si="179"/>
        <v>0.05</v>
      </c>
      <c r="V523">
        <f t="shared" ca="1" si="180"/>
        <v>0.26</v>
      </c>
      <c r="W523">
        <f t="shared" ca="1" si="181"/>
        <v>4.9056603773584909E-2</v>
      </c>
      <c r="X523">
        <f t="shared" ca="1" si="182"/>
        <v>196.15384615384616</v>
      </c>
      <c r="Y523">
        <f t="shared" ca="1" si="183"/>
        <v>632.42549999999994</v>
      </c>
      <c r="Z523">
        <f t="shared" ca="1" si="184"/>
        <v>2593.5025316486622</v>
      </c>
      <c r="AA523">
        <f t="shared" ca="1" si="185"/>
        <v>482.07306851378365</v>
      </c>
      <c r="AB523">
        <f t="shared" ca="1" si="186"/>
        <v>481.67874391167834</v>
      </c>
      <c r="AC523">
        <f t="shared" ca="1" si="187"/>
        <v>0</v>
      </c>
      <c r="AD523">
        <f ca="1">IF(V32="Supercritical",L523,U523)</f>
        <v>0.05</v>
      </c>
      <c r="AE523">
        <f t="shared" ca="1" si="188"/>
        <v>632.42549999999994</v>
      </c>
      <c r="AF523">
        <f t="shared" ca="1" si="189"/>
        <v>2593.5025316486622</v>
      </c>
      <c r="AI523">
        <v>0</v>
      </c>
      <c r="AJ523">
        <v>0</v>
      </c>
      <c r="AK523">
        <f t="shared" si="190"/>
        <v>0</v>
      </c>
      <c r="AL523">
        <f t="shared" si="198"/>
        <v>0</v>
      </c>
      <c r="AM523">
        <f t="shared" ca="1" si="191"/>
        <v>280.07692026646265</v>
      </c>
      <c r="AN523" t="str">
        <f t="shared" ca="1" si="192"/>
        <v>Supercritical</v>
      </c>
      <c r="AO523">
        <f ca="1">IF(V32="Supercritical",R523,AA523)</f>
        <v>482.07306851378365</v>
      </c>
    </row>
    <row r="524" spans="1:41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174</v>
      </c>
      <c r="I524">
        <v>2.7E-2</v>
      </c>
      <c r="J524">
        <f t="shared" si="193"/>
        <v>0.9989999999999668</v>
      </c>
      <c r="K524">
        <f t="shared" si="194"/>
        <v>51</v>
      </c>
      <c r="L524">
        <f t="shared" ca="1" si="195"/>
        <v>38819.65475826287</v>
      </c>
      <c r="M524">
        <f t="shared" ca="1" si="173"/>
        <v>201862.20474296692</v>
      </c>
      <c r="N524">
        <f t="shared" ca="1" si="174"/>
        <v>2.5998258730709463</v>
      </c>
      <c r="O524">
        <f t="shared" ca="1" si="175"/>
        <v>2.5264759227681472E-4</v>
      </c>
      <c r="P524">
        <f t="shared" ca="1" si="176"/>
        <v>39452.02975826287</v>
      </c>
      <c r="Q524">
        <f t="shared" ca="1" si="177"/>
        <v>39452.029758266122</v>
      </c>
      <c r="R524">
        <f t="shared" ca="1" si="178"/>
        <v>4.0174809894691323E-12</v>
      </c>
      <c r="S524">
        <f t="shared" ca="1" si="196"/>
        <v>3.7149500640225597E-3</v>
      </c>
      <c r="T524">
        <f t="shared" ca="1" si="197"/>
        <v>0</v>
      </c>
      <c r="U524">
        <f t="shared" ca="1" si="179"/>
        <v>0.05</v>
      </c>
      <c r="V524">
        <f t="shared" ca="1" si="180"/>
        <v>0.26</v>
      </c>
      <c r="W524">
        <f t="shared" ca="1" si="181"/>
        <v>4.9056603773584909E-2</v>
      </c>
      <c r="X524">
        <f t="shared" ca="1" si="182"/>
        <v>196.15384615384616</v>
      </c>
      <c r="Y524">
        <f t="shared" ca="1" si="183"/>
        <v>632.42499999999995</v>
      </c>
      <c r="Z524">
        <f t="shared" ca="1" si="184"/>
        <v>2593.5020316486621</v>
      </c>
      <c r="AA524">
        <f t="shared" ca="1" si="185"/>
        <v>482.07306851378365</v>
      </c>
      <c r="AB524">
        <f t="shared" ca="1" si="186"/>
        <v>482.64289004873763</v>
      </c>
      <c r="AC524">
        <f t="shared" ca="1" si="187"/>
        <v>0</v>
      </c>
      <c r="AD524">
        <f ca="1">IF(V32="Supercritical",L524,U524)</f>
        <v>0.05</v>
      </c>
      <c r="AE524">
        <f t="shared" ca="1" si="188"/>
        <v>632.42499999999995</v>
      </c>
      <c r="AF524">
        <f t="shared" ca="1" si="189"/>
        <v>2593.5020316486621</v>
      </c>
      <c r="AI524">
        <v>0</v>
      </c>
      <c r="AJ524">
        <v>0</v>
      </c>
      <c r="AK524">
        <f t="shared" si="190"/>
        <v>0</v>
      </c>
      <c r="AL524">
        <f t="shared" si="198"/>
        <v>0</v>
      </c>
      <c r="AM524">
        <f t="shared" ca="1" si="191"/>
        <v>280.07692026646265</v>
      </c>
      <c r="AN524" t="str">
        <f t="shared" ca="1" si="192"/>
        <v>Supercritical</v>
      </c>
      <c r="AO524">
        <f ca="1">IF(V32="Supercritical",R524,AA524)</f>
        <v>482.07306851378365</v>
      </c>
    </row>
    <row r="525" spans="1:41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174</v>
      </c>
      <c r="I525">
        <v>2.7E-2</v>
      </c>
      <c r="J525">
        <f t="shared" si="193"/>
        <v>1.0010000000000332</v>
      </c>
      <c r="K525">
        <f t="shared" si="194"/>
        <v>51</v>
      </c>
      <c r="L525">
        <f t="shared" ca="1" si="195"/>
        <v>38819.65475826287</v>
      </c>
      <c r="M525">
        <f t="shared" ca="1" si="173"/>
        <v>201862.20474296692</v>
      </c>
      <c r="N525">
        <f t="shared" ca="1" si="174"/>
        <v>2.5998258730709463</v>
      </c>
      <c r="O525">
        <f t="shared" ca="1" si="175"/>
        <v>2.5264759227681472E-4</v>
      </c>
      <c r="P525">
        <f t="shared" ca="1" si="176"/>
        <v>39452.029258262868</v>
      </c>
      <c r="Q525">
        <f t="shared" ca="1" si="177"/>
        <v>39452.02925826612</v>
      </c>
      <c r="R525">
        <f t="shared" ca="1" si="178"/>
        <v>4.0174809894691323E-12</v>
      </c>
      <c r="S525">
        <f t="shared" ca="1" si="196"/>
        <v>4.999999946448952E-4</v>
      </c>
      <c r="T525">
        <f t="shared" ca="1" si="197"/>
        <v>1</v>
      </c>
      <c r="U525">
        <f t="shared" ca="1" si="179"/>
        <v>0.05</v>
      </c>
      <c r="V525">
        <f t="shared" ca="1" si="180"/>
        <v>0.26</v>
      </c>
      <c r="W525">
        <f t="shared" ca="1" si="181"/>
        <v>4.9056603773584909E-2</v>
      </c>
      <c r="X525">
        <f t="shared" ca="1" si="182"/>
        <v>196.15384615384616</v>
      </c>
      <c r="Y525">
        <f t="shared" ca="1" si="183"/>
        <v>632.42449999999997</v>
      </c>
      <c r="Z525">
        <f t="shared" ca="1" si="184"/>
        <v>2593.501531648662</v>
      </c>
      <c r="AA525">
        <f t="shared" ca="1" si="185"/>
        <v>482.07306851378365</v>
      </c>
      <c r="AB525">
        <f t="shared" ca="1" si="186"/>
        <v>481.67874391167834</v>
      </c>
      <c r="AC525">
        <f t="shared" ca="1" si="187"/>
        <v>0</v>
      </c>
      <c r="AD525">
        <f ca="1">IF(V32="Supercritical",L525,U525)</f>
        <v>0.05</v>
      </c>
      <c r="AE525">
        <f t="shared" ca="1" si="188"/>
        <v>632.42449999999997</v>
      </c>
      <c r="AF525">
        <f t="shared" ca="1" si="189"/>
        <v>2593.501531648662</v>
      </c>
      <c r="AI525">
        <v>0</v>
      </c>
      <c r="AJ525">
        <v>0</v>
      </c>
      <c r="AK525">
        <f t="shared" si="190"/>
        <v>0</v>
      </c>
      <c r="AL525">
        <f t="shared" si="198"/>
        <v>0</v>
      </c>
      <c r="AM525">
        <f t="shared" ca="1" si="191"/>
        <v>280.07692026646265</v>
      </c>
      <c r="AN525" t="str">
        <f t="shared" ca="1" si="192"/>
        <v>Supercritical</v>
      </c>
      <c r="AO525">
        <f ca="1">IF(V32="Supercritical",R525,AA525)</f>
        <v>482.07306851378365</v>
      </c>
    </row>
    <row r="526" spans="1:41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174</v>
      </c>
      <c r="I526">
        <v>2.7E-2</v>
      </c>
      <c r="J526">
        <f t="shared" si="193"/>
        <v>0.9989999999999668</v>
      </c>
      <c r="K526">
        <f t="shared" si="194"/>
        <v>51</v>
      </c>
      <c r="L526">
        <f t="shared" ca="1" si="195"/>
        <v>38819.649791856275</v>
      </c>
      <c r="M526">
        <f t="shared" ca="1" si="173"/>
        <v>201862.17891765264</v>
      </c>
      <c r="N526">
        <f t="shared" ca="1" si="174"/>
        <v>2.5998258730486707</v>
      </c>
      <c r="O526">
        <f t="shared" ca="1" si="175"/>
        <v>2.5264762459938008E-4</v>
      </c>
      <c r="P526">
        <f t="shared" ca="1" si="176"/>
        <v>39452.023791856278</v>
      </c>
      <c r="Q526">
        <f t="shared" ca="1" si="177"/>
        <v>39452.02379185953</v>
      </c>
      <c r="R526">
        <f t="shared" ca="1" si="178"/>
        <v>4.0174820174709947E-12</v>
      </c>
      <c r="S526">
        <f t="shared" ca="1" si="196"/>
        <v>5.4664065828546882E-3</v>
      </c>
      <c r="T526">
        <f t="shared" ca="1" si="197"/>
        <v>0</v>
      </c>
      <c r="U526">
        <f t="shared" ca="1" si="179"/>
        <v>0.05</v>
      </c>
      <c r="V526">
        <f t="shared" ca="1" si="180"/>
        <v>0.26</v>
      </c>
      <c r="W526">
        <f t="shared" ca="1" si="181"/>
        <v>4.9056603773584909E-2</v>
      </c>
      <c r="X526">
        <f t="shared" ca="1" si="182"/>
        <v>196.15384615384616</v>
      </c>
      <c r="Y526">
        <f t="shared" ca="1" si="183"/>
        <v>632.42399999999998</v>
      </c>
      <c r="Z526">
        <f t="shared" ca="1" si="184"/>
        <v>2593.5010316486623</v>
      </c>
      <c r="AA526">
        <f t="shared" ca="1" si="185"/>
        <v>482.07306851378365</v>
      </c>
      <c r="AB526">
        <f t="shared" ca="1" si="186"/>
        <v>482.32750852789786</v>
      </c>
      <c r="AC526">
        <f t="shared" ca="1" si="187"/>
        <v>0</v>
      </c>
      <c r="AD526">
        <f ca="1">IF(V32="Supercritical",L526,U526)</f>
        <v>0.05</v>
      </c>
      <c r="AE526">
        <f t="shared" ca="1" si="188"/>
        <v>632.42399999999998</v>
      </c>
      <c r="AF526">
        <f t="shared" ca="1" si="189"/>
        <v>2593.5010316486623</v>
      </c>
      <c r="AI526">
        <v>0</v>
      </c>
      <c r="AJ526">
        <v>0</v>
      </c>
      <c r="AK526">
        <f t="shared" si="190"/>
        <v>0</v>
      </c>
      <c r="AL526">
        <f t="shared" si="198"/>
        <v>0</v>
      </c>
      <c r="AM526">
        <f t="shared" ca="1" si="191"/>
        <v>280.07692026646265</v>
      </c>
      <c r="AN526" t="str">
        <f t="shared" ca="1" si="192"/>
        <v>Supercritical</v>
      </c>
      <c r="AO526">
        <f ca="1">IF(V32="Supercritical",R526,AA526)</f>
        <v>482.07306851378365</v>
      </c>
    </row>
    <row r="527" spans="1:41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174</v>
      </c>
      <c r="I527">
        <v>7.8E-2</v>
      </c>
      <c r="J527">
        <f t="shared" si="193"/>
        <v>1</v>
      </c>
      <c r="K527">
        <f t="shared" si="194"/>
        <v>51</v>
      </c>
      <c r="L527">
        <f t="shared" ca="1" si="195"/>
        <v>38819.649791856275</v>
      </c>
      <c r="M527">
        <f t="shared" ca="1" si="173"/>
        <v>201862.17891765264</v>
      </c>
      <c r="N527">
        <f t="shared" ca="1" si="174"/>
        <v>2.5998258730486707</v>
      </c>
      <c r="O527">
        <f t="shared" ca="1" si="175"/>
        <v>2.5264762459938008E-4</v>
      </c>
      <c r="P527">
        <f t="shared" ca="1" si="176"/>
        <v>39452.023291856276</v>
      </c>
      <c r="Q527">
        <f t="shared" ca="1" si="177"/>
        <v>39452.023291859528</v>
      </c>
      <c r="R527">
        <f t="shared" ca="1" si="178"/>
        <v>4.0174820174709947E-12</v>
      </c>
      <c r="S527">
        <f t="shared" ca="1" si="196"/>
        <v>4.999999946448952E-4</v>
      </c>
      <c r="T527">
        <f t="shared" ca="1" si="197"/>
        <v>1</v>
      </c>
      <c r="U527">
        <f t="shared" ca="1" si="179"/>
        <v>0.05</v>
      </c>
      <c r="V527">
        <f t="shared" ca="1" si="180"/>
        <v>0.26</v>
      </c>
      <c r="W527">
        <f t="shared" ca="1" si="181"/>
        <v>4.9056603773584909E-2</v>
      </c>
      <c r="X527">
        <f t="shared" ca="1" si="182"/>
        <v>196.15384615384616</v>
      </c>
      <c r="Y527">
        <f t="shared" ca="1" si="183"/>
        <v>632.42349999999999</v>
      </c>
      <c r="Z527">
        <f t="shared" ca="1" si="184"/>
        <v>2593.5005316486622</v>
      </c>
      <c r="AA527">
        <f t="shared" ca="1" si="185"/>
        <v>482.07306851378365</v>
      </c>
      <c r="AB527">
        <f t="shared" ca="1" si="186"/>
        <v>482.23599159975447</v>
      </c>
      <c r="AC527">
        <f t="shared" ca="1" si="187"/>
        <v>0</v>
      </c>
      <c r="AD527">
        <f ca="1">IF(V32="Supercritical",L527,U527)</f>
        <v>0.05</v>
      </c>
      <c r="AE527">
        <f t="shared" ca="1" si="188"/>
        <v>632.42349999999999</v>
      </c>
      <c r="AF527">
        <f t="shared" ca="1" si="189"/>
        <v>2593.5005316486622</v>
      </c>
      <c r="AI527">
        <v>0</v>
      </c>
      <c r="AJ527">
        <v>0</v>
      </c>
      <c r="AK527">
        <f t="shared" si="190"/>
        <v>0</v>
      </c>
      <c r="AL527">
        <f t="shared" si="198"/>
        <v>0</v>
      </c>
      <c r="AM527">
        <f t="shared" ca="1" si="191"/>
        <v>280.07692026646265</v>
      </c>
      <c r="AN527" t="str">
        <f t="shared" ca="1" si="192"/>
        <v>Supercritical</v>
      </c>
      <c r="AO527">
        <f ca="1">IF(V32="Supercritical",R527,AA527)</f>
        <v>482.07306851378365</v>
      </c>
    </row>
    <row r="528" spans="1:41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174</v>
      </c>
      <c r="I528">
        <v>0.05</v>
      </c>
      <c r="J528">
        <f t="shared" si="193"/>
        <v>1</v>
      </c>
      <c r="K528">
        <f t="shared" si="194"/>
        <v>51</v>
      </c>
      <c r="L528">
        <f t="shared" ca="1" si="195"/>
        <v>38819.643459502709</v>
      </c>
      <c r="M528">
        <f t="shared" ca="1" si="173"/>
        <v>201862.1459894141</v>
      </c>
      <c r="N528">
        <f t="shared" ca="1" si="174"/>
        <v>2.599825873020269</v>
      </c>
      <c r="O528">
        <f t="shared" ca="1" si="175"/>
        <v>2.5264766581186798E-4</v>
      </c>
      <c r="P528">
        <f t="shared" ca="1" si="176"/>
        <v>39452.016459502709</v>
      </c>
      <c r="Q528">
        <f t="shared" ca="1" si="177"/>
        <v>39452.016459505961</v>
      </c>
      <c r="R528">
        <f t="shared" ca="1" si="178"/>
        <v>4.0174833282122701E-12</v>
      </c>
      <c r="S528">
        <f t="shared" ca="1" si="196"/>
        <v>6.8323535597301088E-3</v>
      </c>
      <c r="T528">
        <f t="shared" ca="1" si="197"/>
        <v>0</v>
      </c>
      <c r="U528">
        <f t="shared" ca="1" si="179"/>
        <v>0.05</v>
      </c>
      <c r="V528">
        <f t="shared" ca="1" si="180"/>
        <v>0.26</v>
      </c>
      <c r="W528">
        <f t="shared" ca="1" si="181"/>
        <v>4.9056603773584909E-2</v>
      </c>
      <c r="X528">
        <f t="shared" ca="1" si="182"/>
        <v>196.15384615384616</v>
      </c>
      <c r="Y528">
        <f t="shared" ca="1" si="183"/>
        <v>632.423</v>
      </c>
      <c r="Z528">
        <f t="shared" ca="1" si="184"/>
        <v>2593.5000316486621</v>
      </c>
      <c r="AA528">
        <f t="shared" ca="1" si="185"/>
        <v>482.07306851378365</v>
      </c>
      <c r="AB528">
        <f t="shared" ca="1" si="186"/>
        <v>482.16081698020798</v>
      </c>
      <c r="AC528">
        <f t="shared" ca="1" si="187"/>
        <v>0</v>
      </c>
      <c r="AD528">
        <f ca="1">IF(V32="Supercritical",L528,U528)</f>
        <v>0.05</v>
      </c>
      <c r="AE528">
        <f t="shared" ca="1" si="188"/>
        <v>632.423</v>
      </c>
      <c r="AF528">
        <f t="shared" ca="1" si="189"/>
        <v>2593.5000316486621</v>
      </c>
      <c r="AI528">
        <v>0</v>
      </c>
      <c r="AJ528">
        <v>0</v>
      </c>
      <c r="AK528">
        <f t="shared" si="190"/>
        <v>0</v>
      </c>
      <c r="AL528">
        <f t="shared" si="198"/>
        <v>0</v>
      </c>
      <c r="AM528">
        <f t="shared" ca="1" si="191"/>
        <v>280.07692026646265</v>
      </c>
      <c r="AN528" t="str">
        <f t="shared" ca="1" si="192"/>
        <v>Supercritical</v>
      </c>
      <c r="AO528">
        <f ca="1">IF(V32="Supercritical",R528,AA528)</f>
        <v>482.07306851378365</v>
      </c>
    </row>
    <row r="529" spans="1:41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174</v>
      </c>
      <c r="I529">
        <v>2.7E-2</v>
      </c>
      <c r="J529">
        <f t="shared" si="193"/>
        <v>1</v>
      </c>
      <c r="K529">
        <f t="shared" si="194"/>
        <v>51</v>
      </c>
      <c r="L529">
        <f t="shared" ca="1" si="195"/>
        <v>38819.643459502709</v>
      </c>
      <c r="M529">
        <f t="shared" ca="1" si="173"/>
        <v>201862.1459894141</v>
      </c>
      <c r="N529">
        <f t="shared" ca="1" si="174"/>
        <v>2.599825873020269</v>
      </c>
      <c r="O529">
        <f t="shared" ca="1" si="175"/>
        <v>2.5264766581186798E-4</v>
      </c>
      <c r="P529">
        <f t="shared" ca="1" si="176"/>
        <v>39452.015959502707</v>
      </c>
      <c r="Q529">
        <f t="shared" ca="1" si="177"/>
        <v>39452.015959505959</v>
      </c>
      <c r="R529">
        <f t="shared" ca="1" si="178"/>
        <v>4.0174833282122701E-12</v>
      </c>
      <c r="S529">
        <f t="shared" ca="1" si="196"/>
        <v>4.999999946448952E-4</v>
      </c>
      <c r="T529">
        <f t="shared" ca="1" si="197"/>
        <v>1</v>
      </c>
      <c r="U529">
        <f t="shared" ca="1" si="179"/>
        <v>0.05</v>
      </c>
      <c r="V529">
        <f t="shared" ca="1" si="180"/>
        <v>0.26</v>
      </c>
      <c r="W529">
        <f t="shared" ca="1" si="181"/>
        <v>4.9056603773584909E-2</v>
      </c>
      <c r="X529">
        <f t="shared" ca="1" si="182"/>
        <v>196.15384615384616</v>
      </c>
      <c r="Y529">
        <f t="shared" ca="1" si="183"/>
        <v>632.4224999999999</v>
      </c>
      <c r="Z529">
        <f t="shared" ca="1" si="184"/>
        <v>2593.499531648662</v>
      </c>
      <c r="AA529">
        <f t="shared" ca="1" si="185"/>
        <v>482.07306851378365</v>
      </c>
      <c r="AB529">
        <f t="shared" ca="1" si="186"/>
        <v>482.16081698020798</v>
      </c>
      <c r="AC529">
        <f t="shared" ca="1" si="187"/>
        <v>0</v>
      </c>
      <c r="AD529">
        <f ca="1">IF(V32="Supercritical",L529,U529)</f>
        <v>0.05</v>
      </c>
      <c r="AE529">
        <f t="shared" ca="1" si="188"/>
        <v>632.4224999999999</v>
      </c>
      <c r="AF529">
        <f t="shared" ca="1" si="189"/>
        <v>2593.499531648662</v>
      </c>
      <c r="AI529">
        <v>0</v>
      </c>
      <c r="AJ529">
        <v>0</v>
      </c>
      <c r="AK529">
        <f t="shared" si="190"/>
        <v>0</v>
      </c>
      <c r="AL529">
        <f t="shared" si="198"/>
        <v>0</v>
      </c>
      <c r="AM529">
        <f t="shared" ca="1" si="191"/>
        <v>280.07692026646265</v>
      </c>
      <c r="AN529" t="str">
        <f t="shared" ca="1" si="192"/>
        <v>Supercritical</v>
      </c>
      <c r="AO529">
        <f ca="1">IF(V32="Supercritical",R529,AA529)</f>
        <v>482.07306851378365</v>
      </c>
    </row>
    <row r="530" spans="1:41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174</v>
      </c>
      <c r="I530">
        <v>2.7E-2</v>
      </c>
      <c r="J530">
        <f t="shared" si="193"/>
        <v>1</v>
      </c>
      <c r="K530">
        <f t="shared" si="194"/>
        <v>51</v>
      </c>
      <c r="L530">
        <f t="shared" ca="1" si="195"/>
        <v>38819.636057381875</v>
      </c>
      <c r="M530">
        <f t="shared" ca="1" si="173"/>
        <v>201862.10749838577</v>
      </c>
      <c r="N530">
        <f t="shared" ca="1" si="174"/>
        <v>2.5998258729870689</v>
      </c>
      <c r="O530">
        <f t="shared" ca="1" si="175"/>
        <v>2.5264771398667691E-4</v>
      </c>
      <c r="P530">
        <f t="shared" ca="1" si="176"/>
        <v>39452.008057381878</v>
      </c>
      <c r="Q530">
        <f t="shared" ca="1" si="177"/>
        <v>39452.00805738513</v>
      </c>
      <c r="R530">
        <f t="shared" ca="1" si="178"/>
        <v>4.0174848603867381E-12</v>
      </c>
      <c r="S530">
        <f t="shared" ca="1" si="196"/>
        <v>7.902120822109282E-3</v>
      </c>
      <c r="T530">
        <f t="shared" ca="1" si="197"/>
        <v>0</v>
      </c>
      <c r="U530">
        <f t="shared" ca="1" si="179"/>
        <v>0.05</v>
      </c>
      <c r="V530">
        <f t="shared" ca="1" si="180"/>
        <v>0.26</v>
      </c>
      <c r="W530">
        <f t="shared" ca="1" si="181"/>
        <v>4.9056603773584909E-2</v>
      </c>
      <c r="X530">
        <f t="shared" ca="1" si="182"/>
        <v>196.15384615384616</v>
      </c>
      <c r="Y530">
        <f t="shared" ca="1" si="183"/>
        <v>632.42199999999991</v>
      </c>
      <c r="Z530">
        <f t="shared" ca="1" si="184"/>
        <v>2593.4990316486619</v>
      </c>
      <c r="AA530">
        <f t="shared" ca="1" si="185"/>
        <v>482.07306851378365</v>
      </c>
      <c r="AB530">
        <f t="shared" ca="1" si="186"/>
        <v>482.1477431333301</v>
      </c>
      <c r="AC530">
        <f t="shared" ca="1" si="187"/>
        <v>0</v>
      </c>
      <c r="AD530">
        <f ca="1">IF(V32="Supercritical",L530,U530)</f>
        <v>0.05</v>
      </c>
      <c r="AE530">
        <f t="shared" ca="1" si="188"/>
        <v>632.42199999999991</v>
      </c>
      <c r="AF530">
        <f t="shared" ca="1" si="189"/>
        <v>2593.4990316486619</v>
      </c>
      <c r="AI530">
        <v>0</v>
      </c>
      <c r="AJ530">
        <v>0</v>
      </c>
      <c r="AK530">
        <f t="shared" si="190"/>
        <v>0</v>
      </c>
      <c r="AL530">
        <f t="shared" si="198"/>
        <v>0</v>
      </c>
      <c r="AM530">
        <f t="shared" ca="1" si="191"/>
        <v>280.07692026646265</v>
      </c>
      <c r="AN530" t="str">
        <f t="shared" ca="1" si="192"/>
        <v>Supercritical</v>
      </c>
      <c r="AO530">
        <f ca="1">IF(V32="Supercritical",R530,AA530)</f>
        <v>482.07306851378365</v>
      </c>
    </row>
    <row r="531" spans="1:41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174</v>
      </c>
      <c r="I531">
        <v>2.3E-2</v>
      </c>
      <c r="J531">
        <f t="shared" si="193"/>
        <v>1</v>
      </c>
      <c r="K531">
        <f t="shared" si="194"/>
        <v>51</v>
      </c>
      <c r="L531">
        <f t="shared" ca="1" si="195"/>
        <v>38819.636057381875</v>
      </c>
      <c r="M531">
        <f t="shared" ca="1" si="173"/>
        <v>201862.10749838577</v>
      </c>
      <c r="N531">
        <f t="shared" ca="1" si="174"/>
        <v>2.5998258729870689</v>
      </c>
      <c r="O531">
        <f t="shared" ca="1" si="175"/>
        <v>2.5264771398667691E-4</v>
      </c>
      <c r="P531">
        <f t="shared" ca="1" si="176"/>
        <v>39452.007557381876</v>
      </c>
      <c r="Q531">
        <f t="shared" ca="1" si="177"/>
        <v>39452.007557385128</v>
      </c>
      <c r="R531">
        <f t="shared" ca="1" si="178"/>
        <v>4.0174848603867381E-12</v>
      </c>
      <c r="S531">
        <f t="shared" ca="1" si="196"/>
        <v>4.999999946448952E-4</v>
      </c>
      <c r="T531">
        <f t="shared" ca="1" si="197"/>
        <v>1</v>
      </c>
      <c r="U531">
        <f t="shared" ca="1" si="179"/>
        <v>0.05</v>
      </c>
      <c r="V531">
        <f t="shared" ca="1" si="180"/>
        <v>0.26</v>
      </c>
      <c r="W531">
        <f t="shared" ca="1" si="181"/>
        <v>4.9056603773584909E-2</v>
      </c>
      <c r="X531">
        <f t="shared" ca="1" si="182"/>
        <v>196.15384615384616</v>
      </c>
      <c r="Y531">
        <f t="shared" ca="1" si="183"/>
        <v>632.42149999999992</v>
      </c>
      <c r="Z531">
        <f t="shared" ca="1" si="184"/>
        <v>2593.4985316486618</v>
      </c>
      <c r="AA531">
        <f t="shared" ca="1" si="185"/>
        <v>482.07306851378365</v>
      </c>
      <c r="AB531">
        <f t="shared" ca="1" si="186"/>
        <v>482.62981620186019</v>
      </c>
      <c r="AC531">
        <f t="shared" ca="1" si="187"/>
        <v>0</v>
      </c>
      <c r="AD531">
        <f ca="1">IF(V32="Supercritical",L531,U531)</f>
        <v>0.05</v>
      </c>
      <c r="AE531">
        <f t="shared" ca="1" si="188"/>
        <v>632.42149999999992</v>
      </c>
      <c r="AF531">
        <f t="shared" ca="1" si="189"/>
        <v>2593.4985316486618</v>
      </c>
      <c r="AI531">
        <v>0</v>
      </c>
      <c r="AJ531">
        <v>0</v>
      </c>
      <c r="AK531">
        <f t="shared" si="190"/>
        <v>0</v>
      </c>
      <c r="AL531">
        <f t="shared" si="198"/>
        <v>0</v>
      </c>
      <c r="AM531">
        <f t="shared" ca="1" si="191"/>
        <v>280.07692026646265</v>
      </c>
      <c r="AN531" t="str">
        <f t="shared" ca="1" si="192"/>
        <v>Supercritical</v>
      </c>
      <c r="AO531">
        <f ca="1">IF(V32="Supercritical",R531,AA531)</f>
        <v>482.07306851378365</v>
      </c>
    </row>
    <row r="532" spans="1:41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174</v>
      </c>
      <c r="I532">
        <v>2.3E-2</v>
      </c>
      <c r="J532">
        <f t="shared" si="193"/>
        <v>1.0010000000000332</v>
      </c>
      <c r="K532">
        <f t="shared" si="194"/>
        <v>51</v>
      </c>
      <c r="L532">
        <f t="shared" ca="1" si="195"/>
        <v>38819.627815569314</v>
      </c>
      <c r="M532">
        <f t="shared" ca="1" si="173"/>
        <v>201862.06464096045</v>
      </c>
      <c r="N532">
        <f t="shared" ca="1" si="174"/>
        <v>2.599825872950102</v>
      </c>
      <c r="O532">
        <f t="shared" ca="1" si="175"/>
        <v>2.5264776762642618E-4</v>
      </c>
      <c r="P532">
        <f t="shared" ca="1" si="176"/>
        <v>39451.998815569314</v>
      </c>
      <c r="Q532">
        <f t="shared" ca="1" si="177"/>
        <v>39451.998815572566</v>
      </c>
      <c r="R532">
        <f t="shared" ca="1" si="178"/>
        <v>4.0174865663711056E-12</v>
      </c>
      <c r="S532">
        <f t="shared" ca="1" si="196"/>
        <v>8.7418125549447723E-3</v>
      </c>
      <c r="T532">
        <f t="shared" ca="1" si="197"/>
        <v>0</v>
      </c>
      <c r="U532">
        <f t="shared" ca="1" si="179"/>
        <v>0.05</v>
      </c>
      <c r="V532">
        <f t="shared" ca="1" si="180"/>
        <v>0.26</v>
      </c>
      <c r="W532">
        <f t="shared" ca="1" si="181"/>
        <v>4.9056603773584909E-2</v>
      </c>
      <c r="X532">
        <f t="shared" ca="1" si="182"/>
        <v>196.15384615384616</v>
      </c>
      <c r="Y532">
        <f t="shared" ca="1" si="183"/>
        <v>632.42099999999994</v>
      </c>
      <c r="Z532">
        <f t="shared" ca="1" si="184"/>
        <v>2593.4980316486622</v>
      </c>
      <c r="AA532">
        <f t="shared" ca="1" si="185"/>
        <v>482.07306851378365</v>
      </c>
      <c r="AB532">
        <f t="shared" ca="1" si="186"/>
        <v>481.59049544525396</v>
      </c>
      <c r="AC532">
        <f t="shared" ca="1" si="187"/>
        <v>0</v>
      </c>
      <c r="AD532">
        <f ca="1">IF(V32="Supercritical",L532,U532)</f>
        <v>0.05</v>
      </c>
      <c r="AE532">
        <f t="shared" ca="1" si="188"/>
        <v>632.42099999999994</v>
      </c>
      <c r="AF532">
        <f t="shared" ca="1" si="189"/>
        <v>2593.4980316486622</v>
      </c>
      <c r="AI532">
        <v>0</v>
      </c>
      <c r="AJ532">
        <v>0</v>
      </c>
      <c r="AK532">
        <f t="shared" si="190"/>
        <v>0</v>
      </c>
      <c r="AL532">
        <f t="shared" si="198"/>
        <v>0</v>
      </c>
      <c r="AM532">
        <f t="shared" ca="1" si="191"/>
        <v>280.07692026646265</v>
      </c>
      <c r="AN532" t="str">
        <f t="shared" ca="1" si="192"/>
        <v>Supercritical</v>
      </c>
      <c r="AO532">
        <f ca="1">IF(V32="Supercritical",R532,AA532)</f>
        <v>482.07306851378365</v>
      </c>
    </row>
    <row r="533" spans="1:41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174</v>
      </c>
      <c r="I533">
        <v>0</v>
      </c>
      <c r="J533">
        <f t="shared" si="193"/>
        <v>0.9989999999999668</v>
      </c>
      <c r="K533">
        <f t="shared" si="194"/>
        <v>51</v>
      </c>
      <c r="L533">
        <f t="shared" ca="1" si="195"/>
        <v>38819.627815569314</v>
      </c>
      <c r="M533">
        <f t="shared" ca="1" si="173"/>
        <v>201862.06464096045</v>
      </c>
      <c r="N533">
        <f t="shared" ca="1" si="174"/>
        <v>2.599825872950102</v>
      </c>
      <c r="O533">
        <f t="shared" ca="1" si="175"/>
        <v>2.5264776762642618E-4</v>
      </c>
      <c r="P533">
        <f t="shared" ca="1" si="176"/>
        <v>39451.998315569312</v>
      </c>
      <c r="Q533">
        <f t="shared" ca="1" si="177"/>
        <v>39451.998315572564</v>
      </c>
      <c r="R533">
        <f t="shared" ca="1" si="178"/>
        <v>4.0174865663711056E-12</v>
      </c>
      <c r="S533">
        <f t="shared" ca="1" si="196"/>
        <v>4.999999946448952E-4</v>
      </c>
      <c r="T533">
        <f t="shared" ca="1" si="197"/>
        <v>1</v>
      </c>
      <c r="U533">
        <f t="shared" ca="1" si="179"/>
        <v>0.05</v>
      </c>
      <c r="V533">
        <f t="shared" ca="1" si="180"/>
        <v>0.26</v>
      </c>
      <c r="W533">
        <f t="shared" ca="1" si="181"/>
        <v>4.9056603773584909E-2</v>
      </c>
      <c r="X533">
        <f t="shared" ca="1" si="182"/>
        <v>196.15384615384616</v>
      </c>
      <c r="Y533">
        <f t="shared" ca="1" si="183"/>
        <v>632.42049999999995</v>
      </c>
      <c r="Z533">
        <f t="shared" ca="1" si="184"/>
        <v>2593.4975316486621</v>
      </c>
      <c r="AA533">
        <f t="shared" ca="1" si="185"/>
        <v>482.07306851378365</v>
      </c>
      <c r="AB533">
        <f t="shared" ca="1" si="186"/>
        <v>482.16081698020798</v>
      </c>
      <c r="AC533">
        <f t="shared" ca="1" si="187"/>
        <v>0</v>
      </c>
      <c r="AD533">
        <f ca="1">IF(V32="Supercritical",L533,U533)</f>
        <v>0.05</v>
      </c>
      <c r="AE533">
        <f t="shared" ca="1" si="188"/>
        <v>632.42049999999995</v>
      </c>
      <c r="AF533">
        <f t="shared" ca="1" si="189"/>
        <v>2593.4975316486621</v>
      </c>
      <c r="AI533">
        <v>0</v>
      </c>
      <c r="AJ533">
        <v>0</v>
      </c>
      <c r="AK533">
        <f t="shared" si="190"/>
        <v>0</v>
      </c>
      <c r="AL533">
        <f t="shared" si="198"/>
        <v>0</v>
      </c>
      <c r="AM533">
        <f t="shared" ca="1" si="191"/>
        <v>280.07692026646265</v>
      </c>
      <c r="AN533" t="str">
        <f t="shared" ca="1" si="192"/>
        <v>Supercritical</v>
      </c>
      <c r="AO533">
        <f ca="1">IF(V32="Supercritical",R533,AA533)</f>
        <v>482.07306851378365</v>
      </c>
    </row>
    <row r="534" spans="1:41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174</v>
      </c>
      <c r="I534">
        <v>2.7E-2</v>
      </c>
      <c r="J534">
        <f t="shared" si="193"/>
        <v>1</v>
      </c>
      <c r="K534">
        <f t="shared" si="194"/>
        <v>51</v>
      </c>
      <c r="L534">
        <f t="shared" ca="1" si="195"/>
        <v>38819.618913977662</v>
      </c>
      <c r="M534">
        <f t="shared" ref="M534:M597" ca="1" si="199">((F534)+(G534)*(L534))*(L534)</f>
        <v>201862.01835268384</v>
      </c>
      <c r="N534">
        <f t="shared" ref="N534:N597" ca="1" si="200">(((F534)+(G534)*(L534))*(L534))/MAX((F534)+2*(L534)*SQRT(1+(G534)^2),0.000001)</f>
        <v>2.5998258729101762</v>
      </c>
      <c r="O534">
        <f t="shared" ref="O534:O597" ca="1" si="201">ABS(K534)/MAX(((F534)+(G534)*(L534))*(L534),0.000001)</f>
        <v>2.5264782556020618E-4</v>
      </c>
      <c r="P534">
        <f t="shared" ref="P534:P597" ca="1" si="202">E534+L534</f>
        <v>39451.988913977664</v>
      </c>
      <c r="Q534">
        <f t="shared" ref="Q534:Q597" ca="1" si="203">P534+((ABS(K534)/MAX(((F534)+(G534)*(L534))*(L534),0.000001))^2)/(2*$I$5)</f>
        <v>39451.988913980917</v>
      </c>
      <c r="R534">
        <f t="shared" ref="R534:R597" ca="1" si="204">((ABS(K534)*$D$6)/(MAX(((F534)+(G534)*(L534))*(L534),0.000001)*MAX(((((F534)+(G534)*(L534))*(L534))/MAX((F534)+2*(L534)*SQRT(1+(G534)^2),0.000001))^(2/3),0.000001)))^2</f>
        <v>4.0174884089252913E-12</v>
      </c>
      <c r="S534">
        <f t="shared" ca="1" si="196"/>
        <v>9.4015916401986033E-3</v>
      </c>
      <c r="T534">
        <f t="shared" ca="1" si="197"/>
        <v>0</v>
      </c>
      <c r="U534">
        <f t="shared" ref="U534:U597" ca="1" si="205">IF($D$20=0,U535,IF(AC535=0,U535,IF(U534=0,U535,IF(ABS(AB534)&gt;$D$19,MAX($D$16,U534+((AB534)*$D$18*IF((ABS(ABS(K534)/MAX(((F534)+(G534)*(U534))*(U534),0.000001))/SQRT($I$5*MAX((((F534)+(G534)*(U534))*(U534))/MAX((F534)+2*(G534)*(U534),0.000001),0.000001)))&lt;1,1,-1))),U534))))</f>
        <v>0.05</v>
      </c>
      <c r="V534">
        <f t="shared" ref="V534:V597" ca="1" si="206">((F534)+(G534)*(U534))*(U534)</f>
        <v>0.26</v>
      </c>
      <c r="W534">
        <f t="shared" ref="W534:W597" ca="1" si="207">(((F534)+(G534)*(U534))*(U534))/MAX((F534)+2*(U534)*SQRT(1+(G534)^2),0.000001)</f>
        <v>4.9056603773584909E-2</v>
      </c>
      <c r="X534">
        <f t="shared" ref="X534:X597" ca="1" si="208">ABS(K534)/MAX(((F534)+(G534)*(U534))*(U534),0.000001)</f>
        <v>196.15384615384616</v>
      </c>
      <c r="Y534">
        <f t="shared" ref="Y534:Y597" ca="1" si="209">E534+U534</f>
        <v>632.41999999999996</v>
      </c>
      <c r="Z534">
        <f t="shared" ref="Z534:Z597" ca="1" si="210">Y534+((ABS(K534)/MAX(((F534)+(G534)*(U534))*(U534),0.000001))^2)/(2*$I$5)</f>
        <v>2593.497031648662</v>
      </c>
      <c r="AA534">
        <f t="shared" ref="AA534:AA597" ca="1" si="211">((ABS(K534)*$D$6)/(MAX(((F534)+(G534)*(U534))*(U534),0.000001)*MAX(((((F534)+(G534)*(U534))*(U534))/MAX((F534)+2*(U534)*SQRT(1+(G534)^2),0.000001))^(2/3),0.000001)))^2</f>
        <v>482.07306851378365</v>
      </c>
      <c r="AB534">
        <f t="shared" ref="AB534:AB597" ca="1" si="212">Z535+(((AA534+AA535)/2)*J535)+(IF(X534&gt;X535,$D$8*((X534^2-X535^2)/(2*$I$5)),$D$9*((X535^2-X534^2)/(2*$I$5)))+($D$10*(ABS(I535)/90)*(MAX(X534^2,X535^2)/(2*$I$5))))-Z534</f>
        <v>482.32750852789832</v>
      </c>
      <c r="AC534">
        <f t="shared" ref="AC534:AC597" ca="1" si="213">IF(ABS(AB534)&lt;$D$19,1,0)</f>
        <v>0</v>
      </c>
      <c r="AD534">
        <f ca="1">IF(V32="Supercritical",L534,U534)</f>
        <v>0.05</v>
      </c>
      <c r="AE534">
        <f t="shared" ref="AE534:AE597" ca="1" si="214">E534+AD534</f>
        <v>632.41999999999996</v>
      </c>
      <c r="AF534">
        <f t="shared" ref="AF534:AF597" ca="1" si="215">AE534+((ABS(K534)/MAX(((F534)+(G534)*(AD534))*(AD534),0.000001))^2)/(2*$I$5)</f>
        <v>2593.497031648662</v>
      </c>
      <c r="AI534">
        <v>0</v>
      </c>
      <c r="AJ534">
        <v>0</v>
      </c>
      <c r="AK534">
        <f t="shared" ref="AK534:AK597" si="216">AI534+AJ534</f>
        <v>0</v>
      </c>
      <c r="AL534">
        <f t="shared" si="198"/>
        <v>0</v>
      </c>
      <c r="AM534">
        <f t="shared" ref="AM534:AM597" ca="1" si="217">ABS(ABS(K534)/MAX(((F534)+(G534)*(AD534))*(AD534),0.000001))/SQRT($I$5*MAX((((F534)+(G534)*(AD534))*(AD534))/MAX((F534)+2*(G534)*(AD534),0.000001),0.000001))</f>
        <v>280.07692026646265</v>
      </c>
      <c r="AN534" t="str">
        <f t="shared" ref="AN534:AN597" ca="1" si="218">IF(AM534&lt;1,"Subcritical","Supercritical")</f>
        <v>Supercritical</v>
      </c>
      <c r="AO534">
        <f ca="1">IF(V32="Supercritical",R534,AA534)</f>
        <v>482.07306851378365</v>
      </c>
    </row>
    <row r="535" spans="1:41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174</v>
      </c>
      <c r="I535">
        <v>7.8E-2</v>
      </c>
      <c r="J535">
        <f t="shared" ref="J535:J598" si="219">B535-B534</f>
        <v>1</v>
      </c>
      <c r="K535">
        <f t="shared" ref="K535:K598" si="220">MAX(0,K534-AK534)</f>
        <v>51</v>
      </c>
      <c r="L535">
        <f t="shared" ref="L535:L598" ca="1" si="221">IF($D$20=0,L534,IF(T534=0,L534,IF(L535=0,L534,IF(ABS(S535)&gt;$D$19,MAX($D$16,L535+((S535)*$D$18*IF((ABS(ABS(K535)/MAX(((F535)+(G535)*(L535))*(L535),0.000001))/SQRT($I$5*MAX((((F535)+(G535)*(L535))*(L535))/MAX((F535)+2*(G535)*(L535),0.000001),0.000001)))&lt;1,1,-1))),L535))))</f>
        <v>38819.618913977662</v>
      </c>
      <c r="M535">
        <f t="shared" ca="1" si="199"/>
        <v>201862.01835268384</v>
      </c>
      <c r="N535">
        <f t="shared" ca="1" si="200"/>
        <v>2.5998258729101762</v>
      </c>
      <c r="O535">
        <f t="shared" ca="1" si="201"/>
        <v>2.5264782556020618E-4</v>
      </c>
      <c r="P535">
        <f t="shared" ca="1" si="202"/>
        <v>39451.988413977662</v>
      </c>
      <c r="Q535">
        <f t="shared" ca="1" si="203"/>
        <v>39451.988413980915</v>
      </c>
      <c r="R535">
        <f t="shared" ca="1" si="204"/>
        <v>4.0174884089252913E-12</v>
      </c>
      <c r="S535">
        <f t="shared" ref="S535:S598" ca="1" si="222">Q534-(((R534+R535)/2)*J535)-(IF(O534&gt;O535,$D$8*((O534^2-O535^2)/(2*$I$5)),$D$9*((O535^2-O534^2)/(2*$I$5)))+($D$10*(ABS(I535)/90)*(MAX(O534^2,O535^2)/(2*$I$5))))-Q535</f>
        <v>4.999999946448952E-4</v>
      </c>
      <c r="T535">
        <f t="shared" ref="T535:T598" ca="1" si="223">IF(ABS(S535)&lt;$D$19,1,0)</f>
        <v>1</v>
      </c>
      <c r="U535">
        <f t="shared" ca="1" si="205"/>
        <v>0.05</v>
      </c>
      <c r="V535">
        <f t="shared" ca="1" si="206"/>
        <v>0.26</v>
      </c>
      <c r="W535">
        <f t="shared" ca="1" si="207"/>
        <v>4.9056603773584909E-2</v>
      </c>
      <c r="X535">
        <f t="shared" ca="1" si="208"/>
        <v>196.15384615384616</v>
      </c>
      <c r="Y535">
        <f t="shared" ca="1" si="209"/>
        <v>632.41949999999997</v>
      </c>
      <c r="Z535">
        <f t="shared" ca="1" si="210"/>
        <v>2593.4965316486623</v>
      </c>
      <c r="AA535">
        <f t="shared" ca="1" si="211"/>
        <v>482.07306851378365</v>
      </c>
      <c r="AB535">
        <f t="shared" ca="1" si="212"/>
        <v>482.32750852789786</v>
      </c>
      <c r="AC535">
        <f t="shared" ca="1" si="213"/>
        <v>0</v>
      </c>
      <c r="AD535">
        <f ca="1">IF(V32="Supercritical",L535,U535)</f>
        <v>0.05</v>
      </c>
      <c r="AE535">
        <f t="shared" ca="1" si="214"/>
        <v>632.41949999999997</v>
      </c>
      <c r="AF535">
        <f t="shared" ca="1" si="215"/>
        <v>2593.4965316486623</v>
      </c>
      <c r="AI535">
        <v>0</v>
      </c>
      <c r="AJ535">
        <v>0</v>
      </c>
      <c r="AK535">
        <f t="shared" si="216"/>
        <v>0</v>
      </c>
      <c r="AL535">
        <f t="shared" ref="AL535:AL598" si="224">AL534+AK535</f>
        <v>0</v>
      </c>
      <c r="AM535">
        <f t="shared" ca="1" si="217"/>
        <v>280.07692026646265</v>
      </c>
      <c r="AN535" t="str">
        <f t="shared" ca="1" si="218"/>
        <v>Supercritical</v>
      </c>
      <c r="AO535">
        <f ca="1">IF(V32="Supercritical",R535,AA535)</f>
        <v>482.07306851378365</v>
      </c>
    </row>
    <row r="536" spans="1:41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174</v>
      </c>
      <c r="I536">
        <v>7.8E-2</v>
      </c>
      <c r="J536">
        <f t="shared" si="219"/>
        <v>1</v>
      </c>
      <c r="K536">
        <f t="shared" si="220"/>
        <v>51</v>
      </c>
      <c r="L536">
        <f t="shared" ca="1" si="221"/>
        <v>38819.609493384545</v>
      </c>
      <c r="M536">
        <f t="shared" ca="1" si="199"/>
        <v>201861.96936559965</v>
      </c>
      <c r="N536">
        <f t="shared" ca="1" si="200"/>
        <v>2.5998258728679229</v>
      </c>
      <c r="O536">
        <f t="shared" ca="1" si="201"/>
        <v>2.5264788687180608E-4</v>
      </c>
      <c r="P536">
        <f t="shared" ca="1" si="202"/>
        <v>39451.978493384544</v>
      </c>
      <c r="Q536">
        <f t="shared" ca="1" si="203"/>
        <v>39451.978493387796</v>
      </c>
      <c r="R536">
        <f t="shared" ca="1" si="204"/>
        <v>4.0174903589097715E-12</v>
      </c>
      <c r="S536">
        <f t="shared" ca="1" si="222"/>
        <v>9.9205931110191159E-3</v>
      </c>
      <c r="T536">
        <f t="shared" ca="1" si="223"/>
        <v>0</v>
      </c>
      <c r="U536">
        <f t="shared" ca="1" si="205"/>
        <v>0.05</v>
      </c>
      <c r="V536">
        <f t="shared" ca="1" si="206"/>
        <v>0.26</v>
      </c>
      <c r="W536">
        <f t="shared" ca="1" si="207"/>
        <v>4.9056603773584909E-2</v>
      </c>
      <c r="X536">
        <f t="shared" ca="1" si="208"/>
        <v>196.15384615384616</v>
      </c>
      <c r="Y536">
        <f t="shared" ca="1" si="209"/>
        <v>632.41899999999998</v>
      </c>
      <c r="Z536">
        <f t="shared" ca="1" si="210"/>
        <v>2593.4960316486622</v>
      </c>
      <c r="AA536">
        <f t="shared" ca="1" si="211"/>
        <v>482.07306851378365</v>
      </c>
      <c r="AB536">
        <f t="shared" ca="1" si="212"/>
        <v>482.64289004873763</v>
      </c>
      <c r="AC536">
        <f t="shared" ca="1" si="213"/>
        <v>0</v>
      </c>
      <c r="AD536">
        <f ca="1">IF(V32="Supercritical",L536,U536)</f>
        <v>0.05</v>
      </c>
      <c r="AE536">
        <f t="shared" ca="1" si="214"/>
        <v>632.41899999999998</v>
      </c>
      <c r="AF536">
        <f t="shared" ca="1" si="215"/>
        <v>2593.4960316486622</v>
      </c>
      <c r="AI536">
        <v>0</v>
      </c>
      <c r="AJ536">
        <v>0</v>
      </c>
      <c r="AK536">
        <f t="shared" si="216"/>
        <v>0</v>
      </c>
      <c r="AL536">
        <f t="shared" si="224"/>
        <v>0</v>
      </c>
      <c r="AM536">
        <f t="shared" ca="1" si="217"/>
        <v>280.07692026646265</v>
      </c>
      <c r="AN536" t="str">
        <f t="shared" ca="1" si="218"/>
        <v>Supercritical</v>
      </c>
      <c r="AO536">
        <f ca="1">IF(V32="Supercritical",R536,AA536)</f>
        <v>482.07306851378365</v>
      </c>
    </row>
    <row r="537" spans="1:41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174</v>
      </c>
      <c r="I537">
        <v>2.7E-2</v>
      </c>
      <c r="J537">
        <f t="shared" si="219"/>
        <v>1.0010000000000332</v>
      </c>
      <c r="K537">
        <f t="shared" si="220"/>
        <v>51</v>
      </c>
      <c r="L537">
        <f t="shared" ca="1" si="221"/>
        <v>38819.609493384545</v>
      </c>
      <c r="M537">
        <f t="shared" ca="1" si="199"/>
        <v>201861.96936559965</v>
      </c>
      <c r="N537">
        <f t="shared" ca="1" si="200"/>
        <v>2.5998258728679229</v>
      </c>
      <c r="O537">
        <f t="shared" ca="1" si="201"/>
        <v>2.5264788687180608E-4</v>
      </c>
      <c r="P537">
        <f t="shared" ca="1" si="202"/>
        <v>39451.977993384542</v>
      </c>
      <c r="Q537">
        <f t="shared" ca="1" si="203"/>
        <v>39451.977993387794</v>
      </c>
      <c r="R537">
        <f t="shared" ca="1" si="204"/>
        <v>4.0174903589097715E-12</v>
      </c>
      <c r="S537">
        <f t="shared" ca="1" si="222"/>
        <v>4.999999946448952E-4</v>
      </c>
      <c r="T537">
        <f t="shared" ca="1" si="223"/>
        <v>1</v>
      </c>
      <c r="U537">
        <f t="shared" ca="1" si="205"/>
        <v>0.05</v>
      </c>
      <c r="V537">
        <f t="shared" ca="1" si="206"/>
        <v>0.26</v>
      </c>
      <c r="W537">
        <f t="shared" ca="1" si="207"/>
        <v>4.9056603773584909E-2</v>
      </c>
      <c r="X537">
        <f t="shared" ca="1" si="208"/>
        <v>196.15384615384616</v>
      </c>
      <c r="Y537">
        <f t="shared" ca="1" si="209"/>
        <v>632.41849999999999</v>
      </c>
      <c r="Z537">
        <f t="shared" ca="1" si="210"/>
        <v>2593.4955316486621</v>
      </c>
      <c r="AA537">
        <f t="shared" ca="1" si="211"/>
        <v>482.07306851378365</v>
      </c>
      <c r="AB537">
        <f t="shared" ca="1" si="212"/>
        <v>481.59049544525351</v>
      </c>
      <c r="AC537">
        <f t="shared" ca="1" si="213"/>
        <v>0</v>
      </c>
      <c r="AD537">
        <f ca="1">IF(V32="Supercritical",L537,U537)</f>
        <v>0.05</v>
      </c>
      <c r="AE537">
        <f t="shared" ca="1" si="214"/>
        <v>632.41849999999999</v>
      </c>
      <c r="AF537">
        <f t="shared" ca="1" si="215"/>
        <v>2593.4955316486621</v>
      </c>
      <c r="AI537">
        <v>0</v>
      </c>
      <c r="AJ537">
        <v>0</v>
      </c>
      <c r="AK537">
        <f t="shared" si="216"/>
        <v>0</v>
      </c>
      <c r="AL537">
        <f t="shared" si="224"/>
        <v>0</v>
      </c>
      <c r="AM537">
        <f t="shared" ca="1" si="217"/>
        <v>280.07692026646265</v>
      </c>
      <c r="AN537" t="str">
        <f t="shared" ca="1" si="218"/>
        <v>Supercritical</v>
      </c>
      <c r="AO537">
        <f ca="1">IF(V32="Supercritical",R537,AA537)</f>
        <v>482.07306851378365</v>
      </c>
    </row>
    <row r="538" spans="1:41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174</v>
      </c>
      <c r="I538">
        <v>0</v>
      </c>
      <c r="J538">
        <f t="shared" si="219"/>
        <v>0.9989999999999668</v>
      </c>
      <c r="K538">
        <f t="shared" si="220"/>
        <v>51</v>
      </c>
      <c r="L538">
        <f t="shared" ca="1" si="221"/>
        <v>38819.599664107118</v>
      </c>
      <c r="M538">
        <f t="shared" ca="1" si="199"/>
        <v>201861.91825335703</v>
      </c>
      <c r="N538">
        <f t="shared" ca="1" si="200"/>
        <v>2.5998258728238359</v>
      </c>
      <c r="O538">
        <f t="shared" ca="1" si="201"/>
        <v>2.5264795084325845E-4</v>
      </c>
      <c r="P538">
        <f t="shared" ca="1" si="202"/>
        <v>39451.96766410712</v>
      </c>
      <c r="Q538">
        <f t="shared" ca="1" si="203"/>
        <v>39451.967664110372</v>
      </c>
      <c r="R538">
        <f t="shared" ca="1" si="204"/>
        <v>4.0174923934900226E-12</v>
      </c>
      <c r="S538">
        <f t="shared" ca="1" si="222"/>
        <v>1.0329277414712124E-2</v>
      </c>
      <c r="T538">
        <f t="shared" ca="1" si="223"/>
        <v>0</v>
      </c>
      <c r="U538">
        <f t="shared" ca="1" si="205"/>
        <v>0.05</v>
      </c>
      <c r="V538">
        <f t="shared" ca="1" si="206"/>
        <v>0.26</v>
      </c>
      <c r="W538">
        <f t="shared" ca="1" si="207"/>
        <v>4.9056603773584909E-2</v>
      </c>
      <c r="X538">
        <f t="shared" ca="1" si="208"/>
        <v>196.15384615384616</v>
      </c>
      <c r="Y538">
        <f t="shared" ca="1" si="209"/>
        <v>632.41800000000001</v>
      </c>
      <c r="Z538">
        <f t="shared" ca="1" si="210"/>
        <v>2593.495031648662</v>
      </c>
      <c r="AA538">
        <f t="shared" ca="1" si="211"/>
        <v>482.07306851378365</v>
      </c>
      <c r="AB538">
        <f t="shared" ca="1" si="212"/>
        <v>482.16081698020798</v>
      </c>
      <c r="AC538">
        <f t="shared" ca="1" si="213"/>
        <v>0</v>
      </c>
      <c r="AD538">
        <f ca="1">IF(V32="Supercritical",L538,U538)</f>
        <v>0.05</v>
      </c>
      <c r="AE538">
        <f t="shared" ca="1" si="214"/>
        <v>632.41800000000001</v>
      </c>
      <c r="AF538">
        <f t="shared" ca="1" si="215"/>
        <v>2593.495031648662</v>
      </c>
      <c r="AI538">
        <v>0</v>
      </c>
      <c r="AJ538">
        <v>0</v>
      </c>
      <c r="AK538">
        <f t="shared" si="216"/>
        <v>0</v>
      </c>
      <c r="AL538">
        <f t="shared" si="224"/>
        <v>0</v>
      </c>
      <c r="AM538">
        <f t="shared" ca="1" si="217"/>
        <v>280.07692026646265</v>
      </c>
      <c r="AN538" t="str">
        <f t="shared" ca="1" si="218"/>
        <v>Supercritical</v>
      </c>
      <c r="AO538">
        <f ca="1">IF(V32="Supercritical",R538,AA538)</f>
        <v>482.07306851378365</v>
      </c>
    </row>
    <row r="539" spans="1:41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174</v>
      </c>
      <c r="I539">
        <v>2.7E-2</v>
      </c>
      <c r="J539">
        <f t="shared" si="219"/>
        <v>1</v>
      </c>
      <c r="K539">
        <f t="shared" si="220"/>
        <v>51</v>
      </c>
      <c r="L539">
        <f t="shared" ca="1" si="221"/>
        <v>38819.599664107118</v>
      </c>
      <c r="M539">
        <f t="shared" ca="1" si="199"/>
        <v>201861.91825335703</v>
      </c>
      <c r="N539">
        <f t="shared" ca="1" si="200"/>
        <v>2.5998258728238359</v>
      </c>
      <c r="O539">
        <f t="shared" ca="1" si="201"/>
        <v>2.5264795084325845E-4</v>
      </c>
      <c r="P539">
        <f t="shared" ca="1" si="202"/>
        <v>39451.967164107118</v>
      </c>
      <c r="Q539">
        <f t="shared" ca="1" si="203"/>
        <v>39451.967164110371</v>
      </c>
      <c r="R539">
        <f t="shared" ca="1" si="204"/>
        <v>4.0174923934900226E-12</v>
      </c>
      <c r="S539">
        <f t="shared" ca="1" si="222"/>
        <v>4.999999946448952E-4</v>
      </c>
      <c r="T539">
        <f t="shared" ca="1" si="223"/>
        <v>1</v>
      </c>
      <c r="U539">
        <f t="shared" ca="1" si="205"/>
        <v>0.05</v>
      </c>
      <c r="V539">
        <f t="shared" ca="1" si="206"/>
        <v>0.26</v>
      </c>
      <c r="W539">
        <f t="shared" ca="1" si="207"/>
        <v>4.9056603773584909E-2</v>
      </c>
      <c r="X539">
        <f t="shared" ca="1" si="208"/>
        <v>196.15384615384616</v>
      </c>
      <c r="Y539">
        <f t="shared" ca="1" si="209"/>
        <v>632.4174999999999</v>
      </c>
      <c r="Z539">
        <f t="shared" ca="1" si="210"/>
        <v>2593.4945316486619</v>
      </c>
      <c r="AA539">
        <f t="shared" ca="1" si="211"/>
        <v>482.07306851378365</v>
      </c>
      <c r="AB539">
        <f t="shared" ca="1" si="212"/>
        <v>482.32750852789786</v>
      </c>
      <c r="AC539">
        <f t="shared" ca="1" si="213"/>
        <v>0</v>
      </c>
      <c r="AD539">
        <f ca="1">IF(V32="Supercritical",L539,U539)</f>
        <v>0.05</v>
      </c>
      <c r="AE539">
        <f t="shared" ca="1" si="214"/>
        <v>632.4174999999999</v>
      </c>
      <c r="AF539">
        <f t="shared" ca="1" si="215"/>
        <v>2593.4945316486619</v>
      </c>
      <c r="AI539">
        <v>0</v>
      </c>
      <c r="AJ539">
        <v>0</v>
      </c>
      <c r="AK539">
        <f t="shared" si="216"/>
        <v>0</v>
      </c>
      <c r="AL539">
        <f t="shared" si="224"/>
        <v>0</v>
      </c>
      <c r="AM539">
        <f t="shared" ca="1" si="217"/>
        <v>280.07692026646265</v>
      </c>
      <c r="AN539" t="str">
        <f t="shared" ca="1" si="218"/>
        <v>Supercritical</v>
      </c>
      <c r="AO539">
        <f ca="1">IF(V32="Supercritical",R539,AA539)</f>
        <v>482.07306851378365</v>
      </c>
    </row>
    <row r="540" spans="1:41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174</v>
      </c>
      <c r="I540">
        <v>7.8E-2</v>
      </c>
      <c r="J540">
        <f t="shared" si="219"/>
        <v>1</v>
      </c>
      <c r="K540">
        <f t="shared" si="220"/>
        <v>51</v>
      </c>
      <c r="L540">
        <f t="shared" ca="1" si="221"/>
        <v>38819.589512738312</v>
      </c>
      <c r="M540">
        <f t="shared" ca="1" si="199"/>
        <v>201861.86546623922</v>
      </c>
      <c r="N540">
        <f t="shared" ca="1" si="200"/>
        <v>2.5998258727783043</v>
      </c>
      <c r="O540">
        <f t="shared" ca="1" si="201"/>
        <v>2.5264801691099795E-4</v>
      </c>
      <c r="P540">
        <f t="shared" ca="1" si="202"/>
        <v>39451.95651273831</v>
      </c>
      <c r="Q540">
        <f t="shared" ca="1" si="203"/>
        <v>39451.956512741563</v>
      </c>
      <c r="R540">
        <f t="shared" ca="1" si="204"/>
        <v>4.0174944947421846E-12</v>
      </c>
      <c r="S540">
        <f t="shared" ca="1" si="222"/>
        <v>1.0651368800608907E-2</v>
      </c>
      <c r="T540">
        <f t="shared" ca="1" si="223"/>
        <v>0</v>
      </c>
      <c r="U540">
        <f t="shared" ca="1" si="205"/>
        <v>0.05</v>
      </c>
      <c r="V540">
        <f t="shared" ca="1" si="206"/>
        <v>0.26</v>
      </c>
      <c r="W540">
        <f t="shared" ca="1" si="207"/>
        <v>4.9056603773584909E-2</v>
      </c>
      <c r="X540">
        <f t="shared" ca="1" si="208"/>
        <v>196.15384615384616</v>
      </c>
      <c r="Y540">
        <f t="shared" ca="1" si="209"/>
        <v>632.41699999999992</v>
      </c>
      <c r="Z540">
        <f t="shared" ca="1" si="210"/>
        <v>2593.4940316486618</v>
      </c>
      <c r="AA540">
        <f t="shared" ca="1" si="211"/>
        <v>482.07306851378365</v>
      </c>
      <c r="AB540">
        <f t="shared" ca="1" si="212"/>
        <v>482.32750852789832</v>
      </c>
      <c r="AC540">
        <f t="shared" ca="1" si="213"/>
        <v>0</v>
      </c>
      <c r="AD540">
        <f ca="1">IF(V32="Supercritical",L540,U540)</f>
        <v>0.05</v>
      </c>
      <c r="AE540">
        <f t="shared" ca="1" si="214"/>
        <v>632.41699999999992</v>
      </c>
      <c r="AF540">
        <f t="shared" ca="1" si="215"/>
        <v>2593.4940316486618</v>
      </c>
      <c r="AI540">
        <v>0</v>
      </c>
      <c r="AJ540">
        <v>0</v>
      </c>
      <c r="AK540">
        <f t="shared" si="216"/>
        <v>0</v>
      </c>
      <c r="AL540">
        <f t="shared" si="224"/>
        <v>0</v>
      </c>
      <c r="AM540">
        <f t="shared" ca="1" si="217"/>
        <v>280.07692026646265</v>
      </c>
      <c r="AN540" t="str">
        <f t="shared" ca="1" si="218"/>
        <v>Supercritical</v>
      </c>
      <c r="AO540">
        <f ca="1">IF(V32="Supercritical",R540,AA540)</f>
        <v>482.07306851378365</v>
      </c>
    </row>
    <row r="541" spans="1:41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174</v>
      </c>
      <c r="I541">
        <v>7.8E-2</v>
      </c>
      <c r="J541">
        <f t="shared" si="219"/>
        <v>1</v>
      </c>
      <c r="K541">
        <f t="shared" si="220"/>
        <v>51</v>
      </c>
      <c r="L541">
        <f t="shared" ca="1" si="221"/>
        <v>38819.589512738312</v>
      </c>
      <c r="M541">
        <f t="shared" ca="1" si="199"/>
        <v>201861.86546623922</v>
      </c>
      <c r="N541">
        <f t="shared" ca="1" si="200"/>
        <v>2.5998258727783043</v>
      </c>
      <c r="O541">
        <f t="shared" ca="1" si="201"/>
        <v>2.5264801691099795E-4</v>
      </c>
      <c r="P541">
        <f t="shared" ca="1" si="202"/>
        <v>39451.956012738308</v>
      </c>
      <c r="Q541">
        <f t="shared" ca="1" si="203"/>
        <v>39451.956012741561</v>
      </c>
      <c r="R541">
        <f t="shared" ca="1" si="204"/>
        <v>4.0174944947421846E-12</v>
      </c>
      <c r="S541">
        <f t="shared" ca="1" si="222"/>
        <v>4.999999946448952E-4</v>
      </c>
      <c r="T541">
        <f t="shared" ca="1" si="223"/>
        <v>1</v>
      </c>
      <c r="U541">
        <f t="shared" ca="1" si="205"/>
        <v>0.05</v>
      </c>
      <c r="V541">
        <f t="shared" ca="1" si="206"/>
        <v>0.26</v>
      </c>
      <c r="W541">
        <f t="shared" ca="1" si="207"/>
        <v>4.9056603773584909E-2</v>
      </c>
      <c r="X541">
        <f t="shared" ca="1" si="208"/>
        <v>196.15384615384616</v>
      </c>
      <c r="Y541">
        <f t="shared" ca="1" si="209"/>
        <v>632.41649999999993</v>
      </c>
      <c r="Z541">
        <f t="shared" ca="1" si="210"/>
        <v>2593.4935316486622</v>
      </c>
      <c r="AA541">
        <f t="shared" ca="1" si="211"/>
        <v>482.07306851378365</v>
      </c>
      <c r="AB541">
        <f t="shared" ca="1" si="212"/>
        <v>482.64289004873763</v>
      </c>
      <c r="AC541">
        <f t="shared" ca="1" si="213"/>
        <v>0</v>
      </c>
      <c r="AD541">
        <f ca="1">IF(V32="Supercritical",L541,U541)</f>
        <v>0.05</v>
      </c>
      <c r="AE541">
        <f t="shared" ca="1" si="214"/>
        <v>632.41649999999993</v>
      </c>
      <c r="AF541">
        <f t="shared" ca="1" si="215"/>
        <v>2593.4935316486622</v>
      </c>
      <c r="AI541">
        <v>0</v>
      </c>
      <c r="AJ541">
        <v>0</v>
      </c>
      <c r="AK541">
        <f t="shared" si="216"/>
        <v>0</v>
      </c>
      <c r="AL541">
        <f t="shared" si="224"/>
        <v>0</v>
      </c>
      <c r="AM541">
        <f t="shared" ca="1" si="217"/>
        <v>280.07692026646265</v>
      </c>
      <c r="AN541" t="str">
        <f t="shared" ca="1" si="218"/>
        <v>Supercritical</v>
      </c>
      <c r="AO541">
        <f ca="1">IF(V32="Supercritical",R541,AA541)</f>
        <v>482.07306851378365</v>
      </c>
    </row>
    <row r="542" spans="1:41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174</v>
      </c>
      <c r="I542">
        <v>2.7E-2</v>
      </c>
      <c r="J542">
        <f t="shared" si="219"/>
        <v>1.0010000000000332</v>
      </c>
      <c r="K542">
        <f t="shared" si="220"/>
        <v>51</v>
      </c>
      <c r="L542">
        <f t="shared" ca="1" si="221"/>
        <v>38819.579107368183</v>
      </c>
      <c r="M542">
        <f t="shared" ca="1" si="199"/>
        <v>201861.81135831456</v>
      </c>
      <c r="N542">
        <f t="shared" ca="1" si="200"/>
        <v>2.5998258727316337</v>
      </c>
      <c r="O542">
        <f t="shared" ca="1" si="201"/>
        <v>2.5264808463187975E-4</v>
      </c>
      <c r="P542">
        <f t="shared" ca="1" si="202"/>
        <v>39451.945107368185</v>
      </c>
      <c r="Q542">
        <f t="shared" ca="1" si="203"/>
        <v>39451.945107371437</v>
      </c>
      <c r="R542">
        <f t="shared" ca="1" si="204"/>
        <v>4.0174966485722979E-12</v>
      </c>
      <c r="S542">
        <f t="shared" ca="1" si="222"/>
        <v>1.0905370116233826E-2</v>
      </c>
      <c r="T542">
        <f t="shared" ca="1" si="223"/>
        <v>0</v>
      </c>
      <c r="U542">
        <f t="shared" ca="1" si="205"/>
        <v>0.05</v>
      </c>
      <c r="V542">
        <f t="shared" ca="1" si="206"/>
        <v>0.26</v>
      </c>
      <c r="W542">
        <f t="shared" ca="1" si="207"/>
        <v>4.9056603773584909E-2</v>
      </c>
      <c r="X542">
        <f t="shared" ca="1" si="208"/>
        <v>196.15384615384616</v>
      </c>
      <c r="Y542">
        <f t="shared" ca="1" si="209"/>
        <v>632.41599999999994</v>
      </c>
      <c r="Z542">
        <f t="shared" ca="1" si="210"/>
        <v>2593.4930316486621</v>
      </c>
      <c r="AA542">
        <f t="shared" ca="1" si="211"/>
        <v>482.07306851378365</v>
      </c>
      <c r="AB542">
        <f t="shared" ca="1" si="212"/>
        <v>481.59049544525396</v>
      </c>
      <c r="AC542">
        <f t="shared" ca="1" si="213"/>
        <v>0</v>
      </c>
      <c r="AD542">
        <f ca="1">IF(V32="Supercritical",L542,U542)</f>
        <v>0.05</v>
      </c>
      <c r="AE542">
        <f t="shared" ca="1" si="214"/>
        <v>632.41599999999994</v>
      </c>
      <c r="AF542">
        <f t="shared" ca="1" si="215"/>
        <v>2593.4930316486621</v>
      </c>
      <c r="AI542">
        <v>0</v>
      </c>
      <c r="AJ542">
        <v>0</v>
      </c>
      <c r="AK542">
        <f t="shared" si="216"/>
        <v>0</v>
      </c>
      <c r="AL542">
        <f t="shared" si="224"/>
        <v>0</v>
      </c>
      <c r="AM542">
        <f t="shared" ca="1" si="217"/>
        <v>280.07692026646265</v>
      </c>
      <c r="AN542" t="str">
        <f t="shared" ca="1" si="218"/>
        <v>Supercritical</v>
      </c>
      <c r="AO542">
        <f ca="1">IF(V32="Supercritical",R542,AA542)</f>
        <v>482.07306851378365</v>
      </c>
    </row>
    <row r="543" spans="1:41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174</v>
      </c>
      <c r="I543">
        <v>0</v>
      </c>
      <c r="J543">
        <f t="shared" si="219"/>
        <v>0.9989999999999668</v>
      </c>
      <c r="K543">
        <f t="shared" si="220"/>
        <v>51</v>
      </c>
      <c r="L543">
        <f t="shared" ca="1" si="221"/>
        <v>38819.579107368183</v>
      </c>
      <c r="M543">
        <f t="shared" ca="1" si="199"/>
        <v>201861.81135831456</v>
      </c>
      <c r="N543">
        <f t="shared" ca="1" si="200"/>
        <v>2.5998258727316337</v>
      </c>
      <c r="O543">
        <f t="shared" ca="1" si="201"/>
        <v>2.5264808463187975E-4</v>
      </c>
      <c r="P543">
        <f t="shared" ca="1" si="202"/>
        <v>39451.944607368183</v>
      </c>
      <c r="Q543">
        <f t="shared" ca="1" si="203"/>
        <v>39451.944607371435</v>
      </c>
      <c r="R543">
        <f t="shared" ca="1" si="204"/>
        <v>4.0174966485722979E-12</v>
      </c>
      <c r="S543">
        <f t="shared" ca="1" si="222"/>
        <v>4.999999946448952E-4</v>
      </c>
      <c r="T543">
        <f t="shared" ca="1" si="223"/>
        <v>1</v>
      </c>
      <c r="U543">
        <f t="shared" ca="1" si="205"/>
        <v>0.05</v>
      </c>
      <c r="V543">
        <f t="shared" ca="1" si="206"/>
        <v>0.26</v>
      </c>
      <c r="W543">
        <f t="shared" ca="1" si="207"/>
        <v>4.9056603773584909E-2</v>
      </c>
      <c r="X543">
        <f t="shared" ca="1" si="208"/>
        <v>196.15384615384616</v>
      </c>
      <c r="Y543">
        <f t="shared" ca="1" si="209"/>
        <v>632.41549999999995</v>
      </c>
      <c r="Z543">
        <f t="shared" ca="1" si="210"/>
        <v>2593.492531648662</v>
      </c>
      <c r="AA543">
        <f t="shared" ca="1" si="211"/>
        <v>482.07306851378365</v>
      </c>
      <c r="AB543">
        <f t="shared" ca="1" si="212"/>
        <v>482.14774313333055</v>
      </c>
      <c r="AC543">
        <f t="shared" ca="1" si="213"/>
        <v>0</v>
      </c>
      <c r="AD543">
        <f ca="1">IF(V32="Supercritical",L543,U543)</f>
        <v>0.05</v>
      </c>
      <c r="AE543">
        <f t="shared" ca="1" si="214"/>
        <v>632.41549999999995</v>
      </c>
      <c r="AF543">
        <f t="shared" ca="1" si="215"/>
        <v>2593.492531648662</v>
      </c>
      <c r="AI543">
        <v>0</v>
      </c>
      <c r="AJ543">
        <v>0</v>
      </c>
      <c r="AK543">
        <f t="shared" si="216"/>
        <v>0</v>
      </c>
      <c r="AL543">
        <f t="shared" si="224"/>
        <v>0</v>
      </c>
      <c r="AM543">
        <f t="shared" ca="1" si="217"/>
        <v>280.07692026646265</v>
      </c>
      <c r="AN543" t="str">
        <f t="shared" ca="1" si="218"/>
        <v>Supercritical</v>
      </c>
      <c r="AO543">
        <f ca="1">IF(V32="Supercritical",R543,AA543)</f>
        <v>482.07306851378365</v>
      </c>
    </row>
    <row r="544" spans="1:41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174</v>
      </c>
      <c r="I544">
        <v>2.3E-2</v>
      </c>
      <c r="J544">
        <f t="shared" si="219"/>
        <v>1</v>
      </c>
      <c r="K544">
        <f t="shared" si="220"/>
        <v>51</v>
      </c>
      <c r="L544">
        <f t="shared" ca="1" si="221"/>
        <v>38819.568501631999</v>
      </c>
      <c r="M544">
        <f t="shared" ca="1" si="199"/>
        <v>201861.75620848639</v>
      </c>
      <c r="N544">
        <f t="shared" ca="1" si="200"/>
        <v>2.5998258726840642</v>
      </c>
      <c r="O544">
        <f t="shared" ca="1" si="201"/>
        <v>2.5264815365683385E-4</v>
      </c>
      <c r="P544">
        <f t="shared" ca="1" si="202"/>
        <v>39451.933501631996</v>
      </c>
      <c r="Q544">
        <f t="shared" ca="1" si="203"/>
        <v>39451.933501635249</v>
      </c>
      <c r="R544">
        <f t="shared" ca="1" si="204"/>
        <v>4.0174988438784005E-12</v>
      </c>
      <c r="S544">
        <f t="shared" ca="1" si="222"/>
        <v>1.1105736179160886E-2</v>
      </c>
      <c r="T544">
        <f t="shared" ca="1" si="223"/>
        <v>0</v>
      </c>
      <c r="U544">
        <f t="shared" ca="1" si="205"/>
        <v>0.05</v>
      </c>
      <c r="V544">
        <f t="shared" ca="1" si="206"/>
        <v>0.26</v>
      </c>
      <c r="W544">
        <f t="shared" ca="1" si="207"/>
        <v>4.9056603773584909E-2</v>
      </c>
      <c r="X544">
        <f t="shared" ca="1" si="208"/>
        <v>196.15384615384616</v>
      </c>
      <c r="Y544">
        <f t="shared" ca="1" si="209"/>
        <v>632.41499999999996</v>
      </c>
      <c r="Z544">
        <f t="shared" ca="1" si="210"/>
        <v>2593.4920316486623</v>
      </c>
      <c r="AA544">
        <f t="shared" ca="1" si="211"/>
        <v>482.07306851378365</v>
      </c>
      <c r="AB544">
        <f t="shared" ca="1" si="212"/>
        <v>482.62981620185974</v>
      </c>
      <c r="AC544">
        <f t="shared" ca="1" si="213"/>
        <v>0</v>
      </c>
      <c r="AD544">
        <f ca="1">IF(V32="Supercritical",L544,U544)</f>
        <v>0.05</v>
      </c>
      <c r="AE544">
        <f t="shared" ca="1" si="214"/>
        <v>632.41499999999996</v>
      </c>
      <c r="AF544">
        <f t="shared" ca="1" si="215"/>
        <v>2593.4920316486623</v>
      </c>
      <c r="AI544">
        <v>0</v>
      </c>
      <c r="AJ544">
        <v>0</v>
      </c>
      <c r="AK544">
        <f t="shared" si="216"/>
        <v>0</v>
      </c>
      <c r="AL544">
        <f t="shared" si="224"/>
        <v>0</v>
      </c>
      <c r="AM544">
        <f t="shared" ca="1" si="217"/>
        <v>280.07692026646265</v>
      </c>
      <c r="AN544" t="str">
        <f t="shared" ca="1" si="218"/>
        <v>Supercritical</v>
      </c>
      <c r="AO544">
        <f ca="1">IF(V32="Supercritical",R544,AA544)</f>
        <v>482.07306851378365</v>
      </c>
    </row>
    <row r="545" spans="1:41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174</v>
      </c>
      <c r="I545">
        <v>2.3E-2</v>
      </c>
      <c r="J545">
        <f t="shared" si="219"/>
        <v>1.0010000000000332</v>
      </c>
      <c r="K545">
        <f t="shared" si="220"/>
        <v>51</v>
      </c>
      <c r="L545">
        <f t="shared" ca="1" si="221"/>
        <v>38819.568501631999</v>
      </c>
      <c r="M545">
        <f t="shared" ca="1" si="199"/>
        <v>201861.75620848639</v>
      </c>
      <c r="N545">
        <f t="shared" ca="1" si="200"/>
        <v>2.5998258726840642</v>
      </c>
      <c r="O545">
        <f t="shared" ca="1" si="201"/>
        <v>2.5264815365683385E-4</v>
      </c>
      <c r="P545">
        <f t="shared" ca="1" si="202"/>
        <v>39451.933001632002</v>
      </c>
      <c r="Q545">
        <f t="shared" ca="1" si="203"/>
        <v>39451.933001635254</v>
      </c>
      <c r="R545">
        <f t="shared" ca="1" si="204"/>
        <v>4.0174988438784005E-12</v>
      </c>
      <c r="S545">
        <f t="shared" ca="1" si="222"/>
        <v>4.9999998736893758E-4</v>
      </c>
      <c r="T545">
        <f t="shared" ca="1" si="223"/>
        <v>1</v>
      </c>
      <c r="U545">
        <f t="shared" ca="1" si="205"/>
        <v>0.05</v>
      </c>
      <c r="V545">
        <f t="shared" ca="1" si="206"/>
        <v>0.26</v>
      </c>
      <c r="W545">
        <f t="shared" ca="1" si="207"/>
        <v>4.9056603773584909E-2</v>
      </c>
      <c r="X545">
        <f t="shared" ca="1" si="208"/>
        <v>196.15384615384616</v>
      </c>
      <c r="Y545">
        <f t="shared" ca="1" si="209"/>
        <v>632.41449999999998</v>
      </c>
      <c r="Z545">
        <f t="shared" ca="1" si="210"/>
        <v>2593.4915316486622</v>
      </c>
      <c r="AA545">
        <f t="shared" ca="1" si="211"/>
        <v>482.07306851378365</v>
      </c>
      <c r="AB545">
        <f t="shared" ca="1" si="212"/>
        <v>481.67874391167788</v>
      </c>
      <c r="AC545">
        <f t="shared" ca="1" si="213"/>
        <v>0</v>
      </c>
      <c r="AD545">
        <f ca="1">IF(V32="Supercritical",L545,U545)</f>
        <v>0.05</v>
      </c>
      <c r="AE545">
        <f t="shared" ca="1" si="214"/>
        <v>632.41449999999998</v>
      </c>
      <c r="AF545">
        <f t="shared" ca="1" si="215"/>
        <v>2593.4915316486622</v>
      </c>
      <c r="AI545">
        <v>0</v>
      </c>
      <c r="AJ545">
        <v>0</v>
      </c>
      <c r="AK545">
        <f t="shared" si="216"/>
        <v>0</v>
      </c>
      <c r="AL545">
        <f t="shared" si="224"/>
        <v>0</v>
      </c>
      <c r="AM545">
        <f t="shared" ca="1" si="217"/>
        <v>280.07692026646265</v>
      </c>
      <c r="AN545" t="str">
        <f t="shared" ca="1" si="218"/>
        <v>Supercritical</v>
      </c>
      <c r="AO545">
        <f ca="1">IF(V32="Supercritical",R545,AA545)</f>
        <v>482.07306851378365</v>
      </c>
    </row>
    <row r="546" spans="1:41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174</v>
      </c>
      <c r="I546">
        <v>2.7E-2</v>
      </c>
      <c r="J546">
        <f t="shared" si="219"/>
        <v>0.9989999999999668</v>
      </c>
      <c r="K546">
        <f t="shared" si="220"/>
        <v>51</v>
      </c>
      <c r="L546">
        <f t="shared" ca="1" si="221"/>
        <v>38819.557737849515</v>
      </c>
      <c r="M546">
        <f t="shared" ca="1" si="199"/>
        <v>201861.70023681747</v>
      </c>
      <c r="N546">
        <f t="shared" ca="1" si="200"/>
        <v>2.5998258726357859</v>
      </c>
      <c r="O546">
        <f t="shared" ca="1" si="201"/>
        <v>2.5264822371043387E-4</v>
      </c>
      <c r="P546">
        <f t="shared" ca="1" si="202"/>
        <v>39451.921737849516</v>
      </c>
      <c r="Q546">
        <f t="shared" ca="1" si="203"/>
        <v>39451.921737852768</v>
      </c>
      <c r="R546">
        <f t="shared" ca="1" si="204"/>
        <v>4.017501071900713E-12</v>
      </c>
      <c r="S546">
        <f t="shared" ca="1" si="222"/>
        <v>1.1263782478636131E-2</v>
      </c>
      <c r="T546">
        <f t="shared" ca="1" si="223"/>
        <v>0</v>
      </c>
      <c r="U546">
        <f t="shared" ca="1" si="205"/>
        <v>0.05</v>
      </c>
      <c r="V546">
        <f t="shared" ca="1" si="206"/>
        <v>0.26</v>
      </c>
      <c r="W546">
        <f t="shared" ca="1" si="207"/>
        <v>4.9056603773584909E-2</v>
      </c>
      <c r="X546">
        <f t="shared" ca="1" si="208"/>
        <v>196.15384615384616</v>
      </c>
      <c r="Y546">
        <f t="shared" ca="1" si="209"/>
        <v>632.41399999999999</v>
      </c>
      <c r="Z546">
        <f t="shared" ca="1" si="210"/>
        <v>2593.4910316486621</v>
      </c>
      <c r="AA546">
        <f t="shared" ca="1" si="211"/>
        <v>482.07306851378365</v>
      </c>
      <c r="AB546">
        <f t="shared" ca="1" si="212"/>
        <v>482.64289004873763</v>
      </c>
      <c r="AC546">
        <f t="shared" ca="1" si="213"/>
        <v>0</v>
      </c>
      <c r="AD546">
        <f ca="1">IF(V32="Supercritical",L546,U546)</f>
        <v>0.05</v>
      </c>
      <c r="AE546">
        <f t="shared" ca="1" si="214"/>
        <v>632.41399999999999</v>
      </c>
      <c r="AF546">
        <f t="shared" ca="1" si="215"/>
        <v>2593.4910316486621</v>
      </c>
      <c r="AI546">
        <v>0</v>
      </c>
      <c r="AJ546">
        <v>0</v>
      </c>
      <c r="AK546">
        <f t="shared" si="216"/>
        <v>0</v>
      </c>
      <c r="AL546">
        <f t="shared" si="224"/>
        <v>0</v>
      </c>
      <c r="AM546">
        <f t="shared" ca="1" si="217"/>
        <v>280.07692026646265</v>
      </c>
      <c r="AN546" t="str">
        <f t="shared" ca="1" si="218"/>
        <v>Supercritical</v>
      </c>
      <c r="AO546">
        <f ca="1">IF(V32="Supercritical",R546,AA546)</f>
        <v>482.07306851378365</v>
      </c>
    </row>
    <row r="547" spans="1:41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174</v>
      </c>
      <c r="I547">
        <v>2.7E-2</v>
      </c>
      <c r="J547">
        <f t="shared" si="219"/>
        <v>1.0010000000000332</v>
      </c>
      <c r="K547">
        <f t="shared" si="220"/>
        <v>51</v>
      </c>
      <c r="L547">
        <f t="shared" ca="1" si="221"/>
        <v>38819.557737849515</v>
      </c>
      <c r="M547">
        <f t="shared" ca="1" si="199"/>
        <v>201861.70023681747</v>
      </c>
      <c r="N547">
        <f t="shared" ca="1" si="200"/>
        <v>2.5998258726357859</v>
      </c>
      <c r="O547">
        <f t="shared" ca="1" si="201"/>
        <v>2.5264822371043387E-4</v>
      </c>
      <c r="P547">
        <f t="shared" ca="1" si="202"/>
        <v>39451.921237849514</v>
      </c>
      <c r="Q547">
        <f t="shared" ca="1" si="203"/>
        <v>39451.921237852766</v>
      </c>
      <c r="R547">
        <f t="shared" ca="1" si="204"/>
        <v>4.017501071900713E-12</v>
      </c>
      <c r="S547">
        <f t="shared" ca="1" si="222"/>
        <v>4.999999946448952E-4</v>
      </c>
      <c r="T547">
        <f t="shared" ca="1" si="223"/>
        <v>1</v>
      </c>
      <c r="U547">
        <f t="shared" ca="1" si="205"/>
        <v>0.05</v>
      </c>
      <c r="V547">
        <f t="shared" ca="1" si="206"/>
        <v>0.26</v>
      </c>
      <c r="W547">
        <f t="shared" ca="1" si="207"/>
        <v>4.9056603773584909E-2</v>
      </c>
      <c r="X547">
        <f t="shared" ca="1" si="208"/>
        <v>196.15384615384616</v>
      </c>
      <c r="Y547">
        <f t="shared" ca="1" si="209"/>
        <v>632.4135</v>
      </c>
      <c r="Z547">
        <f t="shared" ca="1" si="210"/>
        <v>2593.490531648662</v>
      </c>
      <c r="AA547">
        <f t="shared" ca="1" si="211"/>
        <v>482.07306851378365</v>
      </c>
      <c r="AB547">
        <f t="shared" ca="1" si="212"/>
        <v>481.75391853122437</v>
      </c>
      <c r="AC547">
        <f t="shared" ca="1" si="213"/>
        <v>0</v>
      </c>
      <c r="AD547">
        <f ca="1">IF(V32="Supercritical",L547,U547)</f>
        <v>0.05</v>
      </c>
      <c r="AE547">
        <f t="shared" ca="1" si="214"/>
        <v>632.4135</v>
      </c>
      <c r="AF547">
        <f t="shared" ca="1" si="215"/>
        <v>2593.490531648662</v>
      </c>
      <c r="AI547">
        <v>0</v>
      </c>
      <c r="AJ547">
        <v>0</v>
      </c>
      <c r="AK547">
        <f t="shared" si="216"/>
        <v>0</v>
      </c>
      <c r="AL547">
        <f t="shared" si="224"/>
        <v>0</v>
      </c>
      <c r="AM547">
        <f t="shared" ca="1" si="217"/>
        <v>280.07692026646265</v>
      </c>
      <c r="AN547" t="str">
        <f t="shared" ca="1" si="218"/>
        <v>Supercritical</v>
      </c>
      <c r="AO547">
        <f ca="1">IF(V32="Supercritical",R547,AA547)</f>
        <v>482.07306851378365</v>
      </c>
    </row>
    <row r="548" spans="1:41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174</v>
      </c>
      <c r="I548">
        <v>0.05</v>
      </c>
      <c r="J548">
        <f t="shared" si="219"/>
        <v>0.9989999999999668</v>
      </c>
      <c r="K548">
        <f t="shared" si="220"/>
        <v>51</v>
      </c>
      <c r="L548">
        <f t="shared" ca="1" si="221"/>
        <v>38819.546849461753</v>
      </c>
      <c r="M548">
        <f t="shared" ca="1" si="199"/>
        <v>201861.64361720113</v>
      </c>
      <c r="N548">
        <f t="shared" ca="1" si="200"/>
        <v>2.599825872586949</v>
      </c>
      <c r="O548">
        <f t="shared" ca="1" si="201"/>
        <v>2.5264829457503815E-4</v>
      </c>
      <c r="P548">
        <f t="shared" ca="1" si="202"/>
        <v>39451.90984946175</v>
      </c>
      <c r="Q548">
        <f t="shared" ca="1" si="203"/>
        <v>39451.909849465002</v>
      </c>
      <c r="R548">
        <f t="shared" ca="1" si="204"/>
        <v>4.0175033257172707E-12</v>
      </c>
      <c r="S548">
        <f t="shared" ca="1" si="222"/>
        <v>1.1388387756596785E-2</v>
      </c>
      <c r="T548">
        <f t="shared" ca="1" si="223"/>
        <v>0</v>
      </c>
      <c r="U548">
        <f t="shared" ca="1" si="205"/>
        <v>0.05</v>
      </c>
      <c r="V548">
        <f t="shared" ca="1" si="206"/>
        <v>0.26</v>
      </c>
      <c r="W548">
        <f t="shared" ca="1" si="207"/>
        <v>4.9056603773584909E-2</v>
      </c>
      <c r="X548">
        <f t="shared" ca="1" si="208"/>
        <v>196.15384615384616</v>
      </c>
      <c r="Y548">
        <f t="shared" ca="1" si="209"/>
        <v>632.41300000000001</v>
      </c>
      <c r="Z548">
        <f t="shared" ca="1" si="210"/>
        <v>2593.4900316486619</v>
      </c>
      <c r="AA548">
        <f t="shared" ca="1" si="211"/>
        <v>482.07306851378365</v>
      </c>
      <c r="AB548">
        <f t="shared" ca="1" si="212"/>
        <v>482.32750852789786</v>
      </c>
      <c r="AC548">
        <f t="shared" ca="1" si="213"/>
        <v>0</v>
      </c>
      <c r="AD548">
        <f ca="1">IF(V32="Supercritical",L548,U548)</f>
        <v>0.05</v>
      </c>
      <c r="AE548">
        <f t="shared" ca="1" si="214"/>
        <v>632.41300000000001</v>
      </c>
      <c r="AF548">
        <f t="shared" ca="1" si="215"/>
        <v>2593.4900316486619</v>
      </c>
      <c r="AI548">
        <v>0</v>
      </c>
      <c r="AJ548">
        <v>0</v>
      </c>
      <c r="AK548">
        <f t="shared" si="216"/>
        <v>0</v>
      </c>
      <c r="AL548">
        <f t="shared" si="224"/>
        <v>0</v>
      </c>
      <c r="AM548">
        <f t="shared" ca="1" si="217"/>
        <v>280.07692026646265</v>
      </c>
      <c r="AN548" t="str">
        <f t="shared" ca="1" si="218"/>
        <v>Supercritical</v>
      </c>
      <c r="AO548">
        <f ca="1">IF(V32="Supercritical",R548,AA548)</f>
        <v>482.07306851378365</v>
      </c>
    </row>
    <row r="549" spans="1:41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174</v>
      </c>
      <c r="I549">
        <v>7.8E-2</v>
      </c>
      <c r="J549">
        <f t="shared" si="219"/>
        <v>1</v>
      </c>
      <c r="K549">
        <f t="shared" si="220"/>
        <v>51</v>
      </c>
      <c r="L549">
        <f t="shared" ca="1" si="221"/>
        <v>38819.546849461753</v>
      </c>
      <c r="M549">
        <f t="shared" ca="1" si="199"/>
        <v>201861.64361720113</v>
      </c>
      <c r="N549">
        <f t="shared" ca="1" si="200"/>
        <v>2.599825872586949</v>
      </c>
      <c r="O549">
        <f t="shared" ca="1" si="201"/>
        <v>2.5264829457503815E-4</v>
      </c>
      <c r="P549">
        <f t="shared" ca="1" si="202"/>
        <v>39451.909349461755</v>
      </c>
      <c r="Q549">
        <f t="shared" ca="1" si="203"/>
        <v>39451.909349465008</v>
      </c>
      <c r="R549">
        <f t="shared" ca="1" si="204"/>
        <v>4.0175033257172707E-12</v>
      </c>
      <c r="S549">
        <f t="shared" ca="1" si="222"/>
        <v>4.9999998736893758E-4</v>
      </c>
      <c r="T549">
        <f t="shared" ca="1" si="223"/>
        <v>1</v>
      </c>
      <c r="U549">
        <f t="shared" ca="1" si="205"/>
        <v>0.05</v>
      </c>
      <c r="V549">
        <f t="shared" ca="1" si="206"/>
        <v>0.26</v>
      </c>
      <c r="W549">
        <f t="shared" ca="1" si="207"/>
        <v>4.9056603773584909E-2</v>
      </c>
      <c r="X549">
        <f t="shared" ca="1" si="208"/>
        <v>196.15384615384616</v>
      </c>
      <c r="Y549">
        <f t="shared" ca="1" si="209"/>
        <v>632.41249999999991</v>
      </c>
      <c r="Z549">
        <f t="shared" ca="1" si="210"/>
        <v>2593.4895316486618</v>
      </c>
      <c r="AA549">
        <f t="shared" ca="1" si="211"/>
        <v>482.07306851378365</v>
      </c>
      <c r="AB549">
        <f t="shared" ca="1" si="212"/>
        <v>482.64289004873808</v>
      </c>
      <c r="AC549">
        <f t="shared" ca="1" si="213"/>
        <v>0</v>
      </c>
      <c r="AD549">
        <f ca="1">IF(V32="Supercritical",L549,U549)</f>
        <v>0.05</v>
      </c>
      <c r="AE549">
        <f t="shared" ca="1" si="214"/>
        <v>632.41249999999991</v>
      </c>
      <c r="AF549">
        <f t="shared" ca="1" si="215"/>
        <v>2593.4895316486618</v>
      </c>
      <c r="AI549">
        <v>0</v>
      </c>
      <c r="AJ549">
        <v>0</v>
      </c>
      <c r="AK549">
        <f t="shared" si="216"/>
        <v>0</v>
      </c>
      <c r="AL549">
        <f t="shared" si="224"/>
        <v>0</v>
      </c>
      <c r="AM549">
        <f t="shared" ca="1" si="217"/>
        <v>280.07692026646265</v>
      </c>
      <c r="AN549" t="str">
        <f t="shared" ca="1" si="218"/>
        <v>Supercritical</v>
      </c>
      <c r="AO549">
        <f ca="1">IF(V32="Supercritical",R549,AA549)</f>
        <v>482.07306851378365</v>
      </c>
    </row>
    <row r="550" spans="1:41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174</v>
      </c>
      <c r="I550">
        <v>2.7E-2</v>
      </c>
      <c r="J550">
        <f t="shared" si="219"/>
        <v>1.0010000000000332</v>
      </c>
      <c r="K550">
        <f t="shared" si="220"/>
        <v>51</v>
      </c>
      <c r="L550">
        <f t="shared" ca="1" si="221"/>
        <v>38819.535862925142</v>
      </c>
      <c r="M550">
        <f t="shared" ca="1" si="199"/>
        <v>201861.58648721073</v>
      </c>
      <c r="N550">
        <f t="shared" ca="1" si="200"/>
        <v>2.5998258725376711</v>
      </c>
      <c r="O550">
        <f t="shared" ca="1" si="201"/>
        <v>2.5264836607846231E-4</v>
      </c>
      <c r="P550">
        <f t="shared" ca="1" si="202"/>
        <v>39451.897862925143</v>
      </c>
      <c r="Q550">
        <f t="shared" ca="1" si="203"/>
        <v>39451.897862928396</v>
      </c>
      <c r="R550">
        <f t="shared" ca="1" si="204"/>
        <v>4.0175055998518456E-12</v>
      </c>
      <c r="S550">
        <f t="shared" ca="1" si="222"/>
        <v>1.1486536604934372E-2</v>
      </c>
      <c r="T550">
        <f t="shared" ca="1" si="223"/>
        <v>0</v>
      </c>
      <c r="U550">
        <f t="shared" ca="1" si="205"/>
        <v>0.05</v>
      </c>
      <c r="V550">
        <f t="shared" ca="1" si="206"/>
        <v>0.26</v>
      </c>
      <c r="W550">
        <f t="shared" ca="1" si="207"/>
        <v>4.9056603773584909E-2</v>
      </c>
      <c r="X550">
        <f t="shared" ca="1" si="208"/>
        <v>196.15384615384616</v>
      </c>
      <c r="Y550">
        <f t="shared" ca="1" si="209"/>
        <v>632.41199999999992</v>
      </c>
      <c r="Z550">
        <f t="shared" ca="1" si="210"/>
        <v>2593.4890316486621</v>
      </c>
      <c r="AA550">
        <f t="shared" ca="1" si="211"/>
        <v>482.07306851378365</v>
      </c>
      <c r="AB550">
        <f t="shared" ca="1" si="212"/>
        <v>481.67874391167834</v>
      </c>
      <c r="AC550">
        <f t="shared" ca="1" si="213"/>
        <v>0</v>
      </c>
      <c r="AD550">
        <f ca="1">IF(V32="Supercritical",L550,U550)</f>
        <v>0.05</v>
      </c>
      <c r="AE550">
        <f t="shared" ca="1" si="214"/>
        <v>632.41199999999992</v>
      </c>
      <c r="AF550">
        <f t="shared" ca="1" si="215"/>
        <v>2593.4890316486621</v>
      </c>
      <c r="AI550">
        <v>0</v>
      </c>
      <c r="AJ550">
        <v>0</v>
      </c>
      <c r="AK550">
        <f t="shared" si="216"/>
        <v>0</v>
      </c>
      <c r="AL550">
        <f t="shared" si="224"/>
        <v>0</v>
      </c>
      <c r="AM550">
        <f t="shared" ca="1" si="217"/>
        <v>280.07692026646265</v>
      </c>
      <c r="AN550" t="str">
        <f t="shared" ca="1" si="218"/>
        <v>Supercritical</v>
      </c>
      <c r="AO550">
        <f ca="1">IF(V32="Supercritical",R550,AA550)</f>
        <v>482.07306851378365</v>
      </c>
    </row>
    <row r="551" spans="1:41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174</v>
      </c>
      <c r="I551">
        <v>2.7E-2</v>
      </c>
      <c r="J551">
        <f t="shared" si="219"/>
        <v>0.9989999999999668</v>
      </c>
      <c r="K551">
        <f t="shared" si="220"/>
        <v>51</v>
      </c>
      <c r="L551">
        <f t="shared" ca="1" si="221"/>
        <v>38819.535862925142</v>
      </c>
      <c r="M551">
        <f t="shared" ca="1" si="199"/>
        <v>201861.58648721073</v>
      </c>
      <c r="N551">
        <f t="shared" ca="1" si="200"/>
        <v>2.5998258725376711</v>
      </c>
      <c r="O551">
        <f t="shared" ca="1" si="201"/>
        <v>2.5264836607846231E-4</v>
      </c>
      <c r="P551">
        <f t="shared" ca="1" si="202"/>
        <v>39451.897362925141</v>
      </c>
      <c r="Q551">
        <f t="shared" ca="1" si="203"/>
        <v>39451.897362928394</v>
      </c>
      <c r="R551">
        <f t="shared" ca="1" si="204"/>
        <v>4.0175055998518456E-12</v>
      </c>
      <c r="S551">
        <f t="shared" ca="1" si="222"/>
        <v>4.999999946448952E-4</v>
      </c>
      <c r="T551">
        <f t="shared" ca="1" si="223"/>
        <v>1</v>
      </c>
      <c r="U551">
        <f t="shared" ca="1" si="205"/>
        <v>0.05</v>
      </c>
      <c r="V551">
        <f t="shared" ca="1" si="206"/>
        <v>0.26</v>
      </c>
      <c r="W551">
        <f t="shared" ca="1" si="207"/>
        <v>4.9056603773584909E-2</v>
      </c>
      <c r="X551">
        <f t="shared" ca="1" si="208"/>
        <v>196.15384615384616</v>
      </c>
      <c r="Y551">
        <f t="shared" ca="1" si="209"/>
        <v>632.41149999999993</v>
      </c>
      <c r="Z551">
        <f t="shared" ca="1" si="210"/>
        <v>2593.488531648662</v>
      </c>
      <c r="AA551">
        <f t="shared" ca="1" si="211"/>
        <v>482.07306851378365</v>
      </c>
      <c r="AB551">
        <f t="shared" ca="1" si="212"/>
        <v>482.64289004873763</v>
      </c>
      <c r="AC551">
        <f t="shared" ca="1" si="213"/>
        <v>0</v>
      </c>
      <c r="AD551">
        <f ca="1">IF(V32="Supercritical",L551,U551)</f>
        <v>0.05</v>
      </c>
      <c r="AE551">
        <f t="shared" ca="1" si="214"/>
        <v>632.41149999999993</v>
      </c>
      <c r="AF551">
        <f t="shared" ca="1" si="215"/>
        <v>2593.488531648662</v>
      </c>
      <c r="AI551">
        <v>0</v>
      </c>
      <c r="AJ551">
        <v>0</v>
      </c>
      <c r="AK551">
        <f t="shared" si="216"/>
        <v>0</v>
      </c>
      <c r="AL551">
        <f t="shared" si="224"/>
        <v>0</v>
      </c>
      <c r="AM551">
        <f t="shared" ca="1" si="217"/>
        <v>280.07692026646265</v>
      </c>
      <c r="AN551" t="str">
        <f t="shared" ca="1" si="218"/>
        <v>Supercritical</v>
      </c>
      <c r="AO551">
        <f ca="1">IF(V32="Supercritical",R551,AA551)</f>
        <v>482.07306851378365</v>
      </c>
    </row>
    <row r="552" spans="1:41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174</v>
      </c>
      <c r="I552">
        <v>2.7E-2</v>
      </c>
      <c r="J552">
        <f t="shared" si="219"/>
        <v>1.0010000000000332</v>
      </c>
      <c r="K552">
        <f t="shared" si="220"/>
        <v>51</v>
      </c>
      <c r="L552">
        <f t="shared" ca="1" si="221"/>
        <v>38819.524799187115</v>
      </c>
      <c r="M552">
        <f t="shared" ca="1" si="199"/>
        <v>201861.52895577301</v>
      </c>
      <c r="N552">
        <f t="shared" ca="1" si="200"/>
        <v>2.5998258724880476</v>
      </c>
      <c r="O552">
        <f t="shared" ca="1" si="201"/>
        <v>2.5264843808437554E-4</v>
      </c>
      <c r="P552">
        <f t="shared" ca="1" si="202"/>
        <v>39451.885799187112</v>
      </c>
      <c r="Q552">
        <f t="shared" ca="1" si="203"/>
        <v>39451.885799190364</v>
      </c>
      <c r="R552">
        <f t="shared" ca="1" si="204"/>
        <v>4.0175078899685096E-12</v>
      </c>
      <c r="S552">
        <f t="shared" ca="1" si="222"/>
        <v>1.1563738022232428E-2</v>
      </c>
      <c r="T552">
        <f t="shared" ca="1" si="223"/>
        <v>0</v>
      </c>
      <c r="U552">
        <f t="shared" ca="1" si="205"/>
        <v>0.05</v>
      </c>
      <c r="V552">
        <f t="shared" ca="1" si="206"/>
        <v>0.26</v>
      </c>
      <c r="W552">
        <f t="shared" ca="1" si="207"/>
        <v>4.9056603773584909E-2</v>
      </c>
      <c r="X552">
        <f t="shared" ca="1" si="208"/>
        <v>196.15384615384616</v>
      </c>
      <c r="Y552">
        <f t="shared" ca="1" si="209"/>
        <v>632.41099999999994</v>
      </c>
      <c r="Z552">
        <f t="shared" ca="1" si="210"/>
        <v>2593.4880316486619</v>
      </c>
      <c r="AA552">
        <f t="shared" ca="1" si="211"/>
        <v>482.07306851378365</v>
      </c>
      <c r="AB552">
        <f t="shared" ca="1" si="212"/>
        <v>481.75391853122483</v>
      </c>
      <c r="AC552">
        <f t="shared" ca="1" si="213"/>
        <v>0</v>
      </c>
      <c r="AD552">
        <f ca="1">IF(V32="Supercritical",L552,U552)</f>
        <v>0.05</v>
      </c>
      <c r="AE552">
        <f t="shared" ca="1" si="214"/>
        <v>632.41099999999994</v>
      </c>
      <c r="AF552">
        <f t="shared" ca="1" si="215"/>
        <v>2593.4880316486619</v>
      </c>
      <c r="AI552">
        <v>0</v>
      </c>
      <c r="AJ552">
        <v>0</v>
      </c>
      <c r="AK552">
        <f t="shared" si="216"/>
        <v>0</v>
      </c>
      <c r="AL552">
        <f t="shared" si="224"/>
        <v>0</v>
      </c>
      <c r="AM552">
        <f t="shared" ca="1" si="217"/>
        <v>280.07692026646265</v>
      </c>
      <c r="AN552" t="str">
        <f t="shared" ca="1" si="218"/>
        <v>Supercritical</v>
      </c>
      <c r="AO552">
        <f ca="1">IF(V32="Supercritical",R552,AA552)</f>
        <v>482.07306851378365</v>
      </c>
    </row>
    <row r="553" spans="1:41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174</v>
      </c>
      <c r="I553">
        <v>0.05</v>
      </c>
      <c r="J553">
        <f t="shared" si="219"/>
        <v>0.9989999999999668</v>
      </c>
      <c r="K553">
        <f t="shared" si="220"/>
        <v>51</v>
      </c>
      <c r="L553">
        <f t="shared" ca="1" si="221"/>
        <v>38819.524799187115</v>
      </c>
      <c r="M553">
        <f t="shared" ca="1" si="199"/>
        <v>201861.52895577301</v>
      </c>
      <c r="N553">
        <f t="shared" ca="1" si="200"/>
        <v>2.5998258724880476</v>
      </c>
      <c r="O553">
        <f t="shared" ca="1" si="201"/>
        <v>2.5264843808437554E-4</v>
      </c>
      <c r="P553">
        <f t="shared" ca="1" si="202"/>
        <v>39451.885299187117</v>
      </c>
      <c r="Q553">
        <f t="shared" ca="1" si="203"/>
        <v>39451.88529919037</v>
      </c>
      <c r="R553">
        <f t="shared" ca="1" si="204"/>
        <v>4.0175078899685096E-12</v>
      </c>
      <c r="S553">
        <f t="shared" ca="1" si="222"/>
        <v>4.9999998736893758E-4</v>
      </c>
      <c r="T553">
        <f t="shared" ca="1" si="223"/>
        <v>1</v>
      </c>
      <c r="U553">
        <f t="shared" ca="1" si="205"/>
        <v>0.05</v>
      </c>
      <c r="V553">
        <f t="shared" ca="1" si="206"/>
        <v>0.26</v>
      </c>
      <c r="W553">
        <f t="shared" ca="1" si="207"/>
        <v>4.9056603773584909E-2</v>
      </c>
      <c r="X553">
        <f t="shared" ca="1" si="208"/>
        <v>196.15384615384616</v>
      </c>
      <c r="Y553">
        <f t="shared" ca="1" si="209"/>
        <v>632.41049999999996</v>
      </c>
      <c r="Z553">
        <f t="shared" ca="1" si="210"/>
        <v>2593.4875316486623</v>
      </c>
      <c r="AA553">
        <f t="shared" ca="1" si="211"/>
        <v>482.07306851378365</v>
      </c>
      <c r="AB553">
        <f t="shared" ca="1" si="212"/>
        <v>482.32750852789786</v>
      </c>
      <c r="AC553">
        <f t="shared" ca="1" si="213"/>
        <v>0</v>
      </c>
      <c r="AD553">
        <f ca="1">IF(V32="Supercritical",L553,U553)</f>
        <v>0.05</v>
      </c>
      <c r="AE553">
        <f t="shared" ca="1" si="214"/>
        <v>632.41049999999996</v>
      </c>
      <c r="AF553">
        <f t="shared" ca="1" si="215"/>
        <v>2593.4875316486623</v>
      </c>
      <c r="AI553">
        <v>0</v>
      </c>
      <c r="AJ553">
        <v>0</v>
      </c>
      <c r="AK553">
        <f t="shared" si="216"/>
        <v>0</v>
      </c>
      <c r="AL553">
        <f t="shared" si="224"/>
        <v>0</v>
      </c>
      <c r="AM553">
        <f t="shared" ca="1" si="217"/>
        <v>280.07692026646265</v>
      </c>
      <c r="AN553" t="str">
        <f t="shared" ca="1" si="218"/>
        <v>Supercritical</v>
      </c>
      <c r="AO553">
        <f ca="1">IF(V32="Supercritical",R553,AA553)</f>
        <v>482.07306851378365</v>
      </c>
    </row>
    <row r="554" spans="1:41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174</v>
      </c>
      <c r="I554">
        <v>7.8E-2</v>
      </c>
      <c r="J554">
        <f t="shared" si="219"/>
        <v>1</v>
      </c>
      <c r="K554">
        <f t="shared" si="220"/>
        <v>51</v>
      </c>
      <c r="L554">
        <f t="shared" ca="1" si="221"/>
        <v>38819.513674838767</v>
      </c>
      <c r="M554">
        <f t="shared" ca="1" si="199"/>
        <v>201861.47110916159</v>
      </c>
      <c r="N554">
        <f t="shared" ca="1" si="200"/>
        <v>2.5998258724381516</v>
      </c>
      <c r="O554">
        <f t="shared" ca="1" si="201"/>
        <v>2.5264851048479919E-4</v>
      </c>
      <c r="P554">
        <f t="shared" ca="1" si="202"/>
        <v>39451.873674838767</v>
      </c>
      <c r="Q554">
        <f t="shared" ca="1" si="203"/>
        <v>39451.87367484202</v>
      </c>
      <c r="R554">
        <f t="shared" ca="1" si="204"/>
        <v>4.0175101926330665E-12</v>
      </c>
      <c r="S554">
        <f t="shared" ca="1" si="222"/>
        <v>1.1624348342593294E-2</v>
      </c>
      <c r="T554">
        <f t="shared" ca="1" si="223"/>
        <v>0</v>
      </c>
      <c r="U554">
        <f t="shared" ca="1" si="205"/>
        <v>0.05</v>
      </c>
      <c r="V554">
        <f t="shared" ca="1" si="206"/>
        <v>0.26</v>
      </c>
      <c r="W554">
        <f t="shared" ca="1" si="207"/>
        <v>4.9056603773584909E-2</v>
      </c>
      <c r="X554">
        <f t="shared" ca="1" si="208"/>
        <v>196.15384615384616</v>
      </c>
      <c r="Y554">
        <f t="shared" ca="1" si="209"/>
        <v>632.41</v>
      </c>
      <c r="Z554">
        <f t="shared" ca="1" si="210"/>
        <v>2593.4870316486622</v>
      </c>
      <c r="AA554">
        <f t="shared" ca="1" si="211"/>
        <v>482.07306851378365</v>
      </c>
      <c r="AB554">
        <f t="shared" ca="1" si="212"/>
        <v>482.64289004873763</v>
      </c>
      <c r="AC554">
        <f t="shared" ca="1" si="213"/>
        <v>0</v>
      </c>
      <c r="AD554">
        <f ca="1">IF(V32="Supercritical",L554,U554)</f>
        <v>0.05</v>
      </c>
      <c r="AE554">
        <f t="shared" ca="1" si="214"/>
        <v>632.41</v>
      </c>
      <c r="AF554">
        <f t="shared" ca="1" si="215"/>
        <v>2593.4870316486622</v>
      </c>
      <c r="AI554">
        <v>0</v>
      </c>
      <c r="AJ554">
        <v>0</v>
      </c>
      <c r="AK554">
        <f t="shared" si="216"/>
        <v>0</v>
      </c>
      <c r="AL554">
        <f t="shared" si="224"/>
        <v>0</v>
      </c>
      <c r="AM554">
        <f t="shared" ca="1" si="217"/>
        <v>280.07692026646265</v>
      </c>
      <c r="AN554" t="str">
        <f t="shared" ca="1" si="218"/>
        <v>Supercritical</v>
      </c>
      <c r="AO554">
        <f ca="1">IF(V32="Supercritical",R554,AA554)</f>
        <v>482.07306851378365</v>
      </c>
    </row>
    <row r="555" spans="1:41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174</v>
      </c>
      <c r="I555">
        <v>2.7E-2</v>
      </c>
      <c r="J555">
        <f t="shared" si="219"/>
        <v>1.0010000000000332</v>
      </c>
      <c r="K555">
        <f t="shared" si="220"/>
        <v>51</v>
      </c>
      <c r="L555">
        <f t="shared" ca="1" si="221"/>
        <v>38819.513674838767</v>
      </c>
      <c r="M555">
        <f t="shared" ca="1" si="199"/>
        <v>201861.47110916159</v>
      </c>
      <c r="N555">
        <f t="shared" ca="1" si="200"/>
        <v>2.5998258724381516</v>
      </c>
      <c r="O555">
        <f t="shared" ca="1" si="201"/>
        <v>2.5264851048479919E-4</v>
      </c>
      <c r="P555">
        <f t="shared" ca="1" si="202"/>
        <v>39451.873174838765</v>
      </c>
      <c r="Q555">
        <f t="shared" ca="1" si="203"/>
        <v>39451.873174842018</v>
      </c>
      <c r="R555">
        <f t="shared" ca="1" si="204"/>
        <v>4.0175101926330665E-12</v>
      </c>
      <c r="S555">
        <f t="shared" ca="1" si="222"/>
        <v>4.999999946448952E-4</v>
      </c>
      <c r="T555">
        <f t="shared" ca="1" si="223"/>
        <v>1</v>
      </c>
      <c r="U555">
        <f t="shared" ca="1" si="205"/>
        <v>0.05</v>
      </c>
      <c r="V555">
        <f t="shared" ca="1" si="206"/>
        <v>0.26</v>
      </c>
      <c r="W555">
        <f t="shared" ca="1" si="207"/>
        <v>4.9056603773584909E-2</v>
      </c>
      <c r="X555">
        <f t="shared" ca="1" si="208"/>
        <v>196.15384615384616</v>
      </c>
      <c r="Y555">
        <f t="shared" ca="1" si="209"/>
        <v>632.40949999999998</v>
      </c>
      <c r="Z555">
        <f t="shared" ca="1" si="210"/>
        <v>2593.4865316486621</v>
      </c>
      <c r="AA555">
        <f t="shared" ca="1" si="211"/>
        <v>482.07306851378365</v>
      </c>
      <c r="AB555">
        <f t="shared" ca="1" si="212"/>
        <v>481.67874391167788</v>
      </c>
      <c r="AC555">
        <f t="shared" ca="1" si="213"/>
        <v>0</v>
      </c>
      <c r="AD555">
        <f ca="1">IF(V32="Supercritical",L555,U555)</f>
        <v>0.05</v>
      </c>
      <c r="AE555">
        <f t="shared" ca="1" si="214"/>
        <v>632.40949999999998</v>
      </c>
      <c r="AF555">
        <f t="shared" ca="1" si="215"/>
        <v>2593.4865316486621</v>
      </c>
      <c r="AI555">
        <v>0</v>
      </c>
      <c r="AJ555">
        <v>0</v>
      </c>
      <c r="AK555">
        <f t="shared" si="216"/>
        <v>0</v>
      </c>
      <c r="AL555">
        <f t="shared" si="224"/>
        <v>0</v>
      </c>
      <c r="AM555">
        <f t="shared" ca="1" si="217"/>
        <v>280.07692026646265</v>
      </c>
      <c r="AN555" t="str">
        <f t="shared" ca="1" si="218"/>
        <v>Supercritical</v>
      </c>
      <c r="AO555">
        <f ca="1">IF(V32="Supercritical",R555,AA555)</f>
        <v>482.07306851378365</v>
      </c>
    </row>
    <row r="556" spans="1:41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174</v>
      </c>
      <c r="I556">
        <v>2.7E-2</v>
      </c>
      <c r="J556">
        <f t="shared" si="219"/>
        <v>0.9989999999999668</v>
      </c>
      <c r="K556">
        <f t="shared" si="220"/>
        <v>51</v>
      </c>
      <c r="L556">
        <f t="shared" ca="1" si="221"/>
        <v>38819.502503018157</v>
      </c>
      <c r="M556">
        <f t="shared" ca="1" si="199"/>
        <v>201861.41301569442</v>
      </c>
      <c r="N556">
        <f t="shared" ca="1" si="200"/>
        <v>2.5998258723880432</v>
      </c>
      <c r="O556">
        <f t="shared" ca="1" si="201"/>
        <v>2.5264858319422757E-4</v>
      </c>
      <c r="P556">
        <f t="shared" ca="1" si="202"/>
        <v>39451.861503018154</v>
      </c>
      <c r="Q556">
        <f t="shared" ca="1" si="203"/>
        <v>39451.861503021406</v>
      </c>
      <c r="R556">
        <f t="shared" ca="1" si="204"/>
        <v>4.0175125051260493E-12</v>
      </c>
      <c r="S556">
        <f t="shared" ca="1" si="222"/>
        <v>1.1671820604533423E-2</v>
      </c>
      <c r="T556">
        <f t="shared" ca="1" si="223"/>
        <v>0</v>
      </c>
      <c r="U556">
        <f t="shared" ca="1" si="205"/>
        <v>0.05</v>
      </c>
      <c r="V556">
        <f t="shared" ca="1" si="206"/>
        <v>0.26</v>
      </c>
      <c r="W556">
        <f t="shared" ca="1" si="207"/>
        <v>4.9056603773584909E-2</v>
      </c>
      <c r="X556">
        <f t="shared" ca="1" si="208"/>
        <v>196.15384615384616</v>
      </c>
      <c r="Y556">
        <f t="shared" ca="1" si="209"/>
        <v>632.40899999999999</v>
      </c>
      <c r="Z556">
        <f t="shared" ca="1" si="210"/>
        <v>2593.486031648662</v>
      </c>
      <c r="AA556">
        <f t="shared" ca="1" si="211"/>
        <v>482.07306851378365</v>
      </c>
      <c r="AB556">
        <f t="shared" ca="1" si="212"/>
        <v>482.80958159642751</v>
      </c>
      <c r="AC556">
        <f t="shared" ca="1" si="213"/>
        <v>0</v>
      </c>
      <c r="AD556">
        <f ca="1">IF(V32="Supercritical",L556,U556)</f>
        <v>0.05</v>
      </c>
      <c r="AE556">
        <f t="shared" ca="1" si="214"/>
        <v>632.40899999999999</v>
      </c>
      <c r="AF556">
        <f t="shared" ca="1" si="215"/>
        <v>2593.486031648662</v>
      </c>
      <c r="AI556">
        <v>0</v>
      </c>
      <c r="AJ556">
        <v>0</v>
      </c>
      <c r="AK556">
        <f t="shared" si="216"/>
        <v>0</v>
      </c>
      <c r="AL556">
        <f t="shared" si="224"/>
        <v>0</v>
      </c>
      <c r="AM556">
        <f t="shared" ca="1" si="217"/>
        <v>280.07692026646265</v>
      </c>
      <c r="AN556" t="str">
        <f t="shared" ca="1" si="218"/>
        <v>Supercritical</v>
      </c>
      <c r="AO556">
        <f ca="1">IF(V32="Supercritical",R556,AA556)</f>
        <v>482.07306851378365</v>
      </c>
    </row>
    <row r="557" spans="1:41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174</v>
      </c>
      <c r="I557">
        <v>7.8E-2</v>
      </c>
      <c r="J557">
        <f t="shared" si="219"/>
        <v>1.0010000000000332</v>
      </c>
      <c r="K557">
        <f t="shared" si="220"/>
        <v>51</v>
      </c>
      <c r="L557">
        <f t="shared" ca="1" si="221"/>
        <v>38819.502503018157</v>
      </c>
      <c r="M557">
        <f t="shared" ca="1" si="199"/>
        <v>201861.41301569442</v>
      </c>
      <c r="N557">
        <f t="shared" ca="1" si="200"/>
        <v>2.5998258723880432</v>
      </c>
      <c r="O557">
        <f t="shared" ca="1" si="201"/>
        <v>2.5264858319422757E-4</v>
      </c>
      <c r="P557">
        <f t="shared" ca="1" si="202"/>
        <v>39451.861003018159</v>
      </c>
      <c r="Q557">
        <f t="shared" ca="1" si="203"/>
        <v>39451.861003021411</v>
      </c>
      <c r="R557">
        <f t="shared" ca="1" si="204"/>
        <v>4.0175125051260493E-12</v>
      </c>
      <c r="S557">
        <f t="shared" ca="1" si="222"/>
        <v>4.9999998736893758E-4</v>
      </c>
      <c r="T557">
        <f t="shared" ca="1" si="223"/>
        <v>1</v>
      </c>
      <c r="U557">
        <f t="shared" ca="1" si="205"/>
        <v>0.05</v>
      </c>
      <c r="V557">
        <f t="shared" ca="1" si="206"/>
        <v>0.26</v>
      </c>
      <c r="W557">
        <f t="shared" ca="1" si="207"/>
        <v>4.9056603773584909E-2</v>
      </c>
      <c r="X557">
        <f t="shared" ca="1" si="208"/>
        <v>196.15384615384616</v>
      </c>
      <c r="Y557">
        <f t="shared" ca="1" si="209"/>
        <v>632.4085</v>
      </c>
      <c r="Z557">
        <f t="shared" ca="1" si="210"/>
        <v>2593.4855316486619</v>
      </c>
      <c r="AA557">
        <f t="shared" ca="1" si="211"/>
        <v>482.07306851378365</v>
      </c>
      <c r="AB557">
        <f t="shared" ca="1" si="212"/>
        <v>482.23599159975447</v>
      </c>
      <c r="AC557">
        <f t="shared" ca="1" si="213"/>
        <v>0</v>
      </c>
      <c r="AD557">
        <f ca="1">IF(V32="Supercritical",L557,U557)</f>
        <v>0.05</v>
      </c>
      <c r="AE557">
        <f t="shared" ca="1" si="214"/>
        <v>632.4085</v>
      </c>
      <c r="AF557">
        <f t="shared" ca="1" si="215"/>
        <v>2593.4855316486619</v>
      </c>
      <c r="AI557">
        <v>0</v>
      </c>
      <c r="AJ557">
        <v>0</v>
      </c>
      <c r="AK557">
        <f t="shared" si="216"/>
        <v>0</v>
      </c>
      <c r="AL557">
        <f t="shared" si="224"/>
        <v>0</v>
      </c>
      <c r="AM557">
        <f t="shared" ca="1" si="217"/>
        <v>280.07692026646265</v>
      </c>
      <c r="AN557" t="str">
        <f t="shared" ca="1" si="218"/>
        <v>Supercritical</v>
      </c>
      <c r="AO557">
        <f ca="1">IF(V32="Supercritical",R557,AA557)</f>
        <v>482.07306851378365</v>
      </c>
    </row>
    <row r="558" spans="1:41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174</v>
      </c>
      <c r="I558">
        <v>0.05</v>
      </c>
      <c r="J558">
        <f t="shared" si="219"/>
        <v>1</v>
      </c>
      <c r="K558">
        <f t="shared" si="220"/>
        <v>51</v>
      </c>
      <c r="L558">
        <f t="shared" ca="1" si="221"/>
        <v>38819.491294120926</v>
      </c>
      <c r="M558">
        <f t="shared" ca="1" si="199"/>
        <v>201861.35472942883</v>
      </c>
      <c r="N558">
        <f t="shared" ca="1" si="200"/>
        <v>2.5998258723377683</v>
      </c>
      <c r="O558">
        <f t="shared" ca="1" si="201"/>
        <v>2.526486561450033E-4</v>
      </c>
      <c r="P558">
        <f t="shared" ca="1" si="202"/>
        <v>39451.849294120926</v>
      </c>
      <c r="Q558">
        <f t="shared" ca="1" si="203"/>
        <v>39451.849294124178</v>
      </c>
      <c r="R558">
        <f t="shared" ca="1" si="204"/>
        <v>4.0175148252956519E-12</v>
      </c>
      <c r="S558">
        <f t="shared" ca="1" si="222"/>
        <v>1.1708897225616965E-2</v>
      </c>
      <c r="T558">
        <f t="shared" ca="1" si="223"/>
        <v>0</v>
      </c>
      <c r="U558">
        <f t="shared" ca="1" si="205"/>
        <v>0.05</v>
      </c>
      <c r="V558">
        <f t="shared" ca="1" si="206"/>
        <v>0.26</v>
      </c>
      <c r="W558">
        <f t="shared" ca="1" si="207"/>
        <v>4.9056603773584909E-2</v>
      </c>
      <c r="X558">
        <f t="shared" ca="1" si="208"/>
        <v>196.15384615384616</v>
      </c>
      <c r="Y558">
        <f t="shared" ca="1" si="209"/>
        <v>632.4079999999999</v>
      </c>
      <c r="Z558">
        <f t="shared" ca="1" si="210"/>
        <v>2593.4850316486618</v>
      </c>
      <c r="AA558">
        <f t="shared" ca="1" si="211"/>
        <v>482.07306851378365</v>
      </c>
      <c r="AB558">
        <f t="shared" ca="1" si="212"/>
        <v>481.67874391167879</v>
      </c>
      <c r="AC558">
        <f t="shared" ca="1" si="213"/>
        <v>0</v>
      </c>
      <c r="AD558">
        <f ca="1">IF(V32="Supercritical",L558,U558)</f>
        <v>0.05</v>
      </c>
      <c r="AE558">
        <f t="shared" ca="1" si="214"/>
        <v>632.4079999999999</v>
      </c>
      <c r="AF558">
        <f t="shared" ca="1" si="215"/>
        <v>2593.4850316486618</v>
      </c>
      <c r="AI558">
        <v>0</v>
      </c>
      <c r="AJ558">
        <v>0</v>
      </c>
      <c r="AK558">
        <f t="shared" si="216"/>
        <v>0</v>
      </c>
      <c r="AL558">
        <f t="shared" si="224"/>
        <v>0</v>
      </c>
      <c r="AM558">
        <f t="shared" ca="1" si="217"/>
        <v>280.07692026646265</v>
      </c>
      <c r="AN558" t="str">
        <f t="shared" ca="1" si="218"/>
        <v>Supercritical</v>
      </c>
      <c r="AO558">
        <f ca="1">IF(V32="Supercritical",R558,AA558)</f>
        <v>482.07306851378365</v>
      </c>
    </row>
    <row r="559" spans="1:41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174</v>
      </c>
      <c r="I559">
        <v>2.7E-2</v>
      </c>
      <c r="J559">
        <f t="shared" si="219"/>
        <v>0.9989999999999668</v>
      </c>
      <c r="K559">
        <f t="shared" si="220"/>
        <v>51</v>
      </c>
      <c r="L559">
        <f t="shared" ca="1" si="221"/>
        <v>38819.491294120926</v>
      </c>
      <c r="M559">
        <f t="shared" ca="1" si="199"/>
        <v>201861.35472942883</v>
      </c>
      <c r="N559">
        <f t="shared" ca="1" si="200"/>
        <v>2.5998258723377683</v>
      </c>
      <c r="O559">
        <f t="shared" ca="1" si="201"/>
        <v>2.526486561450033E-4</v>
      </c>
      <c r="P559">
        <f t="shared" ca="1" si="202"/>
        <v>39451.848794120924</v>
      </c>
      <c r="Q559">
        <f t="shared" ca="1" si="203"/>
        <v>39451.848794124176</v>
      </c>
      <c r="R559">
        <f t="shared" ca="1" si="204"/>
        <v>4.0175148252956519E-12</v>
      </c>
      <c r="S559">
        <f t="shared" ca="1" si="222"/>
        <v>4.999999946448952E-4</v>
      </c>
      <c r="T559">
        <f t="shared" ca="1" si="223"/>
        <v>1</v>
      </c>
      <c r="U559">
        <f t="shared" ca="1" si="205"/>
        <v>0.05</v>
      </c>
      <c r="V559">
        <f t="shared" ca="1" si="206"/>
        <v>0.26</v>
      </c>
      <c r="W559">
        <f t="shared" ca="1" si="207"/>
        <v>4.9056603773584909E-2</v>
      </c>
      <c r="X559">
        <f t="shared" ca="1" si="208"/>
        <v>196.15384615384616</v>
      </c>
      <c r="Y559">
        <f t="shared" ca="1" si="209"/>
        <v>632.40749999999991</v>
      </c>
      <c r="Z559">
        <f t="shared" ca="1" si="210"/>
        <v>2593.4845316486621</v>
      </c>
      <c r="AA559">
        <f t="shared" ca="1" si="211"/>
        <v>482.07306851378365</v>
      </c>
      <c r="AB559">
        <f t="shared" ca="1" si="212"/>
        <v>482.16081698020798</v>
      </c>
      <c r="AC559">
        <f t="shared" ca="1" si="213"/>
        <v>0</v>
      </c>
      <c r="AD559">
        <f ca="1">IF(V32="Supercritical",L559,U559)</f>
        <v>0.05</v>
      </c>
      <c r="AE559">
        <f t="shared" ca="1" si="214"/>
        <v>632.40749999999991</v>
      </c>
      <c r="AF559">
        <f t="shared" ca="1" si="215"/>
        <v>2593.4845316486621</v>
      </c>
      <c r="AI559">
        <v>0</v>
      </c>
      <c r="AJ559">
        <v>0</v>
      </c>
      <c r="AK559">
        <f t="shared" si="216"/>
        <v>0</v>
      </c>
      <c r="AL559">
        <f t="shared" si="224"/>
        <v>0</v>
      </c>
      <c r="AM559">
        <f t="shared" ca="1" si="217"/>
        <v>280.07692026646265</v>
      </c>
      <c r="AN559" t="str">
        <f t="shared" ca="1" si="218"/>
        <v>Supercritical</v>
      </c>
      <c r="AO559">
        <f ca="1">IF(V32="Supercritical",R559,AA559)</f>
        <v>482.07306851378365</v>
      </c>
    </row>
    <row r="560" spans="1:41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174</v>
      </c>
      <c r="I560">
        <v>2.7E-2</v>
      </c>
      <c r="J560">
        <f t="shared" si="219"/>
        <v>1</v>
      </c>
      <c r="K560">
        <f t="shared" si="220"/>
        <v>51</v>
      </c>
      <c r="L560">
        <f t="shared" ca="1" si="221"/>
        <v>38819.480056361419</v>
      </c>
      <c r="M560">
        <f t="shared" ca="1" si="199"/>
        <v>201861.29629307939</v>
      </c>
      <c r="N560">
        <f t="shared" ca="1" si="200"/>
        <v>2.5998258722873637</v>
      </c>
      <c r="O560">
        <f t="shared" ca="1" si="201"/>
        <v>2.5264872928366548E-4</v>
      </c>
      <c r="P560">
        <f t="shared" ca="1" si="202"/>
        <v>39451.837056361415</v>
      </c>
      <c r="Q560">
        <f t="shared" ca="1" si="203"/>
        <v>39451.837056364668</v>
      </c>
      <c r="R560">
        <f t="shared" ca="1" si="204"/>
        <v>4.0175171514415811E-12</v>
      </c>
      <c r="S560">
        <f t="shared" ca="1" si="222"/>
        <v>1.1737759501556866E-2</v>
      </c>
      <c r="T560">
        <f t="shared" ca="1" si="223"/>
        <v>0</v>
      </c>
      <c r="U560">
        <f t="shared" ca="1" si="205"/>
        <v>0.05</v>
      </c>
      <c r="V560">
        <f t="shared" ca="1" si="206"/>
        <v>0.26</v>
      </c>
      <c r="W560">
        <f t="shared" ca="1" si="207"/>
        <v>4.9056603773584909E-2</v>
      </c>
      <c r="X560">
        <f t="shared" ca="1" si="208"/>
        <v>196.15384615384616</v>
      </c>
      <c r="Y560">
        <f t="shared" ca="1" si="209"/>
        <v>632.40699999999993</v>
      </c>
      <c r="Z560">
        <f t="shared" ca="1" si="210"/>
        <v>2593.484031648662</v>
      </c>
      <c r="AA560">
        <f t="shared" ca="1" si="211"/>
        <v>482.07306851378365</v>
      </c>
      <c r="AB560">
        <f t="shared" ca="1" si="212"/>
        <v>482.1477431333301</v>
      </c>
      <c r="AC560">
        <f t="shared" ca="1" si="213"/>
        <v>0</v>
      </c>
      <c r="AD560">
        <f ca="1">IF(V32="Supercritical",L560,U560)</f>
        <v>0.05</v>
      </c>
      <c r="AE560">
        <f t="shared" ca="1" si="214"/>
        <v>632.40699999999993</v>
      </c>
      <c r="AF560">
        <f t="shared" ca="1" si="215"/>
        <v>2593.484031648662</v>
      </c>
      <c r="AI560">
        <v>0</v>
      </c>
      <c r="AJ560">
        <v>0</v>
      </c>
      <c r="AK560">
        <f t="shared" si="216"/>
        <v>0</v>
      </c>
      <c r="AL560">
        <f t="shared" si="224"/>
        <v>0</v>
      </c>
      <c r="AM560">
        <f t="shared" ca="1" si="217"/>
        <v>280.07692026646265</v>
      </c>
      <c r="AN560" t="str">
        <f t="shared" ca="1" si="218"/>
        <v>Supercritical</v>
      </c>
      <c r="AO560">
        <f ca="1">IF(V32="Supercritical",R560,AA560)</f>
        <v>482.07306851378365</v>
      </c>
    </row>
    <row r="561" spans="1:41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174</v>
      </c>
      <c r="I561">
        <v>2.3E-2</v>
      </c>
      <c r="J561">
        <f t="shared" si="219"/>
        <v>1</v>
      </c>
      <c r="K561">
        <f t="shared" si="220"/>
        <v>51</v>
      </c>
      <c r="L561">
        <f t="shared" ca="1" si="221"/>
        <v>38819.480056361419</v>
      </c>
      <c r="M561">
        <f t="shared" ca="1" si="199"/>
        <v>201861.29629307939</v>
      </c>
      <c r="N561">
        <f t="shared" ca="1" si="200"/>
        <v>2.5998258722873637</v>
      </c>
      <c r="O561">
        <f t="shared" ca="1" si="201"/>
        <v>2.5264872928366548E-4</v>
      </c>
      <c r="P561">
        <f t="shared" ca="1" si="202"/>
        <v>39451.836556361421</v>
      </c>
      <c r="Q561">
        <f t="shared" ca="1" si="203"/>
        <v>39451.836556364673</v>
      </c>
      <c r="R561">
        <f t="shared" ca="1" si="204"/>
        <v>4.0175171514415811E-12</v>
      </c>
      <c r="S561">
        <f t="shared" ca="1" si="222"/>
        <v>4.9999998736893758E-4</v>
      </c>
      <c r="T561">
        <f t="shared" ca="1" si="223"/>
        <v>1</v>
      </c>
      <c r="U561">
        <f t="shared" ca="1" si="205"/>
        <v>0.05</v>
      </c>
      <c r="V561">
        <f t="shared" ca="1" si="206"/>
        <v>0.26</v>
      </c>
      <c r="W561">
        <f t="shared" ca="1" si="207"/>
        <v>4.9056603773584909E-2</v>
      </c>
      <c r="X561">
        <f t="shared" ca="1" si="208"/>
        <v>196.15384615384616</v>
      </c>
      <c r="Y561">
        <f t="shared" ca="1" si="209"/>
        <v>632.40649999999994</v>
      </c>
      <c r="Z561">
        <f t="shared" ca="1" si="210"/>
        <v>2593.4835316486619</v>
      </c>
      <c r="AA561">
        <f t="shared" ca="1" si="211"/>
        <v>482.07306851378365</v>
      </c>
      <c r="AB561">
        <f t="shared" ca="1" si="212"/>
        <v>482.62981620186019</v>
      </c>
      <c r="AC561">
        <f t="shared" ca="1" si="213"/>
        <v>0</v>
      </c>
      <c r="AD561">
        <f ca="1">IF(V32="Supercritical",L561,U561)</f>
        <v>0.05</v>
      </c>
      <c r="AE561">
        <f t="shared" ca="1" si="214"/>
        <v>632.40649999999994</v>
      </c>
      <c r="AF561">
        <f t="shared" ca="1" si="215"/>
        <v>2593.4835316486619</v>
      </c>
      <c r="AI561">
        <v>0</v>
      </c>
      <c r="AJ561">
        <v>0</v>
      </c>
      <c r="AK561">
        <f t="shared" si="216"/>
        <v>0</v>
      </c>
      <c r="AL561">
        <f t="shared" si="224"/>
        <v>0</v>
      </c>
      <c r="AM561">
        <f t="shared" ca="1" si="217"/>
        <v>280.07692026646265</v>
      </c>
      <c r="AN561" t="str">
        <f t="shared" ca="1" si="218"/>
        <v>Supercritical</v>
      </c>
      <c r="AO561">
        <f ca="1">IF(V32="Supercritical",R561,AA561)</f>
        <v>482.07306851378365</v>
      </c>
    </row>
    <row r="562" spans="1:41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174</v>
      </c>
      <c r="I562">
        <v>2.3E-2</v>
      </c>
      <c r="J562">
        <f t="shared" si="219"/>
        <v>1.0010000000000332</v>
      </c>
      <c r="K562">
        <f t="shared" si="220"/>
        <v>51</v>
      </c>
      <c r="L562">
        <f t="shared" ca="1" si="221"/>
        <v>38819.468796217589</v>
      </c>
      <c r="M562">
        <f t="shared" ca="1" si="199"/>
        <v>201861.23774033147</v>
      </c>
      <c r="N562">
        <f t="shared" ca="1" si="200"/>
        <v>2.5998258722368592</v>
      </c>
      <c r="O562">
        <f t="shared" ca="1" si="201"/>
        <v>2.5264880256805391E-4</v>
      </c>
      <c r="P562">
        <f t="shared" ca="1" si="202"/>
        <v>39451.824796217588</v>
      </c>
      <c r="Q562">
        <f t="shared" ca="1" si="203"/>
        <v>39451.824796220841</v>
      </c>
      <c r="R562">
        <f t="shared" ca="1" si="204"/>
        <v>4.0175194822229481E-12</v>
      </c>
      <c r="S562">
        <f t="shared" ca="1" si="222"/>
        <v>1.1760143825085834E-2</v>
      </c>
      <c r="T562">
        <f t="shared" ca="1" si="223"/>
        <v>0</v>
      </c>
      <c r="U562">
        <f t="shared" ca="1" si="205"/>
        <v>0.05</v>
      </c>
      <c r="V562">
        <f t="shared" ca="1" si="206"/>
        <v>0.26</v>
      </c>
      <c r="W562">
        <f t="shared" ca="1" si="207"/>
        <v>4.9056603773584909E-2</v>
      </c>
      <c r="X562">
        <f t="shared" ca="1" si="208"/>
        <v>196.15384615384616</v>
      </c>
      <c r="Y562">
        <f t="shared" ca="1" si="209"/>
        <v>632.40599999999995</v>
      </c>
      <c r="Z562">
        <f t="shared" ca="1" si="210"/>
        <v>2593.4830316486623</v>
      </c>
      <c r="AA562">
        <f t="shared" ca="1" si="211"/>
        <v>482.07306851378365</v>
      </c>
      <c r="AB562">
        <f t="shared" ca="1" si="212"/>
        <v>481.59049544525351</v>
      </c>
      <c r="AC562">
        <f t="shared" ca="1" si="213"/>
        <v>0</v>
      </c>
      <c r="AD562">
        <f ca="1">IF(V32="Supercritical",L562,U562)</f>
        <v>0.05</v>
      </c>
      <c r="AE562">
        <f t="shared" ca="1" si="214"/>
        <v>632.40599999999995</v>
      </c>
      <c r="AF562">
        <f t="shared" ca="1" si="215"/>
        <v>2593.4830316486623</v>
      </c>
      <c r="AI562">
        <v>0</v>
      </c>
      <c r="AJ562">
        <v>0</v>
      </c>
      <c r="AK562">
        <f t="shared" si="216"/>
        <v>0</v>
      </c>
      <c r="AL562">
        <f t="shared" si="224"/>
        <v>0</v>
      </c>
      <c r="AM562">
        <f t="shared" ca="1" si="217"/>
        <v>280.07692026646265</v>
      </c>
      <c r="AN562" t="str">
        <f t="shared" ca="1" si="218"/>
        <v>Supercritical</v>
      </c>
      <c r="AO562">
        <f ca="1">IF(V32="Supercritical",R562,AA562)</f>
        <v>482.07306851378365</v>
      </c>
    </row>
    <row r="563" spans="1:41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174</v>
      </c>
      <c r="I563">
        <v>0</v>
      </c>
      <c r="J563">
        <f t="shared" si="219"/>
        <v>0.9989999999999668</v>
      </c>
      <c r="K563">
        <f t="shared" si="220"/>
        <v>51</v>
      </c>
      <c r="L563">
        <f t="shared" ca="1" si="221"/>
        <v>38819.468796217589</v>
      </c>
      <c r="M563">
        <f t="shared" ca="1" si="199"/>
        <v>201861.23774033147</v>
      </c>
      <c r="N563">
        <f t="shared" ca="1" si="200"/>
        <v>2.5998258722368592</v>
      </c>
      <c r="O563">
        <f t="shared" ca="1" si="201"/>
        <v>2.5264880256805391E-4</v>
      </c>
      <c r="P563">
        <f t="shared" ca="1" si="202"/>
        <v>39451.824296217586</v>
      </c>
      <c r="Q563">
        <f t="shared" ca="1" si="203"/>
        <v>39451.824296220839</v>
      </c>
      <c r="R563">
        <f t="shared" ca="1" si="204"/>
        <v>4.0175194822229481E-12</v>
      </c>
      <c r="S563">
        <f t="shared" ca="1" si="222"/>
        <v>4.999999946448952E-4</v>
      </c>
      <c r="T563">
        <f t="shared" ca="1" si="223"/>
        <v>1</v>
      </c>
      <c r="U563">
        <f t="shared" ca="1" si="205"/>
        <v>0.05</v>
      </c>
      <c r="V563">
        <f t="shared" ca="1" si="206"/>
        <v>0.26</v>
      </c>
      <c r="W563">
        <f t="shared" ca="1" si="207"/>
        <v>4.9056603773584909E-2</v>
      </c>
      <c r="X563">
        <f t="shared" ca="1" si="208"/>
        <v>196.15384615384616</v>
      </c>
      <c r="Y563">
        <f t="shared" ca="1" si="209"/>
        <v>632.40549999999996</v>
      </c>
      <c r="Z563">
        <f t="shared" ca="1" si="210"/>
        <v>2593.4825316486622</v>
      </c>
      <c r="AA563">
        <f t="shared" ca="1" si="211"/>
        <v>482.07306851378365</v>
      </c>
      <c r="AB563">
        <f t="shared" ca="1" si="212"/>
        <v>482.16081698020798</v>
      </c>
      <c r="AC563">
        <f t="shared" ca="1" si="213"/>
        <v>0</v>
      </c>
      <c r="AD563">
        <f ca="1">IF(V32="Supercritical",L563,U563)</f>
        <v>0.05</v>
      </c>
      <c r="AE563">
        <f t="shared" ca="1" si="214"/>
        <v>632.40549999999996</v>
      </c>
      <c r="AF563">
        <f t="shared" ca="1" si="215"/>
        <v>2593.4825316486622</v>
      </c>
      <c r="AI563">
        <v>0</v>
      </c>
      <c r="AJ563">
        <v>0</v>
      </c>
      <c r="AK563">
        <f t="shared" si="216"/>
        <v>0</v>
      </c>
      <c r="AL563">
        <f t="shared" si="224"/>
        <v>0</v>
      </c>
      <c r="AM563">
        <f t="shared" ca="1" si="217"/>
        <v>280.07692026646265</v>
      </c>
      <c r="AN563" t="str">
        <f t="shared" ca="1" si="218"/>
        <v>Supercritical</v>
      </c>
      <c r="AO563">
        <f ca="1">IF(V32="Supercritical",R563,AA563)</f>
        <v>482.07306851378365</v>
      </c>
    </row>
    <row r="564" spans="1:41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174</v>
      </c>
      <c r="I564">
        <v>2.7E-2</v>
      </c>
      <c r="J564">
        <f t="shared" si="219"/>
        <v>1</v>
      </c>
      <c r="K564">
        <f t="shared" si="220"/>
        <v>51</v>
      </c>
      <c r="L564">
        <f t="shared" ca="1" si="221"/>
        <v>38819.457518784853</v>
      </c>
      <c r="M564">
        <f t="shared" ca="1" si="199"/>
        <v>201861.17909768125</v>
      </c>
      <c r="N564">
        <f t="shared" ca="1" si="200"/>
        <v>2.5998258721862766</v>
      </c>
      <c r="O564">
        <f t="shared" ca="1" si="201"/>
        <v>2.5264887596500633E-4</v>
      </c>
      <c r="P564">
        <f t="shared" ca="1" si="202"/>
        <v>39451.812518784856</v>
      </c>
      <c r="Q564">
        <f t="shared" ca="1" si="203"/>
        <v>39451.812518788109</v>
      </c>
      <c r="R564">
        <f t="shared" ca="1" si="204"/>
        <v>4.0175218165850483E-12</v>
      </c>
      <c r="S564">
        <f t="shared" ca="1" si="222"/>
        <v>1.1777432722738013E-2</v>
      </c>
      <c r="T564">
        <f t="shared" ca="1" si="223"/>
        <v>0</v>
      </c>
      <c r="U564">
        <f t="shared" ca="1" si="205"/>
        <v>0.05</v>
      </c>
      <c r="V564">
        <f t="shared" ca="1" si="206"/>
        <v>0.26</v>
      </c>
      <c r="W564">
        <f t="shared" ca="1" si="207"/>
        <v>4.9056603773584909E-2</v>
      </c>
      <c r="X564">
        <f t="shared" ca="1" si="208"/>
        <v>196.15384615384616</v>
      </c>
      <c r="Y564">
        <f t="shared" ca="1" si="209"/>
        <v>632.40499999999997</v>
      </c>
      <c r="Z564">
        <f t="shared" ca="1" si="210"/>
        <v>2593.4820316486621</v>
      </c>
      <c r="AA564">
        <f t="shared" ca="1" si="211"/>
        <v>482.07306851378365</v>
      </c>
      <c r="AB564">
        <f t="shared" ca="1" si="212"/>
        <v>482.16081698020798</v>
      </c>
      <c r="AC564">
        <f t="shared" ca="1" si="213"/>
        <v>0</v>
      </c>
      <c r="AD564">
        <f ca="1">IF(V32="Supercritical",L564,U564)</f>
        <v>0.05</v>
      </c>
      <c r="AE564">
        <f t="shared" ca="1" si="214"/>
        <v>632.40499999999997</v>
      </c>
      <c r="AF564">
        <f t="shared" ca="1" si="215"/>
        <v>2593.4820316486621</v>
      </c>
      <c r="AI564">
        <v>0</v>
      </c>
      <c r="AJ564">
        <v>0</v>
      </c>
      <c r="AK564">
        <f t="shared" si="216"/>
        <v>0</v>
      </c>
      <c r="AL564">
        <f t="shared" si="224"/>
        <v>0</v>
      </c>
      <c r="AM564">
        <f t="shared" ca="1" si="217"/>
        <v>280.07692026646265</v>
      </c>
      <c r="AN564" t="str">
        <f t="shared" ca="1" si="218"/>
        <v>Supercritical</v>
      </c>
      <c r="AO564">
        <f ca="1">IF(V32="Supercritical",R564,AA564)</f>
        <v>482.07306851378365</v>
      </c>
    </row>
    <row r="565" spans="1:41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174</v>
      </c>
      <c r="I565">
        <v>2.7E-2</v>
      </c>
      <c r="J565">
        <f t="shared" si="219"/>
        <v>1</v>
      </c>
      <c r="K565">
        <f t="shared" si="220"/>
        <v>51</v>
      </c>
      <c r="L565">
        <f t="shared" ca="1" si="221"/>
        <v>38819.457518784853</v>
      </c>
      <c r="M565">
        <f t="shared" ca="1" si="199"/>
        <v>201861.17909768125</v>
      </c>
      <c r="N565">
        <f t="shared" ca="1" si="200"/>
        <v>2.5998258721862766</v>
      </c>
      <c r="O565">
        <f t="shared" ca="1" si="201"/>
        <v>2.5264887596500633E-4</v>
      </c>
      <c r="P565">
        <f t="shared" ca="1" si="202"/>
        <v>39451.812018784854</v>
      </c>
      <c r="Q565">
        <f t="shared" ca="1" si="203"/>
        <v>39451.812018788107</v>
      </c>
      <c r="R565">
        <f t="shared" ca="1" si="204"/>
        <v>4.0175218165850483E-12</v>
      </c>
      <c r="S565">
        <f t="shared" ca="1" si="222"/>
        <v>4.999999946448952E-4</v>
      </c>
      <c r="T565">
        <f t="shared" ca="1" si="223"/>
        <v>1</v>
      </c>
      <c r="U565">
        <f t="shared" ca="1" si="205"/>
        <v>0.05</v>
      </c>
      <c r="V565">
        <f t="shared" ca="1" si="206"/>
        <v>0.26</v>
      </c>
      <c r="W565">
        <f t="shared" ca="1" si="207"/>
        <v>4.9056603773584909E-2</v>
      </c>
      <c r="X565">
        <f t="shared" ca="1" si="208"/>
        <v>196.15384615384616</v>
      </c>
      <c r="Y565">
        <f t="shared" ca="1" si="209"/>
        <v>632.40449999999998</v>
      </c>
      <c r="Z565">
        <f t="shared" ca="1" si="210"/>
        <v>2593.481531648662</v>
      </c>
      <c r="AA565">
        <f t="shared" ca="1" si="211"/>
        <v>482.07306851378365</v>
      </c>
      <c r="AB565">
        <f t="shared" ca="1" si="212"/>
        <v>482.1477431333301</v>
      </c>
      <c r="AC565">
        <f t="shared" ca="1" si="213"/>
        <v>0</v>
      </c>
      <c r="AD565">
        <f ca="1">IF(V32="Supercritical",L565,U565)</f>
        <v>0.05</v>
      </c>
      <c r="AE565">
        <f t="shared" ca="1" si="214"/>
        <v>632.40449999999998</v>
      </c>
      <c r="AF565">
        <f t="shared" ca="1" si="215"/>
        <v>2593.481531648662</v>
      </c>
      <c r="AI565">
        <v>0</v>
      </c>
      <c r="AJ565">
        <v>0</v>
      </c>
      <c r="AK565">
        <f t="shared" si="216"/>
        <v>0</v>
      </c>
      <c r="AL565">
        <f t="shared" si="224"/>
        <v>0</v>
      </c>
      <c r="AM565">
        <f t="shared" ca="1" si="217"/>
        <v>280.07692026646265</v>
      </c>
      <c r="AN565" t="str">
        <f t="shared" ca="1" si="218"/>
        <v>Supercritical</v>
      </c>
      <c r="AO565">
        <f ca="1">IF(V32="Supercritical",R565,AA565)</f>
        <v>482.07306851378365</v>
      </c>
    </row>
    <row r="566" spans="1:41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174</v>
      </c>
      <c r="I566">
        <v>2.3E-2</v>
      </c>
      <c r="J566">
        <f t="shared" si="219"/>
        <v>1</v>
      </c>
      <c r="K566">
        <f t="shared" si="220"/>
        <v>51</v>
      </c>
      <c r="L566">
        <f t="shared" ca="1" si="221"/>
        <v>38819.446228058645</v>
      </c>
      <c r="M566">
        <f t="shared" ca="1" si="199"/>
        <v>201861.12038590497</v>
      </c>
      <c r="N566">
        <f t="shared" ca="1" si="200"/>
        <v>2.5998258721356344</v>
      </c>
      <c r="O566">
        <f t="shared" ca="1" si="201"/>
        <v>2.5264894944851944E-4</v>
      </c>
      <c r="P566">
        <f t="shared" ca="1" si="202"/>
        <v>39451.800228058644</v>
      </c>
      <c r="Q566">
        <f t="shared" ca="1" si="203"/>
        <v>39451.800228061897</v>
      </c>
      <c r="R566">
        <f t="shared" ca="1" si="204"/>
        <v>4.0175241537008586E-12</v>
      </c>
      <c r="S566">
        <f t="shared" ca="1" si="222"/>
        <v>1.1790726202889346E-2</v>
      </c>
      <c r="T566">
        <f t="shared" ca="1" si="223"/>
        <v>0</v>
      </c>
      <c r="U566">
        <f t="shared" ca="1" si="205"/>
        <v>0.05</v>
      </c>
      <c r="V566">
        <f t="shared" ca="1" si="206"/>
        <v>0.26</v>
      </c>
      <c r="W566">
        <f t="shared" ca="1" si="207"/>
        <v>4.9056603773584909E-2</v>
      </c>
      <c r="X566">
        <f t="shared" ca="1" si="208"/>
        <v>196.15384615384616</v>
      </c>
      <c r="Y566">
        <f t="shared" ca="1" si="209"/>
        <v>632.404</v>
      </c>
      <c r="Z566">
        <f t="shared" ca="1" si="210"/>
        <v>2593.4810316486619</v>
      </c>
      <c r="AA566">
        <f t="shared" ca="1" si="211"/>
        <v>482.07306851378365</v>
      </c>
      <c r="AB566">
        <f t="shared" ca="1" si="212"/>
        <v>482.62981620186019</v>
      </c>
      <c r="AC566">
        <f t="shared" ca="1" si="213"/>
        <v>0</v>
      </c>
      <c r="AD566">
        <f ca="1">IF(V32="Supercritical",L566,U566)</f>
        <v>0.05</v>
      </c>
      <c r="AE566">
        <f t="shared" ca="1" si="214"/>
        <v>632.404</v>
      </c>
      <c r="AF566">
        <f t="shared" ca="1" si="215"/>
        <v>2593.4810316486619</v>
      </c>
      <c r="AI566">
        <v>0</v>
      </c>
      <c r="AJ566">
        <v>0</v>
      </c>
      <c r="AK566">
        <f t="shared" si="216"/>
        <v>0</v>
      </c>
      <c r="AL566">
        <f t="shared" si="224"/>
        <v>0</v>
      </c>
      <c r="AM566">
        <f t="shared" ca="1" si="217"/>
        <v>280.07692026646265</v>
      </c>
      <c r="AN566" t="str">
        <f t="shared" ca="1" si="218"/>
        <v>Supercritical</v>
      </c>
      <c r="AO566">
        <f ca="1">IF(V32="Supercritical",R566,AA566)</f>
        <v>482.07306851378365</v>
      </c>
    </row>
    <row r="567" spans="1:41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174</v>
      </c>
      <c r="I567">
        <v>2.3E-2</v>
      </c>
      <c r="J567">
        <f t="shared" si="219"/>
        <v>1.0010000000000332</v>
      </c>
      <c r="K567">
        <f t="shared" si="220"/>
        <v>51</v>
      </c>
      <c r="L567">
        <f t="shared" ca="1" si="221"/>
        <v>38819.446228058645</v>
      </c>
      <c r="M567">
        <f t="shared" ca="1" si="199"/>
        <v>201861.12038590497</v>
      </c>
      <c r="N567">
        <f t="shared" ca="1" si="200"/>
        <v>2.5998258721356344</v>
      </c>
      <c r="O567">
        <f t="shared" ca="1" si="201"/>
        <v>2.5264894944851944E-4</v>
      </c>
      <c r="P567">
        <f t="shared" ca="1" si="202"/>
        <v>39451.799728058642</v>
      </c>
      <c r="Q567">
        <f t="shared" ca="1" si="203"/>
        <v>39451.799728061895</v>
      </c>
      <c r="R567">
        <f t="shared" ca="1" si="204"/>
        <v>4.0175241537008586E-12</v>
      </c>
      <c r="S567">
        <f t="shared" ca="1" si="222"/>
        <v>4.999999946448952E-4</v>
      </c>
      <c r="T567">
        <f t="shared" ca="1" si="223"/>
        <v>1</v>
      </c>
      <c r="U567">
        <f t="shared" ca="1" si="205"/>
        <v>0.05</v>
      </c>
      <c r="V567">
        <f t="shared" ca="1" si="206"/>
        <v>0.26</v>
      </c>
      <c r="W567">
        <f t="shared" ca="1" si="207"/>
        <v>4.9056603773584909E-2</v>
      </c>
      <c r="X567">
        <f t="shared" ca="1" si="208"/>
        <v>196.15384615384616</v>
      </c>
      <c r="Y567">
        <f t="shared" ca="1" si="209"/>
        <v>632.40350000000001</v>
      </c>
      <c r="Z567">
        <f t="shared" ca="1" si="210"/>
        <v>2593.4805316486622</v>
      </c>
      <c r="AA567">
        <f t="shared" ca="1" si="211"/>
        <v>482.07306851378365</v>
      </c>
      <c r="AB567">
        <f t="shared" ca="1" si="212"/>
        <v>481.59049544525396</v>
      </c>
      <c r="AC567">
        <f t="shared" ca="1" si="213"/>
        <v>0</v>
      </c>
      <c r="AD567">
        <f ca="1">IF(V32="Supercritical",L567,U567)</f>
        <v>0.05</v>
      </c>
      <c r="AE567">
        <f t="shared" ca="1" si="214"/>
        <v>632.40350000000001</v>
      </c>
      <c r="AF567">
        <f t="shared" ca="1" si="215"/>
        <v>2593.4805316486622</v>
      </c>
      <c r="AI567">
        <v>0</v>
      </c>
      <c r="AJ567">
        <v>0</v>
      </c>
      <c r="AK567">
        <f t="shared" si="216"/>
        <v>0</v>
      </c>
      <c r="AL567">
        <f t="shared" si="224"/>
        <v>0</v>
      </c>
      <c r="AM567">
        <f t="shared" ca="1" si="217"/>
        <v>280.07692026646265</v>
      </c>
      <c r="AN567" t="str">
        <f t="shared" ca="1" si="218"/>
        <v>Supercritical</v>
      </c>
      <c r="AO567">
        <f ca="1">IF(V32="Supercritical",R567,AA567)</f>
        <v>482.07306851378365</v>
      </c>
    </row>
    <row r="568" spans="1:41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174</v>
      </c>
      <c r="I568">
        <v>0</v>
      </c>
      <c r="J568">
        <f t="shared" si="219"/>
        <v>0.9989999999999668</v>
      </c>
      <c r="K568">
        <f t="shared" si="220"/>
        <v>51</v>
      </c>
      <c r="L568">
        <f t="shared" ca="1" si="221"/>
        <v>38819.434927160386</v>
      </c>
      <c r="M568">
        <f t="shared" ca="1" si="199"/>
        <v>201861.06162123402</v>
      </c>
      <c r="N568">
        <f t="shared" ca="1" si="200"/>
        <v>2.599825872084947</v>
      </c>
      <c r="O568">
        <f t="shared" ca="1" si="201"/>
        <v>2.5264902299827817E-4</v>
      </c>
      <c r="P568">
        <f t="shared" ca="1" si="202"/>
        <v>39451.787927160389</v>
      </c>
      <c r="Q568">
        <f t="shared" ca="1" si="203"/>
        <v>39451.787927163641</v>
      </c>
      <c r="R568">
        <f t="shared" ca="1" si="204"/>
        <v>4.0175264929242661E-12</v>
      </c>
      <c r="S568">
        <f t="shared" ca="1" si="222"/>
        <v>1.1800898246292491E-2</v>
      </c>
      <c r="T568">
        <f t="shared" ca="1" si="223"/>
        <v>0</v>
      </c>
      <c r="U568">
        <f t="shared" ca="1" si="205"/>
        <v>0.05</v>
      </c>
      <c r="V568">
        <f t="shared" ca="1" si="206"/>
        <v>0.26</v>
      </c>
      <c r="W568">
        <f t="shared" ca="1" si="207"/>
        <v>4.9056603773584909E-2</v>
      </c>
      <c r="X568">
        <f t="shared" ca="1" si="208"/>
        <v>196.15384615384616</v>
      </c>
      <c r="Y568">
        <f t="shared" ca="1" si="209"/>
        <v>632.40299999999991</v>
      </c>
      <c r="Z568">
        <f t="shared" ca="1" si="210"/>
        <v>2593.4800316486621</v>
      </c>
      <c r="AA568">
        <f t="shared" ca="1" si="211"/>
        <v>482.07306851378365</v>
      </c>
      <c r="AB568">
        <f t="shared" ca="1" si="212"/>
        <v>482.16081698020798</v>
      </c>
      <c r="AC568">
        <f t="shared" ca="1" si="213"/>
        <v>0</v>
      </c>
      <c r="AD568">
        <f ca="1">IF(V32="Supercritical",L568,U568)</f>
        <v>0.05</v>
      </c>
      <c r="AE568">
        <f t="shared" ca="1" si="214"/>
        <v>632.40299999999991</v>
      </c>
      <c r="AF568">
        <f t="shared" ca="1" si="215"/>
        <v>2593.4800316486621</v>
      </c>
      <c r="AI568">
        <v>0</v>
      </c>
      <c r="AJ568">
        <v>0</v>
      </c>
      <c r="AK568">
        <f t="shared" si="216"/>
        <v>0</v>
      </c>
      <c r="AL568">
        <f t="shared" si="224"/>
        <v>0</v>
      </c>
      <c r="AM568">
        <f t="shared" ca="1" si="217"/>
        <v>280.07692026646265</v>
      </c>
      <c r="AN568" t="str">
        <f t="shared" ca="1" si="218"/>
        <v>Supercritical</v>
      </c>
      <c r="AO568">
        <f ca="1">IF(V32="Supercritical",R568,AA568)</f>
        <v>482.07306851378365</v>
      </c>
    </row>
    <row r="569" spans="1:41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174</v>
      </c>
      <c r="I569">
        <v>2.7E-2</v>
      </c>
      <c r="J569">
        <f t="shared" si="219"/>
        <v>1</v>
      </c>
      <c r="K569">
        <f t="shared" si="220"/>
        <v>51</v>
      </c>
      <c r="L569">
        <f t="shared" ca="1" si="221"/>
        <v>38819.434927160386</v>
      </c>
      <c r="M569">
        <f t="shared" ca="1" si="199"/>
        <v>201861.06162123402</v>
      </c>
      <c r="N569">
        <f t="shared" ca="1" si="200"/>
        <v>2.599825872084947</v>
      </c>
      <c r="O569">
        <f t="shared" ca="1" si="201"/>
        <v>2.5264902299827817E-4</v>
      </c>
      <c r="P569">
        <f t="shared" ca="1" si="202"/>
        <v>39451.787427160387</v>
      </c>
      <c r="Q569">
        <f t="shared" ca="1" si="203"/>
        <v>39451.787427163639</v>
      </c>
      <c r="R569">
        <f t="shared" ca="1" si="204"/>
        <v>4.0175264929242661E-12</v>
      </c>
      <c r="S569">
        <f t="shared" ca="1" si="222"/>
        <v>4.999999946448952E-4</v>
      </c>
      <c r="T569">
        <f t="shared" ca="1" si="223"/>
        <v>1</v>
      </c>
      <c r="U569">
        <f t="shared" ca="1" si="205"/>
        <v>0.05</v>
      </c>
      <c r="V569">
        <f t="shared" ca="1" si="206"/>
        <v>0.26</v>
      </c>
      <c r="W569">
        <f t="shared" ca="1" si="207"/>
        <v>4.9056603773584909E-2</v>
      </c>
      <c r="X569">
        <f t="shared" ca="1" si="208"/>
        <v>196.15384615384616</v>
      </c>
      <c r="Y569">
        <f t="shared" ca="1" si="209"/>
        <v>632.40249999999992</v>
      </c>
      <c r="Z569">
        <f t="shared" ca="1" si="210"/>
        <v>2593.479531648662</v>
      </c>
      <c r="AA569">
        <f t="shared" ca="1" si="211"/>
        <v>482.07306851378365</v>
      </c>
      <c r="AB569">
        <f t="shared" ca="1" si="212"/>
        <v>482.32750852789786</v>
      </c>
      <c r="AC569">
        <f t="shared" ca="1" si="213"/>
        <v>0</v>
      </c>
      <c r="AD569">
        <f ca="1">IF(V32="Supercritical",L569,U569)</f>
        <v>0.05</v>
      </c>
      <c r="AE569">
        <f t="shared" ca="1" si="214"/>
        <v>632.40249999999992</v>
      </c>
      <c r="AF569">
        <f t="shared" ca="1" si="215"/>
        <v>2593.479531648662</v>
      </c>
      <c r="AI569">
        <v>0</v>
      </c>
      <c r="AJ569">
        <v>0</v>
      </c>
      <c r="AK569">
        <f t="shared" si="216"/>
        <v>0</v>
      </c>
      <c r="AL569">
        <f t="shared" si="224"/>
        <v>0</v>
      </c>
      <c r="AM569">
        <f t="shared" ca="1" si="217"/>
        <v>280.07692026646265</v>
      </c>
      <c r="AN569" t="str">
        <f t="shared" ca="1" si="218"/>
        <v>Supercritical</v>
      </c>
      <c r="AO569">
        <f ca="1">IF(V32="Supercritical",R569,AA569)</f>
        <v>482.07306851378365</v>
      </c>
    </row>
    <row r="570" spans="1:41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174</v>
      </c>
      <c r="I570">
        <v>7.8E-2</v>
      </c>
      <c r="J570">
        <f t="shared" si="219"/>
        <v>1</v>
      </c>
      <c r="K570">
        <f t="shared" si="220"/>
        <v>51</v>
      </c>
      <c r="L570">
        <f t="shared" ca="1" si="221"/>
        <v>38819.423618518573</v>
      </c>
      <c r="M570">
        <f t="shared" ca="1" si="199"/>
        <v>201861.00281629659</v>
      </c>
      <c r="N570">
        <f t="shared" ca="1" si="200"/>
        <v>2.5998258720342244</v>
      </c>
      <c r="O570">
        <f t="shared" ca="1" si="201"/>
        <v>2.5264909659847724E-4</v>
      </c>
      <c r="P570">
        <f t="shared" ca="1" si="202"/>
        <v>39451.775618518572</v>
      </c>
      <c r="Q570">
        <f t="shared" ca="1" si="203"/>
        <v>39451.775618521824</v>
      </c>
      <c r="R570">
        <f t="shared" ca="1" si="204"/>
        <v>4.0175288337525914E-12</v>
      </c>
      <c r="S570">
        <f t="shared" ca="1" si="222"/>
        <v>1.1808641807874665E-2</v>
      </c>
      <c r="T570">
        <f t="shared" ca="1" si="223"/>
        <v>0</v>
      </c>
      <c r="U570">
        <f t="shared" ca="1" si="205"/>
        <v>0.05</v>
      </c>
      <c r="V570">
        <f t="shared" ca="1" si="206"/>
        <v>0.26</v>
      </c>
      <c r="W570">
        <f t="shared" ca="1" si="207"/>
        <v>4.9056603773584909E-2</v>
      </c>
      <c r="X570">
        <f t="shared" ca="1" si="208"/>
        <v>196.15384615384616</v>
      </c>
      <c r="Y570">
        <f t="shared" ca="1" si="209"/>
        <v>632.40199999999993</v>
      </c>
      <c r="Z570">
        <f t="shared" ca="1" si="210"/>
        <v>2593.4790316486619</v>
      </c>
      <c r="AA570">
        <f t="shared" ca="1" si="211"/>
        <v>482.07306851378365</v>
      </c>
      <c r="AB570">
        <f t="shared" ca="1" si="212"/>
        <v>482.32750852789832</v>
      </c>
      <c r="AC570">
        <f t="shared" ca="1" si="213"/>
        <v>0</v>
      </c>
      <c r="AD570">
        <f ca="1">IF(V32="Supercritical",L570,U570)</f>
        <v>0.05</v>
      </c>
      <c r="AE570">
        <f t="shared" ca="1" si="214"/>
        <v>632.40199999999993</v>
      </c>
      <c r="AF570">
        <f t="shared" ca="1" si="215"/>
        <v>2593.4790316486619</v>
      </c>
      <c r="AI570">
        <v>0</v>
      </c>
      <c r="AJ570">
        <v>0</v>
      </c>
      <c r="AK570">
        <f t="shared" si="216"/>
        <v>0</v>
      </c>
      <c r="AL570">
        <f t="shared" si="224"/>
        <v>0</v>
      </c>
      <c r="AM570">
        <f t="shared" ca="1" si="217"/>
        <v>280.07692026646265</v>
      </c>
      <c r="AN570" t="str">
        <f t="shared" ca="1" si="218"/>
        <v>Supercritical</v>
      </c>
      <c r="AO570">
        <f ca="1">IF(V32="Supercritical",R570,AA570)</f>
        <v>482.07306851378365</v>
      </c>
    </row>
    <row r="571" spans="1:41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174</v>
      </c>
      <c r="I571">
        <v>7.8E-2</v>
      </c>
      <c r="J571">
        <f t="shared" si="219"/>
        <v>1</v>
      </c>
      <c r="K571">
        <f t="shared" si="220"/>
        <v>51</v>
      </c>
      <c r="L571">
        <f t="shared" ca="1" si="221"/>
        <v>38819.423618518573</v>
      </c>
      <c r="M571">
        <f t="shared" ca="1" si="199"/>
        <v>201861.00281629659</v>
      </c>
      <c r="N571">
        <f t="shared" ca="1" si="200"/>
        <v>2.5998258720342244</v>
      </c>
      <c r="O571">
        <f t="shared" ca="1" si="201"/>
        <v>2.5264909659847724E-4</v>
      </c>
      <c r="P571">
        <f t="shared" ca="1" si="202"/>
        <v>39451.77511851857</v>
      </c>
      <c r="Q571">
        <f t="shared" ca="1" si="203"/>
        <v>39451.775118521822</v>
      </c>
      <c r="R571">
        <f t="shared" ca="1" si="204"/>
        <v>4.0175288337525914E-12</v>
      </c>
      <c r="S571">
        <f t="shared" ca="1" si="222"/>
        <v>4.999999946448952E-4</v>
      </c>
      <c r="T571">
        <f t="shared" ca="1" si="223"/>
        <v>1</v>
      </c>
      <c r="U571">
        <f t="shared" ca="1" si="205"/>
        <v>0.05</v>
      </c>
      <c r="V571">
        <f t="shared" ca="1" si="206"/>
        <v>0.26</v>
      </c>
      <c r="W571">
        <f t="shared" ca="1" si="207"/>
        <v>4.9056603773584909E-2</v>
      </c>
      <c r="X571">
        <f t="shared" ca="1" si="208"/>
        <v>196.15384615384616</v>
      </c>
      <c r="Y571">
        <f t="shared" ca="1" si="209"/>
        <v>632.40149999999994</v>
      </c>
      <c r="Z571">
        <f t="shared" ca="1" si="210"/>
        <v>2593.4785316486623</v>
      </c>
      <c r="AA571">
        <f t="shared" ca="1" si="211"/>
        <v>482.07306851378365</v>
      </c>
      <c r="AB571">
        <f t="shared" ca="1" si="212"/>
        <v>482.64289004873763</v>
      </c>
      <c r="AC571">
        <f t="shared" ca="1" si="213"/>
        <v>0</v>
      </c>
      <c r="AD571">
        <f ca="1">IF(V32="Supercritical",L571,U571)</f>
        <v>0.05</v>
      </c>
      <c r="AE571">
        <f t="shared" ca="1" si="214"/>
        <v>632.40149999999994</v>
      </c>
      <c r="AF571">
        <f t="shared" ca="1" si="215"/>
        <v>2593.4785316486623</v>
      </c>
      <c r="AI571">
        <v>0</v>
      </c>
      <c r="AJ571">
        <v>0</v>
      </c>
      <c r="AK571">
        <f t="shared" si="216"/>
        <v>0</v>
      </c>
      <c r="AL571">
        <f t="shared" si="224"/>
        <v>0</v>
      </c>
      <c r="AM571">
        <f t="shared" ca="1" si="217"/>
        <v>280.07692026646265</v>
      </c>
      <c r="AN571" t="str">
        <f t="shared" ca="1" si="218"/>
        <v>Supercritical</v>
      </c>
      <c r="AO571">
        <f ca="1">IF(V32="Supercritical",R571,AA571)</f>
        <v>482.07306851378365</v>
      </c>
    </row>
    <row r="572" spans="1:41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174</v>
      </c>
      <c r="I572">
        <v>2.7E-2</v>
      </c>
      <c r="J572">
        <f t="shared" si="219"/>
        <v>1.0010000000000332</v>
      </c>
      <c r="K572">
        <f t="shared" si="220"/>
        <v>51</v>
      </c>
      <c r="L572">
        <f t="shared" ca="1" si="221"/>
        <v>38819.412304013953</v>
      </c>
      <c r="M572">
        <f t="shared" ca="1" si="199"/>
        <v>201860.94398087257</v>
      </c>
      <c r="N572">
        <f t="shared" ca="1" si="200"/>
        <v>2.5998258719834757</v>
      </c>
      <c r="O572">
        <f t="shared" ca="1" si="201"/>
        <v>2.5264917023687616E-4</v>
      </c>
      <c r="P572">
        <f t="shared" ca="1" si="202"/>
        <v>39451.763304013955</v>
      </c>
      <c r="Q572">
        <f t="shared" ca="1" si="203"/>
        <v>39451.763304017208</v>
      </c>
      <c r="R572">
        <f t="shared" ca="1" si="204"/>
        <v>4.0175311757965321E-12</v>
      </c>
      <c r="S572">
        <f t="shared" ca="1" si="222"/>
        <v>1.1814504607173149E-2</v>
      </c>
      <c r="T572">
        <f t="shared" ca="1" si="223"/>
        <v>0</v>
      </c>
      <c r="U572">
        <f t="shared" ca="1" si="205"/>
        <v>0.05</v>
      </c>
      <c r="V572">
        <f t="shared" ca="1" si="206"/>
        <v>0.26</v>
      </c>
      <c r="W572">
        <f t="shared" ca="1" si="207"/>
        <v>4.9056603773584909E-2</v>
      </c>
      <c r="X572">
        <f t="shared" ca="1" si="208"/>
        <v>196.15384615384616</v>
      </c>
      <c r="Y572">
        <f t="shared" ca="1" si="209"/>
        <v>632.40099999999995</v>
      </c>
      <c r="Z572">
        <f t="shared" ca="1" si="210"/>
        <v>2593.4780316486622</v>
      </c>
      <c r="AA572">
        <f t="shared" ca="1" si="211"/>
        <v>482.07306851378365</v>
      </c>
      <c r="AB572">
        <f t="shared" ca="1" si="212"/>
        <v>481.59049544525351</v>
      </c>
      <c r="AC572">
        <f t="shared" ca="1" si="213"/>
        <v>0</v>
      </c>
      <c r="AD572">
        <f ca="1">IF(V32="Supercritical",L572,U572)</f>
        <v>0.05</v>
      </c>
      <c r="AE572">
        <f t="shared" ca="1" si="214"/>
        <v>632.40099999999995</v>
      </c>
      <c r="AF572">
        <f t="shared" ca="1" si="215"/>
        <v>2593.4780316486622</v>
      </c>
      <c r="AI572">
        <v>0</v>
      </c>
      <c r="AJ572">
        <v>0</v>
      </c>
      <c r="AK572">
        <f t="shared" si="216"/>
        <v>0</v>
      </c>
      <c r="AL572">
        <f t="shared" si="224"/>
        <v>0</v>
      </c>
      <c r="AM572">
        <f t="shared" ca="1" si="217"/>
        <v>280.07692026646265</v>
      </c>
      <c r="AN572" t="str">
        <f t="shared" ca="1" si="218"/>
        <v>Supercritical</v>
      </c>
      <c r="AO572">
        <f ca="1">IF(V32="Supercritical",R572,AA572)</f>
        <v>482.07306851378365</v>
      </c>
    </row>
    <row r="573" spans="1:41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174</v>
      </c>
      <c r="I573">
        <v>0</v>
      </c>
      <c r="J573">
        <f t="shared" si="219"/>
        <v>0.9989999999999668</v>
      </c>
      <c r="K573">
        <f t="shared" si="220"/>
        <v>51</v>
      </c>
      <c r="L573">
        <f t="shared" ca="1" si="221"/>
        <v>38819.412304013953</v>
      </c>
      <c r="M573">
        <f t="shared" ca="1" si="199"/>
        <v>201860.94398087257</v>
      </c>
      <c r="N573">
        <f t="shared" ca="1" si="200"/>
        <v>2.5998258719834757</v>
      </c>
      <c r="O573">
        <f t="shared" ca="1" si="201"/>
        <v>2.5264917023687616E-4</v>
      </c>
      <c r="P573">
        <f t="shared" ca="1" si="202"/>
        <v>39451.762804013953</v>
      </c>
      <c r="Q573">
        <f t="shared" ca="1" si="203"/>
        <v>39451.762804017206</v>
      </c>
      <c r="R573">
        <f t="shared" ca="1" si="204"/>
        <v>4.0175311757965321E-12</v>
      </c>
      <c r="S573">
        <f t="shared" ca="1" si="222"/>
        <v>4.999999946448952E-4</v>
      </c>
      <c r="T573">
        <f t="shared" ca="1" si="223"/>
        <v>1</v>
      </c>
      <c r="U573">
        <f t="shared" ca="1" si="205"/>
        <v>0.05</v>
      </c>
      <c r="V573">
        <f t="shared" ca="1" si="206"/>
        <v>0.26</v>
      </c>
      <c r="W573">
        <f t="shared" ca="1" si="207"/>
        <v>4.9056603773584909E-2</v>
      </c>
      <c r="X573">
        <f t="shared" ca="1" si="208"/>
        <v>196.15384615384616</v>
      </c>
      <c r="Y573">
        <f t="shared" ca="1" si="209"/>
        <v>632.40049999999997</v>
      </c>
      <c r="Z573">
        <f t="shared" ca="1" si="210"/>
        <v>2593.4775316486621</v>
      </c>
      <c r="AA573">
        <f t="shared" ca="1" si="211"/>
        <v>482.07306851378365</v>
      </c>
      <c r="AB573">
        <f t="shared" ca="1" si="212"/>
        <v>482.1477431333301</v>
      </c>
      <c r="AC573">
        <f t="shared" ca="1" si="213"/>
        <v>0</v>
      </c>
      <c r="AD573">
        <f ca="1">IF(V32="Supercritical",L573,U573)</f>
        <v>0.05</v>
      </c>
      <c r="AE573">
        <f t="shared" ca="1" si="214"/>
        <v>632.40049999999997</v>
      </c>
      <c r="AF573">
        <f t="shared" ca="1" si="215"/>
        <v>2593.4775316486621</v>
      </c>
      <c r="AI573">
        <v>0</v>
      </c>
      <c r="AJ573">
        <v>0</v>
      </c>
      <c r="AK573">
        <f t="shared" si="216"/>
        <v>0</v>
      </c>
      <c r="AL573">
        <f t="shared" si="224"/>
        <v>0</v>
      </c>
      <c r="AM573">
        <f t="shared" ca="1" si="217"/>
        <v>280.07692026646265</v>
      </c>
      <c r="AN573" t="str">
        <f t="shared" ca="1" si="218"/>
        <v>Supercritical</v>
      </c>
      <c r="AO573">
        <f ca="1">IF(V32="Supercritical",R573,AA573)</f>
        <v>482.07306851378365</v>
      </c>
    </row>
    <row r="574" spans="1:41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174</v>
      </c>
      <c r="I574">
        <v>2.3E-2</v>
      </c>
      <c r="J574">
        <f t="shared" si="219"/>
        <v>1</v>
      </c>
      <c r="K574">
        <f t="shared" si="220"/>
        <v>51</v>
      </c>
      <c r="L574">
        <f t="shared" ca="1" si="221"/>
        <v>38819.400985095941</v>
      </c>
      <c r="M574">
        <f t="shared" ca="1" si="199"/>
        <v>201860.8851224989</v>
      </c>
      <c r="N574">
        <f t="shared" ca="1" si="200"/>
        <v>2.599825871932707</v>
      </c>
      <c r="O574">
        <f t="shared" ca="1" si="201"/>
        <v>2.5264924390404185E-4</v>
      </c>
      <c r="P574">
        <f t="shared" ca="1" si="202"/>
        <v>39451.75098509594</v>
      </c>
      <c r="Q574">
        <f t="shared" ca="1" si="203"/>
        <v>39451.750985099192</v>
      </c>
      <c r="R574">
        <f t="shared" ca="1" si="204"/>
        <v>4.0175335187560746E-12</v>
      </c>
      <c r="S574">
        <f t="shared" ca="1" si="222"/>
        <v>1.1818918006611057E-2</v>
      </c>
      <c r="T574">
        <f t="shared" ca="1" si="223"/>
        <v>0</v>
      </c>
      <c r="U574">
        <f t="shared" ca="1" si="205"/>
        <v>0.05</v>
      </c>
      <c r="V574">
        <f t="shared" ca="1" si="206"/>
        <v>0.26</v>
      </c>
      <c r="W574">
        <f t="shared" ca="1" si="207"/>
        <v>4.9056603773584909E-2</v>
      </c>
      <c r="X574">
        <f t="shared" ca="1" si="208"/>
        <v>196.15384615384616</v>
      </c>
      <c r="Y574">
        <f t="shared" ca="1" si="209"/>
        <v>632.4</v>
      </c>
      <c r="Z574">
        <f t="shared" ca="1" si="210"/>
        <v>2593.477031648662</v>
      </c>
      <c r="AA574">
        <f t="shared" ca="1" si="211"/>
        <v>482.07306851378365</v>
      </c>
      <c r="AB574">
        <f t="shared" ca="1" si="212"/>
        <v>482.62981620185974</v>
      </c>
      <c r="AC574">
        <f t="shared" ca="1" si="213"/>
        <v>0</v>
      </c>
      <c r="AD574">
        <f ca="1">IF(V32="Supercritical",L574,U574)</f>
        <v>0.05</v>
      </c>
      <c r="AE574">
        <f t="shared" ca="1" si="214"/>
        <v>632.4</v>
      </c>
      <c r="AF574">
        <f t="shared" ca="1" si="215"/>
        <v>2593.477031648662</v>
      </c>
      <c r="AI574">
        <v>0</v>
      </c>
      <c r="AJ574">
        <v>0</v>
      </c>
      <c r="AK574">
        <f t="shared" si="216"/>
        <v>0</v>
      </c>
      <c r="AL574">
        <f t="shared" si="224"/>
        <v>0</v>
      </c>
      <c r="AM574">
        <f t="shared" ca="1" si="217"/>
        <v>280.07692026646265</v>
      </c>
      <c r="AN574" t="str">
        <f t="shared" ca="1" si="218"/>
        <v>Supercritical</v>
      </c>
      <c r="AO574">
        <f ca="1">IF(V32="Supercritical",R574,AA574)</f>
        <v>482.07306851378365</v>
      </c>
    </row>
    <row r="575" spans="1:41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174</v>
      </c>
      <c r="I575">
        <v>2.3E-2</v>
      </c>
      <c r="J575">
        <f t="shared" si="219"/>
        <v>1.0010000000000332</v>
      </c>
      <c r="K575">
        <f t="shared" si="220"/>
        <v>51</v>
      </c>
      <c r="L575">
        <f t="shared" ca="1" si="221"/>
        <v>38819.400985095941</v>
      </c>
      <c r="M575">
        <f t="shared" ca="1" si="199"/>
        <v>201860.8851224989</v>
      </c>
      <c r="N575">
        <f t="shared" ca="1" si="200"/>
        <v>2.599825871932707</v>
      </c>
      <c r="O575">
        <f t="shared" ca="1" si="201"/>
        <v>2.5264924390404185E-4</v>
      </c>
      <c r="P575">
        <f t="shared" ca="1" si="202"/>
        <v>39451.750485095938</v>
      </c>
      <c r="Q575">
        <f t="shared" ca="1" si="203"/>
        <v>39451.75048509919</v>
      </c>
      <c r="R575">
        <f t="shared" ca="1" si="204"/>
        <v>4.0175335187560746E-12</v>
      </c>
      <c r="S575">
        <f t="shared" ca="1" si="222"/>
        <v>4.999999946448952E-4</v>
      </c>
      <c r="T575">
        <f t="shared" ca="1" si="223"/>
        <v>1</v>
      </c>
      <c r="U575">
        <f t="shared" ca="1" si="205"/>
        <v>0.05</v>
      </c>
      <c r="V575">
        <f t="shared" ca="1" si="206"/>
        <v>0.26</v>
      </c>
      <c r="W575">
        <f t="shared" ca="1" si="207"/>
        <v>4.9056603773584909E-2</v>
      </c>
      <c r="X575">
        <f t="shared" ca="1" si="208"/>
        <v>196.15384615384616</v>
      </c>
      <c r="Y575">
        <f t="shared" ca="1" si="209"/>
        <v>632.39949999999999</v>
      </c>
      <c r="Z575">
        <f t="shared" ca="1" si="210"/>
        <v>2593.4765316486619</v>
      </c>
      <c r="AA575">
        <f t="shared" ca="1" si="211"/>
        <v>482.07306851378365</v>
      </c>
      <c r="AB575">
        <f t="shared" ca="1" si="212"/>
        <v>481.67874391167879</v>
      </c>
      <c r="AC575">
        <f t="shared" ca="1" si="213"/>
        <v>0</v>
      </c>
      <c r="AD575">
        <f ca="1">IF(V32="Supercritical",L575,U575)</f>
        <v>0.05</v>
      </c>
      <c r="AE575">
        <f t="shared" ca="1" si="214"/>
        <v>632.39949999999999</v>
      </c>
      <c r="AF575">
        <f t="shared" ca="1" si="215"/>
        <v>2593.4765316486619</v>
      </c>
      <c r="AI575">
        <v>0</v>
      </c>
      <c r="AJ575">
        <v>0</v>
      </c>
      <c r="AK575">
        <f t="shared" si="216"/>
        <v>0</v>
      </c>
      <c r="AL575">
        <f t="shared" si="224"/>
        <v>0</v>
      </c>
      <c r="AM575">
        <f t="shared" ca="1" si="217"/>
        <v>280.07692026646265</v>
      </c>
      <c r="AN575" t="str">
        <f t="shared" ca="1" si="218"/>
        <v>Supercritical</v>
      </c>
      <c r="AO575">
        <f ca="1">IF(V32="Supercritical",R575,AA575)</f>
        <v>482.07306851378365</v>
      </c>
    </row>
    <row r="576" spans="1:41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174</v>
      </c>
      <c r="I576">
        <v>2.7E-2</v>
      </c>
      <c r="J576">
        <f t="shared" si="219"/>
        <v>0.9989999999999668</v>
      </c>
      <c r="K576">
        <f t="shared" si="220"/>
        <v>51</v>
      </c>
      <c r="L576">
        <f t="shared" ca="1" si="221"/>
        <v>38819.38966287567</v>
      </c>
      <c r="M576">
        <f t="shared" ca="1" si="199"/>
        <v>201860.82624695348</v>
      </c>
      <c r="N576">
        <f t="shared" ca="1" si="200"/>
        <v>2.5998258718819232</v>
      </c>
      <c r="O576">
        <f t="shared" ca="1" si="201"/>
        <v>2.5264931759274271E-4</v>
      </c>
      <c r="P576">
        <f t="shared" ca="1" si="202"/>
        <v>39451.738662875672</v>
      </c>
      <c r="Q576">
        <f t="shared" ca="1" si="203"/>
        <v>39451.738662878925</v>
      </c>
      <c r="R576">
        <f t="shared" ca="1" si="204"/>
        <v>4.0175358624012189E-12</v>
      </c>
      <c r="S576">
        <f t="shared" ca="1" si="222"/>
        <v>1.1822220258181915E-2</v>
      </c>
      <c r="T576">
        <f t="shared" ca="1" si="223"/>
        <v>0</v>
      </c>
      <c r="U576">
        <f t="shared" ca="1" si="205"/>
        <v>0.05</v>
      </c>
      <c r="V576">
        <f t="shared" ca="1" si="206"/>
        <v>0.26</v>
      </c>
      <c r="W576">
        <f t="shared" ca="1" si="207"/>
        <v>4.9056603773584909E-2</v>
      </c>
      <c r="X576">
        <f t="shared" ca="1" si="208"/>
        <v>196.15384615384616</v>
      </c>
      <c r="Y576">
        <f t="shared" ca="1" si="209"/>
        <v>632.399</v>
      </c>
      <c r="Z576">
        <f t="shared" ca="1" si="210"/>
        <v>2593.4760316486622</v>
      </c>
      <c r="AA576">
        <f t="shared" ca="1" si="211"/>
        <v>482.07306851378365</v>
      </c>
      <c r="AB576">
        <f t="shared" ca="1" si="212"/>
        <v>482.64289004873763</v>
      </c>
      <c r="AC576">
        <f t="shared" ca="1" si="213"/>
        <v>0</v>
      </c>
      <c r="AD576">
        <f ca="1">IF(V32="Supercritical",L576,U576)</f>
        <v>0.05</v>
      </c>
      <c r="AE576">
        <f t="shared" ca="1" si="214"/>
        <v>632.399</v>
      </c>
      <c r="AF576">
        <f t="shared" ca="1" si="215"/>
        <v>2593.4760316486622</v>
      </c>
      <c r="AI576">
        <v>0</v>
      </c>
      <c r="AJ576">
        <v>0</v>
      </c>
      <c r="AK576">
        <f t="shared" si="216"/>
        <v>0</v>
      </c>
      <c r="AL576">
        <f t="shared" si="224"/>
        <v>0</v>
      </c>
      <c r="AM576">
        <f t="shared" ca="1" si="217"/>
        <v>280.07692026646265</v>
      </c>
      <c r="AN576" t="str">
        <f t="shared" ca="1" si="218"/>
        <v>Supercritical</v>
      </c>
      <c r="AO576">
        <f ca="1">IF(V32="Supercritical",R576,AA576)</f>
        <v>482.07306851378365</v>
      </c>
    </row>
    <row r="577" spans="1:41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174</v>
      </c>
      <c r="I577">
        <v>2.7E-2</v>
      </c>
      <c r="J577">
        <f t="shared" si="219"/>
        <v>1.0010000000000332</v>
      </c>
      <c r="K577">
        <f t="shared" si="220"/>
        <v>51</v>
      </c>
      <c r="L577">
        <f t="shared" ca="1" si="221"/>
        <v>38819.38966287567</v>
      </c>
      <c r="M577">
        <f t="shared" ca="1" si="199"/>
        <v>201860.82624695348</v>
      </c>
      <c r="N577">
        <f t="shared" ca="1" si="200"/>
        <v>2.5998258718819232</v>
      </c>
      <c r="O577">
        <f t="shared" ca="1" si="201"/>
        <v>2.5264931759274271E-4</v>
      </c>
      <c r="P577">
        <f t="shared" ca="1" si="202"/>
        <v>39451.73816287567</v>
      </c>
      <c r="Q577">
        <f t="shared" ca="1" si="203"/>
        <v>39451.738162878923</v>
      </c>
      <c r="R577">
        <f t="shared" ca="1" si="204"/>
        <v>4.0175358624012189E-12</v>
      </c>
      <c r="S577">
        <f t="shared" ca="1" si="222"/>
        <v>4.999999946448952E-4</v>
      </c>
      <c r="T577">
        <f t="shared" ca="1" si="223"/>
        <v>1</v>
      </c>
      <c r="U577">
        <f t="shared" ca="1" si="205"/>
        <v>0.05</v>
      </c>
      <c r="V577">
        <f t="shared" ca="1" si="206"/>
        <v>0.26</v>
      </c>
      <c r="W577">
        <f t="shared" ca="1" si="207"/>
        <v>4.9056603773584909E-2</v>
      </c>
      <c r="X577">
        <f t="shared" ca="1" si="208"/>
        <v>196.15384615384616</v>
      </c>
      <c r="Y577">
        <f t="shared" ca="1" si="209"/>
        <v>632.3984999999999</v>
      </c>
      <c r="Z577">
        <f t="shared" ca="1" si="210"/>
        <v>2593.4755316486621</v>
      </c>
      <c r="AA577">
        <f t="shared" ca="1" si="211"/>
        <v>482.07306851378365</v>
      </c>
      <c r="AB577">
        <f t="shared" ca="1" si="212"/>
        <v>481.59049544525396</v>
      </c>
      <c r="AC577">
        <f t="shared" ca="1" si="213"/>
        <v>0</v>
      </c>
      <c r="AD577">
        <f ca="1">IF(V32="Supercritical",L577,U577)</f>
        <v>0.05</v>
      </c>
      <c r="AE577">
        <f t="shared" ca="1" si="214"/>
        <v>632.3984999999999</v>
      </c>
      <c r="AF577">
        <f t="shared" ca="1" si="215"/>
        <v>2593.4755316486621</v>
      </c>
      <c r="AI577">
        <v>0</v>
      </c>
      <c r="AJ577">
        <v>0</v>
      </c>
      <c r="AK577">
        <f t="shared" si="216"/>
        <v>0</v>
      </c>
      <c r="AL577">
        <f t="shared" si="224"/>
        <v>0</v>
      </c>
      <c r="AM577">
        <f t="shared" ca="1" si="217"/>
        <v>280.07692026646265</v>
      </c>
      <c r="AN577" t="str">
        <f t="shared" ca="1" si="218"/>
        <v>Supercritical</v>
      </c>
      <c r="AO577">
        <f ca="1">IF(V32="Supercritical",R577,AA577)</f>
        <v>482.07306851378365</v>
      </c>
    </row>
    <row r="578" spans="1:41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174</v>
      </c>
      <c r="I578">
        <v>0</v>
      </c>
      <c r="J578">
        <f t="shared" si="219"/>
        <v>0.9989999999999668</v>
      </c>
      <c r="K578">
        <f t="shared" si="220"/>
        <v>51</v>
      </c>
      <c r="L578">
        <f t="shared" ca="1" si="221"/>
        <v>38819.37833820044</v>
      </c>
      <c r="M578">
        <f t="shared" ca="1" si="199"/>
        <v>201860.7673586423</v>
      </c>
      <c r="N578">
        <f t="shared" ca="1" si="200"/>
        <v>2.5998258718311287</v>
      </c>
      <c r="O578">
        <f t="shared" ca="1" si="201"/>
        <v>2.5264939129746418E-4</v>
      </c>
      <c r="P578">
        <f t="shared" ca="1" si="202"/>
        <v>39451.726338200438</v>
      </c>
      <c r="Q578">
        <f t="shared" ca="1" si="203"/>
        <v>39451.726338203691</v>
      </c>
      <c r="R578">
        <f t="shared" ca="1" si="204"/>
        <v>4.0175382065565761E-12</v>
      </c>
      <c r="S578">
        <f t="shared" ca="1" si="222"/>
        <v>1.1824675224488601E-2</v>
      </c>
      <c r="T578">
        <f t="shared" ca="1" si="223"/>
        <v>0</v>
      </c>
      <c r="U578">
        <f t="shared" ca="1" si="205"/>
        <v>0.05</v>
      </c>
      <c r="V578">
        <f t="shared" ca="1" si="206"/>
        <v>0.26</v>
      </c>
      <c r="W578">
        <f t="shared" ca="1" si="207"/>
        <v>4.9056603773584909E-2</v>
      </c>
      <c r="X578">
        <f t="shared" ca="1" si="208"/>
        <v>196.15384615384616</v>
      </c>
      <c r="Y578">
        <f t="shared" ca="1" si="209"/>
        <v>632.39799999999991</v>
      </c>
      <c r="Z578">
        <f t="shared" ca="1" si="210"/>
        <v>2593.475031648662</v>
      </c>
      <c r="AA578">
        <f t="shared" ca="1" si="211"/>
        <v>482.07306851378365</v>
      </c>
      <c r="AB578">
        <f t="shared" ca="1" si="212"/>
        <v>482.1477431333301</v>
      </c>
      <c r="AC578">
        <f t="shared" ca="1" si="213"/>
        <v>0</v>
      </c>
      <c r="AD578">
        <f ca="1">IF(V32="Supercritical",L578,U578)</f>
        <v>0.05</v>
      </c>
      <c r="AE578">
        <f t="shared" ca="1" si="214"/>
        <v>632.39799999999991</v>
      </c>
      <c r="AF578">
        <f t="shared" ca="1" si="215"/>
        <v>2593.475031648662</v>
      </c>
      <c r="AI578">
        <v>0</v>
      </c>
      <c r="AJ578">
        <v>0</v>
      </c>
      <c r="AK578">
        <f t="shared" si="216"/>
        <v>0</v>
      </c>
      <c r="AL578">
        <f t="shared" si="224"/>
        <v>0</v>
      </c>
      <c r="AM578">
        <f t="shared" ca="1" si="217"/>
        <v>280.07692026646265</v>
      </c>
      <c r="AN578" t="str">
        <f t="shared" ca="1" si="218"/>
        <v>Supercritical</v>
      </c>
      <c r="AO578">
        <f ca="1">IF(V32="Supercritical",R578,AA578)</f>
        <v>482.07306851378365</v>
      </c>
    </row>
    <row r="579" spans="1:41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174</v>
      </c>
      <c r="I579">
        <v>2.3E-2</v>
      </c>
      <c r="J579">
        <f t="shared" si="219"/>
        <v>1</v>
      </c>
      <c r="K579">
        <f t="shared" si="220"/>
        <v>51</v>
      </c>
      <c r="L579">
        <f t="shared" ca="1" si="221"/>
        <v>38819.37833820044</v>
      </c>
      <c r="M579">
        <f t="shared" ca="1" si="199"/>
        <v>201860.7673586423</v>
      </c>
      <c r="N579">
        <f t="shared" ca="1" si="200"/>
        <v>2.5998258718311287</v>
      </c>
      <c r="O579">
        <f t="shared" ca="1" si="201"/>
        <v>2.5264939129746418E-4</v>
      </c>
      <c r="P579">
        <f t="shared" ca="1" si="202"/>
        <v>39451.725838200444</v>
      </c>
      <c r="Q579">
        <f t="shared" ca="1" si="203"/>
        <v>39451.725838203696</v>
      </c>
      <c r="R579">
        <f t="shared" ca="1" si="204"/>
        <v>4.0175382065565761E-12</v>
      </c>
      <c r="S579">
        <f t="shared" ca="1" si="222"/>
        <v>4.9999998736893758E-4</v>
      </c>
      <c r="T579">
        <f t="shared" ca="1" si="223"/>
        <v>1</v>
      </c>
      <c r="U579">
        <f t="shared" ca="1" si="205"/>
        <v>0.05</v>
      </c>
      <c r="V579">
        <f t="shared" ca="1" si="206"/>
        <v>0.26</v>
      </c>
      <c r="W579">
        <f t="shared" ca="1" si="207"/>
        <v>4.9056603773584909E-2</v>
      </c>
      <c r="X579">
        <f t="shared" ca="1" si="208"/>
        <v>196.15384615384616</v>
      </c>
      <c r="Y579">
        <f t="shared" ca="1" si="209"/>
        <v>632.39749999999992</v>
      </c>
      <c r="Z579">
        <f t="shared" ca="1" si="210"/>
        <v>2593.4745316486619</v>
      </c>
      <c r="AA579">
        <f t="shared" ca="1" si="211"/>
        <v>482.07306851378365</v>
      </c>
      <c r="AB579">
        <f t="shared" ca="1" si="212"/>
        <v>482.62981620186019</v>
      </c>
      <c r="AC579">
        <f t="shared" ca="1" si="213"/>
        <v>0</v>
      </c>
      <c r="AD579">
        <f ca="1">IF(V32="Supercritical",L579,U579)</f>
        <v>0.05</v>
      </c>
      <c r="AE579">
        <f t="shared" ca="1" si="214"/>
        <v>632.39749999999992</v>
      </c>
      <c r="AF579">
        <f t="shared" ca="1" si="215"/>
        <v>2593.4745316486619</v>
      </c>
      <c r="AI579">
        <v>0</v>
      </c>
      <c r="AJ579">
        <v>0</v>
      </c>
      <c r="AK579">
        <f t="shared" si="216"/>
        <v>0</v>
      </c>
      <c r="AL579">
        <f t="shared" si="224"/>
        <v>0</v>
      </c>
      <c r="AM579">
        <f t="shared" ca="1" si="217"/>
        <v>280.07692026646265</v>
      </c>
      <c r="AN579" t="str">
        <f t="shared" ca="1" si="218"/>
        <v>Supercritical</v>
      </c>
      <c r="AO579">
        <f ca="1">IF(V32="Supercritical",R579,AA579)</f>
        <v>482.07306851378365</v>
      </c>
    </row>
    <row r="580" spans="1:41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174</v>
      </c>
      <c r="I580">
        <v>2.3E-2</v>
      </c>
      <c r="J580">
        <f t="shared" si="219"/>
        <v>1.0010000000000332</v>
      </c>
      <c r="K580">
        <f t="shared" si="220"/>
        <v>51</v>
      </c>
      <c r="L580">
        <f t="shared" ca="1" si="221"/>
        <v>38819.367011712857</v>
      </c>
      <c r="M580">
        <f t="shared" ca="1" si="199"/>
        <v>201860.70846090687</v>
      </c>
      <c r="N580">
        <f t="shared" ca="1" si="200"/>
        <v>2.5998258717803262</v>
      </c>
      <c r="O580">
        <f t="shared" ca="1" si="201"/>
        <v>2.5264946501402406E-4</v>
      </c>
      <c r="P580">
        <f t="shared" ca="1" si="202"/>
        <v>39451.714011712858</v>
      </c>
      <c r="Q580">
        <f t="shared" ca="1" si="203"/>
        <v>39451.714011716111</v>
      </c>
      <c r="R580">
        <f t="shared" ca="1" si="204"/>
        <v>4.0175405510891365E-12</v>
      </c>
      <c r="S580">
        <f t="shared" ca="1" si="222"/>
        <v>1.1826487578218803E-2</v>
      </c>
      <c r="T580">
        <f t="shared" ca="1" si="223"/>
        <v>0</v>
      </c>
      <c r="U580">
        <f t="shared" ca="1" si="205"/>
        <v>0.05</v>
      </c>
      <c r="V580">
        <f t="shared" ca="1" si="206"/>
        <v>0.26</v>
      </c>
      <c r="W580">
        <f t="shared" ca="1" si="207"/>
        <v>4.9056603773584909E-2</v>
      </c>
      <c r="X580">
        <f t="shared" ca="1" si="208"/>
        <v>196.15384615384616</v>
      </c>
      <c r="Y580">
        <f t="shared" ca="1" si="209"/>
        <v>632.39699999999993</v>
      </c>
      <c r="Z580">
        <f t="shared" ca="1" si="210"/>
        <v>2593.4740316486623</v>
      </c>
      <c r="AA580">
        <f t="shared" ca="1" si="211"/>
        <v>482.07306851378365</v>
      </c>
      <c r="AB580">
        <f t="shared" ca="1" si="212"/>
        <v>481.67874391167788</v>
      </c>
      <c r="AC580">
        <f t="shared" ca="1" si="213"/>
        <v>0</v>
      </c>
      <c r="AD580">
        <f ca="1">IF(V32="Supercritical",L580,U580)</f>
        <v>0.05</v>
      </c>
      <c r="AE580">
        <f t="shared" ca="1" si="214"/>
        <v>632.39699999999993</v>
      </c>
      <c r="AF580">
        <f t="shared" ca="1" si="215"/>
        <v>2593.4740316486623</v>
      </c>
      <c r="AI580">
        <v>0</v>
      </c>
      <c r="AJ580">
        <v>0</v>
      </c>
      <c r="AK580">
        <f t="shared" si="216"/>
        <v>0</v>
      </c>
      <c r="AL580">
        <f t="shared" si="224"/>
        <v>0</v>
      </c>
      <c r="AM580">
        <f t="shared" ca="1" si="217"/>
        <v>280.07692026646265</v>
      </c>
      <c r="AN580" t="str">
        <f t="shared" ca="1" si="218"/>
        <v>Supercritical</v>
      </c>
      <c r="AO580">
        <f ca="1">IF(V32="Supercritical",R580,AA580)</f>
        <v>482.07306851378365</v>
      </c>
    </row>
    <row r="581" spans="1:41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174</v>
      </c>
      <c r="I581">
        <v>2.7E-2</v>
      </c>
      <c r="J581">
        <f t="shared" si="219"/>
        <v>0.9989999999999668</v>
      </c>
      <c r="K581">
        <f t="shared" si="220"/>
        <v>51</v>
      </c>
      <c r="L581">
        <f t="shared" ca="1" si="221"/>
        <v>38819.367011712857</v>
      </c>
      <c r="M581">
        <f t="shared" ca="1" si="199"/>
        <v>201860.70846090687</v>
      </c>
      <c r="N581">
        <f t="shared" ca="1" si="200"/>
        <v>2.5998258717803262</v>
      </c>
      <c r="O581">
        <f t="shared" ca="1" si="201"/>
        <v>2.5264946501402406E-4</v>
      </c>
      <c r="P581">
        <f t="shared" ca="1" si="202"/>
        <v>39451.713511712856</v>
      </c>
      <c r="Q581">
        <f t="shared" ca="1" si="203"/>
        <v>39451.713511716109</v>
      </c>
      <c r="R581">
        <f t="shared" ca="1" si="204"/>
        <v>4.0175405510891365E-12</v>
      </c>
      <c r="S581">
        <f t="shared" ca="1" si="222"/>
        <v>4.999999946448952E-4</v>
      </c>
      <c r="T581">
        <f t="shared" ca="1" si="223"/>
        <v>1</v>
      </c>
      <c r="U581">
        <f t="shared" ca="1" si="205"/>
        <v>0.05</v>
      </c>
      <c r="V581">
        <f t="shared" ca="1" si="206"/>
        <v>0.26</v>
      </c>
      <c r="W581">
        <f t="shared" ca="1" si="207"/>
        <v>4.9056603773584909E-2</v>
      </c>
      <c r="X581">
        <f t="shared" ca="1" si="208"/>
        <v>196.15384615384616</v>
      </c>
      <c r="Y581">
        <f t="shared" ca="1" si="209"/>
        <v>632.39649999999995</v>
      </c>
      <c r="Z581">
        <f t="shared" ca="1" si="210"/>
        <v>2593.4735316486622</v>
      </c>
      <c r="AA581">
        <f t="shared" ca="1" si="211"/>
        <v>482.07306851378365</v>
      </c>
      <c r="AB581">
        <f t="shared" ca="1" si="212"/>
        <v>482.64289004873763</v>
      </c>
      <c r="AC581">
        <f t="shared" ca="1" si="213"/>
        <v>0</v>
      </c>
      <c r="AD581">
        <f ca="1">IF(V32="Supercritical",L581,U581)</f>
        <v>0.05</v>
      </c>
      <c r="AE581">
        <f t="shared" ca="1" si="214"/>
        <v>632.39649999999995</v>
      </c>
      <c r="AF581">
        <f t="shared" ca="1" si="215"/>
        <v>2593.4735316486622</v>
      </c>
      <c r="AI581">
        <v>0</v>
      </c>
      <c r="AJ581">
        <v>0</v>
      </c>
      <c r="AK581">
        <f t="shared" si="216"/>
        <v>0</v>
      </c>
      <c r="AL581">
        <f t="shared" si="224"/>
        <v>0</v>
      </c>
      <c r="AM581">
        <f t="shared" ca="1" si="217"/>
        <v>280.07692026646265</v>
      </c>
      <c r="AN581" t="str">
        <f t="shared" ca="1" si="218"/>
        <v>Supercritical</v>
      </c>
      <c r="AO581">
        <f ca="1">IF(V32="Supercritical",R581,AA581)</f>
        <v>482.07306851378365</v>
      </c>
    </row>
    <row r="582" spans="1:41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174</v>
      </c>
      <c r="I582">
        <v>2.7E-2</v>
      </c>
      <c r="J582">
        <f t="shared" si="219"/>
        <v>1.0010000000000332</v>
      </c>
      <c r="K582">
        <f t="shared" si="220"/>
        <v>51</v>
      </c>
      <c r="L582">
        <f t="shared" ca="1" si="221"/>
        <v>38819.355683897804</v>
      </c>
      <c r="M582">
        <f t="shared" ca="1" si="199"/>
        <v>201860.64955626859</v>
      </c>
      <c r="N582">
        <f t="shared" ca="1" si="200"/>
        <v>2.5998258717295175</v>
      </c>
      <c r="O582">
        <f t="shared" ca="1" si="201"/>
        <v>2.526495387392666E-4</v>
      </c>
      <c r="P582">
        <f t="shared" ca="1" si="202"/>
        <v>39451.701683897802</v>
      </c>
      <c r="Q582">
        <f t="shared" ca="1" si="203"/>
        <v>39451.701683901054</v>
      </c>
      <c r="R582">
        <f t="shared" ca="1" si="204"/>
        <v>4.0175428958985295E-12</v>
      </c>
      <c r="S582">
        <f t="shared" ca="1" si="222"/>
        <v>1.182781504758168E-2</v>
      </c>
      <c r="T582">
        <f t="shared" ca="1" si="223"/>
        <v>0</v>
      </c>
      <c r="U582">
        <f t="shared" ca="1" si="205"/>
        <v>0.05</v>
      </c>
      <c r="V582">
        <f t="shared" ca="1" si="206"/>
        <v>0.26</v>
      </c>
      <c r="W582">
        <f t="shared" ca="1" si="207"/>
        <v>4.9056603773584909E-2</v>
      </c>
      <c r="X582">
        <f t="shared" ca="1" si="208"/>
        <v>196.15384615384616</v>
      </c>
      <c r="Y582">
        <f t="shared" ca="1" si="209"/>
        <v>632.39599999999996</v>
      </c>
      <c r="Z582">
        <f t="shared" ca="1" si="210"/>
        <v>2593.4730316486621</v>
      </c>
      <c r="AA582">
        <f t="shared" ca="1" si="211"/>
        <v>482.07306851378365</v>
      </c>
      <c r="AB582">
        <f t="shared" ca="1" si="212"/>
        <v>481.75391853122437</v>
      </c>
      <c r="AC582">
        <f t="shared" ca="1" si="213"/>
        <v>0</v>
      </c>
      <c r="AD582">
        <f ca="1">IF(V32="Supercritical",L582,U582)</f>
        <v>0.05</v>
      </c>
      <c r="AE582">
        <f t="shared" ca="1" si="214"/>
        <v>632.39599999999996</v>
      </c>
      <c r="AF582">
        <f t="shared" ca="1" si="215"/>
        <v>2593.4730316486621</v>
      </c>
      <c r="AI582">
        <v>0</v>
      </c>
      <c r="AJ582">
        <v>0</v>
      </c>
      <c r="AK582">
        <f t="shared" si="216"/>
        <v>0</v>
      </c>
      <c r="AL582">
        <f t="shared" si="224"/>
        <v>0</v>
      </c>
      <c r="AM582">
        <f t="shared" ca="1" si="217"/>
        <v>280.07692026646265</v>
      </c>
      <c r="AN582" t="str">
        <f t="shared" ca="1" si="218"/>
        <v>Supercritical</v>
      </c>
      <c r="AO582">
        <f ca="1">IF(V32="Supercritical",R582,AA582)</f>
        <v>482.07306851378365</v>
      </c>
    </row>
    <row r="583" spans="1:41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174</v>
      </c>
      <c r="I583">
        <v>0.05</v>
      </c>
      <c r="J583">
        <f t="shared" si="219"/>
        <v>0.9989999999999668</v>
      </c>
      <c r="K583">
        <f t="shared" si="220"/>
        <v>51</v>
      </c>
      <c r="L583">
        <f t="shared" ca="1" si="221"/>
        <v>38819.355683897804</v>
      </c>
      <c r="M583">
        <f t="shared" ca="1" si="199"/>
        <v>201860.64955626859</v>
      </c>
      <c r="N583">
        <f t="shared" ca="1" si="200"/>
        <v>2.5998258717295175</v>
      </c>
      <c r="O583">
        <f t="shared" ca="1" si="201"/>
        <v>2.526495387392666E-4</v>
      </c>
      <c r="P583">
        <f t="shared" ca="1" si="202"/>
        <v>39451.701183897807</v>
      </c>
      <c r="Q583">
        <f t="shared" ca="1" si="203"/>
        <v>39451.701183901059</v>
      </c>
      <c r="R583">
        <f t="shared" ca="1" si="204"/>
        <v>4.0175428958985295E-12</v>
      </c>
      <c r="S583">
        <f t="shared" ca="1" si="222"/>
        <v>4.9999998736893758E-4</v>
      </c>
      <c r="T583">
        <f t="shared" ca="1" si="223"/>
        <v>1</v>
      </c>
      <c r="U583">
        <f t="shared" ca="1" si="205"/>
        <v>0.05</v>
      </c>
      <c r="V583">
        <f t="shared" ca="1" si="206"/>
        <v>0.26</v>
      </c>
      <c r="W583">
        <f t="shared" ca="1" si="207"/>
        <v>4.9056603773584909E-2</v>
      </c>
      <c r="X583">
        <f t="shared" ca="1" si="208"/>
        <v>196.15384615384616</v>
      </c>
      <c r="Y583">
        <f t="shared" ca="1" si="209"/>
        <v>632.39549999999997</v>
      </c>
      <c r="Z583">
        <f t="shared" ca="1" si="210"/>
        <v>2593.472531648662</v>
      </c>
      <c r="AA583">
        <f t="shared" ca="1" si="211"/>
        <v>482.07306851378365</v>
      </c>
      <c r="AB583">
        <f t="shared" ca="1" si="212"/>
        <v>482.32750852789786</v>
      </c>
      <c r="AC583">
        <f t="shared" ca="1" si="213"/>
        <v>0</v>
      </c>
      <c r="AD583">
        <f ca="1">IF(V32="Supercritical",L583,U583)</f>
        <v>0.05</v>
      </c>
      <c r="AE583">
        <f t="shared" ca="1" si="214"/>
        <v>632.39549999999997</v>
      </c>
      <c r="AF583">
        <f t="shared" ca="1" si="215"/>
        <v>2593.472531648662</v>
      </c>
      <c r="AI583">
        <v>0</v>
      </c>
      <c r="AJ583">
        <v>0</v>
      </c>
      <c r="AK583">
        <f t="shared" si="216"/>
        <v>0</v>
      </c>
      <c r="AL583">
        <f t="shared" si="224"/>
        <v>0</v>
      </c>
      <c r="AM583">
        <f t="shared" ca="1" si="217"/>
        <v>280.07692026646265</v>
      </c>
      <c r="AN583" t="str">
        <f t="shared" ca="1" si="218"/>
        <v>Supercritical</v>
      </c>
      <c r="AO583">
        <f ca="1">IF(V32="Supercritical",R583,AA583)</f>
        <v>482.07306851378365</v>
      </c>
    </row>
    <row r="584" spans="1:41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174</v>
      </c>
      <c r="I584">
        <v>7.8E-2</v>
      </c>
      <c r="J584">
        <f t="shared" si="219"/>
        <v>1</v>
      </c>
      <c r="K584">
        <f t="shared" si="220"/>
        <v>51</v>
      </c>
      <c r="L584">
        <f t="shared" ca="1" si="221"/>
        <v>38819.344355119545</v>
      </c>
      <c r="M584">
        <f t="shared" ca="1" si="199"/>
        <v>201860.59064662165</v>
      </c>
      <c r="N584">
        <f t="shared" ca="1" si="200"/>
        <v>2.5998258716787044</v>
      </c>
      <c r="O584">
        <f t="shared" ca="1" si="201"/>
        <v>2.5264961247082105E-4</v>
      </c>
      <c r="P584">
        <f t="shared" ca="1" si="202"/>
        <v>39451.689355119546</v>
      </c>
      <c r="Q584">
        <f t="shared" ca="1" si="203"/>
        <v>39451.689355122799</v>
      </c>
      <c r="R584">
        <f t="shared" ca="1" si="204"/>
        <v>4.0175452409093538E-12</v>
      </c>
      <c r="S584">
        <f t="shared" ca="1" si="222"/>
        <v>1.1828778253402561E-2</v>
      </c>
      <c r="T584">
        <f t="shared" ca="1" si="223"/>
        <v>0</v>
      </c>
      <c r="U584">
        <f t="shared" ca="1" si="205"/>
        <v>0.05</v>
      </c>
      <c r="V584">
        <f t="shared" ca="1" si="206"/>
        <v>0.26</v>
      </c>
      <c r="W584">
        <f t="shared" ca="1" si="207"/>
        <v>4.9056603773584909E-2</v>
      </c>
      <c r="X584">
        <f t="shared" ca="1" si="208"/>
        <v>196.15384615384616</v>
      </c>
      <c r="Y584">
        <f t="shared" ca="1" si="209"/>
        <v>632.39499999999998</v>
      </c>
      <c r="Z584">
        <f t="shared" ca="1" si="210"/>
        <v>2593.4720316486619</v>
      </c>
      <c r="AA584">
        <f t="shared" ca="1" si="211"/>
        <v>482.07306851378365</v>
      </c>
      <c r="AB584">
        <f t="shared" ca="1" si="212"/>
        <v>482.64289004873808</v>
      </c>
      <c r="AC584">
        <f t="shared" ca="1" si="213"/>
        <v>0</v>
      </c>
      <c r="AD584">
        <f ca="1">IF(V32="Supercritical",L584,U584)</f>
        <v>0.05</v>
      </c>
      <c r="AE584">
        <f t="shared" ca="1" si="214"/>
        <v>632.39499999999998</v>
      </c>
      <c r="AF584">
        <f t="shared" ca="1" si="215"/>
        <v>2593.4720316486619</v>
      </c>
      <c r="AI584">
        <v>0</v>
      </c>
      <c r="AJ584">
        <v>0</v>
      </c>
      <c r="AK584">
        <f t="shared" si="216"/>
        <v>0</v>
      </c>
      <c r="AL584">
        <f t="shared" si="224"/>
        <v>0</v>
      </c>
      <c r="AM584">
        <f t="shared" ca="1" si="217"/>
        <v>280.07692026646265</v>
      </c>
      <c r="AN584" t="str">
        <f t="shared" ca="1" si="218"/>
        <v>Supercritical</v>
      </c>
      <c r="AO584">
        <f ca="1">IF(V32="Supercritical",R584,AA584)</f>
        <v>482.07306851378365</v>
      </c>
    </row>
    <row r="585" spans="1:41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174</v>
      </c>
      <c r="I585">
        <v>2.7E-2</v>
      </c>
      <c r="J585">
        <f t="shared" si="219"/>
        <v>1.0010000000000332</v>
      </c>
      <c r="K585">
        <f t="shared" si="220"/>
        <v>51</v>
      </c>
      <c r="L585">
        <f t="shared" ca="1" si="221"/>
        <v>38819.344355119545</v>
      </c>
      <c r="M585">
        <f t="shared" ca="1" si="199"/>
        <v>201860.59064662165</v>
      </c>
      <c r="N585">
        <f t="shared" ca="1" si="200"/>
        <v>2.5998258716787044</v>
      </c>
      <c r="O585">
        <f t="shared" ca="1" si="201"/>
        <v>2.5264961247082105E-4</v>
      </c>
      <c r="P585">
        <f t="shared" ca="1" si="202"/>
        <v>39451.688855119544</v>
      </c>
      <c r="Q585">
        <f t="shared" ca="1" si="203"/>
        <v>39451.688855122797</v>
      </c>
      <c r="R585">
        <f t="shared" ca="1" si="204"/>
        <v>4.0175452409093538E-12</v>
      </c>
      <c r="S585">
        <f t="shared" ca="1" si="222"/>
        <v>4.999999946448952E-4</v>
      </c>
      <c r="T585">
        <f t="shared" ca="1" si="223"/>
        <v>1</v>
      </c>
      <c r="U585">
        <f t="shared" ca="1" si="205"/>
        <v>0.05</v>
      </c>
      <c r="V585">
        <f t="shared" ca="1" si="206"/>
        <v>0.26</v>
      </c>
      <c r="W585">
        <f t="shared" ca="1" si="207"/>
        <v>4.9056603773584909E-2</v>
      </c>
      <c r="X585">
        <f t="shared" ca="1" si="208"/>
        <v>196.15384615384616</v>
      </c>
      <c r="Y585">
        <f t="shared" ca="1" si="209"/>
        <v>632.39449999999999</v>
      </c>
      <c r="Z585">
        <f t="shared" ca="1" si="210"/>
        <v>2593.4715316486622</v>
      </c>
      <c r="AA585">
        <f t="shared" ca="1" si="211"/>
        <v>482.07306851378365</v>
      </c>
      <c r="AB585">
        <f t="shared" ca="1" si="212"/>
        <v>481.67874391167834</v>
      </c>
      <c r="AC585">
        <f t="shared" ca="1" si="213"/>
        <v>0</v>
      </c>
      <c r="AD585">
        <f ca="1">IF(V32="Supercritical",L585,U585)</f>
        <v>0.05</v>
      </c>
      <c r="AE585">
        <f t="shared" ca="1" si="214"/>
        <v>632.39449999999999</v>
      </c>
      <c r="AF585">
        <f t="shared" ca="1" si="215"/>
        <v>2593.4715316486622</v>
      </c>
      <c r="AI585">
        <v>0</v>
      </c>
      <c r="AJ585">
        <v>0</v>
      </c>
      <c r="AK585">
        <f t="shared" si="216"/>
        <v>0</v>
      </c>
      <c r="AL585">
        <f t="shared" si="224"/>
        <v>0</v>
      </c>
      <c r="AM585">
        <f t="shared" ca="1" si="217"/>
        <v>280.07692026646265</v>
      </c>
      <c r="AN585" t="str">
        <f t="shared" ca="1" si="218"/>
        <v>Supercritical</v>
      </c>
      <c r="AO585">
        <f ca="1">IF(V32="Supercritical",R585,AA585)</f>
        <v>482.07306851378365</v>
      </c>
    </row>
    <row r="586" spans="1:41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174</v>
      </c>
      <c r="I586">
        <v>2.7E-2</v>
      </c>
      <c r="J586">
        <f t="shared" si="219"/>
        <v>0.9989999999999668</v>
      </c>
      <c r="K586">
        <f t="shared" si="220"/>
        <v>51</v>
      </c>
      <c r="L586">
        <f t="shared" ca="1" si="221"/>
        <v>38819.333025650958</v>
      </c>
      <c r="M586">
        <f t="shared" ca="1" si="199"/>
        <v>201860.531733385</v>
      </c>
      <c r="N586">
        <f t="shared" ca="1" si="200"/>
        <v>2.5998258716278881</v>
      </c>
      <c r="O586">
        <f t="shared" ca="1" si="201"/>
        <v>2.5264968620691142E-4</v>
      </c>
      <c r="P586">
        <f t="shared" ca="1" si="202"/>
        <v>39451.677025650955</v>
      </c>
      <c r="Q586">
        <f t="shared" ca="1" si="203"/>
        <v>39451.677025654208</v>
      </c>
      <c r="R586">
        <f t="shared" ca="1" si="204"/>
        <v>4.017547586065127E-12</v>
      </c>
      <c r="S586">
        <f t="shared" ca="1" si="222"/>
        <v>1.1829468581709079E-2</v>
      </c>
      <c r="T586">
        <f t="shared" ca="1" si="223"/>
        <v>0</v>
      </c>
      <c r="U586">
        <f t="shared" ca="1" si="205"/>
        <v>0.05</v>
      </c>
      <c r="V586">
        <f t="shared" ca="1" si="206"/>
        <v>0.26</v>
      </c>
      <c r="W586">
        <f t="shared" ca="1" si="207"/>
        <v>4.9056603773584909E-2</v>
      </c>
      <c r="X586">
        <f t="shared" ca="1" si="208"/>
        <v>196.15384615384616</v>
      </c>
      <c r="Y586">
        <f t="shared" ca="1" si="209"/>
        <v>632.39400000000001</v>
      </c>
      <c r="Z586">
        <f t="shared" ca="1" si="210"/>
        <v>2593.4710316486621</v>
      </c>
      <c r="AA586">
        <f t="shared" ca="1" si="211"/>
        <v>482.07306851378365</v>
      </c>
      <c r="AB586">
        <f t="shared" ca="1" si="212"/>
        <v>482.80958159642751</v>
      </c>
      <c r="AC586">
        <f t="shared" ca="1" si="213"/>
        <v>0</v>
      </c>
      <c r="AD586">
        <f ca="1">IF(V32="Supercritical",L586,U586)</f>
        <v>0.05</v>
      </c>
      <c r="AE586">
        <f t="shared" ca="1" si="214"/>
        <v>632.39400000000001</v>
      </c>
      <c r="AF586">
        <f t="shared" ca="1" si="215"/>
        <v>2593.4710316486621</v>
      </c>
      <c r="AI586">
        <v>0</v>
      </c>
      <c r="AJ586">
        <v>0</v>
      </c>
      <c r="AK586">
        <f t="shared" si="216"/>
        <v>0</v>
      </c>
      <c r="AL586">
        <f t="shared" si="224"/>
        <v>0</v>
      </c>
      <c r="AM586">
        <f t="shared" ca="1" si="217"/>
        <v>280.07692026646265</v>
      </c>
      <c r="AN586" t="str">
        <f t="shared" ca="1" si="218"/>
        <v>Supercritical</v>
      </c>
      <c r="AO586">
        <f ca="1">IF(V32="Supercritical",R586,AA586)</f>
        <v>482.07306851378365</v>
      </c>
    </row>
    <row r="587" spans="1:41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174</v>
      </c>
      <c r="I587">
        <v>7.8E-2</v>
      </c>
      <c r="J587">
        <f t="shared" si="219"/>
        <v>1.0010000000000332</v>
      </c>
      <c r="K587">
        <f t="shared" si="220"/>
        <v>51</v>
      </c>
      <c r="L587">
        <f t="shared" ca="1" si="221"/>
        <v>38819.333025650958</v>
      </c>
      <c r="M587">
        <f t="shared" ca="1" si="199"/>
        <v>201860.531733385</v>
      </c>
      <c r="N587">
        <f t="shared" ca="1" si="200"/>
        <v>2.5998258716278881</v>
      </c>
      <c r="O587">
        <f t="shared" ca="1" si="201"/>
        <v>2.5264968620691142E-4</v>
      </c>
      <c r="P587">
        <f t="shared" ca="1" si="202"/>
        <v>39451.676525650961</v>
      </c>
      <c r="Q587">
        <f t="shared" ca="1" si="203"/>
        <v>39451.676525654213</v>
      </c>
      <c r="R587">
        <f t="shared" ca="1" si="204"/>
        <v>4.017547586065127E-12</v>
      </c>
      <c r="S587">
        <f t="shared" ca="1" si="222"/>
        <v>4.9999998736893758E-4</v>
      </c>
      <c r="T587">
        <f t="shared" ca="1" si="223"/>
        <v>1</v>
      </c>
      <c r="U587">
        <f t="shared" ca="1" si="205"/>
        <v>0.05</v>
      </c>
      <c r="V587">
        <f t="shared" ca="1" si="206"/>
        <v>0.26</v>
      </c>
      <c r="W587">
        <f t="shared" ca="1" si="207"/>
        <v>4.9056603773584909E-2</v>
      </c>
      <c r="X587">
        <f t="shared" ca="1" si="208"/>
        <v>196.15384615384616</v>
      </c>
      <c r="Y587">
        <f t="shared" ca="1" si="209"/>
        <v>632.3934999999999</v>
      </c>
      <c r="Z587">
        <f t="shared" ca="1" si="210"/>
        <v>2593.470531648662</v>
      </c>
      <c r="AA587">
        <f t="shared" ca="1" si="211"/>
        <v>482.07306851378365</v>
      </c>
      <c r="AB587">
        <f t="shared" ca="1" si="212"/>
        <v>482.23599159975447</v>
      </c>
      <c r="AC587">
        <f t="shared" ca="1" si="213"/>
        <v>0</v>
      </c>
      <c r="AD587">
        <f ca="1">IF(V32="Supercritical",L587,U587)</f>
        <v>0.05</v>
      </c>
      <c r="AE587">
        <f t="shared" ca="1" si="214"/>
        <v>632.3934999999999</v>
      </c>
      <c r="AF587">
        <f t="shared" ca="1" si="215"/>
        <v>2593.470531648662</v>
      </c>
      <c r="AI587">
        <v>0</v>
      </c>
      <c r="AJ587">
        <v>0</v>
      </c>
      <c r="AK587">
        <f t="shared" si="216"/>
        <v>0</v>
      </c>
      <c r="AL587">
        <f t="shared" si="224"/>
        <v>0</v>
      </c>
      <c r="AM587">
        <f t="shared" ca="1" si="217"/>
        <v>280.07692026646265</v>
      </c>
      <c r="AN587" t="str">
        <f t="shared" ca="1" si="218"/>
        <v>Supercritical</v>
      </c>
      <c r="AO587">
        <f ca="1">IF(V32="Supercritical",R587,AA587)</f>
        <v>482.07306851378365</v>
      </c>
    </row>
    <row r="588" spans="1:41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174</v>
      </c>
      <c r="I588">
        <v>0.05</v>
      </c>
      <c r="J588">
        <f t="shared" si="219"/>
        <v>1</v>
      </c>
      <c r="K588">
        <f t="shared" si="220"/>
        <v>51</v>
      </c>
      <c r="L588">
        <f t="shared" ca="1" si="221"/>
        <v>38819.321695696402</v>
      </c>
      <c r="M588">
        <f t="shared" ca="1" si="199"/>
        <v>201860.47281762131</v>
      </c>
      <c r="N588">
        <f t="shared" ca="1" si="200"/>
        <v>2.5998258715770697</v>
      </c>
      <c r="O588">
        <f t="shared" ca="1" si="201"/>
        <v>2.5264975994620766E-4</v>
      </c>
      <c r="P588">
        <f t="shared" ca="1" si="202"/>
        <v>39451.664695696403</v>
      </c>
      <c r="Q588">
        <f t="shared" ca="1" si="203"/>
        <v>39451.664695699656</v>
      </c>
      <c r="R588">
        <f t="shared" ca="1" si="204"/>
        <v>4.0175499313235489E-12</v>
      </c>
      <c r="S588">
        <f t="shared" ca="1" si="222"/>
        <v>1.1829954550194088E-2</v>
      </c>
      <c r="T588">
        <f t="shared" ca="1" si="223"/>
        <v>0</v>
      </c>
      <c r="U588">
        <f t="shared" ca="1" si="205"/>
        <v>0.05</v>
      </c>
      <c r="V588">
        <f t="shared" ca="1" si="206"/>
        <v>0.26</v>
      </c>
      <c r="W588">
        <f t="shared" ca="1" si="207"/>
        <v>4.9056603773584909E-2</v>
      </c>
      <c r="X588">
        <f t="shared" ca="1" si="208"/>
        <v>196.15384615384616</v>
      </c>
      <c r="Y588">
        <f t="shared" ca="1" si="209"/>
        <v>632.39299999999992</v>
      </c>
      <c r="Z588">
        <f t="shared" ca="1" si="210"/>
        <v>2593.4700316486619</v>
      </c>
      <c r="AA588">
        <f t="shared" ca="1" si="211"/>
        <v>482.07306851378365</v>
      </c>
      <c r="AB588">
        <f t="shared" ca="1" si="212"/>
        <v>481.67874391167834</v>
      </c>
      <c r="AC588">
        <f t="shared" ca="1" si="213"/>
        <v>0</v>
      </c>
      <c r="AD588">
        <f ca="1">IF(V32="Supercritical",L588,U588)</f>
        <v>0.05</v>
      </c>
      <c r="AE588">
        <f t="shared" ca="1" si="214"/>
        <v>632.39299999999992</v>
      </c>
      <c r="AF588">
        <f t="shared" ca="1" si="215"/>
        <v>2593.4700316486619</v>
      </c>
      <c r="AI588">
        <v>0</v>
      </c>
      <c r="AJ588">
        <v>0</v>
      </c>
      <c r="AK588">
        <f t="shared" si="216"/>
        <v>0</v>
      </c>
      <c r="AL588">
        <f t="shared" si="224"/>
        <v>0</v>
      </c>
      <c r="AM588">
        <f t="shared" ca="1" si="217"/>
        <v>280.07692026646265</v>
      </c>
      <c r="AN588" t="str">
        <f t="shared" ca="1" si="218"/>
        <v>Supercritical</v>
      </c>
      <c r="AO588">
        <f ca="1">IF(V32="Supercritical",R588,AA588)</f>
        <v>482.07306851378365</v>
      </c>
    </row>
    <row r="589" spans="1:41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174</v>
      </c>
      <c r="I589">
        <v>2.7E-2</v>
      </c>
      <c r="J589">
        <f t="shared" si="219"/>
        <v>0.9989999999999668</v>
      </c>
      <c r="K589">
        <f t="shared" si="220"/>
        <v>51</v>
      </c>
      <c r="L589">
        <f t="shared" ca="1" si="221"/>
        <v>38819.321695696402</v>
      </c>
      <c r="M589">
        <f t="shared" ca="1" si="199"/>
        <v>201860.47281762131</v>
      </c>
      <c r="N589">
        <f t="shared" ca="1" si="200"/>
        <v>2.5998258715770697</v>
      </c>
      <c r="O589">
        <f t="shared" ca="1" si="201"/>
        <v>2.5264975994620766E-4</v>
      </c>
      <c r="P589">
        <f t="shared" ca="1" si="202"/>
        <v>39451.664195696401</v>
      </c>
      <c r="Q589">
        <f t="shared" ca="1" si="203"/>
        <v>39451.664195699654</v>
      </c>
      <c r="R589">
        <f t="shared" ca="1" si="204"/>
        <v>4.0175499313235489E-12</v>
      </c>
      <c r="S589">
        <f t="shared" ca="1" si="222"/>
        <v>4.999999946448952E-4</v>
      </c>
      <c r="T589">
        <f t="shared" ca="1" si="223"/>
        <v>1</v>
      </c>
      <c r="U589">
        <f t="shared" ca="1" si="205"/>
        <v>0.05</v>
      </c>
      <c r="V589">
        <f t="shared" ca="1" si="206"/>
        <v>0.26</v>
      </c>
      <c r="W589">
        <f t="shared" ca="1" si="207"/>
        <v>4.9056603773584909E-2</v>
      </c>
      <c r="X589">
        <f t="shared" ca="1" si="208"/>
        <v>196.15384615384616</v>
      </c>
      <c r="Y589">
        <f t="shared" ca="1" si="209"/>
        <v>632.39249999999993</v>
      </c>
      <c r="Z589">
        <f t="shared" ca="1" si="210"/>
        <v>2593.4695316486623</v>
      </c>
      <c r="AA589">
        <f t="shared" ca="1" si="211"/>
        <v>482.07306851378365</v>
      </c>
      <c r="AB589">
        <f t="shared" ca="1" si="212"/>
        <v>482.16081698020798</v>
      </c>
      <c r="AC589">
        <f t="shared" ca="1" si="213"/>
        <v>0</v>
      </c>
      <c r="AD589">
        <f ca="1">IF(V32="Supercritical",L589,U589)</f>
        <v>0.05</v>
      </c>
      <c r="AE589">
        <f t="shared" ca="1" si="214"/>
        <v>632.39249999999993</v>
      </c>
      <c r="AF589">
        <f t="shared" ca="1" si="215"/>
        <v>2593.4695316486623</v>
      </c>
      <c r="AI589">
        <v>0</v>
      </c>
      <c r="AJ589">
        <v>0</v>
      </c>
      <c r="AK589">
        <f t="shared" si="216"/>
        <v>0</v>
      </c>
      <c r="AL589">
        <f t="shared" si="224"/>
        <v>0</v>
      </c>
      <c r="AM589">
        <f t="shared" ca="1" si="217"/>
        <v>280.07692026646265</v>
      </c>
      <c r="AN589" t="str">
        <f t="shared" ca="1" si="218"/>
        <v>Supercritical</v>
      </c>
      <c r="AO589">
        <f ca="1">IF(V32="Supercritical",R589,AA589)</f>
        <v>482.07306851378365</v>
      </c>
    </row>
    <row r="590" spans="1:41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174</v>
      </c>
      <c r="I590">
        <v>2.7E-2</v>
      </c>
      <c r="J590">
        <f t="shared" si="219"/>
        <v>1</v>
      </c>
      <c r="K590">
        <f t="shared" si="220"/>
        <v>51</v>
      </c>
      <c r="L590">
        <f t="shared" ca="1" si="221"/>
        <v>38819.310365409692</v>
      </c>
      <c r="M590">
        <f t="shared" ca="1" si="199"/>
        <v>201860.4139001304</v>
      </c>
      <c r="N590">
        <f t="shared" ca="1" si="200"/>
        <v>2.5998258715262499</v>
      </c>
      <c r="O590">
        <f t="shared" ca="1" si="201"/>
        <v>2.5264983368770874E-4</v>
      </c>
      <c r="P590">
        <f t="shared" ca="1" si="202"/>
        <v>39451.652365409689</v>
      </c>
      <c r="Q590">
        <f t="shared" ca="1" si="203"/>
        <v>39451.652365412941</v>
      </c>
      <c r="R590">
        <f t="shared" ca="1" si="204"/>
        <v>4.0175522766527788E-12</v>
      </c>
      <c r="S590">
        <f t="shared" ca="1" si="222"/>
        <v>1.1830286704935133E-2</v>
      </c>
      <c r="T590">
        <f t="shared" ca="1" si="223"/>
        <v>0</v>
      </c>
      <c r="U590">
        <f t="shared" ca="1" si="205"/>
        <v>0.05</v>
      </c>
      <c r="V590">
        <f t="shared" ca="1" si="206"/>
        <v>0.26</v>
      </c>
      <c r="W590">
        <f t="shared" ca="1" si="207"/>
        <v>4.9056603773584909E-2</v>
      </c>
      <c r="X590">
        <f t="shared" ca="1" si="208"/>
        <v>196.15384615384616</v>
      </c>
      <c r="Y590">
        <f t="shared" ca="1" si="209"/>
        <v>632.39199999999994</v>
      </c>
      <c r="Z590">
        <f t="shared" ca="1" si="210"/>
        <v>2593.4690316486622</v>
      </c>
      <c r="AA590">
        <f t="shared" ca="1" si="211"/>
        <v>482.07306851378365</v>
      </c>
      <c r="AB590">
        <f t="shared" ca="1" si="212"/>
        <v>482.16081698020798</v>
      </c>
      <c r="AC590">
        <f t="shared" ca="1" si="213"/>
        <v>0</v>
      </c>
      <c r="AD590">
        <f ca="1">IF(V32="Supercritical",L590,U590)</f>
        <v>0.05</v>
      </c>
      <c r="AE590">
        <f t="shared" ca="1" si="214"/>
        <v>632.39199999999994</v>
      </c>
      <c r="AF590">
        <f t="shared" ca="1" si="215"/>
        <v>2593.4690316486622</v>
      </c>
      <c r="AI590">
        <v>0</v>
      </c>
      <c r="AJ590">
        <v>0</v>
      </c>
      <c r="AK590">
        <f t="shared" si="216"/>
        <v>0</v>
      </c>
      <c r="AL590">
        <f t="shared" si="224"/>
        <v>0</v>
      </c>
      <c r="AM590">
        <f t="shared" ca="1" si="217"/>
        <v>280.07692026646265</v>
      </c>
      <c r="AN590" t="str">
        <f t="shared" ca="1" si="218"/>
        <v>Supercritical</v>
      </c>
      <c r="AO590">
        <f ca="1">IF(V32="Supercritical",R590,AA590)</f>
        <v>482.07306851378365</v>
      </c>
    </row>
    <row r="591" spans="1:41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174</v>
      </c>
      <c r="I591">
        <v>2.7E-2</v>
      </c>
      <c r="J591">
        <f t="shared" si="219"/>
        <v>1</v>
      </c>
      <c r="K591">
        <f t="shared" si="220"/>
        <v>51</v>
      </c>
      <c r="L591">
        <f t="shared" ca="1" si="221"/>
        <v>38819.310365409692</v>
      </c>
      <c r="M591">
        <f t="shared" ca="1" si="199"/>
        <v>201860.4139001304</v>
      </c>
      <c r="N591">
        <f t="shared" ca="1" si="200"/>
        <v>2.5998258715262499</v>
      </c>
      <c r="O591">
        <f t="shared" ca="1" si="201"/>
        <v>2.5264983368770874E-4</v>
      </c>
      <c r="P591">
        <f t="shared" ca="1" si="202"/>
        <v>39451.651865409694</v>
      </c>
      <c r="Q591">
        <f t="shared" ca="1" si="203"/>
        <v>39451.651865412947</v>
      </c>
      <c r="R591">
        <f t="shared" ca="1" si="204"/>
        <v>4.0175522766527788E-12</v>
      </c>
      <c r="S591">
        <f t="shared" ca="1" si="222"/>
        <v>4.9999998736893758E-4</v>
      </c>
      <c r="T591">
        <f t="shared" ca="1" si="223"/>
        <v>1</v>
      </c>
      <c r="U591">
        <f t="shared" ca="1" si="205"/>
        <v>0.05</v>
      </c>
      <c r="V591">
        <f t="shared" ca="1" si="206"/>
        <v>0.26</v>
      </c>
      <c r="W591">
        <f t="shared" ca="1" si="207"/>
        <v>4.9056603773584909E-2</v>
      </c>
      <c r="X591">
        <f t="shared" ca="1" si="208"/>
        <v>196.15384615384616</v>
      </c>
      <c r="Y591">
        <f t="shared" ca="1" si="209"/>
        <v>632.39149999999995</v>
      </c>
      <c r="Z591">
        <f t="shared" ca="1" si="210"/>
        <v>2593.4685316486621</v>
      </c>
      <c r="AA591">
        <f t="shared" ca="1" si="211"/>
        <v>482.07306851378365</v>
      </c>
      <c r="AB591">
        <f t="shared" ca="1" si="212"/>
        <v>482.32750852789786</v>
      </c>
      <c r="AC591">
        <f t="shared" ca="1" si="213"/>
        <v>0</v>
      </c>
      <c r="AD591">
        <f ca="1">IF(V32="Supercritical",L591,U591)</f>
        <v>0.05</v>
      </c>
      <c r="AE591">
        <f t="shared" ca="1" si="214"/>
        <v>632.39149999999995</v>
      </c>
      <c r="AF591">
        <f t="shared" ca="1" si="215"/>
        <v>2593.4685316486621</v>
      </c>
      <c r="AI591">
        <v>0</v>
      </c>
      <c r="AJ591">
        <v>0</v>
      </c>
      <c r="AK591">
        <f t="shared" si="216"/>
        <v>0</v>
      </c>
      <c r="AL591">
        <f t="shared" si="224"/>
        <v>0</v>
      </c>
      <c r="AM591">
        <f t="shared" ca="1" si="217"/>
        <v>280.07692026646265</v>
      </c>
      <c r="AN591" t="str">
        <f t="shared" ca="1" si="218"/>
        <v>Supercritical</v>
      </c>
      <c r="AO591">
        <f ca="1">IF(V32="Supercritical",R591,AA591)</f>
        <v>482.07306851378365</v>
      </c>
    </row>
    <row r="592" spans="1:41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174</v>
      </c>
      <c r="I592">
        <v>7.8E-2</v>
      </c>
      <c r="J592">
        <f t="shared" si="219"/>
        <v>1</v>
      </c>
      <c r="K592">
        <f t="shared" si="220"/>
        <v>51</v>
      </c>
      <c r="L592">
        <f t="shared" ca="1" si="221"/>
        <v>38819.299034908116</v>
      </c>
      <c r="M592">
        <f t="shared" ca="1" si="199"/>
        <v>201860.35498152222</v>
      </c>
      <c r="N592">
        <f t="shared" ca="1" si="200"/>
        <v>2.5998258714754292</v>
      </c>
      <c r="O592">
        <f t="shared" ca="1" si="201"/>
        <v>2.5264990743065132E-4</v>
      </c>
      <c r="P592">
        <f t="shared" ca="1" si="202"/>
        <v>39451.640034908116</v>
      </c>
      <c r="Q592">
        <f t="shared" ca="1" si="203"/>
        <v>39451.640034911368</v>
      </c>
      <c r="R592">
        <f t="shared" ca="1" si="204"/>
        <v>4.0175546220285376E-12</v>
      </c>
      <c r="S592">
        <f t="shared" ca="1" si="222"/>
        <v>1.1830501571239438E-2</v>
      </c>
      <c r="T592">
        <f t="shared" ca="1" si="223"/>
        <v>0</v>
      </c>
      <c r="U592">
        <f t="shared" ca="1" si="205"/>
        <v>0.05</v>
      </c>
      <c r="V592">
        <f t="shared" ca="1" si="206"/>
        <v>0.26</v>
      </c>
      <c r="W592">
        <f t="shared" ca="1" si="207"/>
        <v>4.9056603773584909E-2</v>
      </c>
      <c r="X592">
        <f t="shared" ca="1" si="208"/>
        <v>196.15384615384616</v>
      </c>
      <c r="Y592">
        <f t="shared" ca="1" si="209"/>
        <v>632.39099999999996</v>
      </c>
      <c r="Z592">
        <f t="shared" ca="1" si="210"/>
        <v>2593.468031648662</v>
      </c>
      <c r="AA592">
        <f t="shared" ca="1" si="211"/>
        <v>482.07306851378365</v>
      </c>
      <c r="AB592">
        <f t="shared" ca="1" si="212"/>
        <v>482.23599159975447</v>
      </c>
      <c r="AC592">
        <f t="shared" ca="1" si="213"/>
        <v>0</v>
      </c>
      <c r="AD592">
        <f ca="1">IF(V32="Supercritical",L592,U592)</f>
        <v>0.05</v>
      </c>
      <c r="AE592">
        <f t="shared" ca="1" si="214"/>
        <v>632.39099999999996</v>
      </c>
      <c r="AF592">
        <f t="shared" ca="1" si="215"/>
        <v>2593.468031648662</v>
      </c>
      <c r="AI592">
        <v>0</v>
      </c>
      <c r="AJ592">
        <v>0</v>
      </c>
      <c r="AK592">
        <f t="shared" si="216"/>
        <v>0</v>
      </c>
      <c r="AL592">
        <f t="shared" si="224"/>
        <v>0</v>
      </c>
      <c r="AM592">
        <f t="shared" ca="1" si="217"/>
        <v>280.07692026646265</v>
      </c>
      <c r="AN592" t="str">
        <f t="shared" ca="1" si="218"/>
        <v>Supercritical</v>
      </c>
      <c r="AO592">
        <f ca="1">IF(V32="Supercritical",R592,AA592)</f>
        <v>482.07306851378365</v>
      </c>
    </row>
    <row r="593" spans="1:41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174</v>
      </c>
      <c r="I593">
        <v>0.05</v>
      </c>
      <c r="J593">
        <f t="shared" si="219"/>
        <v>1</v>
      </c>
      <c r="K593">
        <f t="shared" si="220"/>
        <v>51</v>
      </c>
      <c r="L593">
        <f t="shared" ca="1" si="221"/>
        <v>38819.299034908116</v>
      </c>
      <c r="M593">
        <f t="shared" ca="1" si="199"/>
        <v>201860.35498152222</v>
      </c>
      <c r="N593">
        <f t="shared" ca="1" si="200"/>
        <v>2.5998258714754292</v>
      </c>
      <c r="O593">
        <f t="shared" ca="1" si="201"/>
        <v>2.5264990743065132E-4</v>
      </c>
      <c r="P593">
        <f t="shared" ca="1" si="202"/>
        <v>39451.639534908114</v>
      </c>
      <c r="Q593">
        <f t="shared" ca="1" si="203"/>
        <v>39451.639534911366</v>
      </c>
      <c r="R593">
        <f t="shared" ca="1" si="204"/>
        <v>4.0175546220285376E-12</v>
      </c>
      <c r="S593">
        <f t="shared" ca="1" si="222"/>
        <v>4.999999946448952E-4</v>
      </c>
      <c r="T593">
        <f t="shared" ca="1" si="223"/>
        <v>1</v>
      </c>
      <c r="U593">
        <f t="shared" ca="1" si="205"/>
        <v>0.05</v>
      </c>
      <c r="V593">
        <f t="shared" ca="1" si="206"/>
        <v>0.26</v>
      </c>
      <c r="W593">
        <f t="shared" ca="1" si="207"/>
        <v>4.9056603773584909E-2</v>
      </c>
      <c r="X593">
        <f t="shared" ca="1" si="208"/>
        <v>196.15384615384616</v>
      </c>
      <c r="Y593">
        <f t="shared" ca="1" si="209"/>
        <v>632.39049999999997</v>
      </c>
      <c r="Z593">
        <f t="shared" ca="1" si="210"/>
        <v>2593.4675316486619</v>
      </c>
      <c r="AA593">
        <f t="shared" ca="1" si="211"/>
        <v>482.07306851378365</v>
      </c>
      <c r="AB593">
        <f t="shared" ca="1" si="212"/>
        <v>482.16081698020844</v>
      </c>
      <c r="AC593">
        <f t="shared" ca="1" si="213"/>
        <v>0</v>
      </c>
      <c r="AD593">
        <f ca="1">IF(V32="Supercritical",L593,U593)</f>
        <v>0.05</v>
      </c>
      <c r="AE593">
        <f t="shared" ca="1" si="214"/>
        <v>632.39049999999997</v>
      </c>
      <c r="AF593">
        <f t="shared" ca="1" si="215"/>
        <v>2593.4675316486619</v>
      </c>
      <c r="AI593">
        <v>0</v>
      </c>
      <c r="AJ593">
        <v>0</v>
      </c>
      <c r="AK593">
        <f t="shared" si="216"/>
        <v>0</v>
      </c>
      <c r="AL593">
        <f t="shared" si="224"/>
        <v>0</v>
      </c>
      <c r="AM593">
        <f t="shared" ca="1" si="217"/>
        <v>280.07692026646265</v>
      </c>
      <c r="AN593" t="str">
        <f t="shared" ca="1" si="218"/>
        <v>Supercritical</v>
      </c>
      <c r="AO593">
        <f ca="1">IF(V32="Supercritical",R593,AA593)</f>
        <v>482.07306851378365</v>
      </c>
    </row>
    <row r="594" spans="1:41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174</v>
      </c>
      <c r="I594">
        <v>2.7E-2</v>
      </c>
      <c r="J594">
        <f t="shared" si="219"/>
        <v>1</v>
      </c>
      <c r="K594">
        <f t="shared" si="220"/>
        <v>51</v>
      </c>
      <c r="L594">
        <f t="shared" ca="1" si="221"/>
        <v>38819.287704283532</v>
      </c>
      <c r="M594">
        <f t="shared" ca="1" si="199"/>
        <v>201860.29606227437</v>
      </c>
      <c r="N594">
        <f t="shared" ca="1" si="200"/>
        <v>2.5998258714246076</v>
      </c>
      <c r="O594">
        <f t="shared" ca="1" si="201"/>
        <v>2.5264998117443751E-4</v>
      </c>
      <c r="P594">
        <f t="shared" ca="1" si="202"/>
        <v>39451.627704283528</v>
      </c>
      <c r="Q594">
        <f t="shared" ca="1" si="203"/>
        <v>39451.62770428678</v>
      </c>
      <c r="R594">
        <f t="shared" ca="1" si="204"/>
        <v>4.0175569674318115E-12</v>
      </c>
      <c r="S594">
        <f t="shared" ca="1" si="222"/>
        <v>1.1830624578578863E-2</v>
      </c>
      <c r="T594">
        <f t="shared" ca="1" si="223"/>
        <v>0</v>
      </c>
      <c r="U594">
        <f t="shared" ca="1" si="205"/>
        <v>0.05</v>
      </c>
      <c r="V594">
        <f t="shared" ca="1" si="206"/>
        <v>0.26</v>
      </c>
      <c r="W594">
        <f t="shared" ca="1" si="207"/>
        <v>4.9056603773584909E-2</v>
      </c>
      <c r="X594">
        <f t="shared" ca="1" si="208"/>
        <v>196.15384615384616</v>
      </c>
      <c r="Y594">
        <f t="shared" ca="1" si="209"/>
        <v>632.39</v>
      </c>
      <c r="Z594">
        <f t="shared" ca="1" si="210"/>
        <v>2593.4670316486622</v>
      </c>
      <c r="AA594">
        <f t="shared" ca="1" si="211"/>
        <v>482.07306851378365</v>
      </c>
      <c r="AB594">
        <f t="shared" ca="1" si="212"/>
        <v>482.16081698020798</v>
      </c>
      <c r="AC594">
        <f t="shared" ca="1" si="213"/>
        <v>0</v>
      </c>
      <c r="AD594">
        <f ca="1">IF(V32="Supercritical",L594,U594)</f>
        <v>0.05</v>
      </c>
      <c r="AE594">
        <f t="shared" ca="1" si="214"/>
        <v>632.39</v>
      </c>
      <c r="AF594">
        <f t="shared" ca="1" si="215"/>
        <v>2593.4670316486622</v>
      </c>
      <c r="AI594">
        <v>0</v>
      </c>
      <c r="AJ594">
        <v>0</v>
      </c>
      <c r="AK594">
        <f t="shared" si="216"/>
        <v>0</v>
      </c>
      <c r="AL594">
        <f t="shared" si="224"/>
        <v>0</v>
      </c>
      <c r="AM594">
        <f t="shared" ca="1" si="217"/>
        <v>280.07692026646265</v>
      </c>
      <c r="AN594" t="str">
        <f t="shared" ca="1" si="218"/>
        <v>Supercritical</v>
      </c>
      <c r="AO594">
        <f ca="1">IF(V32="Supercritical",R594,AA594)</f>
        <v>482.07306851378365</v>
      </c>
    </row>
    <row r="595" spans="1:41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174</v>
      </c>
      <c r="I595">
        <v>2.7E-2</v>
      </c>
      <c r="J595">
        <f t="shared" si="219"/>
        <v>1</v>
      </c>
      <c r="K595">
        <f t="shared" si="220"/>
        <v>51</v>
      </c>
      <c r="L595">
        <f t="shared" ca="1" si="221"/>
        <v>38819.287704283532</v>
      </c>
      <c r="M595">
        <f t="shared" ca="1" si="199"/>
        <v>201860.29606227437</v>
      </c>
      <c r="N595">
        <f t="shared" ca="1" si="200"/>
        <v>2.5998258714246076</v>
      </c>
      <c r="O595">
        <f t="shared" ca="1" si="201"/>
        <v>2.5264998117443751E-4</v>
      </c>
      <c r="P595">
        <f t="shared" ca="1" si="202"/>
        <v>39451.627204283534</v>
      </c>
      <c r="Q595">
        <f t="shared" ca="1" si="203"/>
        <v>39451.627204286786</v>
      </c>
      <c r="R595">
        <f t="shared" ca="1" si="204"/>
        <v>4.0175569674318115E-12</v>
      </c>
      <c r="S595">
        <f t="shared" ca="1" si="222"/>
        <v>4.9999998736893758E-4</v>
      </c>
      <c r="T595">
        <f t="shared" ca="1" si="223"/>
        <v>1</v>
      </c>
      <c r="U595">
        <f t="shared" ca="1" si="205"/>
        <v>0.05</v>
      </c>
      <c r="V595">
        <f t="shared" ca="1" si="206"/>
        <v>0.26</v>
      </c>
      <c r="W595">
        <f t="shared" ca="1" si="207"/>
        <v>4.9056603773584909E-2</v>
      </c>
      <c r="X595">
        <f t="shared" ca="1" si="208"/>
        <v>196.15384615384616</v>
      </c>
      <c r="Y595">
        <f t="shared" ca="1" si="209"/>
        <v>632.3895</v>
      </c>
      <c r="Z595">
        <f t="shared" ca="1" si="210"/>
        <v>2593.4665316486621</v>
      </c>
      <c r="AA595">
        <f t="shared" ca="1" si="211"/>
        <v>482.07306851378365</v>
      </c>
      <c r="AB595">
        <f t="shared" ca="1" si="212"/>
        <v>482.1477431333301</v>
      </c>
      <c r="AC595">
        <f t="shared" ca="1" si="213"/>
        <v>0</v>
      </c>
      <c r="AD595">
        <f ca="1">IF(V32="Supercritical",L595,U595)</f>
        <v>0.05</v>
      </c>
      <c r="AE595">
        <f t="shared" ca="1" si="214"/>
        <v>632.3895</v>
      </c>
      <c r="AF595">
        <f t="shared" ca="1" si="215"/>
        <v>2593.4665316486621</v>
      </c>
      <c r="AI595">
        <v>0</v>
      </c>
      <c r="AJ595">
        <v>0</v>
      </c>
      <c r="AK595">
        <f t="shared" si="216"/>
        <v>0</v>
      </c>
      <c r="AL595">
        <f t="shared" si="224"/>
        <v>0</v>
      </c>
      <c r="AM595">
        <f t="shared" ca="1" si="217"/>
        <v>280.07692026646265</v>
      </c>
      <c r="AN595" t="str">
        <f t="shared" ca="1" si="218"/>
        <v>Supercritical</v>
      </c>
      <c r="AO595">
        <f ca="1">IF(V32="Supercritical",R595,AA595)</f>
        <v>482.07306851378365</v>
      </c>
    </row>
    <row r="596" spans="1:41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174</v>
      </c>
      <c r="I596">
        <v>2.3E-2</v>
      </c>
      <c r="J596">
        <f t="shared" si="219"/>
        <v>1</v>
      </c>
      <c r="K596">
        <f t="shared" si="220"/>
        <v>51</v>
      </c>
      <c r="L596">
        <f t="shared" ca="1" si="221"/>
        <v>38819.276373611094</v>
      </c>
      <c r="M596">
        <f t="shared" ca="1" si="199"/>
        <v>201860.23714277768</v>
      </c>
      <c r="N596">
        <f t="shared" ca="1" si="200"/>
        <v>2.5998258713737856</v>
      </c>
      <c r="O596">
        <f t="shared" ca="1" si="201"/>
        <v>2.5265005491857819E-4</v>
      </c>
      <c r="P596">
        <f t="shared" ca="1" si="202"/>
        <v>39451.615373611094</v>
      </c>
      <c r="Q596">
        <f t="shared" ca="1" si="203"/>
        <v>39451.615373614346</v>
      </c>
      <c r="R596">
        <f t="shared" ca="1" si="204"/>
        <v>4.0175593128470504E-12</v>
      </c>
      <c r="S596">
        <f t="shared" ca="1" si="222"/>
        <v>1.1830672432552092E-2</v>
      </c>
      <c r="T596">
        <f t="shared" ca="1" si="223"/>
        <v>0</v>
      </c>
      <c r="U596">
        <f t="shared" ca="1" si="205"/>
        <v>0.05</v>
      </c>
      <c r="V596">
        <f t="shared" ca="1" si="206"/>
        <v>0.26</v>
      </c>
      <c r="W596">
        <f t="shared" ca="1" si="207"/>
        <v>4.9056603773584909E-2</v>
      </c>
      <c r="X596">
        <f t="shared" ca="1" si="208"/>
        <v>196.15384615384616</v>
      </c>
      <c r="Y596">
        <f t="shared" ca="1" si="209"/>
        <v>632.38900000000001</v>
      </c>
      <c r="Z596">
        <f t="shared" ca="1" si="210"/>
        <v>2593.466031648662</v>
      </c>
      <c r="AA596">
        <f t="shared" ca="1" si="211"/>
        <v>482.07306851378365</v>
      </c>
      <c r="AB596">
        <f t="shared" ca="1" si="212"/>
        <v>482.62981620185974</v>
      </c>
      <c r="AC596">
        <f t="shared" ca="1" si="213"/>
        <v>0</v>
      </c>
      <c r="AD596">
        <f ca="1">IF(V32="Supercritical",L596,U596)</f>
        <v>0.05</v>
      </c>
      <c r="AE596">
        <f t="shared" ca="1" si="214"/>
        <v>632.38900000000001</v>
      </c>
      <c r="AF596">
        <f t="shared" ca="1" si="215"/>
        <v>2593.466031648662</v>
      </c>
      <c r="AI596">
        <v>0</v>
      </c>
      <c r="AJ596">
        <v>0</v>
      </c>
      <c r="AK596">
        <f t="shared" si="216"/>
        <v>0</v>
      </c>
      <c r="AL596">
        <f t="shared" si="224"/>
        <v>0</v>
      </c>
      <c r="AM596">
        <f t="shared" ca="1" si="217"/>
        <v>280.07692026646265</v>
      </c>
      <c r="AN596" t="str">
        <f t="shared" ca="1" si="218"/>
        <v>Supercritical</v>
      </c>
      <c r="AO596">
        <f ca="1">IF(V32="Supercritical",R596,AA596)</f>
        <v>482.07306851378365</v>
      </c>
    </row>
    <row r="597" spans="1:41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174</v>
      </c>
      <c r="I597">
        <v>2.3E-2</v>
      </c>
      <c r="J597">
        <f t="shared" si="219"/>
        <v>1.0010000000000332</v>
      </c>
      <c r="K597">
        <f t="shared" si="220"/>
        <v>51</v>
      </c>
      <c r="L597">
        <f t="shared" ca="1" si="221"/>
        <v>38819.276373611094</v>
      </c>
      <c r="M597">
        <f t="shared" ca="1" si="199"/>
        <v>201860.23714277768</v>
      </c>
      <c r="N597">
        <f t="shared" ca="1" si="200"/>
        <v>2.5998258713737856</v>
      </c>
      <c r="O597">
        <f t="shared" ca="1" si="201"/>
        <v>2.5265005491857819E-4</v>
      </c>
      <c r="P597">
        <f t="shared" ca="1" si="202"/>
        <v>39451.614873611092</v>
      </c>
      <c r="Q597">
        <f t="shared" ca="1" si="203"/>
        <v>39451.614873614344</v>
      </c>
      <c r="R597">
        <f t="shared" ca="1" si="204"/>
        <v>4.0175593128470504E-12</v>
      </c>
      <c r="S597">
        <f t="shared" ca="1" si="222"/>
        <v>4.999999946448952E-4</v>
      </c>
      <c r="T597">
        <f t="shared" ca="1" si="223"/>
        <v>1</v>
      </c>
      <c r="U597">
        <f t="shared" ca="1" si="205"/>
        <v>0.05</v>
      </c>
      <c r="V597">
        <f t="shared" ca="1" si="206"/>
        <v>0.26</v>
      </c>
      <c r="W597">
        <f t="shared" ca="1" si="207"/>
        <v>4.9056603773584909E-2</v>
      </c>
      <c r="X597">
        <f t="shared" ca="1" si="208"/>
        <v>196.15384615384616</v>
      </c>
      <c r="Y597">
        <f t="shared" ca="1" si="209"/>
        <v>632.38849999999991</v>
      </c>
      <c r="Z597">
        <f t="shared" ca="1" si="210"/>
        <v>2593.4655316486619</v>
      </c>
      <c r="AA597">
        <f t="shared" ca="1" si="211"/>
        <v>482.07306851378365</v>
      </c>
      <c r="AB597">
        <f t="shared" ca="1" si="212"/>
        <v>481.59049544525396</v>
      </c>
      <c r="AC597">
        <f t="shared" ca="1" si="213"/>
        <v>0</v>
      </c>
      <c r="AD597">
        <f ca="1">IF(V32="Supercritical",L597,U597)</f>
        <v>0.05</v>
      </c>
      <c r="AE597">
        <f t="shared" ca="1" si="214"/>
        <v>632.38849999999991</v>
      </c>
      <c r="AF597">
        <f t="shared" ca="1" si="215"/>
        <v>2593.4655316486619</v>
      </c>
      <c r="AI597">
        <v>0</v>
      </c>
      <c r="AJ597">
        <v>0</v>
      </c>
      <c r="AK597">
        <f t="shared" si="216"/>
        <v>0</v>
      </c>
      <c r="AL597">
        <f t="shared" si="224"/>
        <v>0</v>
      </c>
      <c r="AM597">
        <f t="shared" ca="1" si="217"/>
        <v>280.07692026646265</v>
      </c>
      <c r="AN597" t="str">
        <f t="shared" ca="1" si="218"/>
        <v>Supercritical</v>
      </c>
      <c r="AO597">
        <f ca="1">IF(V32="Supercritical",R597,AA597)</f>
        <v>482.07306851378365</v>
      </c>
    </row>
    <row r="598" spans="1:41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174</v>
      </c>
      <c r="I598">
        <v>0</v>
      </c>
      <c r="J598">
        <f t="shared" si="219"/>
        <v>0.9989999999999668</v>
      </c>
      <c r="K598">
        <f t="shared" si="220"/>
        <v>51</v>
      </c>
      <c r="L598">
        <f t="shared" ca="1" si="221"/>
        <v>38819.265042956424</v>
      </c>
      <c r="M598">
        <f t="shared" ref="M598:M661" ca="1" si="225">((F598)+(G598)*(L598))*(L598)</f>
        <v>201860.1782233734</v>
      </c>
      <c r="N598">
        <f t="shared" ref="N598:N661" ca="1" si="226">(((F598)+(G598)*(L598))*(L598))/MAX((F598)+2*(L598)*SQRT(1+(G598)^2),0.000001)</f>
        <v>2.5998258713229641</v>
      </c>
      <c r="O598">
        <f t="shared" ref="O598:O661" ca="1" si="227">ABS(K598)/MAX(((F598)+(G598)*(L598))*(L598),0.000001)</f>
        <v>2.5265012866264628E-4</v>
      </c>
      <c r="P598">
        <f t="shared" ref="P598:P661" ca="1" si="228">E598+L598</f>
        <v>39451.603042956427</v>
      </c>
      <c r="Q598">
        <f t="shared" ref="Q598:Q661" ca="1" si="229">P598+((ABS(K598)/MAX(((F598)+(G598)*(L598))*(L598),0.000001))^2)/(2*$I$5)</f>
        <v>39451.603042959679</v>
      </c>
      <c r="R598">
        <f t="shared" ref="R598:R661" ca="1" si="230">((ABS(K598)*$D$6)/(MAX(((F598)+(G598)*(L598))*(L598),0.000001)*MAX(((((F598)+(G598)*(L598))*(L598))/MAX((F598)+2*(L598)*SQRT(1+(G598)^2),0.000001))^(2/3),0.000001)))^2</f>
        <v>4.0175616582606608E-12</v>
      </c>
      <c r="S598">
        <f t="shared" ca="1" si="222"/>
        <v>1.183065465738764E-2</v>
      </c>
      <c r="T598">
        <f t="shared" ca="1" si="223"/>
        <v>0</v>
      </c>
      <c r="U598">
        <f t="shared" ref="U598:U661" ca="1" si="231">IF($D$20=0,U599,IF(AC599=0,U599,IF(U598=0,U599,IF(ABS(AB598)&gt;$D$19,MAX($D$16,U598+((AB598)*$D$18*IF((ABS(ABS(K598)/MAX(((F598)+(G598)*(U598))*(U598),0.000001))/SQRT($I$5*MAX((((F598)+(G598)*(U598))*(U598))/MAX((F598)+2*(G598)*(U598),0.000001),0.000001)))&lt;1,1,-1))),U598))))</f>
        <v>0.05</v>
      </c>
      <c r="V598">
        <f t="shared" ref="V598:V661" ca="1" si="232">((F598)+(G598)*(U598))*(U598)</f>
        <v>0.26</v>
      </c>
      <c r="W598">
        <f t="shared" ref="W598:W661" ca="1" si="233">(((F598)+(G598)*(U598))*(U598))/MAX((F598)+2*(U598)*SQRT(1+(G598)^2),0.000001)</f>
        <v>4.9056603773584909E-2</v>
      </c>
      <c r="X598">
        <f t="shared" ref="X598:X661" ca="1" si="234">ABS(K598)/MAX(((F598)+(G598)*(U598))*(U598),0.000001)</f>
        <v>196.15384615384616</v>
      </c>
      <c r="Y598">
        <f t="shared" ref="Y598:Y661" ca="1" si="235">E598+U598</f>
        <v>632.38799999999992</v>
      </c>
      <c r="Z598">
        <f t="shared" ref="Z598:Z661" ca="1" si="236">Y598+((ABS(K598)/MAX(((F598)+(G598)*(U598))*(U598),0.000001))^2)/(2*$I$5)</f>
        <v>2593.4650316486623</v>
      </c>
      <c r="AA598">
        <f t="shared" ref="AA598:AA661" ca="1" si="237">((ABS(K598)*$D$6)/(MAX(((F598)+(G598)*(U598))*(U598),0.000001)*MAX(((((F598)+(G598)*(U598))*(U598))/MAX((F598)+2*(U598)*SQRT(1+(G598)^2),0.000001))^(2/3),0.000001)))^2</f>
        <v>482.07306851378365</v>
      </c>
      <c r="AB598">
        <f t="shared" ref="AB598:AB661" ca="1" si="238">Z599+(((AA598+AA599)/2)*J599)+(IF(X598&gt;X599,$D$8*((X598^2-X599^2)/(2*$I$5)),$D$9*((X599^2-X598^2)/(2*$I$5)))+($D$10*(ABS(I599)/90)*(MAX(X598^2,X599^2)/(2*$I$5))))-Z598</f>
        <v>482.16081698020798</v>
      </c>
      <c r="AC598">
        <f t="shared" ref="AC598:AC661" ca="1" si="239">IF(ABS(AB598)&lt;$D$19,1,0)</f>
        <v>0</v>
      </c>
      <c r="AD598">
        <f ca="1">IF(V32="Supercritical",L598,U598)</f>
        <v>0.05</v>
      </c>
      <c r="AE598">
        <f t="shared" ref="AE598:AE661" ca="1" si="240">E598+AD598</f>
        <v>632.38799999999992</v>
      </c>
      <c r="AF598">
        <f t="shared" ref="AF598:AF661" ca="1" si="241">AE598+((ABS(K598)/MAX(((F598)+(G598)*(AD598))*(AD598),0.000001))^2)/(2*$I$5)</f>
        <v>2593.4650316486623</v>
      </c>
      <c r="AI598">
        <v>0</v>
      </c>
      <c r="AJ598">
        <v>0</v>
      </c>
      <c r="AK598">
        <f t="shared" ref="AK598:AK661" si="242">AI598+AJ598</f>
        <v>0</v>
      </c>
      <c r="AL598">
        <f t="shared" si="224"/>
        <v>0</v>
      </c>
      <c r="AM598">
        <f t="shared" ref="AM598:AM661" ca="1" si="243">ABS(ABS(K598)/MAX(((F598)+(G598)*(AD598))*(AD598),0.000001))/SQRT($I$5*MAX((((F598)+(G598)*(AD598))*(AD598))/MAX((F598)+2*(G598)*(AD598),0.000001),0.000001))</f>
        <v>280.07692026646265</v>
      </c>
      <c r="AN598" t="str">
        <f t="shared" ref="AN598:AN661" ca="1" si="244">IF(AM598&lt;1,"Subcritical","Supercritical")</f>
        <v>Supercritical</v>
      </c>
      <c r="AO598">
        <f ca="1">IF(V32="Supercritical",R598,AA598)</f>
        <v>482.07306851378365</v>
      </c>
    </row>
    <row r="599" spans="1:41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174</v>
      </c>
      <c r="I599">
        <v>2.7E-2</v>
      </c>
      <c r="J599">
        <f t="shared" ref="J599:J662" si="245">B599-B598</f>
        <v>1</v>
      </c>
      <c r="K599">
        <f t="shared" ref="K599:K662" si="246">MAX(0,K598-AK598)</f>
        <v>51</v>
      </c>
      <c r="L599">
        <f t="shared" ref="L599:L662" ca="1" si="247">IF($D$20=0,L598,IF(T598=0,L598,IF(L599=0,L598,IF(ABS(S599)&gt;$D$19,MAX($D$16,L599+((S599)*$D$18*IF((ABS(ABS(K599)/MAX(((F599)+(G599)*(L599))*(L599),0.000001))/SQRT($I$5*MAX((((F599)+(G599)*(L599))*(L599))/MAX((F599)+2*(G599)*(L599),0.000001),0.000001)))&lt;1,1,-1))),L599))))</f>
        <v>38819.265042956424</v>
      </c>
      <c r="M599">
        <f t="shared" ca="1" si="225"/>
        <v>201860.1782233734</v>
      </c>
      <c r="N599">
        <f t="shared" ca="1" si="226"/>
        <v>2.5998258713229641</v>
      </c>
      <c r="O599">
        <f t="shared" ca="1" si="227"/>
        <v>2.5265012866264628E-4</v>
      </c>
      <c r="P599">
        <f t="shared" ca="1" si="228"/>
        <v>39451.602542956425</v>
      </c>
      <c r="Q599">
        <f t="shared" ca="1" si="229"/>
        <v>39451.602542959678</v>
      </c>
      <c r="R599">
        <f t="shared" ca="1" si="230"/>
        <v>4.0175616582606608E-12</v>
      </c>
      <c r="S599">
        <f t="shared" ref="S599:S662" ca="1" si="248">Q598-(((R598+R599)/2)*J599)-(IF(O598&gt;O599,$D$8*((O598^2-O599^2)/(2*$I$5)),$D$9*((O599^2-O598^2)/(2*$I$5)))+($D$10*(ABS(I599)/90)*(MAX(O598^2,O599^2)/(2*$I$5))))-Q599</f>
        <v>4.999999946448952E-4</v>
      </c>
      <c r="T599">
        <f t="shared" ref="T599:T662" ca="1" si="249">IF(ABS(S599)&lt;$D$19,1,0)</f>
        <v>1</v>
      </c>
      <c r="U599">
        <f t="shared" ca="1" si="231"/>
        <v>0.05</v>
      </c>
      <c r="V599">
        <f t="shared" ca="1" si="232"/>
        <v>0.26</v>
      </c>
      <c r="W599">
        <f t="shared" ca="1" si="233"/>
        <v>4.9056603773584909E-2</v>
      </c>
      <c r="X599">
        <f t="shared" ca="1" si="234"/>
        <v>196.15384615384616</v>
      </c>
      <c r="Y599">
        <f t="shared" ca="1" si="235"/>
        <v>632.38749999999993</v>
      </c>
      <c r="Z599">
        <f t="shared" ca="1" si="236"/>
        <v>2593.4645316486622</v>
      </c>
      <c r="AA599">
        <f t="shared" ca="1" si="237"/>
        <v>482.07306851378365</v>
      </c>
      <c r="AB599">
        <f t="shared" ca="1" si="238"/>
        <v>482.32750852789786</v>
      </c>
      <c r="AC599">
        <f t="shared" ca="1" si="239"/>
        <v>0</v>
      </c>
      <c r="AD599">
        <f ca="1">IF(V32="Supercritical",L599,U599)</f>
        <v>0.05</v>
      </c>
      <c r="AE599">
        <f t="shared" ca="1" si="240"/>
        <v>632.38749999999993</v>
      </c>
      <c r="AF599">
        <f t="shared" ca="1" si="241"/>
        <v>2593.4645316486622</v>
      </c>
      <c r="AI599">
        <v>0</v>
      </c>
      <c r="AJ599">
        <v>0</v>
      </c>
      <c r="AK599">
        <f t="shared" si="242"/>
        <v>0</v>
      </c>
      <c r="AL599">
        <f t="shared" ref="AL599:AL662" si="250">AL598+AK599</f>
        <v>0</v>
      </c>
      <c r="AM599">
        <f t="shared" ca="1" si="243"/>
        <v>280.07692026646265</v>
      </c>
      <c r="AN599" t="str">
        <f t="shared" ca="1" si="244"/>
        <v>Supercritical</v>
      </c>
      <c r="AO599">
        <f ca="1">IF(V32="Supercritical",R599,AA599)</f>
        <v>482.07306851378365</v>
      </c>
    </row>
    <row r="600" spans="1:41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174</v>
      </c>
      <c r="I600">
        <v>7.8E-2</v>
      </c>
      <c r="J600">
        <f t="shared" si="245"/>
        <v>1</v>
      </c>
      <c r="K600">
        <f t="shared" si="246"/>
        <v>51</v>
      </c>
      <c r="L600">
        <f t="shared" ca="1" si="247"/>
        <v>38819.253712381505</v>
      </c>
      <c r="M600">
        <f t="shared" ca="1" si="225"/>
        <v>201860.11930438384</v>
      </c>
      <c r="N600">
        <f t="shared" ca="1" si="226"/>
        <v>2.5998258712721429</v>
      </c>
      <c r="O600">
        <f t="shared" ca="1" si="227"/>
        <v>2.5265020240623835E-4</v>
      </c>
      <c r="P600">
        <f t="shared" ca="1" si="228"/>
        <v>39451.590712381505</v>
      </c>
      <c r="Q600">
        <f t="shared" ca="1" si="229"/>
        <v>39451.590712384757</v>
      </c>
      <c r="R600">
        <f t="shared" ca="1" si="230"/>
        <v>4.0175640036598133E-12</v>
      </c>
      <c r="S600">
        <f t="shared" ca="1" si="248"/>
        <v>1.1830574912892189E-2</v>
      </c>
      <c r="T600">
        <f t="shared" ca="1" si="249"/>
        <v>0</v>
      </c>
      <c r="U600">
        <f t="shared" ca="1" si="231"/>
        <v>0.05</v>
      </c>
      <c r="V600">
        <f t="shared" ca="1" si="232"/>
        <v>0.26</v>
      </c>
      <c r="W600">
        <f t="shared" ca="1" si="233"/>
        <v>4.9056603773584909E-2</v>
      </c>
      <c r="X600">
        <f t="shared" ca="1" si="234"/>
        <v>196.15384615384616</v>
      </c>
      <c r="Y600">
        <f t="shared" ca="1" si="235"/>
        <v>632.38699999999994</v>
      </c>
      <c r="Z600">
        <f t="shared" ca="1" si="236"/>
        <v>2593.4640316486621</v>
      </c>
      <c r="AA600">
        <f t="shared" ca="1" si="237"/>
        <v>482.07306851378365</v>
      </c>
      <c r="AB600">
        <f t="shared" ca="1" si="238"/>
        <v>482.32750852789786</v>
      </c>
      <c r="AC600">
        <f t="shared" ca="1" si="239"/>
        <v>0</v>
      </c>
      <c r="AD600">
        <f ca="1">IF(V32="Supercritical",L600,U600)</f>
        <v>0.05</v>
      </c>
      <c r="AE600">
        <f t="shared" ca="1" si="240"/>
        <v>632.38699999999994</v>
      </c>
      <c r="AF600">
        <f t="shared" ca="1" si="241"/>
        <v>2593.4640316486621</v>
      </c>
      <c r="AI600">
        <v>0</v>
      </c>
      <c r="AJ600">
        <v>0</v>
      </c>
      <c r="AK600">
        <f t="shared" si="242"/>
        <v>0</v>
      </c>
      <c r="AL600">
        <f t="shared" si="250"/>
        <v>0</v>
      </c>
      <c r="AM600">
        <f t="shared" ca="1" si="243"/>
        <v>280.07692026646265</v>
      </c>
      <c r="AN600" t="str">
        <f t="shared" ca="1" si="244"/>
        <v>Supercritical</v>
      </c>
      <c r="AO600">
        <f ca="1">IF(V32="Supercritical",R600,AA600)</f>
        <v>482.07306851378365</v>
      </c>
    </row>
    <row r="601" spans="1:41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174</v>
      </c>
      <c r="I601">
        <v>7.8E-2</v>
      </c>
      <c r="J601">
        <f t="shared" si="245"/>
        <v>1</v>
      </c>
      <c r="K601">
        <f t="shared" si="246"/>
        <v>51</v>
      </c>
      <c r="L601">
        <f t="shared" ca="1" si="247"/>
        <v>38819.253712381505</v>
      </c>
      <c r="M601">
        <f t="shared" ca="1" si="225"/>
        <v>201860.11930438384</v>
      </c>
      <c r="N601">
        <f t="shared" ca="1" si="226"/>
        <v>2.5998258712721429</v>
      </c>
      <c r="O601">
        <f t="shared" ca="1" si="227"/>
        <v>2.5265020240623835E-4</v>
      </c>
      <c r="P601">
        <f t="shared" ca="1" si="228"/>
        <v>39451.590212381503</v>
      </c>
      <c r="Q601">
        <f t="shared" ca="1" si="229"/>
        <v>39451.590212384755</v>
      </c>
      <c r="R601">
        <f t="shared" ca="1" si="230"/>
        <v>4.0175640036598133E-12</v>
      </c>
      <c r="S601">
        <f t="shared" ca="1" si="248"/>
        <v>4.999999946448952E-4</v>
      </c>
      <c r="T601">
        <f t="shared" ca="1" si="249"/>
        <v>1</v>
      </c>
      <c r="U601">
        <f t="shared" ca="1" si="231"/>
        <v>0.05</v>
      </c>
      <c r="V601">
        <f t="shared" ca="1" si="232"/>
        <v>0.26</v>
      </c>
      <c r="W601">
        <f t="shared" ca="1" si="233"/>
        <v>4.9056603773584909E-2</v>
      </c>
      <c r="X601">
        <f t="shared" ca="1" si="234"/>
        <v>196.15384615384616</v>
      </c>
      <c r="Y601">
        <f t="shared" ca="1" si="235"/>
        <v>632.38649999999996</v>
      </c>
      <c r="Z601">
        <f t="shared" ca="1" si="236"/>
        <v>2593.463531648662</v>
      </c>
      <c r="AA601">
        <f t="shared" ca="1" si="237"/>
        <v>482.07306851378365</v>
      </c>
      <c r="AB601">
        <f t="shared" ca="1" si="238"/>
        <v>482.64289004873763</v>
      </c>
      <c r="AC601">
        <f t="shared" ca="1" si="239"/>
        <v>0</v>
      </c>
      <c r="AD601">
        <f ca="1">IF(V32="Supercritical",L601,U601)</f>
        <v>0.05</v>
      </c>
      <c r="AE601">
        <f t="shared" ca="1" si="240"/>
        <v>632.38649999999996</v>
      </c>
      <c r="AF601">
        <f t="shared" ca="1" si="241"/>
        <v>2593.463531648662</v>
      </c>
      <c r="AI601">
        <v>0</v>
      </c>
      <c r="AJ601">
        <v>0</v>
      </c>
      <c r="AK601">
        <f t="shared" si="242"/>
        <v>0</v>
      </c>
      <c r="AL601">
        <f t="shared" si="250"/>
        <v>0</v>
      </c>
      <c r="AM601">
        <f t="shared" ca="1" si="243"/>
        <v>280.07692026646265</v>
      </c>
      <c r="AN601" t="str">
        <f t="shared" ca="1" si="244"/>
        <v>Supercritical</v>
      </c>
      <c r="AO601">
        <f ca="1">IF(V32="Supercritical",R601,AA601)</f>
        <v>482.07306851378365</v>
      </c>
    </row>
    <row r="602" spans="1:41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174</v>
      </c>
      <c r="I602">
        <v>2.7E-2</v>
      </c>
      <c r="J602">
        <f t="shared" si="245"/>
        <v>1.0010000000000332</v>
      </c>
      <c r="K602">
        <f t="shared" si="246"/>
        <v>51</v>
      </c>
      <c r="L602">
        <f t="shared" ca="1" si="247"/>
        <v>38819.242381949785</v>
      </c>
      <c r="M602">
        <f t="shared" ca="1" si="225"/>
        <v>201860.06038613888</v>
      </c>
      <c r="N602">
        <f t="shared" ca="1" si="226"/>
        <v>2.5998258712213222</v>
      </c>
      <c r="O602">
        <f t="shared" ca="1" si="227"/>
        <v>2.5265027614894154E-4</v>
      </c>
      <c r="P602">
        <f t="shared" ca="1" si="228"/>
        <v>39451.578381949788</v>
      </c>
      <c r="Q602">
        <f t="shared" ca="1" si="229"/>
        <v>39451.578381953041</v>
      </c>
      <c r="R602">
        <f t="shared" ca="1" si="230"/>
        <v>4.0175663490313829E-12</v>
      </c>
      <c r="S602">
        <f t="shared" ca="1" si="248"/>
        <v>1.1830431707494427E-2</v>
      </c>
      <c r="T602">
        <f t="shared" ca="1" si="249"/>
        <v>0</v>
      </c>
      <c r="U602">
        <f t="shared" ca="1" si="231"/>
        <v>0.05</v>
      </c>
      <c r="V602">
        <f t="shared" ca="1" si="232"/>
        <v>0.26</v>
      </c>
      <c r="W602">
        <f t="shared" ca="1" si="233"/>
        <v>4.9056603773584909E-2</v>
      </c>
      <c r="X602">
        <f t="shared" ca="1" si="234"/>
        <v>196.15384615384616</v>
      </c>
      <c r="Y602">
        <f t="shared" ca="1" si="235"/>
        <v>632.38599999999997</v>
      </c>
      <c r="Z602">
        <f t="shared" ca="1" si="236"/>
        <v>2593.4630316486619</v>
      </c>
      <c r="AA602">
        <f t="shared" ca="1" si="237"/>
        <v>482.07306851378365</v>
      </c>
      <c r="AB602">
        <f t="shared" ca="1" si="238"/>
        <v>481.59049544525442</v>
      </c>
      <c r="AC602">
        <f t="shared" ca="1" si="239"/>
        <v>0</v>
      </c>
      <c r="AD602">
        <f ca="1">IF(V32="Supercritical",L602,U602)</f>
        <v>0.05</v>
      </c>
      <c r="AE602">
        <f t="shared" ca="1" si="240"/>
        <v>632.38599999999997</v>
      </c>
      <c r="AF602">
        <f t="shared" ca="1" si="241"/>
        <v>2593.4630316486619</v>
      </c>
      <c r="AI602">
        <v>0</v>
      </c>
      <c r="AJ602">
        <v>0</v>
      </c>
      <c r="AK602">
        <f t="shared" si="242"/>
        <v>0</v>
      </c>
      <c r="AL602">
        <f t="shared" si="250"/>
        <v>0</v>
      </c>
      <c r="AM602">
        <f t="shared" ca="1" si="243"/>
        <v>280.07692026646265</v>
      </c>
      <c r="AN602" t="str">
        <f t="shared" ca="1" si="244"/>
        <v>Supercritical</v>
      </c>
      <c r="AO602">
        <f ca="1">IF(V32="Supercritical",R602,AA602)</f>
        <v>482.07306851378365</v>
      </c>
    </row>
    <row r="603" spans="1:41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174</v>
      </c>
      <c r="I603">
        <v>0</v>
      </c>
      <c r="J603">
        <f t="shared" si="245"/>
        <v>0.9989999999999668</v>
      </c>
      <c r="K603">
        <f t="shared" si="246"/>
        <v>51</v>
      </c>
      <c r="L603">
        <f t="shared" ca="1" si="247"/>
        <v>38819.242381949785</v>
      </c>
      <c r="M603">
        <f t="shared" ca="1" si="225"/>
        <v>201860.06038613888</v>
      </c>
      <c r="N603">
        <f t="shared" ca="1" si="226"/>
        <v>2.5998258712213222</v>
      </c>
      <c r="O603">
        <f t="shared" ca="1" si="227"/>
        <v>2.5265027614894154E-4</v>
      </c>
      <c r="P603">
        <f t="shared" ca="1" si="228"/>
        <v>39451.577881949786</v>
      </c>
      <c r="Q603">
        <f t="shared" ca="1" si="229"/>
        <v>39451.577881953039</v>
      </c>
      <c r="R603">
        <f t="shared" ca="1" si="230"/>
        <v>4.0175663490313829E-12</v>
      </c>
      <c r="S603">
        <f t="shared" ca="1" si="248"/>
        <v>4.999999946448952E-4</v>
      </c>
      <c r="T603">
        <f t="shared" ca="1" si="249"/>
        <v>1</v>
      </c>
      <c r="U603">
        <f t="shared" ca="1" si="231"/>
        <v>0.05</v>
      </c>
      <c r="V603">
        <f t="shared" ca="1" si="232"/>
        <v>0.26</v>
      </c>
      <c r="W603">
        <f t="shared" ca="1" si="233"/>
        <v>4.9056603773584909E-2</v>
      </c>
      <c r="X603">
        <f t="shared" ca="1" si="234"/>
        <v>196.15384615384616</v>
      </c>
      <c r="Y603">
        <f t="shared" ca="1" si="235"/>
        <v>632.38549999999998</v>
      </c>
      <c r="Z603">
        <f t="shared" ca="1" si="236"/>
        <v>2593.4625316486622</v>
      </c>
      <c r="AA603">
        <f t="shared" ca="1" si="237"/>
        <v>482.07306851378365</v>
      </c>
      <c r="AB603">
        <f t="shared" ca="1" si="238"/>
        <v>482.16081698020798</v>
      </c>
      <c r="AC603">
        <f t="shared" ca="1" si="239"/>
        <v>0</v>
      </c>
      <c r="AD603">
        <f ca="1">IF(V32="Supercritical",L603,U603)</f>
        <v>0.05</v>
      </c>
      <c r="AE603">
        <f t="shared" ca="1" si="240"/>
        <v>632.38549999999998</v>
      </c>
      <c r="AF603">
        <f t="shared" ca="1" si="241"/>
        <v>2593.4625316486622</v>
      </c>
      <c r="AI603">
        <v>0</v>
      </c>
      <c r="AJ603">
        <v>0</v>
      </c>
      <c r="AK603">
        <f t="shared" si="242"/>
        <v>0</v>
      </c>
      <c r="AL603">
        <f t="shared" si="250"/>
        <v>0</v>
      </c>
      <c r="AM603">
        <f t="shared" ca="1" si="243"/>
        <v>280.07692026646265</v>
      </c>
      <c r="AN603" t="str">
        <f t="shared" ca="1" si="244"/>
        <v>Supercritical</v>
      </c>
      <c r="AO603">
        <f ca="1">IF(V32="Supercritical",R603,AA603)</f>
        <v>482.07306851378365</v>
      </c>
    </row>
    <row r="604" spans="1:41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174</v>
      </c>
      <c r="I604">
        <v>2.7E-2</v>
      </c>
      <c r="J604">
        <f t="shared" si="245"/>
        <v>1</v>
      </c>
      <c r="K604">
        <f t="shared" si="246"/>
        <v>51</v>
      </c>
      <c r="L604">
        <f t="shared" ca="1" si="247"/>
        <v>38819.231051730851</v>
      </c>
      <c r="M604">
        <f t="shared" ca="1" si="225"/>
        <v>201860.00146900042</v>
      </c>
      <c r="N604">
        <f t="shared" ca="1" si="226"/>
        <v>2.599825871170502</v>
      </c>
      <c r="O604">
        <f t="shared" ca="1" si="227"/>
        <v>2.5265034989030286E-4</v>
      </c>
      <c r="P604">
        <f t="shared" ca="1" si="228"/>
        <v>39451.56605173085</v>
      </c>
      <c r="Q604">
        <f t="shared" ca="1" si="229"/>
        <v>39451.566051734102</v>
      </c>
      <c r="R604">
        <f t="shared" ca="1" si="230"/>
        <v>4.0175686943609618E-12</v>
      </c>
      <c r="S604">
        <f t="shared" ca="1" si="248"/>
        <v>1.1830218929389957E-2</v>
      </c>
      <c r="T604">
        <f t="shared" ca="1" si="249"/>
        <v>0</v>
      </c>
      <c r="U604">
        <f t="shared" ca="1" si="231"/>
        <v>0.05</v>
      </c>
      <c r="V604">
        <f t="shared" ca="1" si="232"/>
        <v>0.26</v>
      </c>
      <c r="W604">
        <f t="shared" ca="1" si="233"/>
        <v>4.9056603773584909E-2</v>
      </c>
      <c r="X604">
        <f t="shared" ca="1" si="234"/>
        <v>196.15384615384616</v>
      </c>
      <c r="Y604">
        <f t="shared" ca="1" si="235"/>
        <v>632.38499999999999</v>
      </c>
      <c r="Z604">
        <f t="shared" ca="1" si="236"/>
        <v>2593.4620316486621</v>
      </c>
      <c r="AA604">
        <f t="shared" ca="1" si="237"/>
        <v>482.07306851378365</v>
      </c>
      <c r="AB604">
        <f t="shared" ca="1" si="238"/>
        <v>482.32750852789786</v>
      </c>
      <c r="AC604">
        <f t="shared" ca="1" si="239"/>
        <v>0</v>
      </c>
      <c r="AD604">
        <f ca="1">IF(V32="Supercritical",L604,U604)</f>
        <v>0.05</v>
      </c>
      <c r="AE604">
        <f t="shared" ca="1" si="240"/>
        <v>632.38499999999999</v>
      </c>
      <c r="AF604">
        <f t="shared" ca="1" si="241"/>
        <v>2593.4620316486621</v>
      </c>
      <c r="AI604">
        <v>0</v>
      </c>
      <c r="AJ604">
        <v>0</v>
      </c>
      <c r="AK604">
        <f t="shared" si="242"/>
        <v>0</v>
      </c>
      <c r="AL604">
        <f t="shared" si="250"/>
        <v>0</v>
      </c>
      <c r="AM604">
        <f t="shared" ca="1" si="243"/>
        <v>280.07692026646265</v>
      </c>
      <c r="AN604" t="str">
        <f t="shared" ca="1" si="244"/>
        <v>Supercritical</v>
      </c>
      <c r="AO604">
        <f ca="1">IF(V32="Supercritical",R604,AA604)</f>
        <v>482.07306851378365</v>
      </c>
    </row>
    <row r="605" spans="1:41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174</v>
      </c>
      <c r="I605">
        <v>7.8E-2</v>
      </c>
      <c r="J605">
        <f t="shared" si="245"/>
        <v>1</v>
      </c>
      <c r="K605">
        <f t="shared" si="246"/>
        <v>51</v>
      </c>
      <c r="L605">
        <f t="shared" ca="1" si="247"/>
        <v>38819.231051730851</v>
      </c>
      <c r="M605">
        <f t="shared" ca="1" si="225"/>
        <v>201860.00146900042</v>
      </c>
      <c r="N605">
        <f t="shared" ca="1" si="226"/>
        <v>2.599825871170502</v>
      </c>
      <c r="O605">
        <f t="shared" ca="1" si="227"/>
        <v>2.5265034989030286E-4</v>
      </c>
      <c r="P605">
        <f t="shared" ca="1" si="228"/>
        <v>39451.565551730848</v>
      </c>
      <c r="Q605">
        <f t="shared" ca="1" si="229"/>
        <v>39451.5655517341</v>
      </c>
      <c r="R605">
        <f t="shared" ca="1" si="230"/>
        <v>4.0175686943609618E-12</v>
      </c>
      <c r="S605">
        <f t="shared" ca="1" si="248"/>
        <v>4.999999946448952E-4</v>
      </c>
      <c r="T605">
        <f t="shared" ca="1" si="249"/>
        <v>1</v>
      </c>
      <c r="U605">
        <f t="shared" ca="1" si="231"/>
        <v>0.05</v>
      </c>
      <c r="V605">
        <f t="shared" ca="1" si="232"/>
        <v>0.26</v>
      </c>
      <c r="W605">
        <f t="shared" ca="1" si="233"/>
        <v>4.9056603773584909E-2</v>
      </c>
      <c r="X605">
        <f t="shared" ca="1" si="234"/>
        <v>196.15384615384616</v>
      </c>
      <c r="Y605">
        <f t="shared" ca="1" si="235"/>
        <v>632.3845</v>
      </c>
      <c r="Z605">
        <f t="shared" ca="1" si="236"/>
        <v>2593.461531648662</v>
      </c>
      <c r="AA605">
        <f t="shared" ca="1" si="237"/>
        <v>482.07306851378365</v>
      </c>
      <c r="AB605">
        <f t="shared" ca="1" si="238"/>
        <v>482.32750852789786</v>
      </c>
      <c r="AC605">
        <f t="shared" ca="1" si="239"/>
        <v>0</v>
      </c>
      <c r="AD605">
        <f ca="1">IF(V32="Supercritical",L605,U605)</f>
        <v>0.05</v>
      </c>
      <c r="AE605">
        <f t="shared" ca="1" si="240"/>
        <v>632.3845</v>
      </c>
      <c r="AF605">
        <f t="shared" ca="1" si="241"/>
        <v>2593.461531648662</v>
      </c>
      <c r="AI605">
        <v>0</v>
      </c>
      <c r="AJ605">
        <v>0</v>
      </c>
      <c r="AK605">
        <f t="shared" si="242"/>
        <v>0</v>
      </c>
      <c r="AL605">
        <f t="shared" si="250"/>
        <v>0</v>
      </c>
      <c r="AM605">
        <f t="shared" ca="1" si="243"/>
        <v>280.07692026646265</v>
      </c>
      <c r="AN605" t="str">
        <f t="shared" ca="1" si="244"/>
        <v>Supercritical</v>
      </c>
      <c r="AO605">
        <f ca="1">IF(V32="Supercritical",R605,AA605)</f>
        <v>482.07306851378365</v>
      </c>
    </row>
    <row r="606" spans="1:41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174</v>
      </c>
      <c r="I606">
        <v>7.8E-2</v>
      </c>
      <c r="J606">
        <f t="shared" si="245"/>
        <v>1</v>
      </c>
      <c r="K606">
        <f t="shared" si="246"/>
        <v>51</v>
      </c>
      <c r="L606">
        <f t="shared" ca="1" si="247"/>
        <v>38819.219721804751</v>
      </c>
      <c r="M606">
        <f t="shared" ca="1" si="225"/>
        <v>201859.94255338472</v>
      </c>
      <c r="N606">
        <f t="shared" ca="1" si="226"/>
        <v>2.599825871119684</v>
      </c>
      <c r="O606">
        <f t="shared" ca="1" si="227"/>
        <v>2.5265042362980126E-4</v>
      </c>
      <c r="P606">
        <f t="shared" ca="1" si="228"/>
        <v>39451.553721804754</v>
      </c>
      <c r="Q606">
        <f t="shared" ca="1" si="229"/>
        <v>39451.553721808006</v>
      </c>
      <c r="R606">
        <f t="shared" ca="1" si="230"/>
        <v>4.0175710396319724E-12</v>
      </c>
      <c r="S606">
        <f t="shared" ca="1" si="248"/>
        <v>1.1829926086647902E-2</v>
      </c>
      <c r="T606">
        <f t="shared" ca="1" si="249"/>
        <v>0</v>
      </c>
      <c r="U606">
        <f t="shared" ca="1" si="231"/>
        <v>0.05</v>
      </c>
      <c r="V606">
        <f t="shared" ca="1" si="232"/>
        <v>0.26</v>
      </c>
      <c r="W606">
        <f t="shared" ca="1" si="233"/>
        <v>4.9056603773584909E-2</v>
      </c>
      <c r="X606">
        <f t="shared" ca="1" si="234"/>
        <v>196.15384615384616</v>
      </c>
      <c r="Y606">
        <f t="shared" ca="1" si="235"/>
        <v>632.3839999999999</v>
      </c>
      <c r="Z606">
        <f t="shared" ca="1" si="236"/>
        <v>2593.4610316486619</v>
      </c>
      <c r="AA606">
        <f t="shared" ca="1" si="237"/>
        <v>482.07306851378365</v>
      </c>
      <c r="AB606">
        <f t="shared" ca="1" si="238"/>
        <v>482.64289004873808</v>
      </c>
      <c r="AC606">
        <f t="shared" ca="1" si="239"/>
        <v>0</v>
      </c>
      <c r="AD606">
        <f ca="1">IF(V32="Supercritical",L606,U606)</f>
        <v>0.05</v>
      </c>
      <c r="AE606">
        <f t="shared" ca="1" si="240"/>
        <v>632.3839999999999</v>
      </c>
      <c r="AF606">
        <f t="shared" ca="1" si="241"/>
        <v>2593.4610316486619</v>
      </c>
      <c r="AI606">
        <v>0</v>
      </c>
      <c r="AJ606">
        <v>0</v>
      </c>
      <c r="AK606">
        <f t="shared" si="242"/>
        <v>0</v>
      </c>
      <c r="AL606">
        <f t="shared" si="250"/>
        <v>0</v>
      </c>
      <c r="AM606">
        <f t="shared" ca="1" si="243"/>
        <v>280.07692026646265</v>
      </c>
      <c r="AN606" t="str">
        <f t="shared" ca="1" si="244"/>
        <v>Supercritical</v>
      </c>
      <c r="AO606">
        <f ca="1">IF(V32="Supercritical",R606,AA606)</f>
        <v>482.07306851378365</v>
      </c>
    </row>
    <row r="607" spans="1:41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174</v>
      </c>
      <c r="I607">
        <v>2.7E-2</v>
      </c>
      <c r="J607">
        <f t="shared" si="245"/>
        <v>1.0010000000000332</v>
      </c>
      <c r="K607">
        <f t="shared" si="246"/>
        <v>51</v>
      </c>
      <c r="L607">
        <f t="shared" ca="1" si="247"/>
        <v>38819.219721804751</v>
      </c>
      <c r="M607">
        <f t="shared" ca="1" si="225"/>
        <v>201859.94255338472</v>
      </c>
      <c r="N607">
        <f t="shared" ca="1" si="226"/>
        <v>2.599825871119684</v>
      </c>
      <c r="O607">
        <f t="shared" ca="1" si="227"/>
        <v>2.5265042362980126E-4</v>
      </c>
      <c r="P607">
        <f t="shared" ca="1" si="228"/>
        <v>39451.553221804752</v>
      </c>
      <c r="Q607">
        <f t="shared" ca="1" si="229"/>
        <v>39451.553221808004</v>
      </c>
      <c r="R607">
        <f t="shared" ca="1" si="230"/>
        <v>4.0175710396319724E-12</v>
      </c>
      <c r="S607">
        <f t="shared" ca="1" si="248"/>
        <v>4.999999946448952E-4</v>
      </c>
      <c r="T607">
        <f t="shared" ca="1" si="249"/>
        <v>1</v>
      </c>
      <c r="U607">
        <f t="shared" ca="1" si="231"/>
        <v>0.05</v>
      </c>
      <c r="V607">
        <f t="shared" ca="1" si="232"/>
        <v>0.26</v>
      </c>
      <c r="W607">
        <f t="shared" ca="1" si="233"/>
        <v>4.9056603773584909E-2</v>
      </c>
      <c r="X607">
        <f t="shared" ca="1" si="234"/>
        <v>196.15384615384616</v>
      </c>
      <c r="Y607">
        <f t="shared" ca="1" si="235"/>
        <v>632.38349999999991</v>
      </c>
      <c r="Z607">
        <f t="shared" ca="1" si="236"/>
        <v>2593.4605316486623</v>
      </c>
      <c r="AA607">
        <f t="shared" ca="1" si="237"/>
        <v>482.07306851378365</v>
      </c>
      <c r="AB607">
        <f t="shared" ca="1" si="238"/>
        <v>481.59049544525351</v>
      </c>
      <c r="AC607">
        <f t="shared" ca="1" si="239"/>
        <v>0</v>
      </c>
      <c r="AD607">
        <f ca="1">IF(V32="Supercritical",L607,U607)</f>
        <v>0.05</v>
      </c>
      <c r="AE607">
        <f t="shared" ca="1" si="240"/>
        <v>632.38349999999991</v>
      </c>
      <c r="AF607">
        <f t="shared" ca="1" si="241"/>
        <v>2593.4605316486623</v>
      </c>
      <c r="AI607">
        <v>0</v>
      </c>
      <c r="AJ607">
        <v>0</v>
      </c>
      <c r="AK607">
        <f t="shared" si="242"/>
        <v>0</v>
      </c>
      <c r="AL607">
        <f t="shared" si="250"/>
        <v>0</v>
      </c>
      <c r="AM607">
        <f t="shared" ca="1" si="243"/>
        <v>280.07692026646265</v>
      </c>
      <c r="AN607" t="str">
        <f t="shared" ca="1" si="244"/>
        <v>Supercritical</v>
      </c>
      <c r="AO607">
        <f ca="1">IF(V32="Supercritical",R607,AA607)</f>
        <v>482.07306851378365</v>
      </c>
    </row>
    <row r="608" spans="1:41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174</v>
      </c>
      <c r="I608">
        <v>0</v>
      </c>
      <c r="J608">
        <f t="shared" si="245"/>
        <v>0.9989999999999668</v>
      </c>
      <c r="K608">
        <f t="shared" si="246"/>
        <v>51</v>
      </c>
      <c r="L608">
        <f t="shared" ca="1" si="247"/>
        <v>38819.208392266497</v>
      </c>
      <c r="M608">
        <f t="shared" ca="1" si="225"/>
        <v>201859.88363978578</v>
      </c>
      <c r="N608">
        <f t="shared" ca="1" si="226"/>
        <v>2.5998258710688669</v>
      </c>
      <c r="O608">
        <f t="shared" ca="1" si="227"/>
        <v>2.5265049736681856E-4</v>
      </c>
      <c r="P608">
        <f t="shared" ca="1" si="228"/>
        <v>39451.541392266496</v>
      </c>
      <c r="Q608">
        <f t="shared" ca="1" si="229"/>
        <v>39451.541392269748</v>
      </c>
      <c r="R608">
        <f t="shared" ca="1" si="230"/>
        <v>4.0175733848247595E-12</v>
      </c>
      <c r="S608">
        <f t="shared" ca="1" si="248"/>
        <v>1.1829538249003235E-2</v>
      </c>
      <c r="T608">
        <f t="shared" ca="1" si="249"/>
        <v>0</v>
      </c>
      <c r="U608">
        <f t="shared" ca="1" si="231"/>
        <v>0.05</v>
      </c>
      <c r="V608">
        <f t="shared" ca="1" si="232"/>
        <v>0.26</v>
      </c>
      <c r="W608">
        <f t="shared" ca="1" si="233"/>
        <v>4.9056603773584909E-2</v>
      </c>
      <c r="X608">
        <f t="shared" ca="1" si="234"/>
        <v>196.15384615384616</v>
      </c>
      <c r="Y608">
        <f t="shared" ca="1" si="235"/>
        <v>632.38299999999992</v>
      </c>
      <c r="Z608">
        <f t="shared" ca="1" si="236"/>
        <v>2593.4600316486622</v>
      </c>
      <c r="AA608">
        <f t="shared" ca="1" si="237"/>
        <v>482.07306851378365</v>
      </c>
      <c r="AB608">
        <f t="shared" ca="1" si="238"/>
        <v>482.1477431333301</v>
      </c>
      <c r="AC608">
        <f t="shared" ca="1" si="239"/>
        <v>0</v>
      </c>
      <c r="AD608">
        <f ca="1">IF(V32="Supercritical",L608,U608)</f>
        <v>0.05</v>
      </c>
      <c r="AE608">
        <f t="shared" ca="1" si="240"/>
        <v>632.38299999999992</v>
      </c>
      <c r="AF608">
        <f t="shared" ca="1" si="241"/>
        <v>2593.4600316486622</v>
      </c>
      <c r="AI608">
        <v>0</v>
      </c>
      <c r="AJ608">
        <v>0</v>
      </c>
      <c r="AK608">
        <f t="shared" si="242"/>
        <v>0</v>
      </c>
      <c r="AL608">
        <f t="shared" si="250"/>
        <v>0</v>
      </c>
      <c r="AM608">
        <f t="shared" ca="1" si="243"/>
        <v>280.07692026646265</v>
      </c>
      <c r="AN608" t="str">
        <f t="shared" ca="1" si="244"/>
        <v>Supercritical</v>
      </c>
      <c r="AO608">
        <f ca="1">IF(V32="Supercritical",R608,AA608)</f>
        <v>482.07306851378365</v>
      </c>
    </row>
    <row r="609" spans="1:41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174</v>
      </c>
      <c r="I609">
        <v>2.3E-2</v>
      </c>
      <c r="J609">
        <f t="shared" si="245"/>
        <v>1</v>
      </c>
      <c r="K609">
        <f t="shared" si="246"/>
        <v>51</v>
      </c>
      <c r="L609">
        <f t="shared" ca="1" si="247"/>
        <v>38819.208392266497</v>
      </c>
      <c r="M609">
        <f t="shared" ca="1" si="225"/>
        <v>201859.88363978578</v>
      </c>
      <c r="N609">
        <f t="shared" ca="1" si="226"/>
        <v>2.5998258710688669</v>
      </c>
      <c r="O609">
        <f t="shared" ca="1" si="227"/>
        <v>2.5265049736681856E-4</v>
      </c>
      <c r="P609">
        <f t="shared" ca="1" si="228"/>
        <v>39451.540892266494</v>
      </c>
      <c r="Q609">
        <f t="shared" ca="1" si="229"/>
        <v>39451.540892269746</v>
      </c>
      <c r="R609">
        <f t="shared" ca="1" si="230"/>
        <v>4.0175733848247595E-12</v>
      </c>
      <c r="S609">
        <f t="shared" ca="1" si="248"/>
        <v>4.999999946448952E-4</v>
      </c>
      <c r="T609">
        <f t="shared" ca="1" si="249"/>
        <v>1</v>
      </c>
      <c r="U609">
        <f t="shared" ca="1" si="231"/>
        <v>0.05</v>
      </c>
      <c r="V609">
        <f t="shared" ca="1" si="232"/>
        <v>0.26</v>
      </c>
      <c r="W609">
        <f t="shared" ca="1" si="233"/>
        <v>4.9056603773584909E-2</v>
      </c>
      <c r="X609">
        <f t="shared" ca="1" si="234"/>
        <v>196.15384615384616</v>
      </c>
      <c r="Y609">
        <f t="shared" ca="1" si="235"/>
        <v>632.38249999999994</v>
      </c>
      <c r="Z609">
        <f t="shared" ca="1" si="236"/>
        <v>2593.4595316486621</v>
      </c>
      <c r="AA609">
        <f t="shared" ca="1" si="237"/>
        <v>482.07306851378365</v>
      </c>
      <c r="AB609">
        <f t="shared" ca="1" si="238"/>
        <v>482.62981620185974</v>
      </c>
      <c r="AC609">
        <f t="shared" ca="1" si="239"/>
        <v>0</v>
      </c>
      <c r="AD609">
        <f ca="1">IF(V32="Supercritical",L609,U609)</f>
        <v>0.05</v>
      </c>
      <c r="AE609">
        <f t="shared" ca="1" si="240"/>
        <v>632.38249999999994</v>
      </c>
      <c r="AF609">
        <f t="shared" ca="1" si="241"/>
        <v>2593.4595316486621</v>
      </c>
      <c r="AI609">
        <v>0</v>
      </c>
      <c r="AJ609">
        <v>0</v>
      </c>
      <c r="AK609">
        <f t="shared" si="242"/>
        <v>0</v>
      </c>
      <c r="AL609">
        <f t="shared" si="250"/>
        <v>0</v>
      </c>
      <c r="AM609">
        <f t="shared" ca="1" si="243"/>
        <v>280.07692026646265</v>
      </c>
      <c r="AN609" t="str">
        <f t="shared" ca="1" si="244"/>
        <v>Supercritical</v>
      </c>
      <c r="AO609">
        <f ca="1">IF(V32="Supercritical",R609,AA609)</f>
        <v>482.07306851378365</v>
      </c>
    </row>
    <row r="610" spans="1:41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174</v>
      </c>
      <c r="I610">
        <v>2.3E-2</v>
      </c>
      <c r="J610">
        <f t="shared" si="245"/>
        <v>1.0010000000000332</v>
      </c>
      <c r="K610">
        <f t="shared" si="246"/>
        <v>51</v>
      </c>
      <c r="L610">
        <f t="shared" ca="1" si="247"/>
        <v>38819.197063230364</v>
      </c>
      <c r="M610">
        <f t="shared" ca="1" si="225"/>
        <v>201859.82472879789</v>
      </c>
      <c r="N610">
        <f t="shared" ca="1" si="226"/>
        <v>2.5998258710180524</v>
      </c>
      <c r="O610">
        <f t="shared" ca="1" si="227"/>
        <v>2.5265057110061086E-4</v>
      </c>
      <c r="P610">
        <f t="shared" ca="1" si="228"/>
        <v>39451.529063230366</v>
      </c>
      <c r="Q610">
        <f t="shared" ca="1" si="229"/>
        <v>39451.529063233618</v>
      </c>
      <c r="R610">
        <f t="shared" ca="1" si="230"/>
        <v>4.0175757299156572E-12</v>
      </c>
      <c r="S610">
        <f t="shared" ca="1" si="248"/>
        <v>1.1829036120616365E-2</v>
      </c>
      <c r="T610">
        <f t="shared" ca="1" si="249"/>
        <v>0</v>
      </c>
      <c r="U610">
        <f t="shared" ca="1" si="231"/>
        <v>0.05</v>
      </c>
      <c r="V610">
        <f t="shared" ca="1" si="232"/>
        <v>0.26</v>
      </c>
      <c r="W610">
        <f t="shared" ca="1" si="233"/>
        <v>4.9056603773584909E-2</v>
      </c>
      <c r="X610">
        <f t="shared" ca="1" si="234"/>
        <v>196.15384615384616</v>
      </c>
      <c r="Y610">
        <f t="shared" ca="1" si="235"/>
        <v>632.38199999999995</v>
      </c>
      <c r="Z610">
        <f t="shared" ca="1" si="236"/>
        <v>2593.4590316486619</v>
      </c>
      <c r="AA610">
        <f t="shared" ca="1" si="237"/>
        <v>482.07306851378365</v>
      </c>
      <c r="AB610">
        <f t="shared" ca="1" si="238"/>
        <v>481.67874391167788</v>
      </c>
      <c r="AC610">
        <f t="shared" ca="1" si="239"/>
        <v>0</v>
      </c>
      <c r="AD610">
        <f ca="1">IF(V32="Supercritical",L610,U610)</f>
        <v>0.05</v>
      </c>
      <c r="AE610">
        <f t="shared" ca="1" si="240"/>
        <v>632.38199999999995</v>
      </c>
      <c r="AF610">
        <f t="shared" ca="1" si="241"/>
        <v>2593.4590316486619</v>
      </c>
      <c r="AI610">
        <v>0</v>
      </c>
      <c r="AJ610">
        <v>0</v>
      </c>
      <c r="AK610">
        <f t="shared" si="242"/>
        <v>0</v>
      </c>
      <c r="AL610">
        <f t="shared" si="250"/>
        <v>0</v>
      </c>
      <c r="AM610">
        <f t="shared" ca="1" si="243"/>
        <v>280.07692026646265</v>
      </c>
      <c r="AN610" t="str">
        <f t="shared" ca="1" si="244"/>
        <v>Supercritical</v>
      </c>
      <c r="AO610">
        <f ca="1">IF(V32="Supercritical",R610,AA610)</f>
        <v>482.07306851378365</v>
      </c>
    </row>
    <row r="611" spans="1:41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174</v>
      </c>
      <c r="I611">
        <v>2.7E-2</v>
      </c>
      <c r="J611">
        <f t="shared" si="245"/>
        <v>0.9989999999999668</v>
      </c>
      <c r="K611">
        <f t="shared" si="246"/>
        <v>51</v>
      </c>
      <c r="L611">
        <f t="shared" ca="1" si="247"/>
        <v>38819.197063230364</v>
      </c>
      <c r="M611">
        <f t="shared" ca="1" si="225"/>
        <v>201859.82472879789</v>
      </c>
      <c r="N611">
        <f t="shared" ca="1" si="226"/>
        <v>2.5998258710180524</v>
      </c>
      <c r="O611">
        <f t="shared" ca="1" si="227"/>
        <v>2.5265057110061086E-4</v>
      </c>
      <c r="P611">
        <f t="shared" ca="1" si="228"/>
        <v>39451.528563230364</v>
      </c>
      <c r="Q611">
        <f t="shared" ca="1" si="229"/>
        <v>39451.528563233616</v>
      </c>
      <c r="R611">
        <f t="shared" ca="1" si="230"/>
        <v>4.0175757299156572E-12</v>
      </c>
      <c r="S611">
        <f t="shared" ca="1" si="248"/>
        <v>4.999999946448952E-4</v>
      </c>
      <c r="T611">
        <f t="shared" ca="1" si="249"/>
        <v>1</v>
      </c>
      <c r="U611">
        <f t="shared" ca="1" si="231"/>
        <v>0.05</v>
      </c>
      <c r="V611">
        <f t="shared" ca="1" si="232"/>
        <v>0.26</v>
      </c>
      <c r="W611">
        <f t="shared" ca="1" si="233"/>
        <v>4.9056603773584909E-2</v>
      </c>
      <c r="X611">
        <f t="shared" ca="1" si="234"/>
        <v>196.15384615384616</v>
      </c>
      <c r="Y611">
        <f t="shared" ca="1" si="235"/>
        <v>632.38149999999996</v>
      </c>
      <c r="Z611">
        <f t="shared" ca="1" si="236"/>
        <v>2593.4585316486618</v>
      </c>
      <c r="AA611">
        <f t="shared" ca="1" si="237"/>
        <v>482.07306851378365</v>
      </c>
      <c r="AB611">
        <f t="shared" ca="1" si="238"/>
        <v>482.64289004873808</v>
      </c>
      <c r="AC611">
        <f t="shared" ca="1" si="239"/>
        <v>0</v>
      </c>
      <c r="AD611">
        <f ca="1">IF(V32="Supercritical",L611,U611)</f>
        <v>0.05</v>
      </c>
      <c r="AE611">
        <f t="shared" ca="1" si="240"/>
        <v>632.38149999999996</v>
      </c>
      <c r="AF611">
        <f t="shared" ca="1" si="241"/>
        <v>2593.4585316486618</v>
      </c>
      <c r="AI611">
        <v>0</v>
      </c>
      <c r="AJ611">
        <v>0</v>
      </c>
      <c r="AK611">
        <f t="shared" si="242"/>
        <v>0</v>
      </c>
      <c r="AL611">
        <f t="shared" si="250"/>
        <v>0</v>
      </c>
      <c r="AM611">
        <f t="shared" ca="1" si="243"/>
        <v>280.07692026646265</v>
      </c>
      <c r="AN611" t="str">
        <f t="shared" ca="1" si="244"/>
        <v>Supercritical</v>
      </c>
      <c r="AO611">
        <f ca="1">IF(V32="Supercritical",R611,AA611)</f>
        <v>482.07306851378365</v>
      </c>
    </row>
    <row r="612" spans="1:41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174</v>
      </c>
      <c r="I612">
        <v>2.7E-2</v>
      </c>
      <c r="J612">
        <f t="shared" si="245"/>
        <v>1.0010000000000332</v>
      </c>
      <c r="K612">
        <f t="shared" si="246"/>
        <v>51</v>
      </c>
      <c r="L612">
        <f t="shared" ca="1" si="247"/>
        <v>38819.185734834733</v>
      </c>
      <c r="M612">
        <f t="shared" ca="1" si="225"/>
        <v>201859.76582114061</v>
      </c>
      <c r="N612">
        <f t="shared" ca="1" si="226"/>
        <v>2.5998258709672406</v>
      </c>
      <c r="O612">
        <f t="shared" ca="1" si="227"/>
        <v>2.526506448302776E-4</v>
      </c>
      <c r="P612">
        <f t="shared" ca="1" si="228"/>
        <v>39451.516734834731</v>
      </c>
      <c r="Q612">
        <f t="shared" ca="1" si="229"/>
        <v>39451.516734837984</v>
      </c>
      <c r="R612">
        <f t="shared" ca="1" si="230"/>
        <v>4.0175780748760267E-12</v>
      </c>
      <c r="S612">
        <f t="shared" ca="1" si="248"/>
        <v>1.1828395625343546E-2</v>
      </c>
      <c r="T612">
        <f t="shared" ca="1" si="249"/>
        <v>0</v>
      </c>
      <c r="U612">
        <f t="shared" ca="1" si="231"/>
        <v>0.05</v>
      </c>
      <c r="V612">
        <f t="shared" ca="1" si="232"/>
        <v>0.26</v>
      </c>
      <c r="W612">
        <f t="shared" ca="1" si="233"/>
        <v>4.9056603773584909E-2</v>
      </c>
      <c r="X612">
        <f t="shared" ca="1" si="234"/>
        <v>196.15384615384616</v>
      </c>
      <c r="Y612">
        <f t="shared" ca="1" si="235"/>
        <v>632.38099999999997</v>
      </c>
      <c r="Z612">
        <f t="shared" ca="1" si="236"/>
        <v>2593.4580316486622</v>
      </c>
      <c r="AA612">
        <f t="shared" ca="1" si="237"/>
        <v>482.07306851378365</v>
      </c>
      <c r="AB612">
        <f t="shared" ca="1" si="238"/>
        <v>481.75391853122483</v>
      </c>
      <c r="AC612">
        <f t="shared" ca="1" si="239"/>
        <v>0</v>
      </c>
      <c r="AD612">
        <f ca="1">IF(V32="Supercritical",L612,U612)</f>
        <v>0.05</v>
      </c>
      <c r="AE612">
        <f t="shared" ca="1" si="240"/>
        <v>632.38099999999997</v>
      </c>
      <c r="AF612">
        <f t="shared" ca="1" si="241"/>
        <v>2593.4580316486622</v>
      </c>
      <c r="AI612">
        <v>0</v>
      </c>
      <c r="AJ612">
        <v>0</v>
      </c>
      <c r="AK612">
        <f t="shared" si="242"/>
        <v>0</v>
      </c>
      <c r="AL612">
        <f t="shared" si="250"/>
        <v>0</v>
      </c>
      <c r="AM612">
        <f t="shared" ca="1" si="243"/>
        <v>280.07692026646265</v>
      </c>
      <c r="AN612" t="str">
        <f t="shared" ca="1" si="244"/>
        <v>Supercritical</v>
      </c>
      <c r="AO612">
        <f ca="1">IF(V32="Supercritical",R612,AA612)</f>
        <v>482.07306851378365</v>
      </c>
    </row>
    <row r="613" spans="1:41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174</v>
      </c>
      <c r="I613">
        <v>0.05</v>
      </c>
      <c r="J613">
        <f t="shared" si="245"/>
        <v>0.9989999999999668</v>
      </c>
      <c r="K613">
        <f t="shared" si="246"/>
        <v>51</v>
      </c>
      <c r="L613">
        <f t="shared" ca="1" si="247"/>
        <v>38819.185734834733</v>
      </c>
      <c r="M613">
        <f t="shared" ca="1" si="225"/>
        <v>201859.76582114061</v>
      </c>
      <c r="N613">
        <f t="shared" ca="1" si="226"/>
        <v>2.5998258709672406</v>
      </c>
      <c r="O613">
        <f t="shared" ca="1" si="227"/>
        <v>2.526506448302776E-4</v>
      </c>
      <c r="P613">
        <f t="shared" ca="1" si="228"/>
        <v>39451.516234834737</v>
      </c>
      <c r="Q613">
        <f t="shared" ca="1" si="229"/>
        <v>39451.516234837989</v>
      </c>
      <c r="R613">
        <f t="shared" ca="1" si="230"/>
        <v>4.0175780748760267E-12</v>
      </c>
      <c r="S613">
        <f t="shared" ca="1" si="248"/>
        <v>4.9999998736893758E-4</v>
      </c>
      <c r="T613">
        <f t="shared" ca="1" si="249"/>
        <v>1</v>
      </c>
      <c r="U613">
        <f t="shared" ca="1" si="231"/>
        <v>0.05</v>
      </c>
      <c r="V613">
        <f t="shared" ca="1" si="232"/>
        <v>0.26</v>
      </c>
      <c r="W613">
        <f t="shared" ca="1" si="233"/>
        <v>4.9056603773584909E-2</v>
      </c>
      <c r="X613">
        <f t="shared" ca="1" si="234"/>
        <v>196.15384615384616</v>
      </c>
      <c r="Y613">
        <f t="shared" ca="1" si="235"/>
        <v>632.38049999999998</v>
      </c>
      <c r="Z613">
        <f t="shared" ca="1" si="236"/>
        <v>2593.4575316486621</v>
      </c>
      <c r="AA613">
        <f t="shared" ca="1" si="237"/>
        <v>482.07306851378365</v>
      </c>
      <c r="AB613">
        <f t="shared" ca="1" si="238"/>
        <v>482.32750852789786</v>
      </c>
      <c r="AC613">
        <f t="shared" ca="1" si="239"/>
        <v>0</v>
      </c>
      <c r="AD613">
        <f ca="1">IF(V32="Supercritical",L613,U613)</f>
        <v>0.05</v>
      </c>
      <c r="AE613">
        <f t="shared" ca="1" si="240"/>
        <v>632.38049999999998</v>
      </c>
      <c r="AF613">
        <f t="shared" ca="1" si="241"/>
        <v>2593.4575316486621</v>
      </c>
      <c r="AI613">
        <v>0</v>
      </c>
      <c r="AJ613">
        <v>0</v>
      </c>
      <c r="AK613">
        <f t="shared" si="242"/>
        <v>0</v>
      </c>
      <c r="AL613">
        <f t="shared" si="250"/>
        <v>0</v>
      </c>
      <c r="AM613">
        <f t="shared" ca="1" si="243"/>
        <v>280.07692026646265</v>
      </c>
      <c r="AN613" t="str">
        <f t="shared" ca="1" si="244"/>
        <v>Supercritical</v>
      </c>
      <c r="AO613">
        <f ca="1">IF(V32="Supercritical",R613,AA613)</f>
        <v>482.07306851378365</v>
      </c>
    </row>
    <row r="614" spans="1:41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174</v>
      </c>
      <c r="I614">
        <v>7.8E-2</v>
      </c>
      <c r="J614">
        <f t="shared" si="245"/>
        <v>1</v>
      </c>
      <c r="K614">
        <f t="shared" si="246"/>
        <v>51</v>
      </c>
      <c r="L614">
        <f t="shared" ca="1" si="247"/>
        <v>38819.174407246945</v>
      </c>
      <c r="M614">
        <f t="shared" ca="1" si="225"/>
        <v>201859.70691768412</v>
      </c>
      <c r="N614">
        <f t="shared" ca="1" si="226"/>
        <v>2.5998258709164328</v>
      </c>
      <c r="O614">
        <f t="shared" ca="1" si="227"/>
        <v>2.5265071855472954E-4</v>
      </c>
      <c r="P614">
        <f t="shared" ca="1" si="228"/>
        <v>39451.504407246946</v>
      </c>
      <c r="Q614">
        <f t="shared" ca="1" si="229"/>
        <v>39451.504407250199</v>
      </c>
      <c r="R614">
        <f t="shared" ca="1" si="230"/>
        <v>4.0175804196712259E-12</v>
      </c>
      <c r="S614">
        <f t="shared" ca="1" si="248"/>
        <v>1.1827587783045601E-2</v>
      </c>
      <c r="T614">
        <f t="shared" ca="1" si="249"/>
        <v>0</v>
      </c>
      <c r="U614">
        <f t="shared" ca="1" si="231"/>
        <v>0.05</v>
      </c>
      <c r="V614">
        <f t="shared" ca="1" si="232"/>
        <v>0.26</v>
      </c>
      <c r="W614">
        <f t="shared" ca="1" si="233"/>
        <v>4.9056603773584909E-2</v>
      </c>
      <c r="X614">
        <f t="shared" ca="1" si="234"/>
        <v>196.15384615384616</v>
      </c>
      <c r="Y614">
        <f t="shared" ca="1" si="235"/>
        <v>632.38</v>
      </c>
      <c r="Z614">
        <f t="shared" ca="1" si="236"/>
        <v>2593.457031648662</v>
      </c>
      <c r="AA614">
        <f t="shared" ca="1" si="237"/>
        <v>482.07306851378365</v>
      </c>
      <c r="AB614">
        <f t="shared" ca="1" si="238"/>
        <v>482.64289004873808</v>
      </c>
      <c r="AC614">
        <f t="shared" ca="1" si="239"/>
        <v>0</v>
      </c>
      <c r="AD614">
        <f ca="1">IF(V32="Supercritical",L614,U614)</f>
        <v>0.05</v>
      </c>
      <c r="AE614">
        <f t="shared" ca="1" si="240"/>
        <v>632.38</v>
      </c>
      <c r="AF614">
        <f t="shared" ca="1" si="241"/>
        <v>2593.457031648662</v>
      </c>
      <c r="AI614">
        <v>0</v>
      </c>
      <c r="AJ614">
        <v>0</v>
      </c>
      <c r="AK614">
        <f t="shared" si="242"/>
        <v>0</v>
      </c>
      <c r="AL614">
        <f t="shared" si="250"/>
        <v>0</v>
      </c>
      <c r="AM614">
        <f t="shared" ca="1" si="243"/>
        <v>280.07692026646265</v>
      </c>
      <c r="AN614" t="str">
        <f t="shared" ca="1" si="244"/>
        <v>Supercritical</v>
      </c>
      <c r="AO614">
        <f ca="1">IF(V32="Supercritical",R614,AA614)</f>
        <v>482.07306851378365</v>
      </c>
    </row>
    <row r="615" spans="1:41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174</v>
      </c>
      <c r="I615">
        <v>2.7E-2</v>
      </c>
      <c r="J615">
        <f t="shared" si="245"/>
        <v>1.0010000000000332</v>
      </c>
      <c r="K615">
        <f t="shared" si="246"/>
        <v>51</v>
      </c>
      <c r="L615">
        <f t="shared" ca="1" si="247"/>
        <v>38819.174407246945</v>
      </c>
      <c r="M615">
        <f t="shared" ca="1" si="225"/>
        <v>201859.70691768412</v>
      </c>
      <c r="N615">
        <f t="shared" ca="1" si="226"/>
        <v>2.5998258709164328</v>
      </c>
      <c r="O615">
        <f t="shared" ca="1" si="227"/>
        <v>2.5265071855472954E-4</v>
      </c>
      <c r="P615">
        <f t="shared" ca="1" si="228"/>
        <v>39451.503907246944</v>
      </c>
      <c r="Q615">
        <f t="shared" ca="1" si="229"/>
        <v>39451.503907250197</v>
      </c>
      <c r="R615">
        <f t="shared" ca="1" si="230"/>
        <v>4.0175804196712259E-12</v>
      </c>
      <c r="S615">
        <f t="shared" ca="1" si="248"/>
        <v>4.999999946448952E-4</v>
      </c>
      <c r="T615">
        <f t="shared" ca="1" si="249"/>
        <v>1</v>
      </c>
      <c r="U615">
        <f t="shared" ca="1" si="231"/>
        <v>0.05</v>
      </c>
      <c r="V615">
        <f t="shared" ca="1" si="232"/>
        <v>0.26</v>
      </c>
      <c r="W615">
        <f t="shared" ca="1" si="233"/>
        <v>4.9056603773584909E-2</v>
      </c>
      <c r="X615">
        <f t="shared" ca="1" si="234"/>
        <v>196.15384615384616</v>
      </c>
      <c r="Y615">
        <f t="shared" ca="1" si="235"/>
        <v>632.37950000000001</v>
      </c>
      <c r="Z615">
        <f t="shared" ca="1" si="236"/>
        <v>2593.4565316486623</v>
      </c>
      <c r="AA615">
        <f t="shared" ca="1" si="237"/>
        <v>482.07306851378365</v>
      </c>
      <c r="AB615">
        <f t="shared" ca="1" si="238"/>
        <v>481.67874391167788</v>
      </c>
      <c r="AC615">
        <f t="shared" ca="1" si="239"/>
        <v>0</v>
      </c>
      <c r="AD615">
        <f ca="1">IF(V32="Supercritical",L615,U615)</f>
        <v>0.05</v>
      </c>
      <c r="AE615">
        <f t="shared" ca="1" si="240"/>
        <v>632.37950000000001</v>
      </c>
      <c r="AF615">
        <f t="shared" ca="1" si="241"/>
        <v>2593.4565316486623</v>
      </c>
      <c r="AI615">
        <v>0</v>
      </c>
      <c r="AJ615">
        <v>0</v>
      </c>
      <c r="AK615">
        <f t="shared" si="242"/>
        <v>0</v>
      </c>
      <c r="AL615">
        <f t="shared" si="250"/>
        <v>0</v>
      </c>
      <c r="AM615">
        <f t="shared" ca="1" si="243"/>
        <v>280.07692026646265</v>
      </c>
      <c r="AN615" t="str">
        <f t="shared" ca="1" si="244"/>
        <v>Supercritical</v>
      </c>
      <c r="AO615">
        <f ca="1">IF(V32="Supercritical",R615,AA615)</f>
        <v>482.07306851378365</v>
      </c>
    </row>
    <row r="616" spans="1:41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174</v>
      </c>
      <c r="I616">
        <v>2.7E-2</v>
      </c>
      <c r="J616">
        <f t="shared" si="245"/>
        <v>0.9989999999999668</v>
      </c>
      <c r="K616">
        <f t="shared" si="246"/>
        <v>51</v>
      </c>
      <c r="L616">
        <f t="shared" ca="1" si="247"/>
        <v>38819.163080668659</v>
      </c>
      <c r="M616">
        <f t="shared" ca="1" si="225"/>
        <v>201859.64801947703</v>
      </c>
      <c r="N616">
        <f t="shared" ca="1" si="226"/>
        <v>2.599825870865629</v>
      </c>
      <c r="O616">
        <f t="shared" ca="1" si="227"/>
        <v>2.5265079227265426E-4</v>
      </c>
      <c r="P616">
        <f t="shared" ca="1" si="228"/>
        <v>39451.492080668657</v>
      </c>
      <c r="Q616">
        <f t="shared" ca="1" si="229"/>
        <v>39451.492080671909</v>
      </c>
      <c r="R616">
        <f t="shared" ca="1" si="230"/>
        <v>4.0175827642595145E-12</v>
      </c>
      <c r="S616">
        <f t="shared" ca="1" si="248"/>
        <v>1.1826578280306421E-2</v>
      </c>
      <c r="T616">
        <f t="shared" ca="1" si="249"/>
        <v>0</v>
      </c>
      <c r="U616">
        <f t="shared" ca="1" si="231"/>
        <v>0.05</v>
      </c>
      <c r="V616">
        <f t="shared" ca="1" si="232"/>
        <v>0.26</v>
      </c>
      <c r="W616">
        <f t="shared" ca="1" si="233"/>
        <v>4.9056603773584909E-2</v>
      </c>
      <c r="X616">
        <f t="shared" ca="1" si="234"/>
        <v>196.15384615384616</v>
      </c>
      <c r="Y616">
        <f t="shared" ca="1" si="235"/>
        <v>632.37899999999991</v>
      </c>
      <c r="Z616">
        <f t="shared" ca="1" si="236"/>
        <v>2593.4560316486622</v>
      </c>
      <c r="AA616">
        <f t="shared" ca="1" si="237"/>
        <v>482.07306851378365</v>
      </c>
      <c r="AB616">
        <f t="shared" ca="1" si="238"/>
        <v>482.80958159642751</v>
      </c>
      <c r="AC616">
        <f t="shared" ca="1" si="239"/>
        <v>0</v>
      </c>
      <c r="AD616">
        <f ca="1">IF(V32="Supercritical",L616,U616)</f>
        <v>0.05</v>
      </c>
      <c r="AE616">
        <f t="shared" ca="1" si="240"/>
        <v>632.37899999999991</v>
      </c>
      <c r="AF616">
        <f t="shared" ca="1" si="241"/>
        <v>2593.4560316486622</v>
      </c>
      <c r="AI616">
        <v>0</v>
      </c>
      <c r="AJ616">
        <v>0</v>
      </c>
      <c r="AK616">
        <f t="shared" si="242"/>
        <v>0</v>
      </c>
      <c r="AL616">
        <f t="shared" si="250"/>
        <v>0</v>
      </c>
      <c r="AM616">
        <f t="shared" ca="1" si="243"/>
        <v>280.07692026646265</v>
      </c>
      <c r="AN616" t="str">
        <f t="shared" ca="1" si="244"/>
        <v>Supercritical</v>
      </c>
      <c r="AO616">
        <f ca="1">IF(V32="Supercritical",R616,AA616)</f>
        <v>482.07306851378365</v>
      </c>
    </row>
    <row r="617" spans="1:41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174</v>
      </c>
      <c r="I617">
        <v>7.8E-2</v>
      </c>
      <c r="J617">
        <f t="shared" si="245"/>
        <v>1.0010000000000332</v>
      </c>
      <c r="K617">
        <f t="shared" si="246"/>
        <v>51</v>
      </c>
      <c r="L617">
        <f t="shared" ca="1" si="247"/>
        <v>38819.163080668659</v>
      </c>
      <c r="M617">
        <f t="shared" ca="1" si="225"/>
        <v>201859.64801947703</v>
      </c>
      <c r="N617">
        <f t="shared" ca="1" si="226"/>
        <v>2.599825870865629</v>
      </c>
      <c r="O617">
        <f t="shared" ca="1" si="227"/>
        <v>2.5265079227265426E-4</v>
      </c>
      <c r="P617">
        <f t="shared" ca="1" si="228"/>
        <v>39451.491580668662</v>
      </c>
      <c r="Q617">
        <f t="shared" ca="1" si="229"/>
        <v>39451.491580671915</v>
      </c>
      <c r="R617">
        <f t="shared" ca="1" si="230"/>
        <v>4.0175827642595145E-12</v>
      </c>
      <c r="S617">
        <f t="shared" ca="1" si="248"/>
        <v>4.9999998736893758E-4</v>
      </c>
      <c r="T617">
        <f t="shared" ca="1" si="249"/>
        <v>1</v>
      </c>
      <c r="U617">
        <f t="shared" ca="1" si="231"/>
        <v>0.05</v>
      </c>
      <c r="V617">
        <f t="shared" ca="1" si="232"/>
        <v>0.26</v>
      </c>
      <c r="W617">
        <f t="shared" ca="1" si="233"/>
        <v>4.9056603773584909E-2</v>
      </c>
      <c r="X617">
        <f t="shared" ca="1" si="234"/>
        <v>196.15384615384616</v>
      </c>
      <c r="Y617">
        <f t="shared" ca="1" si="235"/>
        <v>632.37849999999992</v>
      </c>
      <c r="Z617">
        <f t="shared" ca="1" si="236"/>
        <v>2593.4555316486621</v>
      </c>
      <c r="AA617">
        <f t="shared" ca="1" si="237"/>
        <v>482.07306851378365</v>
      </c>
      <c r="AB617">
        <f t="shared" ca="1" si="238"/>
        <v>482.23599159975447</v>
      </c>
      <c r="AC617">
        <f t="shared" ca="1" si="239"/>
        <v>0</v>
      </c>
      <c r="AD617">
        <f ca="1">IF(V32="Supercritical",L617,U617)</f>
        <v>0.05</v>
      </c>
      <c r="AE617">
        <f t="shared" ca="1" si="240"/>
        <v>632.37849999999992</v>
      </c>
      <c r="AF617">
        <f t="shared" ca="1" si="241"/>
        <v>2593.4555316486621</v>
      </c>
      <c r="AI617">
        <v>0</v>
      </c>
      <c r="AJ617">
        <v>0</v>
      </c>
      <c r="AK617">
        <f t="shared" si="242"/>
        <v>0</v>
      </c>
      <c r="AL617">
        <f t="shared" si="250"/>
        <v>0</v>
      </c>
      <c r="AM617">
        <f t="shared" ca="1" si="243"/>
        <v>280.07692026646265</v>
      </c>
      <c r="AN617" t="str">
        <f t="shared" ca="1" si="244"/>
        <v>Supercritical</v>
      </c>
      <c r="AO617">
        <f ca="1">IF(V32="Supercritical",R617,AA617)</f>
        <v>482.07306851378365</v>
      </c>
    </row>
    <row r="618" spans="1:41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174</v>
      </c>
      <c r="I618">
        <v>0.05</v>
      </c>
      <c r="J618">
        <f t="shared" si="245"/>
        <v>1</v>
      </c>
      <c r="K618">
        <f t="shared" si="246"/>
        <v>51</v>
      </c>
      <c r="L618">
        <f t="shared" ca="1" si="247"/>
        <v>38819.151755341241</v>
      </c>
      <c r="M618">
        <f t="shared" ca="1" si="225"/>
        <v>201859.58912777447</v>
      </c>
      <c r="N618">
        <f t="shared" ca="1" si="226"/>
        <v>2.599825870814831</v>
      </c>
      <c r="O618">
        <f t="shared" ca="1" si="227"/>
        <v>2.5265086598248086E-4</v>
      </c>
      <c r="P618">
        <f t="shared" ca="1" si="228"/>
        <v>39451.479755341243</v>
      </c>
      <c r="Q618">
        <f t="shared" ca="1" si="229"/>
        <v>39451.479755344495</v>
      </c>
      <c r="R618">
        <f t="shared" ca="1" si="230"/>
        <v>4.0175851085909222E-12</v>
      </c>
      <c r="S618">
        <f t="shared" ca="1" si="248"/>
        <v>1.1825327412225306E-2</v>
      </c>
      <c r="T618">
        <f t="shared" ca="1" si="249"/>
        <v>0</v>
      </c>
      <c r="U618">
        <f t="shared" ca="1" si="231"/>
        <v>0.05</v>
      </c>
      <c r="V618">
        <f t="shared" ca="1" si="232"/>
        <v>0.26</v>
      </c>
      <c r="W618">
        <f t="shared" ca="1" si="233"/>
        <v>4.9056603773584909E-2</v>
      </c>
      <c r="X618">
        <f t="shared" ca="1" si="234"/>
        <v>196.15384615384616</v>
      </c>
      <c r="Y618">
        <f t="shared" ca="1" si="235"/>
        <v>632.37799999999993</v>
      </c>
      <c r="Z618">
        <f t="shared" ca="1" si="236"/>
        <v>2593.455031648662</v>
      </c>
      <c r="AA618">
        <f t="shared" ca="1" si="237"/>
        <v>482.07306851378365</v>
      </c>
      <c r="AB618">
        <f t="shared" ca="1" si="238"/>
        <v>481.67874391167788</v>
      </c>
      <c r="AC618">
        <f t="shared" ca="1" si="239"/>
        <v>0</v>
      </c>
      <c r="AD618">
        <f ca="1">IF(V32="Supercritical",L618,U618)</f>
        <v>0.05</v>
      </c>
      <c r="AE618">
        <f t="shared" ca="1" si="240"/>
        <v>632.37799999999993</v>
      </c>
      <c r="AF618">
        <f t="shared" ca="1" si="241"/>
        <v>2593.455031648662</v>
      </c>
      <c r="AI618">
        <v>0</v>
      </c>
      <c r="AJ618">
        <v>0</v>
      </c>
      <c r="AK618">
        <f t="shared" si="242"/>
        <v>0</v>
      </c>
      <c r="AL618">
        <f t="shared" si="250"/>
        <v>0</v>
      </c>
      <c r="AM618">
        <f t="shared" ca="1" si="243"/>
        <v>280.07692026646265</v>
      </c>
      <c r="AN618" t="str">
        <f t="shared" ca="1" si="244"/>
        <v>Supercritical</v>
      </c>
      <c r="AO618">
        <f ca="1">IF(V32="Supercritical",R618,AA618)</f>
        <v>482.07306851378365</v>
      </c>
    </row>
    <row r="619" spans="1:41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174</v>
      </c>
      <c r="I619">
        <v>2.7E-2</v>
      </c>
      <c r="J619">
        <f t="shared" si="245"/>
        <v>0.9989999999999668</v>
      </c>
      <c r="K619">
        <f t="shared" si="246"/>
        <v>51</v>
      </c>
      <c r="L619">
        <f t="shared" ca="1" si="247"/>
        <v>38819.151755341241</v>
      </c>
      <c r="M619">
        <f t="shared" ca="1" si="225"/>
        <v>201859.58912777447</v>
      </c>
      <c r="N619">
        <f t="shared" ca="1" si="226"/>
        <v>2.599825870814831</v>
      </c>
      <c r="O619">
        <f t="shared" ca="1" si="227"/>
        <v>2.5265086598248086E-4</v>
      </c>
      <c r="P619">
        <f t="shared" ca="1" si="228"/>
        <v>39451.479255341241</v>
      </c>
      <c r="Q619">
        <f t="shared" ca="1" si="229"/>
        <v>39451.479255344493</v>
      </c>
      <c r="R619">
        <f t="shared" ca="1" si="230"/>
        <v>4.0175851085909222E-12</v>
      </c>
      <c r="S619">
        <f t="shared" ca="1" si="248"/>
        <v>4.999999946448952E-4</v>
      </c>
      <c r="T619">
        <f t="shared" ca="1" si="249"/>
        <v>1</v>
      </c>
      <c r="U619">
        <f t="shared" ca="1" si="231"/>
        <v>0.05</v>
      </c>
      <c r="V619">
        <f t="shared" ca="1" si="232"/>
        <v>0.26</v>
      </c>
      <c r="W619">
        <f t="shared" ca="1" si="233"/>
        <v>4.9056603773584909E-2</v>
      </c>
      <c r="X619">
        <f t="shared" ca="1" si="234"/>
        <v>196.15384615384616</v>
      </c>
      <c r="Y619">
        <f t="shared" ca="1" si="235"/>
        <v>632.37749999999994</v>
      </c>
      <c r="Z619">
        <f t="shared" ca="1" si="236"/>
        <v>2593.4545316486619</v>
      </c>
      <c r="AA619">
        <f t="shared" ca="1" si="237"/>
        <v>482.07306851378365</v>
      </c>
      <c r="AB619">
        <f t="shared" ca="1" si="238"/>
        <v>482.64289004873763</v>
      </c>
      <c r="AC619">
        <f t="shared" ca="1" si="239"/>
        <v>0</v>
      </c>
      <c r="AD619">
        <f ca="1">IF(V32="Supercritical",L619,U619)</f>
        <v>0.05</v>
      </c>
      <c r="AE619">
        <f t="shared" ca="1" si="240"/>
        <v>632.37749999999994</v>
      </c>
      <c r="AF619">
        <f t="shared" ca="1" si="241"/>
        <v>2593.4545316486619</v>
      </c>
      <c r="AI619">
        <v>0</v>
      </c>
      <c r="AJ619">
        <v>0</v>
      </c>
      <c r="AK619">
        <f t="shared" si="242"/>
        <v>0</v>
      </c>
      <c r="AL619">
        <f t="shared" si="250"/>
        <v>0</v>
      </c>
      <c r="AM619">
        <f t="shared" ca="1" si="243"/>
        <v>280.07692026646265</v>
      </c>
      <c r="AN619" t="str">
        <f t="shared" ca="1" si="244"/>
        <v>Supercritical</v>
      </c>
      <c r="AO619">
        <f ca="1">IF(V32="Supercritical",R619,AA619)</f>
        <v>482.07306851378365</v>
      </c>
    </row>
    <row r="620" spans="1:41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174</v>
      </c>
      <c r="I620">
        <v>2.7E-2</v>
      </c>
      <c r="J620">
        <f t="shared" si="245"/>
        <v>1.0010000000000332</v>
      </c>
      <c r="K620">
        <f t="shared" si="246"/>
        <v>51</v>
      </c>
      <c r="L620">
        <f t="shared" ca="1" si="247"/>
        <v>38819.140431551641</v>
      </c>
      <c r="M620">
        <f t="shared" ca="1" si="225"/>
        <v>201859.53024406853</v>
      </c>
      <c r="N620">
        <f t="shared" ca="1" si="226"/>
        <v>2.5998258707640396</v>
      </c>
      <c r="O620">
        <f t="shared" ca="1" si="227"/>
        <v>2.5265093968234175E-4</v>
      </c>
      <c r="P620">
        <f t="shared" ca="1" si="228"/>
        <v>39451.467431551639</v>
      </c>
      <c r="Q620">
        <f t="shared" ca="1" si="229"/>
        <v>39451.467431554891</v>
      </c>
      <c r="R620">
        <f t="shared" ca="1" si="230"/>
        <v>4.0175874526060586E-12</v>
      </c>
      <c r="S620">
        <f t="shared" ca="1" si="248"/>
        <v>1.1823789594927803E-2</v>
      </c>
      <c r="T620">
        <f t="shared" ca="1" si="249"/>
        <v>0</v>
      </c>
      <c r="U620">
        <f t="shared" ca="1" si="231"/>
        <v>0.05</v>
      </c>
      <c r="V620">
        <f t="shared" ca="1" si="232"/>
        <v>0.26</v>
      </c>
      <c r="W620">
        <f t="shared" ca="1" si="233"/>
        <v>4.9056603773584909E-2</v>
      </c>
      <c r="X620">
        <f t="shared" ca="1" si="234"/>
        <v>196.15384615384616</v>
      </c>
      <c r="Y620">
        <f t="shared" ca="1" si="235"/>
        <v>632.37699999999995</v>
      </c>
      <c r="Z620">
        <f t="shared" ca="1" si="236"/>
        <v>2593.4540316486618</v>
      </c>
      <c r="AA620">
        <f t="shared" ca="1" si="237"/>
        <v>482.07306851378365</v>
      </c>
      <c r="AB620">
        <f t="shared" ca="1" si="238"/>
        <v>481.67874391167879</v>
      </c>
      <c r="AC620">
        <f t="shared" ca="1" si="239"/>
        <v>0</v>
      </c>
      <c r="AD620">
        <f ca="1">IF(V32="Supercritical",L620,U620)</f>
        <v>0.05</v>
      </c>
      <c r="AE620">
        <f t="shared" ca="1" si="240"/>
        <v>632.37699999999995</v>
      </c>
      <c r="AF620">
        <f t="shared" ca="1" si="241"/>
        <v>2593.4540316486618</v>
      </c>
      <c r="AI620">
        <v>0</v>
      </c>
      <c r="AJ620">
        <v>0</v>
      </c>
      <c r="AK620">
        <f t="shared" si="242"/>
        <v>0</v>
      </c>
      <c r="AL620">
        <f t="shared" si="250"/>
        <v>0</v>
      </c>
      <c r="AM620">
        <f t="shared" ca="1" si="243"/>
        <v>280.07692026646265</v>
      </c>
      <c r="AN620" t="str">
        <f t="shared" ca="1" si="244"/>
        <v>Supercritical</v>
      </c>
      <c r="AO620">
        <f ca="1">IF(V32="Supercritical",R620,AA620)</f>
        <v>482.07306851378365</v>
      </c>
    </row>
    <row r="621" spans="1:41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174</v>
      </c>
      <c r="I621">
        <v>2.7E-2</v>
      </c>
      <c r="J621">
        <f t="shared" si="245"/>
        <v>0.9989999999999668</v>
      </c>
      <c r="K621">
        <f t="shared" si="246"/>
        <v>51</v>
      </c>
      <c r="L621">
        <f t="shared" ca="1" si="247"/>
        <v>38819.140431551641</v>
      </c>
      <c r="M621">
        <f t="shared" ca="1" si="225"/>
        <v>201859.53024406853</v>
      </c>
      <c r="N621">
        <f t="shared" ca="1" si="226"/>
        <v>2.5998258707640396</v>
      </c>
      <c r="O621">
        <f t="shared" ca="1" si="227"/>
        <v>2.5265093968234175E-4</v>
      </c>
      <c r="P621">
        <f t="shared" ca="1" si="228"/>
        <v>39451.466931551644</v>
      </c>
      <c r="Q621">
        <f t="shared" ca="1" si="229"/>
        <v>39451.466931554896</v>
      </c>
      <c r="R621">
        <f t="shared" ca="1" si="230"/>
        <v>4.0175874526060586E-12</v>
      </c>
      <c r="S621">
        <f t="shared" ca="1" si="248"/>
        <v>4.9999998736893758E-4</v>
      </c>
      <c r="T621">
        <f t="shared" ca="1" si="249"/>
        <v>1</v>
      </c>
      <c r="U621">
        <f t="shared" ca="1" si="231"/>
        <v>0.05</v>
      </c>
      <c r="V621">
        <f t="shared" ca="1" si="232"/>
        <v>0.26</v>
      </c>
      <c r="W621">
        <f t="shared" ca="1" si="233"/>
        <v>4.9056603773584909E-2</v>
      </c>
      <c r="X621">
        <f t="shared" ca="1" si="234"/>
        <v>196.15384615384616</v>
      </c>
      <c r="Y621">
        <f t="shared" ca="1" si="235"/>
        <v>632.37649999999996</v>
      </c>
      <c r="Z621">
        <f t="shared" ca="1" si="236"/>
        <v>2593.4535316486622</v>
      </c>
      <c r="AA621">
        <f t="shared" ca="1" si="237"/>
        <v>482.07306851378365</v>
      </c>
      <c r="AB621">
        <f t="shared" ca="1" si="238"/>
        <v>482.32750852789786</v>
      </c>
      <c r="AC621">
        <f t="shared" ca="1" si="239"/>
        <v>0</v>
      </c>
      <c r="AD621">
        <f ca="1">IF(V32="Supercritical",L621,U621)</f>
        <v>0.05</v>
      </c>
      <c r="AE621">
        <f t="shared" ca="1" si="240"/>
        <v>632.37649999999996</v>
      </c>
      <c r="AF621">
        <f t="shared" ca="1" si="241"/>
        <v>2593.4535316486622</v>
      </c>
      <c r="AI621">
        <v>0</v>
      </c>
      <c r="AJ621">
        <v>0</v>
      </c>
      <c r="AK621">
        <f t="shared" si="242"/>
        <v>0</v>
      </c>
      <c r="AL621">
        <f t="shared" si="250"/>
        <v>0</v>
      </c>
      <c r="AM621">
        <f t="shared" ca="1" si="243"/>
        <v>280.07692026646265</v>
      </c>
      <c r="AN621" t="str">
        <f t="shared" ca="1" si="244"/>
        <v>Supercritical</v>
      </c>
      <c r="AO621">
        <f ca="1">IF(V32="Supercritical",R621,AA621)</f>
        <v>482.07306851378365</v>
      </c>
    </row>
    <row r="622" spans="1:41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174</v>
      </c>
      <c r="I622">
        <v>7.8E-2</v>
      </c>
      <c r="J622">
        <f t="shared" si="245"/>
        <v>1</v>
      </c>
      <c r="K622">
        <f t="shared" si="246"/>
        <v>51</v>
      </c>
      <c r="L622">
        <f t="shared" ca="1" si="247"/>
        <v>38819.129109638139</v>
      </c>
      <c r="M622">
        <f t="shared" ca="1" si="225"/>
        <v>201859.47137011832</v>
      </c>
      <c r="N622">
        <f t="shared" ca="1" si="226"/>
        <v>2.5998258707132567</v>
      </c>
      <c r="O622">
        <f t="shared" ca="1" si="227"/>
        <v>2.5265101337003517E-4</v>
      </c>
      <c r="P622">
        <f t="shared" ca="1" si="228"/>
        <v>39451.45510963814</v>
      </c>
      <c r="Q622">
        <f t="shared" ca="1" si="229"/>
        <v>39451.455109641392</v>
      </c>
      <c r="R622">
        <f t="shared" ca="1" si="230"/>
        <v>4.0175897962348943E-12</v>
      </c>
      <c r="S622">
        <f t="shared" ca="1" si="248"/>
        <v>1.1821913496532943E-2</v>
      </c>
      <c r="T622">
        <f t="shared" ca="1" si="249"/>
        <v>0</v>
      </c>
      <c r="U622">
        <f t="shared" ca="1" si="231"/>
        <v>0.05</v>
      </c>
      <c r="V622">
        <f t="shared" ca="1" si="232"/>
        <v>0.26</v>
      </c>
      <c r="W622">
        <f t="shared" ca="1" si="233"/>
        <v>4.9056603773584909E-2</v>
      </c>
      <c r="X622">
        <f t="shared" ca="1" si="234"/>
        <v>196.15384615384616</v>
      </c>
      <c r="Y622">
        <f t="shared" ca="1" si="235"/>
        <v>632.37599999999998</v>
      </c>
      <c r="Z622">
        <f t="shared" ca="1" si="236"/>
        <v>2593.4530316486621</v>
      </c>
      <c r="AA622">
        <f t="shared" ca="1" si="237"/>
        <v>482.07306851378365</v>
      </c>
      <c r="AB622">
        <f t="shared" ca="1" si="238"/>
        <v>482.23599159975447</v>
      </c>
      <c r="AC622">
        <f t="shared" ca="1" si="239"/>
        <v>0</v>
      </c>
      <c r="AD622">
        <f ca="1">IF(V32="Supercritical",L622,U622)</f>
        <v>0.05</v>
      </c>
      <c r="AE622">
        <f t="shared" ca="1" si="240"/>
        <v>632.37599999999998</v>
      </c>
      <c r="AF622">
        <f t="shared" ca="1" si="241"/>
        <v>2593.4530316486621</v>
      </c>
      <c r="AI622">
        <v>0</v>
      </c>
      <c r="AJ622">
        <v>0</v>
      </c>
      <c r="AK622">
        <f t="shared" si="242"/>
        <v>0</v>
      </c>
      <c r="AL622">
        <f t="shared" si="250"/>
        <v>0</v>
      </c>
      <c r="AM622">
        <f t="shared" ca="1" si="243"/>
        <v>280.07692026646265</v>
      </c>
      <c r="AN622" t="str">
        <f t="shared" ca="1" si="244"/>
        <v>Supercritical</v>
      </c>
      <c r="AO622">
        <f ca="1">IF(V32="Supercritical",R622,AA622)</f>
        <v>482.07306851378365</v>
      </c>
    </row>
    <row r="623" spans="1:41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174</v>
      </c>
      <c r="I623">
        <v>0.05</v>
      </c>
      <c r="J623">
        <f t="shared" si="245"/>
        <v>1</v>
      </c>
      <c r="K623">
        <f t="shared" si="246"/>
        <v>51</v>
      </c>
      <c r="L623">
        <f t="shared" ca="1" si="247"/>
        <v>38819.129109638139</v>
      </c>
      <c r="M623">
        <f t="shared" ca="1" si="225"/>
        <v>201859.47137011832</v>
      </c>
      <c r="N623">
        <f t="shared" ca="1" si="226"/>
        <v>2.5998258707132567</v>
      </c>
      <c r="O623">
        <f t="shared" ca="1" si="227"/>
        <v>2.5265101337003517E-4</v>
      </c>
      <c r="P623">
        <f t="shared" ca="1" si="228"/>
        <v>39451.454609638138</v>
      </c>
      <c r="Q623">
        <f t="shared" ca="1" si="229"/>
        <v>39451.454609641391</v>
      </c>
      <c r="R623">
        <f t="shared" ca="1" si="230"/>
        <v>4.0175897962348943E-12</v>
      </c>
      <c r="S623">
        <f t="shared" ca="1" si="248"/>
        <v>4.999999946448952E-4</v>
      </c>
      <c r="T623">
        <f t="shared" ca="1" si="249"/>
        <v>1</v>
      </c>
      <c r="U623">
        <f t="shared" ca="1" si="231"/>
        <v>0.05</v>
      </c>
      <c r="V623">
        <f t="shared" ca="1" si="232"/>
        <v>0.26</v>
      </c>
      <c r="W623">
        <f t="shared" ca="1" si="233"/>
        <v>4.9056603773584909E-2</v>
      </c>
      <c r="X623">
        <f t="shared" ca="1" si="234"/>
        <v>196.15384615384616</v>
      </c>
      <c r="Y623">
        <f t="shared" ca="1" si="235"/>
        <v>632.37549999999999</v>
      </c>
      <c r="Z623">
        <f t="shared" ca="1" si="236"/>
        <v>2593.452531648662</v>
      </c>
      <c r="AA623">
        <f t="shared" ca="1" si="237"/>
        <v>482.07306851378365</v>
      </c>
      <c r="AB623">
        <f t="shared" ca="1" si="238"/>
        <v>482.16081698020844</v>
      </c>
      <c r="AC623">
        <f t="shared" ca="1" si="239"/>
        <v>0</v>
      </c>
      <c r="AD623">
        <f ca="1">IF(V32="Supercritical",L623,U623)</f>
        <v>0.05</v>
      </c>
      <c r="AE623">
        <f t="shared" ca="1" si="240"/>
        <v>632.37549999999999</v>
      </c>
      <c r="AF623">
        <f t="shared" ca="1" si="241"/>
        <v>2593.452531648662</v>
      </c>
      <c r="AI623">
        <v>0</v>
      </c>
      <c r="AJ623">
        <v>0</v>
      </c>
      <c r="AK623">
        <f t="shared" si="242"/>
        <v>0</v>
      </c>
      <c r="AL623">
        <f t="shared" si="250"/>
        <v>0</v>
      </c>
      <c r="AM623">
        <f t="shared" ca="1" si="243"/>
        <v>280.07692026646265</v>
      </c>
      <c r="AN623" t="str">
        <f t="shared" ca="1" si="244"/>
        <v>Supercritical</v>
      </c>
      <c r="AO623">
        <f ca="1">IF(V32="Supercritical",R623,AA623)</f>
        <v>482.07306851378365</v>
      </c>
    </row>
    <row r="624" spans="1:41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174</v>
      </c>
      <c r="I624">
        <v>2.7E-2</v>
      </c>
      <c r="J624">
        <f t="shared" si="245"/>
        <v>1</v>
      </c>
      <c r="K624">
        <f t="shared" si="246"/>
        <v>51</v>
      </c>
      <c r="L624">
        <f t="shared" ca="1" si="247"/>
        <v>38819.117789996053</v>
      </c>
      <c r="M624">
        <f t="shared" ca="1" si="225"/>
        <v>201859.41250797949</v>
      </c>
      <c r="N624">
        <f t="shared" ca="1" si="226"/>
        <v>2.5998258706624844</v>
      </c>
      <c r="O624">
        <f t="shared" ca="1" si="227"/>
        <v>2.5265108704298827E-4</v>
      </c>
      <c r="P624">
        <f t="shared" ca="1" si="228"/>
        <v>39451.44278999605</v>
      </c>
      <c r="Q624">
        <f t="shared" ca="1" si="229"/>
        <v>39451.442789999302</v>
      </c>
      <c r="R624">
        <f t="shared" ca="1" si="230"/>
        <v>4.0175921393955975E-12</v>
      </c>
      <c r="S624">
        <f t="shared" ca="1" si="248"/>
        <v>1.181964208080899E-2</v>
      </c>
      <c r="T624">
        <f t="shared" ca="1" si="249"/>
        <v>0</v>
      </c>
      <c r="U624">
        <f t="shared" ca="1" si="231"/>
        <v>0.05</v>
      </c>
      <c r="V624">
        <f t="shared" ca="1" si="232"/>
        <v>0.26</v>
      </c>
      <c r="W624">
        <f t="shared" ca="1" si="233"/>
        <v>4.9056603773584909E-2</v>
      </c>
      <c r="X624">
        <f t="shared" ca="1" si="234"/>
        <v>196.15384615384616</v>
      </c>
      <c r="Y624">
        <f t="shared" ca="1" si="235"/>
        <v>632.375</v>
      </c>
      <c r="Z624">
        <f t="shared" ca="1" si="236"/>
        <v>2593.4520316486623</v>
      </c>
      <c r="AA624">
        <f t="shared" ca="1" si="237"/>
        <v>482.07306851378365</v>
      </c>
      <c r="AB624">
        <f t="shared" ca="1" si="238"/>
        <v>482.16081698020798</v>
      </c>
      <c r="AC624">
        <f t="shared" ca="1" si="239"/>
        <v>0</v>
      </c>
      <c r="AD624">
        <f ca="1">IF(V32="Supercritical",L624,U624)</f>
        <v>0.05</v>
      </c>
      <c r="AE624">
        <f t="shared" ca="1" si="240"/>
        <v>632.375</v>
      </c>
      <c r="AF624">
        <f t="shared" ca="1" si="241"/>
        <v>2593.4520316486623</v>
      </c>
      <c r="AI624">
        <v>0</v>
      </c>
      <c r="AJ624">
        <v>0</v>
      </c>
      <c r="AK624">
        <f t="shared" si="242"/>
        <v>0</v>
      </c>
      <c r="AL624">
        <f t="shared" si="250"/>
        <v>0</v>
      </c>
      <c r="AM624">
        <f t="shared" ca="1" si="243"/>
        <v>280.07692026646265</v>
      </c>
      <c r="AN624" t="str">
        <f t="shared" ca="1" si="244"/>
        <v>Supercritical</v>
      </c>
      <c r="AO624">
        <f ca="1">IF(V32="Supercritical",R624,AA624)</f>
        <v>482.07306851378365</v>
      </c>
    </row>
    <row r="625" spans="1:41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174</v>
      </c>
      <c r="I625">
        <v>2.7E-2</v>
      </c>
      <c r="J625">
        <f t="shared" si="245"/>
        <v>1</v>
      </c>
      <c r="K625">
        <f t="shared" si="246"/>
        <v>51</v>
      </c>
      <c r="L625">
        <f t="shared" ca="1" si="247"/>
        <v>38819.117789996053</v>
      </c>
      <c r="M625">
        <f t="shared" ca="1" si="225"/>
        <v>201859.41250797949</v>
      </c>
      <c r="N625">
        <f t="shared" ca="1" si="226"/>
        <v>2.5998258706624844</v>
      </c>
      <c r="O625">
        <f t="shared" ca="1" si="227"/>
        <v>2.5265108704298827E-4</v>
      </c>
      <c r="P625">
        <f t="shared" ca="1" si="228"/>
        <v>39451.442289996055</v>
      </c>
      <c r="Q625">
        <f t="shared" ca="1" si="229"/>
        <v>39451.442289999308</v>
      </c>
      <c r="R625">
        <f t="shared" ca="1" si="230"/>
        <v>4.0175921393955975E-12</v>
      </c>
      <c r="S625">
        <f t="shared" ca="1" si="248"/>
        <v>4.9999998736893758E-4</v>
      </c>
      <c r="T625">
        <f t="shared" ca="1" si="249"/>
        <v>1</v>
      </c>
      <c r="U625">
        <f t="shared" ca="1" si="231"/>
        <v>0.05</v>
      </c>
      <c r="V625">
        <f t="shared" ca="1" si="232"/>
        <v>0.26</v>
      </c>
      <c r="W625">
        <f t="shared" ca="1" si="233"/>
        <v>4.9056603773584909E-2</v>
      </c>
      <c r="X625">
        <f t="shared" ca="1" si="234"/>
        <v>196.15384615384616</v>
      </c>
      <c r="Y625">
        <f t="shared" ca="1" si="235"/>
        <v>632.3744999999999</v>
      </c>
      <c r="Z625">
        <f t="shared" ca="1" si="236"/>
        <v>2593.4515316486622</v>
      </c>
      <c r="AA625">
        <f t="shared" ca="1" si="237"/>
        <v>482.07306851378365</v>
      </c>
      <c r="AB625">
        <f t="shared" ca="1" si="238"/>
        <v>482.1477431333301</v>
      </c>
      <c r="AC625">
        <f t="shared" ca="1" si="239"/>
        <v>0</v>
      </c>
      <c r="AD625">
        <f ca="1">IF(V32="Supercritical",L625,U625)</f>
        <v>0.05</v>
      </c>
      <c r="AE625">
        <f t="shared" ca="1" si="240"/>
        <v>632.3744999999999</v>
      </c>
      <c r="AF625">
        <f t="shared" ca="1" si="241"/>
        <v>2593.4515316486622</v>
      </c>
      <c r="AI625">
        <v>0</v>
      </c>
      <c r="AJ625">
        <v>0</v>
      </c>
      <c r="AK625">
        <f t="shared" si="242"/>
        <v>0</v>
      </c>
      <c r="AL625">
        <f t="shared" si="250"/>
        <v>0</v>
      </c>
      <c r="AM625">
        <f t="shared" ca="1" si="243"/>
        <v>280.07692026646265</v>
      </c>
      <c r="AN625" t="str">
        <f t="shared" ca="1" si="244"/>
        <v>Supercritical</v>
      </c>
      <c r="AO625">
        <f ca="1">IF(V32="Supercritical",R625,AA625)</f>
        <v>482.07306851378365</v>
      </c>
    </row>
    <row r="626" spans="1:41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174</v>
      </c>
      <c r="I626">
        <v>2.3E-2</v>
      </c>
      <c r="J626">
        <f t="shared" si="245"/>
        <v>1</v>
      </c>
      <c r="K626">
        <f t="shared" si="246"/>
        <v>51</v>
      </c>
      <c r="L626">
        <f t="shared" ca="1" si="247"/>
        <v>38819.106473083237</v>
      </c>
      <c r="M626">
        <f t="shared" ca="1" si="225"/>
        <v>201859.35366003285</v>
      </c>
      <c r="N626">
        <f t="shared" ca="1" si="226"/>
        <v>2.5998258706117241</v>
      </c>
      <c r="O626">
        <f t="shared" ca="1" si="227"/>
        <v>2.5265116069822106E-4</v>
      </c>
      <c r="P626">
        <f t="shared" ca="1" si="228"/>
        <v>39451.430473083237</v>
      </c>
      <c r="Q626">
        <f t="shared" ca="1" si="229"/>
        <v>39451.43047308649</v>
      </c>
      <c r="R626">
        <f t="shared" ca="1" si="230"/>
        <v>4.0175944819933914E-12</v>
      </c>
      <c r="S626">
        <f t="shared" ca="1" si="248"/>
        <v>1.1816912810900249E-2</v>
      </c>
      <c r="T626">
        <f t="shared" ca="1" si="249"/>
        <v>0</v>
      </c>
      <c r="U626">
        <f t="shared" ca="1" si="231"/>
        <v>0.05</v>
      </c>
      <c r="V626">
        <f t="shared" ca="1" si="232"/>
        <v>0.26</v>
      </c>
      <c r="W626">
        <f t="shared" ca="1" si="233"/>
        <v>4.9056603773584909E-2</v>
      </c>
      <c r="X626">
        <f t="shared" ca="1" si="234"/>
        <v>196.15384615384616</v>
      </c>
      <c r="Y626">
        <f t="shared" ca="1" si="235"/>
        <v>632.37399999999991</v>
      </c>
      <c r="Z626">
        <f t="shared" ca="1" si="236"/>
        <v>2593.4510316486621</v>
      </c>
      <c r="AA626">
        <f t="shared" ca="1" si="237"/>
        <v>482.07306851378365</v>
      </c>
      <c r="AB626">
        <f t="shared" ca="1" si="238"/>
        <v>482.62981620185974</v>
      </c>
      <c r="AC626">
        <f t="shared" ca="1" si="239"/>
        <v>0</v>
      </c>
      <c r="AD626">
        <f ca="1">IF(V32="Supercritical",L626,U626)</f>
        <v>0.05</v>
      </c>
      <c r="AE626">
        <f t="shared" ca="1" si="240"/>
        <v>632.37399999999991</v>
      </c>
      <c r="AF626">
        <f t="shared" ca="1" si="241"/>
        <v>2593.4510316486621</v>
      </c>
      <c r="AI626">
        <v>0</v>
      </c>
      <c r="AJ626">
        <v>0</v>
      </c>
      <c r="AK626">
        <f t="shared" si="242"/>
        <v>0</v>
      </c>
      <c r="AL626">
        <f t="shared" si="250"/>
        <v>0</v>
      </c>
      <c r="AM626">
        <f t="shared" ca="1" si="243"/>
        <v>280.07692026646265</v>
      </c>
      <c r="AN626" t="str">
        <f t="shared" ca="1" si="244"/>
        <v>Supercritical</v>
      </c>
      <c r="AO626">
        <f ca="1">IF(V32="Supercritical",R626,AA626)</f>
        <v>482.07306851378365</v>
      </c>
    </row>
    <row r="627" spans="1:41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174</v>
      </c>
      <c r="I627">
        <v>2.3E-2</v>
      </c>
      <c r="J627">
        <f t="shared" si="245"/>
        <v>1.0010000000000332</v>
      </c>
      <c r="K627">
        <f t="shared" si="246"/>
        <v>51</v>
      </c>
      <c r="L627">
        <f t="shared" ca="1" si="247"/>
        <v>38819.106473083237</v>
      </c>
      <c r="M627">
        <f t="shared" ca="1" si="225"/>
        <v>201859.35366003285</v>
      </c>
      <c r="N627">
        <f t="shared" ca="1" si="226"/>
        <v>2.5998258706117241</v>
      </c>
      <c r="O627">
        <f t="shared" ca="1" si="227"/>
        <v>2.5265116069822106E-4</v>
      </c>
      <c r="P627">
        <f t="shared" ca="1" si="228"/>
        <v>39451.429973083235</v>
      </c>
      <c r="Q627">
        <f t="shared" ca="1" si="229"/>
        <v>39451.429973086488</v>
      </c>
      <c r="R627">
        <f t="shared" ca="1" si="230"/>
        <v>4.0175944819933914E-12</v>
      </c>
      <c r="S627">
        <f t="shared" ca="1" si="248"/>
        <v>4.999999946448952E-4</v>
      </c>
      <c r="T627">
        <f t="shared" ca="1" si="249"/>
        <v>1</v>
      </c>
      <c r="U627">
        <f t="shared" ca="1" si="231"/>
        <v>0.05</v>
      </c>
      <c r="V627">
        <f t="shared" ca="1" si="232"/>
        <v>0.26</v>
      </c>
      <c r="W627">
        <f t="shared" ca="1" si="233"/>
        <v>4.9056603773584909E-2</v>
      </c>
      <c r="X627">
        <f t="shared" ca="1" si="234"/>
        <v>196.15384615384616</v>
      </c>
      <c r="Y627">
        <f t="shared" ca="1" si="235"/>
        <v>632.37349999999992</v>
      </c>
      <c r="Z627">
        <f t="shared" ca="1" si="236"/>
        <v>2593.450531648662</v>
      </c>
      <c r="AA627">
        <f t="shared" ca="1" si="237"/>
        <v>482.07306851378365</v>
      </c>
      <c r="AB627">
        <f t="shared" ca="1" si="238"/>
        <v>481.59049544525351</v>
      </c>
      <c r="AC627">
        <f t="shared" ca="1" si="239"/>
        <v>0</v>
      </c>
      <c r="AD627">
        <f ca="1">IF(V32="Supercritical",L627,U627)</f>
        <v>0.05</v>
      </c>
      <c r="AE627">
        <f t="shared" ca="1" si="240"/>
        <v>632.37349999999992</v>
      </c>
      <c r="AF627">
        <f t="shared" ca="1" si="241"/>
        <v>2593.450531648662</v>
      </c>
      <c r="AI627">
        <v>0</v>
      </c>
      <c r="AJ627">
        <v>0</v>
      </c>
      <c r="AK627">
        <f t="shared" si="242"/>
        <v>0</v>
      </c>
      <c r="AL627">
        <f t="shared" si="250"/>
        <v>0</v>
      </c>
      <c r="AM627">
        <f t="shared" ca="1" si="243"/>
        <v>280.07692026646265</v>
      </c>
      <c r="AN627" t="str">
        <f t="shared" ca="1" si="244"/>
        <v>Supercritical</v>
      </c>
      <c r="AO627">
        <f ca="1">IF(V32="Supercritical",R627,AA627)</f>
        <v>482.07306851378365</v>
      </c>
    </row>
    <row r="628" spans="1:41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174</v>
      </c>
      <c r="I628">
        <v>0</v>
      </c>
      <c r="J628">
        <f t="shared" si="245"/>
        <v>0.9989999999999668</v>
      </c>
      <c r="K628">
        <f t="shared" si="246"/>
        <v>51</v>
      </c>
      <c r="L628">
        <f t="shared" ca="1" si="247"/>
        <v>38819.095159424847</v>
      </c>
      <c r="M628">
        <f t="shared" ca="1" si="225"/>
        <v>201859.29482900922</v>
      </c>
      <c r="N628">
        <f t="shared" ca="1" si="226"/>
        <v>2.599825870560978</v>
      </c>
      <c r="O628">
        <f t="shared" ca="1" si="227"/>
        <v>2.5265123433231565E-4</v>
      </c>
      <c r="P628">
        <f t="shared" ca="1" si="228"/>
        <v>39451.418159424844</v>
      </c>
      <c r="Q628">
        <f t="shared" ca="1" si="229"/>
        <v>39451.418159428096</v>
      </c>
      <c r="R628">
        <f t="shared" ca="1" si="230"/>
        <v>4.017596823919572E-12</v>
      </c>
      <c r="S628">
        <f t="shared" ca="1" si="248"/>
        <v>1.1813658384198789E-2</v>
      </c>
      <c r="T628">
        <f t="shared" ca="1" si="249"/>
        <v>0</v>
      </c>
      <c r="U628">
        <f t="shared" ca="1" si="231"/>
        <v>0.05</v>
      </c>
      <c r="V628">
        <f t="shared" ca="1" si="232"/>
        <v>0.26</v>
      </c>
      <c r="W628">
        <f t="shared" ca="1" si="233"/>
        <v>4.9056603773584909E-2</v>
      </c>
      <c r="X628">
        <f t="shared" ca="1" si="234"/>
        <v>196.15384615384616</v>
      </c>
      <c r="Y628">
        <f t="shared" ca="1" si="235"/>
        <v>632.37299999999993</v>
      </c>
      <c r="Z628">
        <f t="shared" ca="1" si="236"/>
        <v>2593.4500316486619</v>
      </c>
      <c r="AA628">
        <f t="shared" ca="1" si="237"/>
        <v>482.07306851378365</v>
      </c>
      <c r="AB628">
        <f t="shared" ca="1" si="238"/>
        <v>482.16081698020798</v>
      </c>
      <c r="AC628">
        <f t="shared" ca="1" si="239"/>
        <v>0</v>
      </c>
      <c r="AD628">
        <f ca="1">IF(V32="Supercritical",L628,U628)</f>
        <v>0.05</v>
      </c>
      <c r="AE628">
        <f t="shared" ca="1" si="240"/>
        <v>632.37299999999993</v>
      </c>
      <c r="AF628">
        <f t="shared" ca="1" si="241"/>
        <v>2593.4500316486619</v>
      </c>
      <c r="AI628">
        <v>0</v>
      </c>
      <c r="AJ628">
        <v>0</v>
      </c>
      <c r="AK628">
        <f t="shared" si="242"/>
        <v>0</v>
      </c>
      <c r="AL628">
        <f t="shared" si="250"/>
        <v>0</v>
      </c>
      <c r="AM628">
        <f t="shared" ca="1" si="243"/>
        <v>280.07692026646265</v>
      </c>
      <c r="AN628" t="str">
        <f t="shared" ca="1" si="244"/>
        <v>Supercritical</v>
      </c>
      <c r="AO628">
        <f ca="1">IF(V32="Supercritical",R628,AA628)</f>
        <v>482.07306851378365</v>
      </c>
    </row>
    <row r="629" spans="1:41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174</v>
      </c>
      <c r="I629">
        <v>2.7E-2</v>
      </c>
      <c r="J629">
        <f t="shared" si="245"/>
        <v>1</v>
      </c>
      <c r="K629">
        <f t="shared" si="246"/>
        <v>51</v>
      </c>
      <c r="L629">
        <f t="shared" ca="1" si="247"/>
        <v>38819.095159424847</v>
      </c>
      <c r="M629">
        <f t="shared" ca="1" si="225"/>
        <v>201859.29482900922</v>
      </c>
      <c r="N629">
        <f t="shared" ca="1" si="226"/>
        <v>2.599825870560978</v>
      </c>
      <c r="O629">
        <f t="shared" ca="1" si="227"/>
        <v>2.5265123433231565E-4</v>
      </c>
      <c r="P629">
        <f t="shared" ca="1" si="228"/>
        <v>39451.417659424849</v>
      </c>
      <c r="Q629">
        <f t="shared" ca="1" si="229"/>
        <v>39451.417659428102</v>
      </c>
      <c r="R629">
        <f t="shared" ca="1" si="230"/>
        <v>4.017596823919572E-12</v>
      </c>
      <c r="S629">
        <f t="shared" ca="1" si="248"/>
        <v>4.9999998736893758E-4</v>
      </c>
      <c r="T629">
        <f t="shared" ca="1" si="249"/>
        <v>1</v>
      </c>
      <c r="U629">
        <f t="shared" ca="1" si="231"/>
        <v>0.05</v>
      </c>
      <c r="V629">
        <f t="shared" ca="1" si="232"/>
        <v>0.26</v>
      </c>
      <c r="W629">
        <f t="shared" ca="1" si="233"/>
        <v>4.9056603773584909E-2</v>
      </c>
      <c r="X629">
        <f t="shared" ca="1" si="234"/>
        <v>196.15384615384616</v>
      </c>
      <c r="Y629">
        <f t="shared" ca="1" si="235"/>
        <v>632.37249999999995</v>
      </c>
      <c r="Z629">
        <f t="shared" ca="1" si="236"/>
        <v>2593.4495316486618</v>
      </c>
      <c r="AA629">
        <f t="shared" ca="1" si="237"/>
        <v>482.07306851378365</v>
      </c>
      <c r="AB629">
        <f t="shared" ca="1" si="238"/>
        <v>482.32750852789832</v>
      </c>
      <c r="AC629">
        <f t="shared" ca="1" si="239"/>
        <v>0</v>
      </c>
      <c r="AD629">
        <f ca="1">IF(V32="Supercritical",L629,U629)</f>
        <v>0.05</v>
      </c>
      <c r="AE629">
        <f t="shared" ca="1" si="240"/>
        <v>632.37249999999995</v>
      </c>
      <c r="AF629">
        <f t="shared" ca="1" si="241"/>
        <v>2593.4495316486618</v>
      </c>
      <c r="AI629">
        <v>0</v>
      </c>
      <c r="AJ629">
        <v>0</v>
      </c>
      <c r="AK629">
        <f t="shared" si="242"/>
        <v>0</v>
      </c>
      <c r="AL629">
        <f t="shared" si="250"/>
        <v>0</v>
      </c>
      <c r="AM629">
        <f t="shared" ca="1" si="243"/>
        <v>280.07692026646265</v>
      </c>
      <c r="AN629" t="str">
        <f t="shared" ca="1" si="244"/>
        <v>Supercritical</v>
      </c>
      <c r="AO629">
        <f ca="1">IF(V32="Supercritical",R629,AA629)</f>
        <v>482.07306851378365</v>
      </c>
    </row>
    <row r="630" spans="1:41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174</v>
      </c>
      <c r="I630">
        <v>7.8E-2</v>
      </c>
      <c r="J630">
        <f t="shared" si="245"/>
        <v>1</v>
      </c>
      <c r="K630">
        <f t="shared" si="246"/>
        <v>51</v>
      </c>
      <c r="L630">
        <f t="shared" ca="1" si="247"/>
        <v>38819.083849617287</v>
      </c>
      <c r="M630">
        <f t="shared" ca="1" si="225"/>
        <v>201859.23601800989</v>
      </c>
      <c r="N630">
        <f t="shared" ca="1" si="226"/>
        <v>2.5998258705102493</v>
      </c>
      <c r="O630">
        <f t="shared" ca="1" si="227"/>
        <v>2.5265130794139027E-4</v>
      </c>
      <c r="P630">
        <f t="shared" ca="1" si="228"/>
        <v>39451.405849617287</v>
      </c>
      <c r="Q630">
        <f t="shared" ca="1" si="229"/>
        <v>39451.40584962054</v>
      </c>
      <c r="R630">
        <f t="shared" ca="1" si="230"/>
        <v>4.0175991650506753E-12</v>
      </c>
      <c r="S630">
        <f t="shared" ca="1" si="248"/>
        <v>1.1809807554527652E-2</v>
      </c>
      <c r="T630">
        <f t="shared" ca="1" si="249"/>
        <v>0</v>
      </c>
      <c r="U630">
        <f t="shared" ca="1" si="231"/>
        <v>0.05</v>
      </c>
      <c r="V630">
        <f t="shared" ca="1" si="232"/>
        <v>0.26</v>
      </c>
      <c r="W630">
        <f t="shared" ca="1" si="233"/>
        <v>4.9056603773584909E-2</v>
      </c>
      <c r="X630">
        <f t="shared" ca="1" si="234"/>
        <v>196.15384615384616</v>
      </c>
      <c r="Y630">
        <f t="shared" ca="1" si="235"/>
        <v>632.37199999999996</v>
      </c>
      <c r="Z630">
        <f t="shared" ca="1" si="236"/>
        <v>2593.4490316486622</v>
      </c>
      <c r="AA630">
        <f t="shared" ca="1" si="237"/>
        <v>482.07306851378365</v>
      </c>
      <c r="AB630">
        <f t="shared" ca="1" si="238"/>
        <v>482.32750852789786</v>
      </c>
      <c r="AC630">
        <f t="shared" ca="1" si="239"/>
        <v>0</v>
      </c>
      <c r="AD630">
        <f ca="1">IF(V32="Supercritical",L630,U630)</f>
        <v>0.05</v>
      </c>
      <c r="AE630">
        <f t="shared" ca="1" si="240"/>
        <v>632.37199999999996</v>
      </c>
      <c r="AF630">
        <f t="shared" ca="1" si="241"/>
        <v>2593.4490316486622</v>
      </c>
      <c r="AI630">
        <v>0</v>
      </c>
      <c r="AJ630">
        <v>0</v>
      </c>
      <c r="AK630">
        <f t="shared" si="242"/>
        <v>0</v>
      </c>
      <c r="AL630">
        <f t="shared" si="250"/>
        <v>0</v>
      </c>
      <c r="AM630">
        <f t="shared" ca="1" si="243"/>
        <v>280.07692026646265</v>
      </c>
      <c r="AN630" t="str">
        <f t="shared" ca="1" si="244"/>
        <v>Supercritical</v>
      </c>
      <c r="AO630">
        <f ca="1">IF(V32="Supercritical",R630,AA630)</f>
        <v>482.07306851378365</v>
      </c>
    </row>
    <row r="631" spans="1:41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174</v>
      </c>
      <c r="I631">
        <v>7.8E-2</v>
      </c>
      <c r="J631">
        <f t="shared" si="245"/>
        <v>1</v>
      </c>
      <c r="K631">
        <f t="shared" si="246"/>
        <v>51</v>
      </c>
      <c r="L631">
        <f t="shared" ca="1" si="247"/>
        <v>38819.083849617287</v>
      </c>
      <c r="M631">
        <f t="shared" ca="1" si="225"/>
        <v>201859.23601800989</v>
      </c>
      <c r="N631">
        <f t="shared" ca="1" si="226"/>
        <v>2.5998258705102493</v>
      </c>
      <c r="O631">
        <f t="shared" ca="1" si="227"/>
        <v>2.5265130794139027E-4</v>
      </c>
      <c r="P631">
        <f t="shared" ca="1" si="228"/>
        <v>39451.405349617286</v>
      </c>
      <c r="Q631">
        <f t="shared" ca="1" si="229"/>
        <v>39451.405349620538</v>
      </c>
      <c r="R631">
        <f t="shared" ca="1" si="230"/>
        <v>4.0175991650506753E-12</v>
      </c>
      <c r="S631">
        <f t="shared" ca="1" si="248"/>
        <v>4.999999946448952E-4</v>
      </c>
      <c r="T631">
        <f t="shared" ca="1" si="249"/>
        <v>1</v>
      </c>
      <c r="U631">
        <f t="shared" ca="1" si="231"/>
        <v>0.05</v>
      </c>
      <c r="V631">
        <f t="shared" ca="1" si="232"/>
        <v>0.26</v>
      </c>
      <c r="W631">
        <f t="shared" ca="1" si="233"/>
        <v>4.9056603773584909E-2</v>
      </c>
      <c r="X631">
        <f t="shared" ca="1" si="234"/>
        <v>196.15384615384616</v>
      </c>
      <c r="Y631">
        <f t="shared" ca="1" si="235"/>
        <v>632.37149999999997</v>
      </c>
      <c r="Z631">
        <f t="shared" ca="1" si="236"/>
        <v>2593.4485316486621</v>
      </c>
      <c r="AA631">
        <f t="shared" ca="1" si="237"/>
        <v>482.07306851378365</v>
      </c>
      <c r="AB631">
        <f t="shared" ca="1" si="238"/>
        <v>482.64289004873763</v>
      </c>
      <c r="AC631">
        <f t="shared" ca="1" si="239"/>
        <v>0</v>
      </c>
      <c r="AD631">
        <f ca="1">IF(V32="Supercritical",L631,U631)</f>
        <v>0.05</v>
      </c>
      <c r="AE631">
        <f t="shared" ca="1" si="240"/>
        <v>632.37149999999997</v>
      </c>
      <c r="AF631">
        <f t="shared" ca="1" si="241"/>
        <v>2593.4485316486621</v>
      </c>
      <c r="AI631">
        <v>0</v>
      </c>
      <c r="AJ631">
        <v>0</v>
      </c>
      <c r="AK631">
        <f t="shared" si="242"/>
        <v>0</v>
      </c>
      <c r="AL631">
        <f t="shared" si="250"/>
        <v>0</v>
      </c>
      <c r="AM631">
        <f t="shared" ca="1" si="243"/>
        <v>280.07692026646265</v>
      </c>
      <c r="AN631" t="str">
        <f t="shared" ca="1" si="244"/>
        <v>Supercritical</v>
      </c>
      <c r="AO631">
        <f ca="1">IF(V32="Supercritical",R631,AA631)</f>
        <v>482.07306851378365</v>
      </c>
    </row>
    <row r="632" spans="1:41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174</v>
      </c>
      <c r="I632">
        <v>2.7E-2</v>
      </c>
      <c r="J632">
        <f t="shared" si="245"/>
        <v>1.0010000000000332</v>
      </c>
      <c r="K632">
        <f t="shared" si="246"/>
        <v>51</v>
      </c>
      <c r="L632">
        <f t="shared" ca="1" si="247"/>
        <v>38819.07254433084</v>
      </c>
      <c r="M632">
        <f t="shared" ca="1" si="225"/>
        <v>201859.17723052038</v>
      </c>
      <c r="N632">
        <f t="shared" ca="1" si="226"/>
        <v>2.5998258704595409</v>
      </c>
      <c r="O632">
        <f t="shared" ca="1" si="227"/>
        <v>2.5265138152108242E-4</v>
      </c>
      <c r="P632">
        <f t="shared" ca="1" si="228"/>
        <v>39451.393544330844</v>
      </c>
      <c r="Q632">
        <f t="shared" ca="1" si="229"/>
        <v>39451.393544334096</v>
      </c>
      <c r="R632">
        <f t="shared" ca="1" si="230"/>
        <v>4.0176015052479547E-12</v>
      </c>
      <c r="S632">
        <f t="shared" ca="1" si="248"/>
        <v>1.1805286434537265E-2</v>
      </c>
      <c r="T632">
        <f t="shared" ca="1" si="249"/>
        <v>0</v>
      </c>
      <c r="U632">
        <f t="shared" ca="1" si="231"/>
        <v>0.05</v>
      </c>
      <c r="V632">
        <f t="shared" ca="1" si="232"/>
        <v>0.26</v>
      </c>
      <c r="W632">
        <f t="shared" ca="1" si="233"/>
        <v>4.9056603773584909E-2</v>
      </c>
      <c r="X632">
        <f t="shared" ca="1" si="234"/>
        <v>196.15384615384616</v>
      </c>
      <c r="Y632">
        <f t="shared" ca="1" si="235"/>
        <v>632.37099999999998</v>
      </c>
      <c r="Z632">
        <f t="shared" ca="1" si="236"/>
        <v>2593.448031648662</v>
      </c>
      <c r="AA632">
        <f t="shared" ca="1" si="237"/>
        <v>482.07306851378365</v>
      </c>
      <c r="AB632">
        <f t="shared" ca="1" si="238"/>
        <v>481.59049544525396</v>
      </c>
      <c r="AC632">
        <f t="shared" ca="1" si="239"/>
        <v>0</v>
      </c>
      <c r="AD632">
        <f ca="1">IF(V32="Supercritical",L632,U632)</f>
        <v>0.05</v>
      </c>
      <c r="AE632">
        <f t="shared" ca="1" si="240"/>
        <v>632.37099999999998</v>
      </c>
      <c r="AF632">
        <f t="shared" ca="1" si="241"/>
        <v>2593.448031648662</v>
      </c>
      <c r="AI632">
        <v>0</v>
      </c>
      <c r="AJ632">
        <v>0</v>
      </c>
      <c r="AK632">
        <f t="shared" si="242"/>
        <v>0</v>
      </c>
      <c r="AL632">
        <f t="shared" si="250"/>
        <v>0</v>
      </c>
      <c r="AM632">
        <f t="shared" ca="1" si="243"/>
        <v>280.07692026646265</v>
      </c>
      <c r="AN632" t="str">
        <f t="shared" ca="1" si="244"/>
        <v>Supercritical</v>
      </c>
      <c r="AO632">
        <f ca="1">IF(V32="Supercritical",R632,AA632)</f>
        <v>482.07306851378365</v>
      </c>
    </row>
    <row r="633" spans="1:41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174</v>
      </c>
      <c r="I633">
        <v>0</v>
      </c>
      <c r="J633">
        <f t="shared" si="245"/>
        <v>0.9989999999999668</v>
      </c>
      <c r="K633">
        <f t="shared" si="246"/>
        <v>51</v>
      </c>
      <c r="L633">
        <f t="shared" ca="1" si="247"/>
        <v>38819.07254433084</v>
      </c>
      <c r="M633">
        <f t="shared" ca="1" si="225"/>
        <v>201859.17723052038</v>
      </c>
      <c r="N633">
        <f t="shared" ca="1" si="226"/>
        <v>2.5998258704595409</v>
      </c>
      <c r="O633">
        <f t="shared" ca="1" si="227"/>
        <v>2.5265138152108242E-4</v>
      </c>
      <c r="P633">
        <f t="shared" ca="1" si="228"/>
        <v>39451.393044330842</v>
      </c>
      <c r="Q633">
        <f t="shared" ca="1" si="229"/>
        <v>39451.393044334094</v>
      </c>
      <c r="R633">
        <f t="shared" ca="1" si="230"/>
        <v>4.0176015052479547E-12</v>
      </c>
      <c r="S633">
        <f t="shared" ca="1" si="248"/>
        <v>4.999999946448952E-4</v>
      </c>
      <c r="T633">
        <f t="shared" ca="1" si="249"/>
        <v>1</v>
      </c>
      <c r="U633">
        <f t="shared" ca="1" si="231"/>
        <v>0.05</v>
      </c>
      <c r="V633">
        <f t="shared" ca="1" si="232"/>
        <v>0.26</v>
      </c>
      <c r="W633">
        <f t="shared" ca="1" si="233"/>
        <v>4.9056603773584909E-2</v>
      </c>
      <c r="X633">
        <f t="shared" ca="1" si="234"/>
        <v>196.15384615384616</v>
      </c>
      <c r="Y633">
        <f t="shared" ca="1" si="235"/>
        <v>632.37049999999999</v>
      </c>
      <c r="Z633">
        <f t="shared" ca="1" si="236"/>
        <v>2593.4475316486623</v>
      </c>
      <c r="AA633">
        <f t="shared" ca="1" si="237"/>
        <v>482.07306851378365</v>
      </c>
      <c r="AB633">
        <f t="shared" ca="1" si="238"/>
        <v>482.16081698020798</v>
      </c>
      <c r="AC633">
        <f t="shared" ca="1" si="239"/>
        <v>0</v>
      </c>
      <c r="AD633">
        <f ca="1">IF(V32="Supercritical",L633,U633)</f>
        <v>0.05</v>
      </c>
      <c r="AE633">
        <f t="shared" ca="1" si="240"/>
        <v>632.37049999999999</v>
      </c>
      <c r="AF633">
        <f t="shared" ca="1" si="241"/>
        <v>2593.4475316486623</v>
      </c>
      <c r="AI633">
        <v>0</v>
      </c>
      <c r="AJ633">
        <v>0</v>
      </c>
      <c r="AK633">
        <f t="shared" si="242"/>
        <v>0</v>
      </c>
      <c r="AL633">
        <f t="shared" si="250"/>
        <v>0</v>
      </c>
      <c r="AM633">
        <f t="shared" ca="1" si="243"/>
        <v>280.07692026646265</v>
      </c>
      <c r="AN633" t="str">
        <f t="shared" ca="1" si="244"/>
        <v>Supercritical</v>
      </c>
      <c r="AO633">
        <f ca="1">IF(V32="Supercritical",R633,AA633)</f>
        <v>482.07306851378365</v>
      </c>
    </row>
    <row r="634" spans="1:41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174</v>
      </c>
      <c r="I634">
        <v>2.7E-2</v>
      </c>
      <c r="J634">
        <f t="shared" si="245"/>
        <v>1</v>
      </c>
      <c r="K634">
        <f t="shared" si="246"/>
        <v>51</v>
      </c>
      <c r="L634">
        <f t="shared" ca="1" si="247"/>
        <v>38819.061244310615</v>
      </c>
      <c r="M634">
        <f t="shared" ca="1" si="225"/>
        <v>201859.11847041521</v>
      </c>
      <c r="N634">
        <f t="shared" ca="1" si="226"/>
        <v>2.5998258704088562</v>
      </c>
      <c r="O634">
        <f t="shared" ca="1" si="227"/>
        <v>2.5265145506654256E-4</v>
      </c>
      <c r="P634">
        <f t="shared" ca="1" si="228"/>
        <v>39451.381244310614</v>
      </c>
      <c r="Q634">
        <f t="shared" ca="1" si="229"/>
        <v>39451.381244313867</v>
      </c>
      <c r="R634">
        <f t="shared" ca="1" si="230"/>
        <v>4.0176038443571669E-12</v>
      </c>
      <c r="S634">
        <f t="shared" ca="1" si="248"/>
        <v>1.1800020220107399E-2</v>
      </c>
      <c r="T634">
        <f t="shared" ca="1" si="249"/>
        <v>0</v>
      </c>
      <c r="U634">
        <f t="shared" ca="1" si="231"/>
        <v>0.05</v>
      </c>
      <c r="V634">
        <f t="shared" ca="1" si="232"/>
        <v>0.26</v>
      </c>
      <c r="W634">
        <f t="shared" ca="1" si="233"/>
        <v>4.9056603773584909E-2</v>
      </c>
      <c r="X634">
        <f t="shared" ca="1" si="234"/>
        <v>196.15384615384616</v>
      </c>
      <c r="Y634">
        <f t="shared" ca="1" si="235"/>
        <v>632.37</v>
      </c>
      <c r="Z634">
        <f t="shared" ca="1" si="236"/>
        <v>2593.4470316486622</v>
      </c>
      <c r="AA634">
        <f t="shared" ca="1" si="237"/>
        <v>482.07306851378365</v>
      </c>
      <c r="AB634">
        <f t="shared" ca="1" si="238"/>
        <v>482.32750852789786</v>
      </c>
      <c r="AC634">
        <f t="shared" ca="1" si="239"/>
        <v>0</v>
      </c>
      <c r="AD634">
        <f ca="1">IF(V32="Supercritical",L634,U634)</f>
        <v>0.05</v>
      </c>
      <c r="AE634">
        <f t="shared" ca="1" si="240"/>
        <v>632.37</v>
      </c>
      <c r="AF634">
        <f t="shared" ca="1" si="241"/>
        <v>2593.4470316486622</v>
      </c>
      <c r="AI634">
        <v>0</v>
      </c>
      <c r="AJ634">
        <v>0</v>
      </c>
      <c r="AK634">
        <f t="shared" si="242"/>
        <v>0</v>
      </c>
      <c r="AL634">
        <f t="shared" si="250"/>
        <v>0</v>
      </c>
      <c r="AM634">
        <f t="shared" ca="1" si="243"/>
        <v>280.07692026646265</v>
      </c>
      <c r="AN634" t="str">
        <f t="shared" ca="1" si="244"/>
        <v>Supercritical</v>
      </c>
      <c r="AO634">
        <f ca="1">IF(V32="Supercritical",R634,AA634)</f>
        <v>482.07306851378365</v>
      </c>
    </row>
    <row r="635" spans="1:41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174</v>
      </c>
      <c r="I635">
        <v>7.8E-2</v>
      </c>
      <c r="J635">
        <f t="shared" si="245"/>
        <v>1</v>
      </c>
      <c r="K635">
        <f t="shared" si="246"/>
        <v>51</v>
      </c>
      <c r="L635">
        <f t="shared" ca="1" si="247"/>
        <v>38819.061244310615</v>
      </c>
      <c r="M635">
        <f t="shared" ca="1" si="225"/>
        <v>201859.11847041521</v>
      </c>
      <c r="N635">
        <f t="shared" ca="1" si="226"/>
        <v>2.5998258704088562</v>
      </c>
      <c r="O635">
        <f t="shared" ca="1" si="227"/>
        <v>2.5265145506654256E-4</v>
      </c>
      <c r="P635">
        <f t="shared" ca="1" si="228"/>
        <v>39451.380744310612</v>
      </c>
      <c r="Q635">
        <f t="shared" ca="1" si="229"/>
        <v>39451.380744313865</v>
      </c>
      <c r="R635">
        <f t="shared" ca="1" si="230"/>
        <v>4.0176038443571669E-12</v>
      </c>
      <c r="S635">
        <f t="shared" ca="1" si="248"/>
        <v>4.999999946448952E-4</v>
      </c>
      <c r="T635">
        <f t="shared" ca="1" si="249"/>
        <v>1</v>
      </c>
      <c r="U635">
        <f t="shared" ca="1" si="231"/>
        <v>0.05</v>
      </c>
      <c r="V635">
        <f t="shared" ca="1" si="232"/>
        <v>0.26</v>
      </c>
      <c r="W635">
        <f t="shared" ca="1" si="233"/>
        <v>4.9056603773584909E-2</v>
      </c>
      <c r="X635">
        <f t="shared" ca="1" si="234"/>
        <v>196.15384615384616</v>
      </c>
      <c r="Y635">
        <f t="shared" ca="1" si="235"/>
        <v>632.3694999999999</v>
      </c>
      <c r="Z635">
        <f t="shared" ca="1" si="236"/>
        <v>2593.4465316486621</v>
      </c>
      <c r="AA635">
        <f t="shared" ca="1" si="237"/>
        <v>482.07306851378365</v>
      </c>
      <c r="AB635">
        <f t="shared" ca="1" si="238"/>
        <v>482.32750852789786</v>
      </c>
      <c r="AC635">
        <f t="shared" ca="1" si="239"/>
        <v>0</v>
      </c>
      <c r="AD635">
        <f ca="1">IF(V32="Supercritical",L635,U635)</f>
        <v>0.05</v>
      </c>
      <c r="AE635">
        <f t="shared" ca="1" si="240"/>
        <v>632.3694999999999</v>
      </c>
      <c r="AF635">
        <f t="shared" ca="1" si="241"/>
        <v>2593.4465316486621</v>
      </c>
      <c r="AI635">
        <v>0</v>
      </c>
      <c r="AJ635">
        <v>0</v>
      </c>
      <c r="AK635">
        <f t="shared" si="242"/>
        <v>0</v>
      </c>
      <c r="AL635">
        <f t="shared" si="250"/>
        <v>0</v>
      </c>
      <c r="AM635">
        <f t="shared" ca="1" si="243"/>
        <v>280.07692026646265</v>
      </c>
      <c r="AN635" t="str">
        <f t="shared" ca="1" si="244"/>
        <v>Supercritical</v>
      </c>
      <c r="AO635">
        <f ca="1">IF(V32="Supercritical",R635,AA635)</f>
        <v>482.07306851378365</v>
      </c>
    </row>
    <row r="636" spans="1:41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174</v>
      </c>
      <c r="I636">
        <v>7.8E-2</v>
      </c>
      <c r="J636">
        <f t="shared" si="245"/>
        <v>1</v>
      </c>
      <c r="K636">
        <f t="shared" si="246"/>
        <v>51</v>
      </c>
      <c r="L636">
        <f t="shared" ca="1" si="247"/>
        <v>38819.049950375258</v>
      </c>
      <c r="M636">
        <f t="shared" ca="1" si="225"/>
        <v>201859.05974195135</v>
      </c>
      <c r="N636">
        <f t="shared" ca="1" si="226"/>
        <v>2.5998258703581989</v>
      </c>
      <c r="O636">
        <f t="shared" ca="1" si="227"/>
        <v>2.5265152857244249E-4</v>
      </c>
      <c r="P636">
        <f t="shared" ca="1" si="228"/>
        <v>39451.368950375261</v>
      </c>
      <c r="Q636">
        <f t="shared" ca="1" si="229"/>
        <v>39451.368950378514</v>
      </c>
      <c r="R636">
        <f t="shared" ca="1" si="230"/>
        <v>4.017606182208848E-12</v>
      </c>
      <c r="S636">
        <f t="shared" ca="1" si="248"/>
        <v>1.1793935344030615E-2</v>
      </c>
      <c r="T636">
        <f t="shared" ca="1" si="249"/>
        <v>0</v>
      </c>
      <c r="U636">
        <f t="shared" ca="1" si="231"/>
        <v>0.05</v>
      </c>
      <c r="V636">
        <f t="shared" ca="1" si="232"/>
        <v>0.26</v>
      </c>
      <c r="W636">
        <f t="shared" ca="1" si="233"/>
        <v>4.9056603773584909E-2</v>
      </c>
      <c r="X636">
        <f t="shared" ca="1" si="234"/>
        <v>196.15384615384616</v>
      </c>
      <c r="Y636">
        <f t="shared" ca="1" si="235"/>
        <v>632.36899999999991</v>
      </c>
      <c r="Z636">
        <f t="shared" ca="1" si="236"/>
        <v>2593.446031648662</v>
      </c>
      <c r="AA636">
        <f t="shared" ca="1" si="237"/>
        <v>482.07306851378365</v>
      </c>
      <c r="AB636">
        <f t="shared" ca="1" si="238"/>
        <v>482.64289004873763</v>
      </c>
      <c r="AC636">
        <f t="shared" ca="1" si="239"/>
        <v>0</v>
      </c>
      <c r="AD636">
        <f ca="1">IF(V32="Supercritical",L636,U636)</f>
        <v>0.05</v>
      </c>
      <c r="AE636">
        <f t="shared" ca="1" si="240"/>
        <v>632.36899999999991</v>
      </c>
      <c r="AF636">
        <f t="shared" ca="1" si="241"/>
        <v>2593.446031648662</v>
      </c>
      <c r="AI636">
        <v>0</v>
      </c>
      <c r="AJ636">
        <v>0</v>
      </c>
      <c r="AK636">
        <f t="shared" si="242"/>
        <v>0</v>
      </c>
      <c r="AL636">
        <f t="shared" si="250"/>
        <v>0</v>
      </c>
      <c r="AM636">
        <f t="shared" ca="1" si="243"/>
        <v>280.07692026646265</v>
      </c>
      <c r="AN636" t="str">
        <f t="shared" ca="1" si="244"/>
        <v>Supercritical</v>
      </c>
      <c r="AO636">
        <f ca="1">IF(V32="Supercritical",R636,AA636)</f>
        <v>482.07306851378365</v>
      </c>
    </row>
    <row r="637" spans="1:41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174</v>
      </c>
      <c r="I637">
        <v>2.7E-2</v>
      </c>
      <c r="J637">
        <f t="shared" si="245"/>
        <v>1.0010000000000332</v>
      </c>
      <c r="K637">
        <f t="shared" si="246"/>
        <v>51</v>
      </c>
      <c r="L637">
        <f t="shared" ca="1" si="247"/>
        <v>38819.049950375258</v>
      </c>
      <c r="M637">
        <f t="shared" ca="1" si="225"/>
        <v>201859.05974195135</v>
      </c>
      <c r="N637">
        <f t="shared" ca="1" si="226"/>
        <v>2.5998258703581989</v>
      </c>
      <c r="O637">
        <f t="shared" ca="1" si="227"/>
        <v>2.5265152857244249E-4</v>
      </c>
      <c r="P637">
        <f t="shared" ca="1" si="228"/>
        <v>39451.368450375259</v>
      </c>
      <c r="Q637">
        <f t="shared" ca="1" si="229"/>
        <v>39451.368450378512</v>
      </c>
      <c r="R637">
        <f t="shared" ca="1" si="230"/>
        <v>4.017606182208848E-12</v>
      </c>
      <c r="S637">
        <f t="shared" ca="1" si="248"/>
        <v>4.999999946448952E-4</v>
      </c>
      <c r="T637">
        <f t="shared" ca="1" si="249"/>
        <v>1</v>
      </c>
      <c r="U637">
        <f t="shared" ca="1" si="231"/>
        <v>0.05</v>
      </c>
      <c r="V637">
        <f t="shared" ca="1" si="232"/>
        <v>0.26</v>
      </c>
      <c r="W637">
        <f t="shared" ca="1" si="233"/>
        <v>4.9056603773584909E-2</v>
      </c>
      <c r="X637">
        <f t="shared" ca="1" si="234"/>
        <v>196.15384615384616</v>
      </c>
      <c r="Y637">
        <f t="shared" ca="1" si="235"/>
        <v>632.36849999999993</v>
      </c>
      <c r="Z637">
        <f t="shared" ca="1" si="236"/>
        <v>2593.4455316486619</v>
      </c>
      <c r="AA637">
        <f t="shared" ca="1" si="237"/>
        <v>482.07306851378365</v>
      </c>
      <c r="AB637">
        <f t="shared" ca="1" si="238"/>
        <v>481.59049544525351</v>
      </c>
      <c r="AC637">
        <f t="shared" ca="1" si="239"/>
        <v>0</v>
      </c>
      <c r="AD637">
        <f ca="1">IF(V32="Supercritical",L637,U637)</f>
        <v>0.05</v>
      </c>
      <c r="AE637">
        <f t="shared" ca="1" si="240"/>
        <v>632.36849999999993</v>
      </c>
      <c r="AF637">
        <f t="shared" ca="1" si="241"/>
        <v>2593.4455316486619</v>
      </c>
      <c r="AI637">
        <v>0</v>
      </c>
      <c r="AJ637">
        <v>0</v>
      </c>
      <c r="AK637">
        <f t="shared" si="242"/>
        <v>0</v>
      </c>
      <c r="AL637">
        <f t="shared" si="250"/>
        <v>0</v>
      </c>
      <c r="AM637">
        <f t="shared" ca="1" si="243"/>
        <v>280.07692026646265</v>
      </c>
      <c r="AN637" t="str">
        <f t="shared" ca="1" si="244"/>
        <v>Supercritical</v>
      </c>
      <c r="AO637">
        <f ca="1">IF(V32="Supercritical",R637,AA637)</f>
        <v>482.07306851378365</v>
      </c>
    </row>
    <row r="638" spans="1:41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174</v>
      </c>
      <c r="I638">
        <v>0</v>
      </c>
      <c r="J638">
        <f t="shared" si="245"/>
        <v>0.9989999999999668</v>
      </c>
      <c r="K638">
        <f t="shared" si="246"/>
        <v>51</v>
      </c>
      <c r="L638">
        <f t="shared" ca="1" si="247"/>
        <v>38819.038663413077</v>
      </c>
      <c r="M638">
        <f t="shared" ca="1" si="225"/>
        <v>201859.00104974801</v>
      </c>
      <c r="N638">
        <f t="shared" ca="1" si="226"/>
        <v>2.5998258703075723</v>
      </c>
      <c r="O638">
        <f t="shared" ca="1" si="227"/>
        <v>2.5265160203300066E-4</v>
      </c>
      <c r="P638">
        <f t="shared" ca="1" si="228"/>
        <v>39451.356663413077</v>
      </c>
      <c r="Q638">
        <f t="shared" ca="1" si="229"/>
        <v>39451.356663416329</v>
      </c>
      <c r="R638">
        <f t="shared" ca="1" si="230"/>
        <v>4.0176085186191177E-12</v>
      </c>
      <c r="S638">
        <f t="shared" ca="1" si="248"/>
        <v>1.1786962175392546E-2</v>
      </c>
      <c r="T638">
        <f t="shared" ca="1" si="249"/>
        <v>0</v>
      </c>
      <c r="U638">
        <f t="shared" ca="1" si="231"/>
        <v>0.05</v>
      </c>
      <c r="V638">
        <f t="shared" ca="1" si="232"/>
        <v>0.26</v>
      </c>
      <c r="W638">
        <f t="shared" ca="1" si="233"/>
        <v>4.9056603773584909E-2</v>
      </c>
      <c r="X638">
        <f t="shared" ca="1" si="234"/>
        <v>196.15384615384616</v>
      </c>
      <c r="Y638">
        <f t="shared" ca="1" si="235"/>
        <v>632.36799999999994</v>
      </c>
      <c r="Z638">
        <f t="shared" ca="1" si="236"/>
        <v>2593.4450316486618</v>
      </c>
      <c r="AA638">
        <f t="shared" ca="1" si="237"/>
        <v>482.07306851378365</v>
      </c>
      <c r="AB638">
        <f t="shared" ca="1" si="238"/>
        <v>482.14774313333055</v>
      </c>
      <c r="AC638">
        <f t="shared" ca="1" si="239"/>
        <v>0</v>
      </c>
      <c r="AD638">
        <f ca="1">IF(V32="Supercritical",L638,U638)</f>
        <v>0.05</v>
      </c>
      <c r="AE638">
        <f t="shared" ca="1" si="240"/>
        <v>632.36799999999994</v>
      </c>
      <c r="AF638">
        <f t="shared" ca="1" si="241"/>
        <v>2593.4450316486618</v>
      </c>
      <c r="AI638">
        <v>0</v>
      </c>
      <c r="AJ638">
        <v>0</v>
      </c>
      <c r="AK638">
        <f t="shared" si="242"/>
        <v>0</v>
      </c>
      <c r="AL638">
        <f t="shared" si="250"/>
        <v>0</v>
      </c>
      <c r="AM638">
        <f t="shared" ca="1" si="243"/>
        <v>280.07692026646265</v>
      </c>
      <c r="AN638" t="str">
        <f t="shared" ca="1" si="244"/>
        <v>Supercritical</v>
      </c>
      <c r="AO638">
        <f ca="1">IF(V32="Supercritical",R638,AA638)</f>
        <v>482.07306851378365</v>
      </c>
    </row>
    <row r="639" spans="1:41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174</v>
      </c>
      <c r="I639">
        <v>2.3E-2</v>
      </c>
      <c r="J639">
        <f t="shared" si="245"/>
        <v>1</v>
      </c>
      <c r="K639">
        <f t="shared" si="246"/>
        <v>51</v>
      </c>
      <c r="L639">
        <f t="shared" ca="1" si="247"/>
        <v>38819.038663413077</v>
      </c>
      <c r="M639">
        <f t="shared" ca="1" si="225"/>
        <v>201859.00104974801</v>
      </c>
      <c r="N639">
        <f t="shared" ca="1" si="226"/>
        <v>2.5998258703075723</v>
      </c>
      <c r="O639">
        <f t="shared" ca="1" si="227"/>
        <v>2.5265160203300066E-4</v>
      </c>
      <c r="P639">
        <f t="shared" ca="1" si="228"/>
        <v>39451.356163413075</v>
      </c>
      <c r="Q639">
        <f t="shared" ca="1" si="229"/>
        <v>39451.356163416327</v>
      </c>
      <c r="R639">
        <f t="shared" ca="1" si="230"/>
        <v>4.0176085186191177E-12</v>
      </c>
      <c r="S639">
        <f t="shared" ca="1" si="248"/>
        <v>4.999999946448952E-4</v>
      </c>
      <c r="T639">
        <f t="shared" ca="1" si="249"/>
        <v>1</v>
      </c>
      <c r="U639">
        <f t="shared" ca="1" si="231"/>
        <v>0.05</v>
      </c>
      <c r="V639">
        <f t="shared" ca="1" si="232"/>
        <v>0.26</v>
      </c>
      <c r="W639">
        <f t="shared" ca="1" si="233"/>
        <v>4.9056603773584909E-2</v>
      </c>
      <c r="X639">
        <f t="shared" ca="1" si="234"/>
        <v>196.15384615384616</v>
      </c>
      <c r="Y639">
        <f t="shared" ca="1" si="235"/>
        <v>632.36749999999995</v>
      </c>
      <c r="Z639">
        <f t="shared" ca="1" si="236"/>
        <v>2593.4445316486622</v>
      </c>
      <c r="AA639">
        <f t="shared" ca="1" si="237"/>
        <v>482.07306851378365</v>
      </c>
      <c r="AB639">
        <f t="shared" ca="1" si="238"/>
        <v>482.62981620185974</v>
      </c>
      <c r="AC639">
        <f t="shared" ca="1" si="239"/>
        <v>0</v>
      </c>
      <c r="AD639">
        <f ca="1">IF(V32="Supercritical",L639,U639)</f>
        <v>0.05</v>
      </c>
      <c r="AE639">
        <f t="shared" ca="1" si="240"/>
        <v>632.36749999999995</v>
      </c>
      <c r="AF639">
        <f t="shared" ca="1" si="241"/>
        <v>2593.4445316486622</v>
      </c>
      <c r="AI639">
        <v>0</v>
      </c>
      <c r="AJ639">
        <v>0</v>
      </c>
      <c r="AK639">
        <f t="shared" si="242"/>
        <v>0</v>
      </c>
      <c r="AL639">
        <f t="shared" si="250"/>
        <v>0</v>
      </c>
      <c r="AM639">
        <f t="shared" ca="1" si="243"/>
        <v>280.07692026646265</v>
      </c>
      <c r="AN639" t="str">
        <f t="shared" ca="1" si="244"/>
        <v>Supercritical</v>
      </c>
      <c r="AO639">
        <f ca="1">IF(V32="Supercritical",R639,AA639)</f>
        <v>482.07306851378365</v>
      </c>
    </row>
    <row r="640" spans="1:41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174</v>
      </c>
      <c r="I640">
        <v>2.3E-2</v>
      </c>
      <c r="J640">
        <f t="shared" si="245"/>
        <v>1.0010000000000332</v>
      </c>
      <c r="K640">
        <f t="shared" si="246"/>
        <v>51</v>
      </c>
      <c r="L640">
        <f t="shared" ca="1" si="247"/>
        <v>38819.027384375091</v>
      </c>
      <c r="M640">
        <f t="shared" ca="1" si="225"/>
        <v>201858.94239875049</v>
      </c>
      <c r="N640">
        <f t="shared" ca="1" si="226"/>
        <v>2.5998258702569816</v>
      </c>
      <c r="O640">
        <f t="shared" ca="1" si="227"/>
        <v>2.5265167544202735E-4</v>
      </c>
      <c r="P640">
        <f t="shared" ca="1" si="228"/>
        <v>39451.344384375094</v>
      </c>
      <c r="Q640">
        <f t="shared" ca="1" si="229"/>
        <v>39451.344384378346</v>
      </c>
      <c r="R640">
        <f t="shared" ca="1" si="230"/>
        <v>4.0176108533911077E-12</v>
      </c>
      <c r="S640">
        <f t="shared" ca="1" si="248"/>
        <v>1.1779037973610684E-2</v>
      </c>
      <c r="T640">
        <f t="shared" ca="1" si="249"/>
        <v>0</v>
      </c>
      <c r="U640">
        <f t="shared" ca="1" si="231"/>
        <v>0.05</v>
      </c>
      <c r="V640">
        <f t="shared" ca="1" si="232"/>
        <v>0.26</v>
      </c>
      <c r="W640">
        <f t="shared" ca="1" si="233"/>
        <v>4.9056603773584909E-2</v>
      </c>
      <c r="X640">
        <f t="shared" ca="1" si="234"/>
        <v>196.15384615384616</v>
      </c>
      <c r="Y640">
        <f t="shared" ca="1" si="235"/>
        <v>632.36699999999996</v>
      </c>
      <c r="Z640">
        <f t="shared" ca="1" si="236"/>
        <v>2593.4440316486621</v>
      </c>
      <c r="AA640">
        <f t="shared" ca="1" si="237"/>
        <v>482.07306851378365</v>
      </c>
      <c r="AB640">
        <f t="shared" ca="1" si="238"/>
        <v>481.67874391167834</v>
      </c>
      <c r="AC640">
        <f t="shared" ca="1" si="239"/>
        <v>0</v>
      </c>
      <c r="AD640">
        <f ca="1">IF(V32="Supercritical",L640,U640)</f>
        <v>0.05</v>
      </c>
      <c r="AE640">
        <f t="shared" ca="1" si="240"/>
        <v>632.36699999999996</v>
      </c>
      <c r="AF640">
        <f t="shared" ca="1" si="241"/>
        <v>2593.4440316486621</v>
      </c>
      <c r="AI640">
        <v>0</v>
      </c>
      <c r="AJ640">
        <v>0</v>
      </c>
      <c r="AK640">
        <f t="shared" si="242"/>
        <v>0</v>
      </c>
      <c r="AL640">
        <f t="shared" si="250"/>
        <v>0</v>
      </c>
      <c r="AM640">
        <f t="shared" ca="1" si="243"/>
        <v>280.07692026646265</v>
      </c>
      <c r="AN640" t="str">
        <f t="shared" ca="1" si="244"/>
        <v>Supercritical</v>
      </c>
      <c r="AO640">
        <f ca="1">IF(V32="Supercritical",R640,AA640)</f>
        <v>482.07306851378365</v>
      </c>
    </row>
    <row r="641" spans="1:41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174</v>
      </c>
      <c r="I641">
        <v>2.7E-2</v>
      </c>
      <c r="J641">
        <f t="shared" si="245"/>
        <v>0.9989999999999668</v>
      </c>
      <c r="K641">
        <f t="shared" si="246"/>
        <v>51</v>
      </c>
      <c r="L641">
        <f t="shared" ca="1" si="247"/>
        <v>38819.027384375091</v>
      </c>
      <c r="M641">
        <f t="shared" ca="1" si="225"/>
        <v>201858.94239875049</v>
      </c>
      <c r="N641">
        <f t="shared" ca="1" si="226"/>
        <v>2.5998258702569816</v>
      </c>
      <c r="O641">
        <f t="shared" ca="1" si="227"/>
        <v>2.5265167544202735E-4</v>
      </c>
      <c r="P641">
        <f t="shared" ca="1" si="228"/>
        <v>39451.343884375092</v>
      </c>
      <c r="Q641">
        <f t="shared" ca="1" si="229"/>
        <v>39451.343884378344</v>
      </c>
      <c r="R641">
        <f t="shared" ca="1" si="230"/>
        <v>4.0176108533911077E-12</v>
      </c>
      <c r="S641">
        <f t="shared" ca="1" si="248"/>
        <v>4.999999946448952E-4</v>
      </c>
      <c r="T641">
        <f t="shared" ca="1" si="249"/>
        <v>1</v>
      </c>
      <c r="U641">
        <f t="shared" ca="1" si="231"/>
        <v>0.05</v>
      </c>
      <c r="V641">
        <f t="shared" ca="1" si="232"/>
        <v>0.26</v>
      </c>
      <c r="W641">
        <f t="shared" ca="1" si="233"/>
        <v>4.9056603773584909E-2</v>
      </c>
      <c r="X641">
        <f t="shared" ca="1" si="234"/>
        <v>196.15384615384616</v>
      </c>
      <c r="Y641">
        <f t="shared" ca="1" si="235"/>
        <v>632.36649999999997</v>
      </c>
      <c r="Z641">
        <f t="shared" ca="1" si="236"/>
        <v>2593.443531648662</v>
      </c>
      <c r="AA641">
        <f t="shared" ca="1" si="237"/>
        <v>482.07306851378365</v>
      </c>
      <c r="AB641">
        <f t="shared" ca="1" si="238"/>
        <v>482.64289004873808</v>
      </c>
      <c r="AC641">
        <f t="shared" ca="1" si="239"/>
        <v>0</v>
      </c>
      <c r="AD641">
        <f ca="1">IF(V32="Supercritical",L641,U641)</f>
        <v>0.05</v>
      </c>
      <c r="AE641">
        <f t="shared" ca="1" si="240"/>
        <v>632.36649999999997</v>
      </c>
      <c r="AF641">
        <f t="shared" ca="1" si="241"/>
        <v>2593.443531648662</v>
      </c>
      <c r="AI641">
        <v>0</v>
      </c>
      <c r="AJ641">
        <v>0</v>
      </c>
      <c r="AK641">
        <f t="shared" si="242"/>
        <v>0</v>
      </c>
      <c r="AL641">
        <f t="shared" si="250"/>
        <v>0</v>
      </c>
      <c r="AM641">
        <f t="shared" ca="1" si="243"/>
        <v>280.07692026646265</v>
      </c>
      <c r="AN641" t="str">
        <f t="shared" ca="1" si="244"/>
        <v>Supercritical</v>
      </c>
      <c r="AO641">
        <f ca="1">IF(V32="Supercritical",R641,AA641)</f>
        <v>482.07306851378365</v>
      </c>
    </row>
    <row r="642" spans="1:41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174</v>
      </c>
      <c r="I642">
        <v>2.7E-2</v>
      </c>
      <c r="J642">
        <f t="shared" si="245"/>
        <v>1.0010000000000332</v>
      </c>
      <c r="K642">
        <f t="shared" si="246"/>
        <v>51</v>
      </c>
      <c r="L642">
        <f t="shared" ca="1" si="247"/>
        <v>38819.016114264487</v>
      </c>
      <c r="M642">
        <f t="shared" ca="1" si="225"/>
        <v>201858.88379417534</v>
      </c>
      <c r="N642">
        <f t="shared" ca="1" si="226"/>
        <v>2.599825870206431</v>
      </c>
      <c r="O642">
        <f t="shared" ca="1" si="227"/>
        <v>2.5265174879299322E-4</v>
      </c>
      <c r="P642">
        <f t="shared" ca="1" si="228"/>
        <v>39451.332114264485</v>
      </c>
      <c r="Q642">
        <f t="shared" ca="1" si="229"/>
        <v>39451.332114267738</v>
      </c>
      <c r="R642">
        <f t="shared" ca="1" si="230"/>
        <v>4.0176131863171553E-12</v>
      </c>
      <c r="S642">
        <f t="shared" ca="1" si="248"/>
        <v>1.1770110599172767E-2</v>
      </c>
      <c r="T642">
        <f t="shared" ca="1" si="249"/>
        <v>0</v>
      </c>
      <c r="U642">
        <f t="shared" ca="1" si="231"/>
        <v>0.05</v>
      </c>
      <c r="V642">
        <f t="shared" ca="1" si="232"/>
        <v>0.26</v>
      </c>
      <c r="W642">
        <f t="shared" ca="1" si="233"/>
        <v>4.9056603773584909E-2</v>
      </c>
      <c r="X642">
        <f t="shared" ca="1" si="234"/>
        <v>196.15384615384616</v>
      </c>
      <c r="Y642">
        <f t="shared" ca="1" si="235"/>
        <v>632.36599999999999</v>
      </c>
      <c r="Z642">
        <f t="shared" ca="1" si="236"/>
        <v>2593.4430316486623</v>
      </c>
      <c r="AA642">
        <f t="shared" ca="1" si="237"/>
        <v>482.07306851378365</v>
      </c>
      <c r="AB642">
        <f t="shared" ca="1" si="238"/>
        <v>481.75391853122437</v>
      </c>
      <c r="AC642">
        <f t="shared" ca="1" si="239"/>
        <v>0</v>
      </c>
      <c r="AD642">
        <f ca="1">IF(V32="Supercritical",L642,U642)</f>
        <v>0.05</v>
      </c>
      <c r="AE642">
        <f t="shared" ca="1" si="240"/>
        <v>632.36599999999999</v>
      </c>
      <c r="AF642">
        <f t="shared" ca="1" si="241"/>
        <v>2593.4430316486623</v>
      </c>
      <c r="AI642">
        <v>0</v>
      </c>
      <c r="AJ642">
        <v>0</v>
      </c>
      <c r="AK642">
        <f t="shared" si="242"/>
        <v>0</v>
      </c>
      <c r="AL642">
        <f t="shared" si="250"/>
        <v>0</v>
      </c>
      <c r="AM642">
        <f t="shared" ca="1" si="243"/>
        <v>280.07692026646265</v>
      </c>
      <c r="AN642" t="str">
        <f t="shared" ca="1" si="244"/>
        <v>Supercritical</v>
      </c>
      <c r="AO642">
        <f ca="1">IF(V32="Supercritical",R642,AA642)</f>
        <v>482.07306851378365</v>
      </c>
    </row>
    <row r="643" spans="1:41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174</v>
      </c>
      <c r="I643">
        <v>0.05</v>
      </c>
      <c r="J643">
        <f t="shared" si="245"/>
        <v>0.9989999999999668</v>
      </c>
      <c r="K643">
        <f t="shared" si="246"/>
        <v>51</v>
      </c>
      <c r="L643">
        <f t="shared" ca="1" si="247"/>
        <v>38819.016114264487</v>
      </c>
      <c r="M643">
        <f t="shared" ca="1" si="225"/>
        <v>201858.88379417534</v>
      </c>
      <c r="N643">
        <f t="shared" ca="1" si="226"/>
        <v>2.599825870206431</v>
      </c>
      <c r="O643">
        <f t="shared" ca="1" si="227"/>
        <v>2.5265174879299322E-4</v>
      </c>
      <c r="P643">
        <f t="shared" ca="1" si="228"/>
        <v>39451.331614264484</v>
      </c>
      <c r="Q643">
        <f t="shared" ca="1" si="229"/>
        <v>39451.331614267736</v>
      </c>
      <c r="R643">
        <f t="shared" ca="1" si="230"/>
        <v>4.0176131863171553E-12</v>
      </c>
      <c r="S643">
        <f t="shared" ca="1" si="248"/>
        <v>4.999999946448952E-4</v>
      </c>
      <c r="T643">
        <f t="shared" ca="1" si="249"/>
        <v>1</v>
      </c>
      <c r="U643">
        <f t="shared" ca="1" si="231"/>
        <v>0.05</v>
      </c>
      <c r="V643">
        <f t="shared" ca="1" si="232"/>
        <v>0.26</v>
      </c>
      <c r="W643">
        <f t="shared" ca="1" si="233"/>
        <v>4.9056603773584909E-2</v>
      </c>
      <c r="X643">
        <f t="shared" ca="1" si="234"/>
        <v>196.15384615384616</v>
      </c>
      <c r="Y643">
        <f t="shared" ca="1" si="235"/>
        <v>632.3655</v>
      </c>
      <c r="Z643">
        <f t="shared" ca="1" si="236"/>
        <v>2593.4425316486622</v>
      </c>
      <c r="AA643">
        <f t="shared" ca="1" si="237"/>
        <v>482.07306851378365</v>
      </c>
      <c r="AB643">
        <f t="shared" ca="1" si="238"/>
        <v>482.32750852789786</v>
      </c>
      <c r="AC643">
        <f t="shared" ca="1" si="239"/>
        <v>0</v>
      </c>
      <c r="AD643">
        <f ca="1">IF(V32="Supercritical",L643,U643)</f>
        <v>0.05</v>
      </c>
      <c r="AE643">
        <f t="shared" ca="1" si="240"/>
        <v>632.3655</v>
      </c>
      <c r="AF643">
        <f t="shared" ca="1" si="241"/>
        <v>2593.4425316486622</v>
      </c>
      <c r="AI643">
        <v>0</v>
      </c>
      <c r="AJ643">
        <v>0</v>
      </c>
      <c r="AK643">
        <f t="shared" si="242"/>
        <v>0</v>
      </c>
      <c r="AL643">
        <f t="shared" si="250"/>
        <v>0</v>
      </c>
      <c r="AM643">
        <f t="shared" ca="1" si="243"/>
        <v>280.07692026646265</v>
      </c>
      <c r="AN643" t="str">
        <f t="shared" ca="1" si="244"/>
        <v>Supercritical</v>
      </c>
      <c r="AO643">
        <f ca="1">IF(V32="Supercritical",R643,AA643)</f>
        <v>482.07306851378365</v>
      </c>
    </row>
    <row r="644" spans="1:41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174</v>
      </c>
      <c r="I644">
        <v>7.8E-2</v>
      </c>
      <c r="J644">
        <f t="shared" si="245"/>
        <v>1</v>
      </c>
      <c r="K644">
        <f t="shared" si="246"/>
        <v>51</v>
      </c>
      <c r="L644">
        <f t="shared" ca="1" si="247"/>
        <v>38819.00485412214</v>
      </c>
      <c r="M644">
        <f t="shared" ca="1" si="225"/>
        <v>201858.82524143514</v>
      </c>
      <c r="N644">
        <f t="shared" ca="1" si="226"/>
        <v>2.5998258701559251</v>
      </c>
      <c r="O644">
        <f t="shared" ca="1" si="227"/>
        <v>2.5265182207912369E-4</v>
      </c>
      <c r="P644">
        <f t="shared" ca="1" si="228"/>
        <v>39451.319854122143</v>
      </c>
      <c r="Q644">
        <f t="shared" ca="1" si="229"/>
        <v>39451.319854125395</v>
      </c>
      <c r="R644">
        <f t="shared" ca="1" si="230"/>
        <v>4.0176155171817888E-12</v>
      </c>
      <c r="S644">
        <f t="shared" ca="1" si="248"/>
        <v>1.1760142333514523E-2</v>
      </c>
      <c r="T644">
        <f t="shared" ca="1" si="249"/>
        <v>0</v>
      </c>
      <c r="U644">
        <f t="shared" ca="1" si="231"/>
        <v>0.05</v>
      </c>
      <c r="V644">
        <f t="shared" ca="1" si="232"/>
        <v>0.26</v>
      </c>
      <c r="W644">
        <f t="shared" ca="1" si="233"/>
        <v>4.9056603773584909E-2</v>
      </c>
      <c r="X644">
        <f t="shared" ca="1" si="234"/>
        <v>196.15384615384616</v>
      </c>
      <c r="Y644">
        <f t="shared" ca="1" si="235"/>
        <v>632.36500000000001</v>
      </c>
      <c r="Z644">
        <f t="shared" ca="1" si="236"/>
        <v>2593.4420316486621</v>
      </c>
      <c r="AA644">
        <f t="shared" ca="1" si="237"/>
        <v>482.07306851378365</v>
      </c>
      <c r="AB644">
        <f t="shared" ca="1" si="238"/>
        <v>482.64289004873763</v>
      </c>
      <c r="AC644">
        <f t="shared" ca="1" si="239"/>
        <v>0</v>
      </c>
      <c r="AD644">
        <f ca="1">IF(V32="Supercritical",L644,U644)</f>
        <v>0.05</v>
      </c>
      <c r="AE644">
        <f t="shared" ca="1" si="240"/>
        <v>632.36500000000001</v>
      </c>
      <c r="AF644">
        <f t="shared" ca="1" si="241"/>
        <v>2593.4420316486621</v>
      </c>
      <c r="AI644">
        <v>0</v>
      </c>
      <c r="AJ644">
        <v>0</v>
      </c>
      <c r="AK644">
        <f t="shared" si="242"/>
        <v>0</v>
      </c>
      <c r="AL644">
        <f t="shared" si="250"/>
        <v>0</v>
      </c>
      <c r="AM644">
        <f t="shared" ca="1" si="243"/>
        <v>280.07692026646265</v>
      </c>
      <c r="AN644" t="str">
        <f t="shared" ca="1" si="244"/>
        <v>Supercritical</v>
      </c>
      <c r="AO644">
        <f ca="1">IF(V32="Supercritical",R644,AA644)</f>
        <v>482.07306851378365</v>
      </c>
    </row>
    <row r="645" spans="1:41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174</v>
      </c>
      <c r="I645">
        <v>2.7E-2</v>
      </c>
      <c r="J645">
        <f t="shared" si="245"/>
        <v>1.0010000000000332</v>
      </c>
      <c r="K645">
        <f t="shared" si="246"/>
        <v>51</v>
      </c>
      <c r="L645">
        <f t="shared" ca="1" si="247"/>
        <v>38819.00485412214</v>
      </c>
      <c r="M645">
        <f t="shared" ca="1" si="225"/>
        <v>201858.82524143514</v>
      </c>
      <c r="N645">
        <f t="shared" ca="1" si="226"/>
        <v>2.5998258701559251</v>
      </c>
      <c r="O645">
        <f t="shared" ca="1" si="227"/>
        <v>2.5265182207912369E-4</v>
      </c>
      <c r="P645">
        <f t="shared" ca="1" si="228"/>
        <v>39451.319354122141</v>
      </c>
      <c r="Q645">
        <f t="shared" ca="1" si="229"/>
        <v>39451.319354125393</v>
      </c>
      <c r="R645">
        <f t="shared" ca="1" si="230"/>
        <v>4.0176155171817888E-12</v>
      </c>
      <c r="S645">
        <f t="shared" ca="1" si="248"/>
        <v>4.999999946448952E-4</v>
      </c>
      <c r="T645">
        <f t="shared" ca="1" si="249"/>
        <v>1</v>
      </c>
      <c r="U645">
        <f t="shared" ca="1" si="231"/>
        <v>0.05</v>
      </c>
      <c r="V645">
        <f t="shared" ca="1" si="232"/>
        <v>0.26</v>
      </c>
      <c r="W645">
        <f t="shared" ca="1" si="233"/>
        <v>4.9056603773584909E-2</v>
      </c>
      <c r="X645">
        <f t="shared" ca="1" si="234"/>
        <v>196.15384615384616</v>
      </c>
      <c r="Y645">
        <f t="shared" ca="1" si="235"/>
        <v>632.36449999999991</v>
      </c>
      <c r="Z645">
        <f t="shared" ca="1" si="236"/>
        <v>2593.441531648662</v>
      </c>
      <c r="AA645">
        <f t="shared" ca="1" si="237"/>
        <v>482.07306851378365</v>
      </c>
      <c r="AB645">
        <f t="shared" ca="1" si="238"/>
        <v>481.67874391167788</v>
      </c>
      <c r="AC645">
        <f t="shared" ca="1" si="239"/>
        <v>0</v>
      </c>
      <c r="AD645">
        <f ca="1">IF(V32="Supercritical",L645,U645)</f>
        <v>0.05</v>
      </c>
      <c r="AE645">
        <f t="shared" ca="1" si="240"/>
        <v>632.36449999999991</v>
      </c>
      <c r="AF645">
        <f t="shared" ca="1" si="241"/>
        <v>2593.441531648662</v>
      </c>
      <c r="AI645">
        <v>0</v>
      </c>
      <c r="AJ645">
        <v>0</v>
      </c>
      <c r="AK645">
        <f t="shared" si="242"/>
        <v>0</v>
      </c>
      <c r="AL645">
        <f t="shared" si="250"/>
        <v>0</v>
      </c>
      <c r="AM645">
        <f t="shared" ca="1" si="243"/>
        <v>280.07692026646265</v>
      </c>
      <c r="AN645" t="str">
        <f t="shared" ca="1" si="244"/>
        <v>Supercritical</v>
      </c>
      <c r="AO645">
        <f ca="1">IF(V32="Supercritical",R645,AA645)</f>
        <v>482.07306851378365</v>
      </c>
    </row>
    <row r="646" spans="1:41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174</v>
      </c>
      <c r="I646">
        <v>2.7E-2</v>
      </c>
      <c r="J646">
        <f t="shared" si="245"/>
        <v>0.9989999999999668</v>
      </c>
      <c r="K646">
        <f t="shared" si="246"/>
        <v>51</v>
      </c>
      <c r="L646">
        <f t="shared" ca="1" si="247"/>
        <v>38818.993605007992</v>
      </c>
      <c r="M646">
        <f t="shared" ca="1" si="225"/>
        <v>201858.76674604157</v>
      </c>
      <c r="N646">
        <f t="shared" ca="1" si="226"/>
        <v>2.5998258701054682</v>
      </c>
      <c r="O646">
        <f t="shared" ca="1" si="227"/>
        <v>2.5265189529352015E-4</v>
      </c>
      <c r="P646">
        <f t="shared" ca="1" si="228"/>
        <v>39451.307605007991</v>
      </c>
      <c r="Q646">
        <f t="shared" ca="1" si="229"/>
        <v>39451.307605011243</v>
      </c>
      <c r="R646">
        <f t="shared" ca="1" si="230"/>
        <v>4.0176178457655978E-12</v>
      </c>
      <c r="S646">
        <f t="shared" ca="1" si="248"/>
        <v>1.1749114142730832E-2</v>
      </c>
      <c r="T646">
        <f t="shared" ca="1" si="249"/>
        <v>0</v>
      </c>
      <c r="U646">
        <f t="shared" ca="1" si="231"/>
        <v>0.05</v>
      </c>
      <c r="V646">
        <f t="shared" ca="1" si="232"/>
        <v>0.26</v>
      </c>
      <c r="W646">
        <f t="shared" ca="1" si="233"/>
        <v>4.9056603773584909E-2</v>
      </c>
      <c r="X646">
        <f t="shared" ca="1" si="234"/>
        <v>196.15384615384616</v>
      </c>
      <c r="Y646">
        <f t="shared" ca="1" si="235"/>
        <v>632.36399999999992</v>
      </c>
      <c r="Z646">
        <f t="shared" ca="1" si="236"/>
        <v>2593.4410316486619</v>
      </c>
      <c r="AA646">
        <f t="shared" ca="1" si="237"/>
        <v>482.07306851378365</v>
      </c>
      <c r="AB646">
        <f t="shared" ca="1" si="238"/>
        <v>482.64289004873763</v>
      </c>
      <c r="AC646">
        <f t="shared" ca="1" si="239"/>
        <v>0</v>
      </c>
      <c r="AD646">
        <f ca="1">IF(V32="Supercritical",L646,U646)</f>
        <v>0.05</v>
      </c>
      <c r="AE646">
        <f t="shared" ca="1" si="240"/>
        <v>632.36399999999992</v>
      </c>
      <c r="AF646">
        <f t="shared" ca="1" si="241"/>
        <v>2593.4410316486619</v>
      </c>
      <c r="AI646">
        <v>0</v>
      </c>
      <c r="AJ646">
        <v>0</v>
      </c>
      <c r="AK646">
        <f t="shared" si="242"/>
        <v>0</v>
      </c>
      <c r="AL646">
        <f t="shared" si="250"/>
        <v>0</v>
      </c>
      <c r="AM646">
        <f t="shared" ca="1" si="243"/>
        <v>280.07692026646265</v>
      </c>
      <c r="AN646" t="str">
        <f t="shared" ca="1" si="244"/>
        <v>Supercritical</v>
      </c>
      <c r="AO646">
        <f ca="1">IF(V32="Supercritical",R646,AA646)</f>
        <v>482.07306851378365</v>
      </c>
    </row>
    <row r="647" spans="1:41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174</v>
      </c>
      <c r="I647">
        <v>2.7E-2</v>
      </c>
      <c r="J647">
        <f t="shared" si="245"/>
        <v>1.0010000000000332</v>
      </c>
      <c r="K647">
        <f t="shared" si="246"/>
        <v>51</v>
      </c>
      <c r="L647">
        <f t="shared" ca="1" si="247"/>
        <v>38818.993605007992</v>
      </c>
      <c r="M647">
        <f t="shared" ca="1" si="225"/>
        <v>201858.76674604157</v>
      </c>
      <c r="N647">
        <f t="shared" ca="1" si="226"/>
        <v>2.5998258701054682</v>
      </c>
      <c r="O647">
        <f t="shared" ca="1" si="227"/>
        <v>2.5265189529352015E-4</v>
      </c>
      <c r="P647">
        <f t="shared" ca="1" si="228"/>
        <v>39451.307105007989</v>
      </c>
      <c r="Q647">
        <f t="shared" ca="1" si="229"/>
        <v>39451.307105011241</v>
      </c>
      <c r="R647">
        <f t="shared" ca="1" si="230"/>
        <v>4.0176178457655978E-12</v>
      </c>
      <c r="S647">
        <f t="shared" ca="1" si="248"/>
        <v>4.999999946448952E-4</v>
      </c>
      <c r="T647">
        <f t="shared" ca="1" si="249"/>
        <v>1</v>
      </c>
      <c r="U647">
        <f t="shared" ca="1" si="231"/>
        <v>0.05</v>
      </c>
      <c r="V647">
        <f t="shared" ca="1" si="232"/>
        <v>0.26</v>
      </c>
      <c r="W647">
        <f t="shared" ca="1" si="233"/>
        <v>4.9056603773584909E-2</v>
      </c>
      <c r="X647">
        <f t="shared" ca="1" si="234"/>
        <v>196.15384615384616</v>
      </c>
      <c r="Y647">
        <f t="shared" ca="1" si="235"/>
        <v>632.36349999999993</v>
      </c>
      <c r="Z647">
        <f t="shared" ca="1" si="236"/>
        <v>2593.4405316486618</v>
      </c>
      <c r="AA647">
        <f t="shared" ca="1" si="237"/>
        <v>482.07306851378365</v>
      </c>
      <c r="AB647">
        <f t="shared" ca="1" si="238"/>
        <v>481.75391853122528</v>
      </c>
      <c r="AC647">
        <f t="shared" ca="1" si="239"/>
        <v>0</v>
      </c>
      <c r="AD647">
        <f ca="1">IF(V32="Supercritical",L647,U647)</f>
        <v>0.05</v>
      </c>
      <c r="AE647">
        <f t="shared" ca="1" si="240"/>
        <v>632.36349999999993</v>
      </c>
      <c r="AF647">
        <f t="shared" ca="1" si="241"/>
        <v>2593.4405316486618</v>
      </c>
      <c r="AI647">
        <v>0</v>
      </c>
      <c r="AJ647">
        <v>0</v>
      </c>
      <c r="AK647">
        <f t="shared" si="242"/>
        <v>0</v>
      </c>
      <c r="AL647">
        <f t="shared" si="250"/>
        <v>0</v>
      </c>
      <c r="AM647">
        <f t="shared" ca="1" si="243"/>
        <v>280.07692026646265</v>
      </c>
      <c r="AN647" t="str">
        <f t="shared" ca="1" si="244"/>
        <v>Supercritical</v>
      </c>
      <c r="AO647">
        <f ca="1">IF(V32="Supercritical",R647,AA647)</f>
        <v>482.07306851378365</v>
      </c>
    </row>
    <row r="648" spans="1:41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174</v>
      </c>
      <c r="I648">
        <v>0.05</v>
      </c>
      <c r="J648">
        <f t="shared" si="245"/>
        <v>0.9989999999999668</v>
      </c>
      <c r="K648">
        <f t="shared" si="246"/>
        <v>51</v>
      </c>
      <c r="L648">
        <f t="shared" ca="1" si="247"/>
        <v>38818.982367977762</v>
      </c>
      <c r="M648">
        <f t="shared" ca="1" si="225"/>
        <v>201858.70831348436</v>
      </c>
      <c r="N648">
        <f t="shared" ca="1" si="226"/>
        <v>2.5998258700550658</v>
      </c>
      <c r="O648">
        <f t="shared" ca="1" si="227"/>
        <v>2.5265196842931125E-4</v>
      </c>
      <c r="P648">
        <f t="shared" ca="1" si="228"/>
        <v>39451.295367977764</v>
      </c>
      <c r="Q648">
        <f t="shared" ca="1" si="229"/>
        <v>39451.295367981016</v>
      </c>
      <c r="R648">
        <f t="shared" ca="1" si="230"/>
        <v>4.0176201718500394E-12</v>
      </c>
      <c r="S648">
        <f t="shared" ca="1" si="248"/>
        <v>1.1737030217773281E-2</v>
      </c>
      <c r="T648">
        <f t="shared" ca="1" si="249"/>
        <v>0</v>
      </c>
      <c r="U648">
        <f t="shared" ca="1" si="231"/>
        <v>0.05</v>
      </c>
      <c r="V648">
        <f t="shared" ca="1" si="232"/>
        <v>0.26</v>
      </c>
      <c r="W648">
        <f t="shared" ca="1" si="233"/>
        <v>4.9056603773584909E-2</v>
      </c>
      <c r="X648">
        <f t="shared" ca="1" si="234"/>
        <v>196.15384615384616</v>
      </c>
      <c r="Y648">
        <f t="shared" ca="1" si="235"/>
        <v>632.36299999999994</v>
      </c>
      <c r="Z648">
        <f t="shared" ca="1" si="236"/>
        <v>2593.4400316486622</v>
      </c>
      <c r="AA648">
        <f t="shared" ca="1" si="237"/>
        <v>482.07306851378365</v>
      </c>
      <c r="AB648">
        <f t="shared" ca="1" si="238"/>
        <v>482.32750852789786</v>
      </c>
      <c r="AC648">
        <f t="shared" ca="1" si="239"/>
        <v>0</v>
      </c>
      <c r="AD648">
        <f ca="1">IF(V32="Supercritical",L648,U648)</f>
        <v>0.05</v>
      </c>
      <c r="AE648">
        <f t="shared" ca="1" si="240"/>
        <v>632.36299999999994</v>
      </c>
      <c r="AF648">
        <f t="shared" ca="1" si="241"/>
        <v>2593.4400316486622</v>
      </c>
      <c r="AI648">
        <v>0</v>
      </c>
      <c r="AJ648">
        <v>0</v>
      </c>
      <c r="AK648">
        <f t="shared" si="242"/>
        <v>0</v>
      </c>
      <c r="AL648">
        <f t="shared" si="250"/>
        <v>0</v>
      </c>
      <c r="AM648">
        <f t="shared" ca="1" si="243"/>
        <v>280.07692026646265</v>
      </c>
      <c r="AN648" t="str">
        <f t="shared" ca="1" si="244"/>
        <v>Supercritical</v>
      </c>
      <c r="AO648">
        <f ca="1">IF(V32="Supercritical",R648,AA648)</f>
        <v>482.07306851378365</v>
      </c>
    </row>
    <row r="649" spans="1:41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174</v>
      </c>
      <c r="I649">
        <v>7.8E-2</v>
      </c>
      <c r="J649">
        <f t="shared" si="245"/>
        <v>1</v>
      </c>
      <c r="K649">
        <f t="shared" si="246"/>
        <v>51</v>
      </c>
      <c r="L649">
        <f t="shared" ca="1" si="247"/>
        <v>38818.982367977762</v>
      </c>
      <c r="M649">
        <f t="shared" ca="1" si="225"/>
        <v>201858.70831348436</v>
      </c>
      <c r="N649">
        <f t="shared" ca="1" si="226"/>
        <v>2.5998258700550658</v>
      </c>
      <c r="O649">
        <f t="shared" ca="1" si="227"/>
        <v>2.5265196842931125E-4</v>
      </c>
      <c r="P649">
        <f t="shared" ca="1" si="228"/>
        <v>39451.294867977762</v>
      </c>
      <c r="Q649">
        <f t="shared" ca="1" si="229"/>
        <v>39451.294867981014</v>
      </c>
      <c r="R649">
        <f t="shared" ca="1" si="230"/>
        <v>4.0176201718500394E-12</v>
      </c>
      <c r="S649">
        <f t="shared" ca="1" si="248"/>
        <v>4.999999946448952E-4</v>
      </c>
      <c r="T649">
        <f t="shared" ca="1" si="249"/>
        <v>1</v>
      </c>
      <c r="U649">
        <f t="shared" ca="1" si="231"/>
        <v>0.05</v>
      </c>
      <c r="V649">
        <f t="shared" ca="1" si="232"/>
        <v>0.26</v>
      </c>
      <c r="W649">
        <f t="shared" ca="1" si="233"/>
        <v>4.9056603773584909E-2</v>
      </c>
      <c r="X649">
        <f t="shared" ca="1" si="234"/>
        <v>196.15384615384616</v>
      </c>
      <c r="Y649">
        <f t="shared" ca="1" si="235"/>
        <v>632.36249999999995</v>
      </c>
      <c r="Z649">
        <f t="shared" ca="1" si="236"/>
        <v>2593.4395316486621</v>
      </c>
      <c r="AA649">
        <f t="shared" ca="1" si="237"/>
        <v>482.07306851378365</v>
      </c>
      <c r="AB649">
        <f t="shared" ca="1" si="238"/>
        <v>482.64289004873763</v>
      </c>
      <c r="AC649">
        <f t="shared" ca="1" si="239"/>
        <v>0</v>
      </c>
      <c r="AD649">
        <f ca="1">IF(V32="Supercritical",L649,U649)</f>
        <v>0.05</v>
      </c>
      <c r="AE649">
        <f t="shared" ca="1" si="240"/>
        <v>632.36249999999995</v>
      </c>
      <c r="AF649">
        <f t="shared" ca="1" si="241"/>
        <v>2593.4395316486621</v>
      </c>
      <c r="AI649">
        <v>0</v>
      </c>
      <c r="AJ649">
        <v>0</v>
      </c>
      <c r="AK649">
        <f t="shared" si="242"/>
        <v>0</v>
      </c>
      <c r="AL649">
        <f t="shared" si="250"/>
        <v>0</v>
      </c>
      <c r="AM649">
        <f t="shared" ca="1" si="243"/>
        <v>280.07692026646265</v>
      </c>
      <c r="AN649" t="str">
        <f t="shared" ca="1" si="244"/>
        <v>Supercritical</v>
      </c>
      <c r="AO649">
        <f ca="1">IF(V32="Supercritical",R649,AA649)</f>
        <v>482.07306851378365</v>
      </c>
    </row>
    <row r="650" spans="1:41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174</v>
      </c>
      <c r="I650">
        <v>2.7E-2</v>
      </c>
      <c r="J650">
        <f t="shared" si="245"/>
        <v>1.0010000000000332</v>
      </c>
      <c r="K650">
        <f t="shared" si="246"/>
        <v>51</v>
      </c>
      <c r="L650">
        <f t="shared" ca="1" si="247"/>
        <v>38818.971144055336</v>
      </c>
      <c r="M650">
        <f t="shared" ca="1" si="225"/>
        <v>201858.64994908776</v>
      </c>
      <c r="N650">
        <f t="shared" ca="1" si="226"/>
        <v>2.5998258700047221</v>
      </c>
      <c r="O650">
        <f t="shared" ca="1" si="227"/>
        <v>2.5265204147983293E-4</v>
      </c>
      <c r="P650">
        <f t="shared" ca="1" si="228"/>
        <v>39451.283144055335</v>
      </c>
      <c r="Q650">
        <f t="shared" ca="1" si="229"/>
        <v>39451.283144058587</v>
      </c>
      <c r="R650">
        <f t="shared" ca="1" si="230"/>
        <v>4.017622495223159E-12</v>
      </c>
      <c r="S650">
        <f t="shared" ca="1" si="248"/>
        <v>1.1723922420060262E-2</v>
      </c>
      <c r="T650">
        <f t="shared" ca="1" si="249"/>
        <v>0</v>
      </c>
      <c r="U650">
        <f t="shared" ca="1" si="231"/>
        <v>0.05</v>
      </c>
      <c r="V650">
        <f t="shared" ca="1" si="232"/>
        <v>0.26</v>
      </c>
      <c r="W650">
        <f t="shared" ca="1" si="233"/>
        <v>4.9056603773584909E-2</v>
      </c>
      <c r="X650">
        <f t="shared" ca="1" si="234"/>
        <v>196.15384615384616</v>
      </c>
      <c r="Y650">
        <f t="shared" ca="1" si="235"/>
        <v>632.36199999999997</v>
      </c>
      <c r="Z650">
        <f t="shared" ca="1" si="236"/>
        <v>2593.439031648662</v>
      </c>
      <c r="AA650">
        <f t="shared" ca="1" si="237"/>
        <v>482.07306851378365</v>
      </c>
      <c r="AB650">
        <f t="shared" ca="1" si="238"/>
        <v>481.67874391167834</v>
      </c>
      <c r="AC650">
        <f t="shared" ca="1" si="239"/>
        <v>0</v>
      </c>
      <c r="AD650">
        <f ca="1">IF(V32="Supercritical",L650,U650)</f>
        <v>0.05</v>
      </c>
      <c r="AE650">
        <f t="shared" ca="1" si="240"/>
        <v>632.36199999999997</v>
      </c>
      <c r="AF650">
        <f t="shared" ca="1" si="241"/>
        <v>2593.439031648662</v>
      </c>
      <c r="AI650">
        <v>0</v>
      </c>
      <c r="AJ650">
        <v>0</v>
      </c>
      <c r="AK650">
        <f t="shared" si="242"/>
        <v>0</v>
      </c>
      <c r="AL650">
        <f t="shared" si="250"/>
        <v>0</v>
      </c>
      <c r="AM650">
        <f t="shared" ca="1" si="243"/>
        <v>280.07692026646265</v>
      </c>
      <c r="AN650" t="str">
        <f t="shared" ca="1" si="244"/>
        <v>Supercritical</v>
      </c>
      <c r="AO650">
        <f ca="1">IF(V32="Supercritical",R650,AA650)</f>
        <v>482.07306851378365</v>
      </c>
    </row>
    <row r="651" spans="1:41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174</v>
      </c>
      <c r="I651">
        <v>2.7E-2</v>
      </c>
      <c r="J651">
        <f t="shared" si="245"/>
        <v>0.9989999999999668</v>
      </c>
      <c r="K651">
        <f t="shared" si="246"/>
        <v>51</v>
      </c>
      <c r="L651">
        <f t="shared" ca="1" si="247"/>
        <v>38818.971144055336</v>
      </c>
      <c r="M651">
        <f t="shared" ca="1" si="225"/>
        <v>201858.64994908776</v>
      </c>
      <c r="N651">
        <f t="shared" ca="1" si="226"/>
        <v>2.5998258700047221</v>
      </c>
      <c r="O651">
        <f t="shared" ca="1" si="227"/>
        <v>2.5265204147983293E-4</v>
      </c>
      <c r="P651">
        <f t="shared" ca="1" si="228"/>
        <v>39451.28264405534</v>
      </c>
      <c r="Q651">
        <f t="shared" ca="1" si="229"/>
        <v>39451.282644058592</v>
      </c>
      <c r="R651">
        <f t="shared" ca="1" si="230"/>
        <v>4.017622495223159E-12</v>
      </c>
      <c r="S651">
        <f t="shared" ca="1" si="248"/>
        <v>4.9999998736893758E-4</v>
      </c>
      <c r="T651">
        <f t="shared" ca="1" si="249"/>
        <v>1</v>
      </c>
      <c r="U651">
        <f t="shared" ca="1" si="231"/>
        <v>0.05</v>
      </c>
      <c r="V651">
        <f t="shared" ca="1" si="232"/>
        <v>0.26</v>
      </c>
      <c r="W651">
        <f t="shared" ca="1" si="233"/>
        <v>4.9056603773584909E-2</v>
      </c>
      <c r="X651">
        <f t="shared" ca="1" si="234"/>
        <v>196.15384615384616</v>
      </c>
      <c r="Y651">
        <f t="shared" ca="1" si="235"/>
        <v>632.36149999999998</v>
      </c>
      <c r="Z651">
        <f t="shared" ca="1" si="236"/>
        <v>2593.4385316486623</v>
      </c>
      <c r="AA651">
        <f t="shared" ca="1" si="237"/>
        <v>482.07306851378365</v>
      </c>
      <c r="AB651">
        <f t="shared" ca="1" si="238"/>
        <v>482.80958159642751</v>
      </c>
      <c r="AC651">
        <f t="shared" ca="1" si="239"/>
        <v>0</v>
      </c>
      <c r="AD651">
        <f ca="1">IF(V32="Supercritical",L651,U651)</f>
        <v>0.05</v>
      </c>
      <c r="AE651">
        <f t="shared" ca="1" si="240"/>
        <v>632.36149999999998</v>
      </c>
      <c r="AF651">
        <f t="shared" ca="1" si="241"/>
        <v>2593.4385316486623</v>
      </c>
      <c r="AI651">
        <v>0</v>
      </c>
      <c r="AJ651">
        <v>0</v>
      </c>
      <c r="AK651">
        <f t="shared" si="242"/>
        <v>0</v>
      </c>
      <c r="AL651">
        <f t="shared" si="250"/>
        <v>0</v>
      </c>
      <c r="AM651">
        <f t="shared" ca="1" si="243"/>
        <v>280.07692026646265</v>
      </c>
      <c r="AN651" t="str">
        <f t="shared" ca="1" si="244"/>
        <v>Supercritical</v>
      </c>
      <c r="AO651">
        <f ca="1">IF(V32="Supercritical",R651,AA651)</f>
        <v>482.07306851378365</v>
      </c>
    </row>
    <row r="652" spans="1:41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174</v>
      </c>
      <c r="I652">
        <v>7.8E-2</v>
      </c>
      <c r="J652">
        <f t="shared" si="245"/>
        <v>1.0010000000000332</v>
      </c>
      <c r="K652">
        <f t="shared" si="246"/>
        <v>51</v>
      </c>
      <c r="L652">
        <f t="shared" ca="1" si="247"/>
        <v>38818.959934200648</v>
      </c>
      <c r="M652">
        <f t="shared" ca="1" si="225"/>
        <v>201858.59165784338</v>
      </c>
      <c r="N652">
        <f t="shared" ca="1" si="226"/>
        <v>2.5998258699544414</v>
      </c>
      <c r="O652">
        <f t="shared" ca="1" si="227"/>
        <v>2.5265211443883744E-4</v>
      </c>
      <c r="P652">
        <f t="shared" ca="1" si="228"/>
        <v>39451.270934200649</v>
      </c>
      <c r="Q652">
        <f t="shared" ca="1" si="229"/>
        <v>39451.270934203902</v>
      </c>
      <c r="R652">
        <f t="shared" ca="1" si="230"/>
        <v>4.0176248156862395E-12</v>
      </c>
      <c r="S652">
        <f t="shared" ca="1" si="248"/>
        <v>1.1709854683431331E-2</v>
      </c>
      <c r="T652">
        <f t="shared" ca="1" si="249"/>
        <v>0</v>
      </c>
      <c r="U652">
        <f t="shared" ca="1" si="231"/>
        <v>0.05</v>
      </c>
      <c r="V652">
        <f t="shared" ca="1" si="232"/>
        <v>0.26</v>
      </c>
      <c r="W652">
        <f t="shared" ca="1" si="233"/>
        <v>4.9056603773584909E-2</v>
      </c>
      <c r="X652">
        <f t="shared" ca="1" si="234"/>
        <v>196.15384615384616</v>
      </c>
      <c r="Y652">
        <f t="shared" ca="1" si="235"/>
        <v>632.36099999999999</v>
      </c>
      <c r="Z652">
        <f t="shared" ca="1" si="236"/>
        <v>2593.4380316486622</v>
      </c>
      <c r="AA652">
        <f t="shared" ca="1" si="237"/>
        <v>482.07306851378365</v>
      </c>
      <c r="AB652">
        <f t="shared" ca="1" si="238"/>
        <v>482.23599159975447</v>
      </c>
      <c r="AC652">
        <f t="shared" ca="1" si="239"/>
        <v>0</v>
      </c>
      <c r="AD652">
        <f ca="1">IF(V32="Supercritical",L652,U652)</f>
        <v>0.05</v>
      </c>
      <c r="AE652">
        <f t="shared" ca="1" si="240"/>
        <v>632.36099999999999</v>
      </c>
      <c r="AF652">
        <f t="shared" ca="1" si="241"/>
        <v>2593.4380316486622</v>
      </c>
      <c r="AI652">
        <v>0</v>
      </c>
      <c r="AJ652">
        <v>0</v>
      </c>
      <c r="AK652">
        <f t="shared" si="242"/>
        <v>0</v>
      </c>
      <c r="AL652">
        <f t="shared" si="250"/>
        <v>0</v>
      </c>
      <c r="AM652">
        <f t="shared" ca="1" si="243"/>
        <v>280.07692026646265</v>
      </c>
      <c r="AN652" t="str">
        <f t="shared" ca="1" si="244"/>
        <v>Supercritical</v>
      </c>
      <c r="AO652">
        <f ca="1">IF(V32="Supercritical",R652,AA652)</f>
        <v>482.07306851378365</v>
      </c>
    </row>
    <row r="653" spans="1:41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174</v>
      </c>
      <c r="I653">
        <v>0.05</v>
      </c>
      <c r="J653">
        <f t="shared" si="245"/>
        <v>1</v>
      </c>
      <c r="K653">
        <f t="shared" si="246"/>
        <v>51</v>
      </c>
      <c r="L653">
        <f t="shared" ca="1" si="247"/>
        <v>38818.959934200648</v>
      </c>
      <c r="M653">
        <f t="shared" ca="1" si="225"/>
        <v>201858.59165784338</v>
      </c>
      <c r="N653">
        <f t="shared" ca="1" si="226"/>
        <v>2.5998258699544414</v>
      </c>
      <c r="O653">
        <f t="shared" ca="1" si="227"/>
        <v>2.5265211443883744E-4</v>
      </c>
      <c r="P653">
        <f t="shared" ca="1" si="228"/>
        <v>39451.270434200647</v>
      </c>
      <c r="Q653">
        <f t="shared" ca="1" si="229"/>
        <v>39451.2704342039</v>
      </c>
      <c r="R653">
        <f t="shared" ca="1" si="230"/>
        <v>4.0176248156862395E-12</v>
      </c>
      <c r="S653">
        <f t="shared" ca="1" si="248"/>
        <v>4.999999946448952E-4</v>
      </c>
      <c r="T653">
        <f t="shared" ca="1" si="249"/>
        <v>1</v>
      </c>
      <c r="U653">
        <f t="shared" ca="1" si="231"/>
        <v>0.05</v>
      </c>
      <c r="V653">
        <f t="shared" ca="1" si="232"/>
        <v>0.26</v>
      </c>
      <c r="W653">
        <f t="shared" ca="1" si="233"/>
        <v>4.9056603773584909E-2</v>
      </c>
      <c r="X653">
        <f t="shared" ca="1" si="234"/>
        <v>196.15384615384616</v>
      </c>
      <c r="Y653">
        <f t="shared" ca="1" si="235"/>
        <v>632.3605</v>
      </c>
      <c r="Z653">
        <f t="shared" ca="1" si="236"/>
        <v>2593.4375316486621</v>
      </c>
      <c r="AA653">
        <f t="shared" ca="1" si="237"/>
        <v>482.07306851378365</v>
      </c>
      <c r="AB653">
        <f t="shared" ca="1" si="238"/>
        <v>481.67874391167788</v>
      </c>
      <c r="AC653">
        <f t="shared" ca="1" si="239"/>
        <v>0</v>
      </c>
      <c r="AD653">
        <f ca="1">IF(V32="Supercritical",L653,U653)</f>
        <v>0.05</v>
      </c>
      <c r="AE653">
        <f t="shared" ca="1" si="240"/>
        <v>632.3605</v>
      </c>
      <c r="AF653">
        <f t="shared" ca="1" si="241"/>
        <v>2593.4375316486621</v>
      </c>
      <c r="AI653">
        <v>0</v>
      </c>
      <c r="AJ653">
        <v>0</v>
      </c>
      <c r="AK653">
        <f t="shared" si="242"/>
        <v>0</v>
      </c>
      <c r="AL653">
        <f t="shared" si="250"/>
        <v>0</v>
      </c>
      <c r="AM653">
        <f t="shared" ca="1" si="243"/>
        <v>280.07692026646265</v>
      </c>
      <c r="AN653" t="str">
        <f t="shared" ca="1" si="244"/>
        <v>Supercritical</v>
      </c>
      <c r="AO653">
        <f ca="1">IF(V32="Supercritical",R653,AA653)</f>
        <v>482.07306851378365</v>
      </c>
    </row>
    <row r="654" spans="1:41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174</v>
      </c>
      <c r="I654">
        <v>2.7E-2</v>
      </c>
      <c r="J654">
        <f t="shared" si="245"/>
        <v>0.9989999999999668</v>
      </c>
      <c r="K654">
        <f t="shared" si="246"/>
        <v>51</v>
      </c>
      <c r="L654">
        <f t="shared" ca="1" si="247"/>
        <v>38818.948739273321</v>
      </c>
      <c r="M654">
        <f t="shared" ca="1" si="225"/>
        <v>201858.53344422128</v>
      </c>
      <c r="N654">
        <f t="shared" ca="1" si="226"/>
        <v>2.5998258699042278</v>
      </c>
      <c r="O654">
        <f t="shared" ca="1" si="227"/>
        <v>2.5265218730072969E-4</v>
      </c>
      <c r="P654">
        <f t="shared" ca="1" si="228"/>
        <v>39451.258739273318</v>
      </c>
      <c r="Q654">
        <f t="shared" ca="1" si="229"/>
        <v>39451.258739276571</v>
      </c>
      <c r="R654">
        <f t="shared" ca="1" si="230"/>
        <v>4.0176271330613336E-12</v>
      </c>
      <c r="S654">
        <f t="shared" ca="1" si="248"/>
        <v>1.1694927321514115E-2</v>
      </c>
      <c r="T654">
        <f t="shared" ca="1" si="249"/>
        <v>0</v>
      </c>
      <c r="U654">
        <f t="shared" ca="1" si="231"/>
        <v>0.05</v>
      </c>
      <c r="V654">
        <f t="shared" ca="1" si="232"/>
        <v>0.26</v>
      </c>
      <c r="W654">
        <f t="shared" ca="1" si="233"/>
        <v>4.9056603773584909E-2</v>
      </c>
      <c r="X654">
        <f t="shared" ca="1" si="234"/>
        <v>196.15384615384616</v>
      </c>
      <c r="Y654">
        <f t="shared" ca="1" si="235"/>
        <v>632.3599999999999</v>
      </c>
      <c r="Z654">
        <f t="shared" ca="1" si="236"/>
        <v>2593.437031648662</v>
      </c>
      <c r="AA654">
        <f t="shared" ca="1" si="237"/>
        <v>482.07306851378365</v>
      </c>
      <c r="AB654">
        <f t="shared" ca="1" si="238"/>
        <v>482.16081698020798</v>
      </c>
      <c r="AC654">
        <f t="shared" ca="1" si="239"/>
        <v>0</v>
      </c>
      <c r="AD654">
        <f ca="1">IF(V32="Supercritical",L654,U654)</f>
        <v>0.05</v>
      </c>
      <c r="AE654">
        <f t="shared" ca="1" si="240"/>
        <v>632.3599999999999</v>
      </c>
      <c r="AF654">
        <f t="shared" ca="1" si="241"/>
        <v>2593.437031648662</v>
      </c>
      <c r="AI654">
        <v>0</v>
      </c>
      <c r="AJ654">
        <v>0</v>
      </c>
      <c r="AK654">
        <f t="shared" si="242"/>
        <v>0</v>
      </c>
      <c r="AL654">
        <f t="shared" si="250"/>
        <v>0</v>
      </c>
      <c r="AM654">
        <f t="shared" ca="1" si="243"/>
        <v>280.07692026646265</v>
      </c>
      <c r="AN654" t="str">
        <f t="shared" ca="1" si="244"/>
        <v>Supercritical</v>
      </c>
      <c r="AO654">
        <f ca="1">IF(V32="Supercritical",R654,AA654)</f>
        <v>482.07306851378365</v>
      </c>
    </row>
    <row r="655" spans="1:41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174</v>
      </c>
      <c r="I655">
        <v>2.7E-2</v>
      </c>
      <c r="J655">
        <f t="shared" si="245"/>
        <v>1</v>
      </c>
      <c r="K655">
        <f t="shared" si="246"/>
        <v>51</v>
      </c>
      <c r="L655">
        <f t="shared" ca="1" si="247"/>
        <v>38818.948739273321</v>
      </c>
      <c r="M655">
        <f t="shared" ca="1" si="225"/>
        <v>201858.53344422128</v>
      </c>
      <c r="N655">
        <f t="shared" ca="1" si="226"/>
        <v>2.5998258699042278</v>
      </c>
      <c r="O655">
        <f t="shared" ca="1" si="227"/>
        <v>2.5265218730072969E-4</v>
      </c>
      <c r="P655">
        <f t="shared" ca="1" si="228"/>
        <v>39451.258239273324</v>
      </c>
      <c r="Q655">
        <f t="shared" ca="1" si="229"/>
        <v>39451.258239276576</v>
      </c>
      <c r="R655">
        <f t="shared" ca="1" si="230"/>
        <v>4.0176271330613336E-12</v>
      </c>
      <c r="S655">
        <f t="shared" ca="1" si="248"/>
        <v>4.9999998736893758E-4</v>
      </c>
      <c r="T655">
        <f t="shared" ca="1" si="249"/>
        <v>1</v>
      </c>
      <c r="U655">
        <f t="shared" ca="1" si="231"/>
        <v>0.05</v>
      </c>
      <c r="V655">
        <f t="shared" ca="1" si="232"/>
        <v>0.26</v>
      </c>
      <c r="W655">
        <f t="shared" ca="1" si="233"/>
        <v>4.9056603773584909E-2</v>
      </c>
      <c r="X655">
        <f t="shared" ca="1" si="234"/>
        <v>196.15384615384616</v>
      </c>
      <c r="Y655">
        <f t="shared" ca="1" si="235"/>
        <v>632.35949999999991</v>
      </c>
      <c r="Z655">
        <f t="shared" ca="1" si="236"/>
        <v>2593.4365316486619</v>
      </c>
      <c r="AA655">
        <f t="shared" ca="1" si="237"/>
        <v>482.07306851378365</v>
      </c>
      <c r="AB655">
        <f t="shared" ca="1" si="238"/>
        <v>482.1477431333301</v>
      </c>
      <c r="AC655">
        <f t="shared" ca="1" si="239"/>
        <v>0</v>
      </c>
      <c r="AD655">
        <f ca="1">IF(V32="Supercritical",L655,U655)</f>
        <v>0.05</v>
      </c>
      <c r="AE655">
        <f t="shared" ca="1" si="240"/>
        <v>632.35949999999991</v>
      </c>
      <c r="AF655">
        <f t="shared" ca="1" si="241"/>
        <v>2593.4365316486619</v>
      </c>
      <c r="AI655">
        <v>0</v>
      </c>
      <c r="AJ655">
        <v>0</v>
      </c>
      <c r="AK655">
        <f t="shared" si="242"/>
        <v>0</v>
      </c>
      <c r="AL655">
        <f t="shared" si="250"/>
        <v>0</v>
      </c>
      <c r="AM655">
        <f t="shared" ca="1" si="243"/>
        <v>280.07692026646265</v>
      </c>
      <c r="AN655" t="str">
        <f t="shared" ca="1" si="244"/>
        <v>Supercritical</v>
      </c>
      <c r="AO655">
        <f ca="1">IF(V32="Supercritical",R655,AA655)</f>
        <v>482.07306851378365</v>
      </c>
    </row>
    <row r="656" spans="1:41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174</v>
      </c>
      <c r="I656">
        <v>2.3E-2</v>
      </c>
      <c r="J656">
        <f t="shared" si="245"/>
        <v>1</v>
      </c>
      <c r="K656">
        <f t="shared" si="246"/>
        <v>51</v>
      </c>
      <c r="L656">
        <f t="shared" ca="1" si="247"/>
        <v>38818.937559992839</v>
      </c>
      <c r="M656">
        <f t="shared" ca="1" si="225"/>
        <v>201858.47531196277</v>
      </c>
      <c r="N656">
        <f t="shared" ca="1" si="226"/>
        <v>2.5998258698540844</v>
      </c>
      <c r="O656">
        <f t="shared" ca="1" si="227"/>
        <v>2.5265226006082679E-4</v>
      </c>
      <c r="P656">
        <f t="shared" ca="1" si="228"/>
        <v>39451.24655999284</v>
      </c>
      <c r="Q656">
        <f t="shared" ca="1" si="229"/>
        <v>39451.246559996092</v>
      </c>
      <c r="R656">
        <f t="shared" ca="1" si="230"/>
        <v>4.017629447199497E-12</v>
      </c>
      <c r="S656">
        <f t="shared" ca="1" si="248"/>
        <v>1.167928047652822E-2</v>
      </c>
      <c r="T656">
        <f t="shared" ca="1" si="249"/>
        <v>0</v>
      </c>
      <c r="U656">
        <f t="shared" ca="1" si="231"/>
        <v>0.05</v>
      </c>
      <c r="V656">
        <f t="shared" ca="1" si="232"/>
        <v>0.26</v>
      </c>
      <c r="W656">
        <f t="shared" ca="1" si="233"/>
        <v>4.9056603773584909E-2</v>
      </c>
      <c r="X656">
        <f t="shared" ca="1" si="234"/>
        <v>196.15384615384616</v>
      </c>
      <c r="Y656">
        <f t="shared" ca="1" si="235"/>
        <v>632.35899999999992</v>
      </c>
      <c r="Z656">
        <f t="shared" ca="1" si="236"/>
        <v>2593.4360316486618</v>
      </c>
      <c r="AA656">
        <f t="shared" ca="1" si="237"/>
        <v>482.07306851378365</v>
      </c>
      <c r="AB656">
        <f t="shared" ca="1" si="238"/>
        <v>482.62981620186019</v>
      </c>
      <c r="AC656">
        <f t="shared" ca="1" si="239"/>
        <v>0</v>
      </c>
      <c r="AD656">
        <f ca="1">IF(V32="Supercritical",L656,U656)</f>
        <v>0.05</v>
      </c>
      <c r="AE656">
        <f t="shared" ca="1" si="240"/>
        <v>632.35899999999992</v>
      </c>
      <c r="AF656">
        <f t="shared" ca="1" si="241"/>
        <v>2593.4360316486618</v>
      </c>
      <c r="AI656">
        <v>0</v>
      </c>
      <c r="AJ656">
        <v>0</v>
      </c>
      <c r="AK656">
        <f t="shared" si="242"/>
        <v>0</v>
      </c>
      <c r="AL656">
        <f t="shared" si="250"/>
        <v>0</v>
      </c>
      <c r="AM656">
        <f t="shared" ca="1" si="243"/>
        <v>280.07692026646265</v>
      </c>
      <c r="AN656" t="str">
        <f t="shared" ca="1" si="244"/>
        <v>Supercritical</v>
      </c>
      <c r="AO656">
        <f ca="1">IF(V32="Supercritical",R656,AA656)</f>
        <v>482.07306851378365</v>
      </c>
    </row>
    <row r="657" spans="1:41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174</v>
      </c>
      <c r="I657">
        <v>2.3E-2</v>
      </c>
      <c r="J657">
        <f t="shared" si="245"/>
        <v>1.0010000000000332</v>
      </c>
      <c r="K657">
        <f t="shared" si="246"/>
        <v>51</v>
      </c>
      <c r="L657">
        <f t="shared" ca="1" si="247"/>
        <v>38818.937559992839</v>
      </c>
      <c r="M657">
        <f t="shared" ca="1" si="225"/>
        <v>201858.47531196277</v>
      </c>
      <c r="N657">
        <f t="shared" ca="1" si="226"/>
        <v>2.5998258698540844</v>
      </c>
      <c r="O657">
        <f t="shared" ca="1" si="227"/>
        <v>2.5265226006082679E-4</v>
      </c>
      <c r="P657">
        <f t="shared" ca="1" si="228"/>
        <v>39451.246059992838</v>
      </c>
      <c r="Q657">
        <f t="shared" ca="1" si="229"/>
        <v>39451.24605999609</v>
      </c>
      <c r="R657">
        <f t="shared" ca="1" si="230"/>
        <v>4.017629447199497E-12</v>
      </c>
      <c r="S657">
        <f t="shared" ca="1" si="248"/>
        <v>4.999999946448952E-4</v>
      </c>
      <c r="T657">
        <f t="shared" ca="1" si="249"/>
        <v>1</v>
      </c>
      <c r="U657">
        <f t="shared" ca="1" si="231"/>
        <v>0.05</v>
      </c>
      <c r="V657">
        <f t="shared" ca="1" si="232"/>
        <v>0.26</v>
      </c>
      <c r="W657">
        <f t="shared" ca="1" si="233"/>
        <v>4.9056603773584909E-2</v>
      </c>
      <c r="X657">
        <f t="shared" ca="1" si="234"/>
        <v>196.15384615384616</v>
      </c>
      <c r="Y657">
        <f t="shared" ca="1" si="235"/>
        <v>632.35849999999994</v>
      </c>
      <c r="Z657">
        <f t="shared" ca="1" si="236"/>
        <v>2593.4355316486622</v>
      </c>
      <c r="AA657">
        <f t="shared" ca="1" si="237"/>
        <v>482.07306851378365</v>
      </c>
      <c r="AB657">
        <f t="shared" ca="1" si="238"/>
        <v>481.59049544525396</v>
      </c>
      <c r="AC657">
        <f t="shared" ca="1" si="239"/>
        <v>0</v>
      </c>
      <c r="AD657">
        <f ca="1">IF(V32="Supercritical",L657,U657)</f>
        <v>0.05</v>
      </c>
      <c r="AE657">
        <f t="shared" ca="1" si="240"/>
        <v>632.35849999999994</v>
      </c>
      <c r="AF657">
        <f t="shared" ca="1" si="241"/>
        <v>2593.4355316486622</v>
      </c>
      <c r="AI657">
        <v>0</v>
      </c>
      <c r="AJ657">
        <v>0</v>
      </c>
      <c r="AK657">
        <f t="shared" si="242"/>
        <v>0</v>
      </c>
      <c r="AL657">
        <f t="shared" si="250"/>
        <v>0</v>
      </c>
      <c r="AM657">
        <f t="shared" ca="1" si="243"/>
        <v>280.07692026646265</v>
      </c>
      <c r="AN657" t="str">
        <f t="shared" ca="1" si="244"/>
        <v>Supercritical</v>
      </c>
      <c r="AO657">
        <f ca="1">IF(V32="Supercritical",R657,AA657)</f>
        <v>482.07306851378365</v>
      </c>
    </row>
    <row r="658" spans="1:41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174</v>
      </c>
      <c r="I658">
        <v>0</v>
      </c>
      <c r="J658">
        <f t="shared" si="245"/>
        <v>0.9989999999999668</v>
      </c>
      <c r="K658">
        <f t="shared" si="246"/>
        <v>51</v>
      </c>
      <c r="L658">
        <f t="shared" ca="1" si="247"/>
        <v>38818.926396895651</v>
      </c>
      <c r="M658">
        <f t="shared" ca="1" si="225"/>
        <v>201858.41726385738</v>
      </c>
      <c r="N658">
        <f t="shared" ca="1" si="226"/>
        <v>2.5998258698040133</v>
      </c>
      <c r="O658">
        <f t="shared" ca="1" si="227"/>
        <v>2.5265233271563712E-4</v>
      </c>
      <c r="P658">
        <f t="shared" ca="1" si="228"/>
        <v>39451.234396895648</v>
      </c>
      <c r="Q658">
        <f t="shared" ca="1" si="229"/>
        <v>39451.234396898901</v>
      </c>
      <c r="R658">
        <f t="shared" ca="1" si="230"/>
        <v>4.0176317579896744E-12</v>
      </c>
      <c r="S658">
        <f t="shared" ca="1" si="248"/>
        <v>1.1663097182463389E-2</v>
      </c>
      <c r="T658">
        <f t="shared" ca="1" si="249"/>
        <v>0</v>
      </c>
      <c r="U658">
        <f t="shared" ca="1" si="231"/>
        <v>0.05</v>
      </c>
      <c r="V658">
        <f t="shared" ca="1" si="232"/>
        <v>0.26</v>
      </c>
      <c r="W658">
        <f t="shared" ca="1" si="233"/>
        <v>4.9056603773584909E-2</v>
      </c>
      <c r="X658">
        <f t="shared" ca="1" si="234"/>
        <v>196.15384615384616</v>
      </c>
      <c r="Y658">
        <f t="shared" ca="1" si="235"/>
        <v>632.35799999999995</v>
      </c>
      <c r="Z658">
        <f t="shared" ca="1" si="236"/>
        <v>2593.4350316486621</v>
      </c>
      <c r="AA658">
        <f t="shared" ca="1" si="237"/>
        <v>482.07306851378365</v>
      </c>
      <c r="AB658">
        <f t="shared" ca="1" si="238"/>
        <v>482.16081698020798</v>
      </c>
      <c r="AC658">
        <f t="shared" ca="1" si="239"/>
        <v>0</v>
      </c>
      <c r="AD658">
        <f ca="1">IF(V32="Supercritical",L658,U658)</f>
        <v>0.05</v>
      </c>
      <c r="AE658">
        <f t="shared" ca="1" si="240"/>
        <v>632.35799999999995</v>
      </c>
      <c r="AF658">
        <f t="shared" ca="1" si="241"/>
        <v>2593.4350316486621</v>
      </c>
      <c r="AI658">
        <v>0</v>
      </c>
      <c r="AJ658">
        <v>0</v>
      </c>
      <c r="AK658">
        <f t="shared" si="242"/>
        <v>0</v>
      </c>
      <c r="AL658">
        <f t="shared" si="250"/>
        <v>0</v>
      </c>
      <c r="AM658">
        <f t="shared" ca="1" si="243"/>
        <v>280.07692026646265</v>
      </c>
      <c r="AN658" t="str">
        <f t="shared" ca="1" si="244"/>
        <v>Supercritical</v>
      </c>
      <c r="AO658">
        <f ca="1">IF(V32="Supercritical",R658,AA658)</f>
        <v>482.07306851378365</v>
      </c>
    </row>
    <row r="659" spans="1:41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174</v>
      </c>
      <c r="I659">
        <v>2.7E-2</v>
      </c>
      <c r="J659">
        <f t="shared" si="245"/>
        <v>1</v>
      </c>
      <c r="K659">
        <f t="shared" si="246"/>
        <v>51</v>
      </c>
      <c r="L659">
        <f t="shared" ca="1" si="247"/>
        <v>38818.926396895651</v>
      </c>
      <c r="M659">
        <f t="shared" ca="1" si="225"/>
        <v>201858.41726385738</v>
      </c>
      <c r="N659">
        <f t="shared" ca="1" si="226"/>
        <v>2.5998258698040133</v>
      </c>
      <c r="O659">
        <f t="shared" ca="1" si="227"/>
        <v>2.5265233271563712E-4</v>
      </c>
      <c r="P659">
        <f t="shared" ca="1" si="228"/>
        <v>39451.233896895654</v>
      </c>
      <c r="Q659">
        <f t="shared" ca="1" si="229"/>
        <v>39451.233896898906</v>
      </c>
      <c r="R659">
        <f t="shared" ca="1" si="230"/>
        <v>4.0176317579896744E-12</v>
      </c>
      <c r="S659">
        <f t="shared" ca="1" si="248"/>
        <v>4.9999998736893758E-4</v>
      </c>
      <c r="T659">
        <f t="shared" ca="1" si="249"/>
        <v>1</v>
      </c>
      <c r="U659">
        <f t="shared" ca="1" si="231"/>
        <v>0.05</v>
      </c>
      <c r="V659">
        <f t="shared" ca="1" si="232"/>
        <v>0.26</v>
      </c>
      <c r="W659">
        <f t="shared" ca="1" si="233"/>
        <v>4.9056603773584909E-2</v>
      </c>
      <c r="X659">
        <f t="shared" ca="1" si="234"/>
        <v>196.15384615384616</v>
      </c>
      <c r="Y659">
        <f t="shared" ca="1" si="235"/>
        <v>632.35749999999996</v>
      </c>
      <c r="Z659">
        <f t="shared" ca="1" si="236"/>
        <v>2593.434531648662</v>
      </c>
      <c r="AA659">
        <f t="shared" ca="1" si="237"/>
        <v>482.07306851378365</v>
      </c>
      <c r="AB659">
        <f t="shared" ca="1" si="238"/>
        <v>482.16081698020844</v>
      </c>
      <c r="AC659">
        <f t="shared" ca="1" si="239"/>
        <v>0</v>
      </c>
      <c r="AD659">
        <f ca="1">IF(V32="Supercritical",L659,U659)</f>
        <v>0.05</v>
      </c>
      <c r="AE659">
        <f t="shared" ca="1" si="240"/>
        <v>632.35749999999996</v>
      </c>
      <c r="AF659">
        <f t="shared" ca="1" si="241"/>
        <v>2593.434531648662</v>
      </c>
      <c r="AI659">
        <v>0</v>
      </c>
      <c r="AJ659">
        <v>0</v>
      </c>
      <c r="AK659">
        <f t="shared" si="242"/>
        <v>0</v>
      </c>
      <c r="AL659">
        <f t="shared" si="250"/>
        <v>0</v>
      </c>
      <c r="AM659">
        <f t="shared" ca="1" si="243"/>
        <v>280.07692026646265</v>
      </c>
      <c r="AN659" t="str">
        <f t="shared" ca="1" si="244"/>
        <v>Supercritical</v>
      </c>
      <c r="AO659">
        <f ca="1">IF(V32="Supercritical",R659,AA659)</f>
        <v>482.07306851378365</v>
      </c>
    </row>
    <row r="660" spans="1:41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174</v>
      </c>
      <c r="I660">
        <v>2.7E-2</v>
      </c>
      <c r="J660">
        <f t="shared" si="245"/>
        <v>1</v>
      </c>
      <c r="K660">
        <f t="shared" si="246"/>
        <v>51</v>
      </c>
      <c r="L660">
        <f t="shared" ca="1" si="247"/>
        <v>38818.915250290425</v>
      </c>
      <c r="M660">
        <f t="shared" ca="1" si="225"/>
        <v>201858.35930151021</v>
      </c>
      <c r="N660">
        <f t="shared" ca="1" si="226"/>
        <v>2.599825869754016</v>
      </c>
      <c r="O660">
        <f t="shared" ca="1" si="227"/>
        <v>2.5265240526315145E-4</v>
      </c>
      <c r="P660">
        <f t="shared" ca="1" si="228"/>
        <v>39451.222250290426</v>
      </c>
      <c r="Q660">
        <f t="shared" ca="1" si="229"/>
        <v>39451.222250293678</v>
      </c>
      <c r="R660">
        <f t="shared" ca="1" si="230"/>
        <v>4.0176340653679612E-12</v>
      </c>
      <c r="S660">
        <f t="shared" ca="1" si="248"/>
        <v>1.1646605220448691E-2</v>
      </c>
      <c r="T660">
        <f t="shared" ca="1" si="249"/>
        <v>0</v>
      </c>
      <c r="U660">
        <f t="shared" ca="1" si="231"/>
        <v>0.05</v>
      </c>
      <c r="V660">
        <f t="shared" ca="1" si="232"/>
        <v>0.26</v>
      </c>
      <c r="W660">
        <f t="shared" ca="1" si="233"/>
        <v>4.9056603773584909E-2</v>
      </c>
      <c r="X660">
        <f t="shared" ca="1" si="234"/>
        <v>196.15384615384616</v>
      </c>
      <c r="Y660">
        <f t="shared" ca="1" si="235"/>
        <v>632.35699999999997</v>
      </c>
      <c r="Z660">
        <f t="shared" ca="1" si="236"/>
        <v>2593.4340316486623</v>
      </c>
      <c r="AA660">
        <f t="shared" ca="1" si="237"/>
        <v>482.07306851378365</v>
      </c>
      <c r="AB660">
        <f t="shared" ca="1" si="238"/>
        <v>482.1477431333301</v>
      </c>
      <c r="AC660">
        <f t="shared" ca="1" si="239"/>
        <v>0</v>
      </c>
      <c r="AD660">
        <f ca="1">IF(V32="Supercritical",L660,U660)</f>
        <v>0.05</v>
      </c>
      <c r="AE660">
        <f t="shared" ca="1" si="240"/>
        <v>632.35699999999997</v>
      </c>
      <c r="AF660">
        <f t="shared" ca="1" si="241"/>
        <v>2593.4340316486623</v>
      </c>
      <c r="AI660">
        <v>0</v>
      </c>
      <c r="AJ660">
        <v>0</v>
      </c>
      <c r="AK660">
        <f t="shared" si="242"/>
        <v>0</v>
      </c>
      <c r="AL660">
        <f t="shared" si="250"/>
        <v>0</v>
      </c>
      <c r="AM660">
        <f t="shared" ca="1" si="243"/>
        <v>280.07692026646265</v>
      </c>
      <c r="AN660" t="str">
        <f t="shared" ca="1" si="244"/>
        <v>Supercritical</v>
      </c>
      <c r="AO660">
        <f ca="1">IF(V32="Supercritical",R660,AA660)</f>
        <v>482.07306851378365</v>
      </c>
    </row>
    <row r="661" spans="1:41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174</v>
      </c>
      <c r="I661">
        <v>2.3E-2</v>
      </c>
      <c r="J661">
        <f t="shared" si="245"/>
        <v>1</v>
      </c>
      <c r="K661">
        <f t="shared" si="246"/>
        <v>51</v>
      </c>
      <c r="L661">
        <f t="shared" ca="1" si="247"/>
        <v>38818.915250290425</v>
      </c>
      <c r="M661">
        <f t="shared" ca="1" si="225"/>
        <v>201858.35930151021</v>
      </c>
      <c r="N661">
        <f t="shared" ca="1" si="226"/>
        <v>2.599825869754016</v>
      </c>
      <c r="O661">
        <f t="shared" ca="1" si="227"/>
        <v>2.5265240526315145E-4</v>
      </c>
      <c r="P661">
        <f t="shared" ca="1" si="228"/>
        <v>39451.221750290424</v>
      </c>
      <c r="Q661">
        <f t="shared" ca="1" si="229"/>
        <v>39451.221750293676</v>
      </c>
      <c r="R661">
        <f t="shared" ca="1" si="230"/>
        <v>4.0176340653679612E-12</v>
      </c>
      <c r="S661">
        <f t="shared" ca="1" si="248"/>
        <v>4.999999946448952E-4</v>
      </c>
      <c r="T661">
        <f t="shared" ca="1" si="249"/>
        <v>1</v>
      </c>
      <c r="U661">
        <f t="shared" ca="1" si="231"/>
        <v>0.05</v>
      </c>
      <c r="V661">
        <f t="shared" ca="1" si="232"/>
        <v>0.26</v>
      </c>
      <c r="W661">
        <f t="shared" ca="1" si="233"/>
        <v>4.9056603773584909E-2</v>
      </c>
      <c r="X661">
        <f t="shared" ca="1" si="234"/>
        <v>196.15384615384616</v>
      </c>
      <c r="Y661">
        <f t="shared" ca="1" si="235"/>
        <v>632.35649999999998</v>
      </c>
      <c r="Z661">
        <f t="shared" ca="1" si="236"/>
        <v>2593.4335316486622</v>
      </c>
      <c r="AA661">
        <f t="shared" ca="1" si="237"/>
        <v>482.07306851378365</v>
      </c>
      <c r="AB661">
        <f t="shared" ca="1" si="238"/>
        <v>482.62981620185974</v>
      </c>
      <c r="AC661">
        <f t="shared" ca="1" si="239"/>
        <v>0</v>
      </c>
      <c r="AD661">
        <f ca="1">IF(V32="Supercritical",L661,U661)</f>
        <v>0.05</v>
      </c>
      <c r="AE661">
        <f t="shared" ca="1" si="240"/>
        <v>632.35649999999998</v>
      </c>
      <c r="AF661">
        <f t="shared" ca="1" si="241"/>
        <v>2593.4335316486622</v>
      </c>
      <c r="AI661">
        <v>0</v>
      </c>
      <c r="AJ661">
        <v>0</v>
      </c>
      <c r="AK661">
        <f t="shared" si="242"/>
        <v>0</v>
      </c>
      <c r="AL661">
        <f t="shared" si="250"/>
        <v>0</v>
      </c>
      <c r="AM661">
        <f t="shared" ca="1" si="243"/>
        <v>280.07692026646265</v>
      </c>
      <c r="AN661" t="str">
        <f t="shared" ca="1" si="244"/>
        <v>Supercritical</v>
      </c>
      <c r="AO661">
        <f ca="1">IF(V32="Supercritical",R661,AA661)</f>
        <v>482.07306851378365</v>
      </c>
    </row>
    <row r="662" spans="1:41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174</v>
      </c>
      <c r="I662">
        <v>2.3E-2</v>
      </c>
      <c r="J662">
        <f t="shared" si="245"/>
        <v>1.0010000000000332</v>
      </c>
      <c r="K662">
        <f t="shared" si="246"/>
        <v>51</v>
      </c>
      <c r="L662">
        <f t="shared" ca="1" si="247"/>
        <v>38818.904120212348</v>
      </c>
      <c r="M662">
        <f t="shared" ref="M662:M725" ca="1" si="251">((F662)+(G662)*(L662))*(L662)</f>
        <v>201858.3014251042</v>
      </c>
      <c r="N662">
        <f t="shared" ref="N662:N725" ca="1" si="252">(((F662)+(G662)*(L662))*(L662))/MAX((F662)+2*(L662)*SQRT(1+(G662)^2),0.000001)</f>
        <v>2.5998258697040932</v>
      </c>
      <c r="O662">
        <f t="shared" ref="O662:O725" ca="1" si="253">ABS(K662)/MAX(((F662)+(G662)*(L662))*(L662),0.000001)</f>
        <v>2.5265247770314074E-4</v>
      </c>
      <c r="P662">
        <f t="shared" ref="P662:P725" ca="1" si="254">E662+L662</f>
        <v>39451.210120212345</v>
      </c>
      <c r="Q662">
        <f t="shared" ref="Q662:Q725" ca="1" si="255">P662+((ABS(K662)/MAX(((F662)+(G662)*(L662))*(L662),0.000001))^2)/(2*$I$5)</f>
        <v>39451.210120215597</v>
      </c>
      <c r="R662">
        <f t="shared" ref="R662:R725" ca="1" si="256">((ABS(K662)*$D$6)/(MAX(((F662)+(G662)*(L662))*(L662),0.000001)*MAX(((((F662)+(G662)*(L662))*(L662))/MAX((F662)+2*(L662)*SQRT(1+(G662)^2),0.000001))^(2/3),0.000001)))^2</f>
        <v>4.0176363693270655E-12</v>
      </c>
      <c r="S662">
        <f t="shared" ca="1" si="248"/>
        <v>1.1630078071902972E-2</v>
      </c>
      <c r="T662">
        <f t="shared" ca="1" si="249"/>
        <v>0</v>
      </c>
      <c r="U662">
        <f t="shared" ref="U662:U725" ca="1" si="257">IF($D$20=0,U663,IF(AC663=0,U663,IF(U662=0,U663,IF(ABS(AB662)&gt;$D$19,MAX($D$16,U662+((AB662)*$D$18*IF((ABS(ABS(K662)/MAX(((F662)+(G662)*(U662))*(U662),0.000001))/SQRT($I$5*MAX((((F662)+(G662)*(U662))*(U662))/MAX((F662)+2*(G662)*(U662),0.000001),0.000001)))&lt;1,1,-1))),U662))))</f>
        <v>0.05</v>
      </c>
      <c r="V662">
        <f t="shared" ref="V662:V725" ca="1" si="258">((F662)+(G662)*(U662))*(U662)</f>
        <v>0.26</v>
      </c>
      <c r="W662">
        <f t="shared" ref="W662:W725" ca="1" si="259">(((F662)+(G662)*(U662))*(U662))/MAX((F662)+2*(U662)*SQRT(1+(G662)^2),0.000001)</f>
        <v>4.9056603773584909E-2</v>
      </c>
      <c r="X662">
        <f t="shared" ref="X662:X725" ca="1" si="260">ABS(K662)/MAX(((F662)+(G662)*(U662))*(U662),0.000001)</f>
        <v>196.15384615384616</v>
      </c>
      <c r="Y662">
        <f t="shared" ref="Y662:Y725" ca="1" si="261">E662+U662</f>
        <v>632.35599999999999</v>
      </c>
      <c r="Z662">
        <f t="shared" ref="Z662:Z725" ca="1" si="262">Y662+((ABS(K662)/MAX(((F662)+(G662)*(U662))*(U662),0.000001))^2)/(2*$I$5)</f>
        <v>2593.4330316486621</v>
      </c>
      <c r="AA662">
        <f t="shared" ref="AA662:AA725" ca="1" si="263">((ABS(K662)*$D$6)/(MAX(((F662)+(G662)*(U662))*(U662),0.000001)*MAX(((((F662)+(G662)*(U662))*(U662))/MAX((F662)+2*(U662)*SQRT(1+(G662)^2),0.000001))^(2/3),0.000001)))^2</f>
        <v>482.07306851378365</v>
      </c>
      <c r="AB662">
        <f t="shared" ref="AB662:AB725" ca="1" si="264">Z663+(((AA662+AA663)/2)*J663)+(IF(X662&gt;X663,$D$8*((X662^2-X663^2)/(2*$I$5)),$D$9*((X663^2-X662^2)/(2*$I$5)))+($D$10*(ABS(I663)/90)*(MAX(X662^2,X663^2)/(2*$I$5))))-Z662</f>
        <v>481.59049544525351</v>
      </c>
      <c r="AC662">
        <f t="shared" ref="AC662:AC725" ca="1" si="265">IF(ABS(AB662)&lt;$D$19,1,0)</f>
        <v>0</v>
      </c>
      <c r="AD662">
        <f ca="1">IF(V32="Supercritical",L662,U662)</f>
        <v>0.05</v>
      </c>
      <c r="AE662">
        <f t="shared" ref="AE662:AE725" ca="1" si="266">E662+AD662</f>
        <v>632.35599999999999</v>
      </c>
      <c r="AF662">
        <f t="shared" ref="AF662:AF725" ca="1" si="267">AE662+((ABS(K662)/MAX(((F662)+(G662)*(AD662))*(AD662),0.000001))^2)/(2*$I$5)</f>
        <v>2593.4330316486621</v>
      </c>
      <c r="AI662">
        <v>0</v>
      </c>
      <c r="AJ662">
        <v>0</v>
      </c>
      <c r="AK662">
        <f t="shared" ref="AK662:AK725" si="268">AI662+AJ662</f>
        <v>0</v>
      </c>
      <c r="AL662">
        <f t="shared" si="250"/>
        <v>0</v>
      </c>
      <c r="AM662">
        <f t="shared" ref="AM662:AM725" ca="1" si="269">ABS(ABS(K662)/MAX(((F662)+(G662)*(AD662))*(AD662),0.000001))/SQRT($I$5*MAX((((F662)+(G662)*(AD662))*(AD662))/MAX((F662)+2*(G662)*(AD662),0.000001),0.000001))</f>
        <v>280.07692026646265</v>
      </c>
      <c r="AN662" t="str">
        <f t="shared" ref="AN662:AN725" ca="1" si="270">IF(AM662&lt;1,"Subcritical","Supercritical")</f>
        <v>Supercritical</v>
      </c>
      <c r="AO662">
        <f ca="1">IF(V32="Supercritical",R662,AA662)</f>
        <v>482.07306851378365</v>
      </c>
    </row>
    <row r="663" spans="1:41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174</v>
      </c>
      <c r="I663">
        <v>0</v>
      </c>
      <c r="J663">
        <f t="shared" ref="J663:J726" si="271">B663-B662</f>
        <v>0.9989999999999668</v>
      </c>
      <c r="K663">
        <f t="shared" ref="K663:K726" si="272">MAX(0,K662-AK662)</f>
        <v>51</v>
      </c>
      <c r="L663">
        <f t="shared" ref="L663:L726" ca="1" si="273">IF($D$20=0,L662,IF(T662=0,L662,IF(L663=0,L662,IF(ABS(S663)&gt;$D$19,MAX($D$16,L663+((S663)*$D$18*IF((ABS(ABS(K663)/MAX(((F663)+(G663)*(L663))*(L663),0.000001))/SQRT($I$5*MAX((((F663)+(G663)*(L663))*(L663))/MAX((F663)+2*(G663)*(L663),0.000001),0.000001)))&lt;1,1,-1))),L663))))</f>
        <v>38818.904120212348</v>
      </c>
      <c r="M663">
        <f t="shared" ca="1" si="251"/>
        <v>201858.3014251042</v>
      </c>
      <c r="N663">
        <f t="shared" ca="1" si="252"/>
        <v>2.5998258697040932</v>
      </c>
      <c r="O663">
        <f t="shared" ca="1" si="253"/>
        <v>2.5265247770314074E-4</v>
      </c>
      <c r="P663">
        <f t="shared" ca="1" si="254"/>
        <v>39451.20962021235</v>
      </c>
      <c r="Q663">
        <f t="shared" ca="1" si="255"/>
        <v>39451.209620215603</v>
      </c>
      <c r="R663">
        <f t="shared" ca="1" si="256"/>
        <v>4.0176363693270655E-12</v>
      </c>
      <c r="S663">
        <f t="shared" ref="S663:S726" ca="1" si="274">Q662-(((R662+R663)/2)*J663)-(IF(O662&gt;O663,$D$8*((O662^2-O663^2)/(2*$I$5)),$D$9*((O663^2-O662^2)/(2*$I$5)))+($D$10*(ABS(I663)/90)*(MAX(O662^2,O663^2)/(2*$I$5))))-Q663</f>
        <v>4.9999998736893758E-4</v>
      </c>
      <c r="T663">
        <f t="shared" ref="T663:T726" ca="1" si="275">IF(ABS(S663)&lt;$D$19,1,0)</f>
        <v>1</v>
      </c>
      <c r="U663">
        <f t="shared" ca="1" si="257"/>
        <v>0.05</v>
      </c>
      <c r="V663">
        <f t="shared" ca="1" si="258"/>
        <v>0.26</v>
      </c>
      <c r="W663">
        <f t="shared" ca="1" si="259"/>
        <v>4.9056603773584909E-2</v>
      </c>
      <c r="X663">
        <f t="shared" ca="1" si="260"/>
        <v>196.15384615384616</v>
      </c>
      <c r="Y663">
        <f t="shared" ca="1" si="261"/>
        <v>632.35550000000001</v>
      </c>
      <c r="Z663">
        <f t="shared" ca="1" si="262"/>
        <v>2593.432531648662</v>
      </c>
      <c r="AA663">
        <f t="shared" ca="1" si="263"/>
        <v>482.07306851378365</v>
      </c>
      <c r="AB663">
        <f t="shared" ca="1" si="264"/>
        <v>482.16081698020798</v>
      </c>
      <c r="AC663">
        <f t="shared" ca="1" si="265"/>
        <v>0</v>
      </c>
      <c r="AD663">
        <f ca="1">IF(V32="Supercritical",L663,U663)</f>
        <v>0.05</v>
      </c>
      <c r="AE663">
        <f t="shared" ca="1" si="266"/>
        <v>632.35550000000001</v>
      </c>
      <c r="AF663">
        <f t="shared" ca="1" si="267"/>
        <v>2593.432531648662</v>
      </c>
      <c r="AI663">
        <v>0</v>
      </c>
      <c r="AJ663">
        <v>0</v>
      </c>
      <c r="AK663">
        <f t="shared" si="268"/>
        <v>0</v>
      </c>
      <c r="AL663">
        <f t="shared" ref="AL663:AL726" si="276">AL662+AK663</f>
        <v>0</v>
      </c>
      <c r="AM663">
        <f t="shared" ca="1" si="269"/>
        <v>280.07692026646265</v>
      </c>
      <c r="AN663" t="str">
        <f t="shared" ca="1" si="270"/>
        <v>Supercritical</v>
      </c>
      <c r="AO663">
        <f ca="1">IF(V32="Supercritical",R663,AA663)</f>
        <v>482.07306851378365</v>
      </c>
    </row>
    <row r="664" spans="1:41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174</v>
      </c>
      <c r="I664">
        <v>2.7E-2</v>
      </c>
      <c r="J664">
        <f t="shared" si="271"/>
        <v>1</v>
      </c>
      <c r="K664">
        <f t="shared" si="272"/>
        <v>51</v>
      </c>
      <c r="L664">
        <f t="shared" ca="1" si="273"/>
        <v>38818.893006378166</v>
      </c>
      <c r="M664">
        <f t="shared" ca="1" si="251"/>
        <v>201858.24363316648</v>
      </c>
      <c r="N664">
        <f t="shared" ca="1" si="252"/>
        <v>2.5998258696542433</v>
      </c>
      <c r="O664">
        <f t="shared" ca="1" si="253"/>
        <v>2.5265255003744817E-4</v>
      </c>
      <c r="P664">
        <f t="shared" ca="1" si="254"/>
        <v>39451.198006378167</v>
      </c>
      <c r="Q664">
        <f t="shared" ca="1" si="255"/>
        <v>39451.198006381419</v>
      </c>
      <c r="R664">
        <f t="shared" ca="1" si="256"/>
        <v>4.0176386699256111E-12</v>
      </c>
      <c r="S664">
        <f t="shared" ca="1" si="274"/>
        <v>1.1613834176387172E-2</v>
      </c>
      <c r="T664">
        <f t="shared" ca="1" si="275"/>
        <v>0</v>
      </c>
      <c r="U664">
        <f t="shared" ca="1" si="257"/>
        <v>0.05</v>
      </c>
      <c r="V664">
        <f t="shared" ca="1" si="258"/>
        <v>0.26</v>
      </c>
      <c r="W664">
        <f t="shared" ca="1" si="259"/>
        <v>4.9056603773584909E-2</v>
      </c>
      <c r="X664">
        <f t="shared" ca="1" si="260"/>
        <v>196.15384615384616</v>
      </c>
      <c r="Y664">
        <f t="shared" ca="1" si="261"/>
        <v>632.3549999999999</v>
      </c>
      <c r="Z664">
        <f t="shared" ca="1" si="262"/>
        <v>2593.4320316486619</v>
      </c>
      <c r="AA664">
        <f t="shared" ca="1" si="263"/>
        <v>482.07306851378365</v>
      </c>
      <c r="AB664">
        <f t="shared" ca="1" si="264"/>
        <v>482.32750852789786</v>
      </c>
      <c r="AC664">
        <f t="shared" ca="1" si="265"/>
        <v>0</v>
      </c>
      <c r="AD664">
        <f ca="1">IF(V32="Supercritical",L664,U664)</f>
        <v>0.05</v>
      </c>
      <c r="AE664">
        <f t="shared" ca="1" si="266"/>
        <v>632.3549999999999</v>
      </c>
      <c r="AF664">
        <f t="shared" ca="1" si="267"/>
        <v>2593.4320316486619</v>
      </c>
      <c r="AI664">
        <v>0</v>
      </c>
      <c r="AJ664">
        <v>0</v>
      </c>
      <c r="AK664">
        <f t="shared" si="268"/>
        <v>0</v>
      </c>
      <c r="AL664">
        <f t="shared" si="276"/>
        <v>0</v>
      </c>
      <c r="AM664">
        <f t="shared" ca="1" si="269"/>
        <v>280.07692026646265</v>
      </c>
      <c r="AN664" t="str">
        <f t="shared" ca="1" si="270"/>
        <v>Supercritical</v>
      </c>
      <c r="AO664">
        <f ca="1">IF(V32="Supercritical",R664,AA664)</f>
        <v>482.07306851378365</v>
      </c>
    </row>
    <row r="665" spans="1:41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174</v>
      </c>
      <c r="I665">
        <v>7.8E-2</v>
      </c>
      <c r="J665">
        <f t="shared" si="271"/>
        <v>1</v>
      </c>
      <c r="K665">
        <f t="shared" si="272"/>
        <v>51</v>
      </c>
      <c r="L665">
        <f t="shared" ca="1" si="273"/>
        <v>38818.893006378166</v>
      </c>
      <c r="M665">
        <f t="shared" ca="1" si="251"/>
        <v>201858.24363316648</v>
      </c>
      <c r="N665">
        <f t="shared" ca="1" si="252"/>
        <v>2.5998258696542433</v>
      </c>
      <c r="O665">
        <f t="shared" ca="1" si="253"/>
        <v>2.5265255003744817E-4</v>
      </c>
      <c r="P665">
        <f t="shared" ca="1" si="254"/>
        <v>39451.197506378165</v>
      </c>
      <c r="Q665">
        <f t="shared" ca="1" si="255"/>
        <v>39451.197506381417</v>
      </c>
      <c r="R665">
        <f t="shared" ca="1" si="256"/>
        <v>4.0176386699256111E-12</v>
      </c>
      <c r="S665">
        <f t="shared" ca="1" si="274"/>
        <v>4.999999946448952E-4</v>
      </c>
      <c r="T665">
        <f t="shared" ca="1" si="275"/>
        <v>1</v>
      </c>
      <c r="U665">
        <f t="shared" ca="1" si="257"/>
        <v>0.05</v>
      </c>
      <c r="V665">
        <f t="shared" ca="1" si="258"/>
        <v>0.26</v>
      </c>
      <c r="W665">
        <f t="shared" ca="1" si="259"/>
        <v>4.9056603773584909E-2</v>
      </c>
      <c r="X665">
        <f t="shared" ca="1" si="260"/>
        <v>196.15384615384616</v>
      </c>
      <c r="Y665">
        <f t="shared" ca="1" si="261"/>
        <v>632.35449999999992</v>
      </c>
      <c r="Z665">
        <f t="shared" ca="1" si="262"/>
        <v>2593.4315316486618</v>
      </c>
      <c r="AA665">
        <f t="shared" ca="1" si="263"/>
        <v>482.07306851378365</v>
      </c>
      <c r="AB665">
        <f t="shared" ca="1" si="264"/>
        <v>482.32750852789832</v>
      </c>
      <c r="AC665">
        <f t="shared" ca="1" si="265"/>
        <v>0</v>
      </c>
      <c r="AD665">
        <f ca="1">IF(V32="Supercritical",L665,U665)</f>
        <v>0.05</v>
      </c>
      <c r="AE665">
        <f t="shared" ca="1" si="266"/>
        <v>632.35449999999992</v>
      </c>
      <c r="AF665">
        <f t="shared" ca="1" si="267"/>
        <v>2593.4315316486618</v>
      </c>
      <c r="AI665">
        <v>0</v>
      </c>
      <c r="AJ665">
        <v>0</v>
      </c>
      <c r="AK665">
        <f t="shared" si="268"/>
        <v>0</v>
      </c>
      <c r="AL665">
        <f t="shared" si="276"/>
        <v>0</v>
      </c>
      <c r="AM665">
        <f t="shared" ca="1" si="269"/>
        <v>280.07692026646265</v>
      </c>
      <c r="AN665" t="str">
        <f t="shared" ca="1" si="270"/>
        <v>Supercritical</v>
      </c>
      <c r="AO665">
        <f ca="1">IF(V32="Supercritical",R665,AA665)</f>
        <v>482.07306851378365</v>
      </c>
    </row>
    <row r="666" spans="1:41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174</v>
      </c>
      <c r="I666">
        <v>7.8E-2</v>
      </c>
      <c r="J666">
        <f t="shared" si="271"/>
        <v>1</v>
      </c>
      <c r="K666">
        <f t="shared" si="272"/>
        <v>51</v>
      </c>
      <c r="L666">
        <f t="shared" ca="1" si="273"/>
        <v>38818.881908143281</v>
      </c>
      <c r="M666">
        <f t="shared" ca="1" si="251"/>
        <v>201858.18592234506</v>
      </c>
      <c r="N666">
        <f t="shared" ca="1" si="252"/>
        <v>2.5998258696044632</v>
      </c>
      <c r="O666">
        <f t="shared" ca="1" si="253"/>
        <v>2.5265262227026913E-4</v>
      </c>
      <c r="P666">
        <f t="shared" ca="1" si="254"/>
        <v>39451.185908143278</v>
      </c>
      <c r="Q666">
        <f t="shared" ca="1" si="255"/>
        <v>39451.18590814653</v>
      </c>
      <c r="R666">
        <f t="shared" ca="1" si="256"/>
        <v>4.017640967297028E-12</v>
      </c>
      <c r="S666">
        <f t="shared" ca="1" si="274"/>
        <v>1.1598234879784286E-2</v>
      </c>
      <c r="T666">
        <f t="shared" ca="1" si="275"/>
        <v>0</v>
      </c>
      <c r="U666">
        <f t="shared" ca="1" si="257"/>
        <v>0.05</v>
      </c>
      <c r="V666">
        <f t="shared" ca="1" si="258"/>
        <v>0.26</v>
      </c>
      <c r="W666">
        <f t="shared" ca="1" si="259"/>
        <v>4.9056603773584909E-2</v>
      </c>
      <c r="X666">
        <f t="shared" ca="1" si="260"/>
        <v>196.15384615384616</v>
      </c>
      <c r="Y666">
        <f t="shared" ca="1" si="261"/>
        <v>632.35399999999993</v>
      </c>
      <c r="Z666">
        <f t="shared" ca="1" si="262"/>
        <v>2593.4310316486622</v>
      </c>
      <c r="AA666">
        <f t="shared" ca="1" si="263"/>
        <v>482.07306851378365</v>
      </c>
      <c r="AB666">
        <f t="shared" ca="1" si="264"/>
        <v>482.64289004871034</v>
      </c>
      <c r="AC666">
        <f t="shared" ca="1" si="265"/>
        <v>0</v>
      </c>
      <c r="AD666">
        <f ca="1">IF(V32="Supercritical",L666,U666)</f>
        <v>0.05</v>
      </c>
      <c r="AE666">
        <f t="shared" ca="1" si="266"/>
        <v>632.35399999999993</v>
      </c>
      <c r="AF666">
        <f t="shared" ca="1" si="267"/>
        <v>2593.4310316486622</v>
      </c>
      <c r="AI666">
        <v>0</v>
      </c>
      <c r="AJ666">
        <v>0</v>
      </c>
      <c r="AK666">
        <f t="shared" si="268"/>
        <v>0</v>
      </c>
      <c r="AL666">
        <f t="shared" si="276"/>
        <v>0</v>
      </c>
      <c r="AM666">
        <f t="shared" ca="1" si="269"/>
        <v>280.07692026646265</v>
      </c>
      <c r="AN666" t="str">
        <f t="shared" ca="1" si="270"/>
        <v>Supercritical</v>
      </c>
      <c r="AO666">
        <f ca="1">IF(V32="Supercritical",R666,AA666)</f>
        <v>482.07306851378365</v>
      </c>
    </row>
    <row r="667" spans="1:41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174</v>
      </c>
      <c r="I667">
        <v>2.7E-2</v>
      </c>
      <c r="J667">
        <f t="shared" si="271"/>
        <v>1.0009999999999764</v>
      </c>
      <c r="K667">
        <f t="shared" si="272"/>
        <v>51</v>
      </c>
      <c r="L667">
        <f t="shared" ca="1" si="273"/>
        <v>38818.881908143281</v>
      </c>
      <c r="M667">
        <f t="shared" ca="1" si="251"/>
        <v>201858.18592234506</v>
      </c>
      <c r="N667">
        <f t="shared" ca="1" si="252"/>
        <v>2.5998258696044632</v>
      </c>
      <c r="O667">
        <f t="shared" ca="1" si="253"/>
        <v>2.5265262227026913E-4</v>
      </c>
      <c r="P667">
        <f t="shared" ca="1" si="254"/>
        <v>39451.185408143283</v>
      </c>
      <c r="Q667">
        <f t="shared" ca="1" si="255"/>
        <v>39451.185408146535</v>
      </c>
      <c r="R667">
        <f t="shared" ca="1" si="256"/>
        <v>4.017640967297028E-12</v>
      </c>
      <c r="S667">
        <f t="shared" ca="1" si="274"/>
        <v>4.9999998736893758E-4</v>
      </c>
      <c r="T667">
        <f t="shared" ca="1" si="275"/>
        <v>1</v>
      </c>
      <c r="U667">
        <f t="shared" ca="1" si="257"/>
        <v>0.05</v>
      </c>
      <c r="V667">
        <f t="shared" ca="1" si="258"/>
        <v>0.26</v>
      </c>
      <c r="W667">
        <f t="shared" ca="1" si="259"/>
        <v>4.9056603773584909E-2</v>
      </c>
      <c r="X667">
        <f t="shared" ca="1" si="260"/>
        <v>196.15384615384616</v>
      </c>
      <c r="Y667">
        <f t="shared" ca="1" si="261"/>
        <v>632.35349999999994</v>
      </c>
      <c r="Z667">
        <f t="shared" ca="1" si="262"/>
        <v>2593.4305316486621</v>
      </c>
      <c r="AA667">
        <f t="shared" ca="1" si="263"/>
        <v>482.07306851378365</v>
      </c>
      <c r="AB667">
        <f t="shared" ca="1" si="264"/>
        <v>481.59049544528125</v>
      </c>
      <c r="AC667">
        <f t="shared" ca="1" si="265"/>
        <v>0</v>
      </c>
      <c r="AD667">
        <f ca="1">IF(V32="Supercritical",L667,U667)</f>
        <v>0.05</v>
      </c>
      <c r="AE667">
        <f t="shared" ca="1" si="266"/>
        <v>632.35349999999994</v>
      </c>
      <c r="AF667">
        <f t="shared" ca="1" si="267"/>
        <v>2593.4305316486621</v>
      </c>
      <c r="AI667">
        <v>0</v>
      </c>
      <c r="AJ667">
        <v>0</v>
      </c>
      <c r="AK667">
        <f t="shared" si="268"/>
        <v>0</v>
      </c>
      <c r="AL667">
        <f t="shared" si="276"/>
        <v>0</v>
      </c>
      <c r="AM667">
        <f t="shared" ca="1" si="269"/>
        <v>280.07692026646265</v>
      </c>
      <c r="AN667" t="str">
        <f t="shared" ca="1" si="270"/>
        <v>Supercritical</v>
      </c>
      <c r="AO667">
        <f ca="1">IF(V32="Supercritical",R667,AA667)</f>
        <v>482.07306851378365</v>
      </c>
    </row>
    <row r="668" spans="1:41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174</v>
      </c>
      <c r="I668">
        <v>0</v>
      </c>
      <c r="J668">
        <f t="shared" si="271"/>
        <v>0.99900000000002365</v>
      </c>
      <c r="K668">
        <f t="shared" si="272"/>
        <v>51</v>
      </c>
      <c r="L668">
        <f t="shared" ca="1" si="273"/>
        <v>38818.870824462669</v>
      </c>
      <c r="M668">
        <f t="shared" ca="1" si="251"/>
        <v>201858.12828720588</v>
      </c>
      <c r="N668">
        <f t="shared" ca="1" si="252"/>
        <v>2.5998258695547483</v>
      </c>
      <c r="O668">
        <f t="shared" ca="1" si="253"/>
        <v>2.5265269440840482E-4</v>
      </c>
      <c r="P668">
        <f t="shared" ca="1" si="254"/>
        <v>39451.173824462669</v>
      </c>
      <c r="Q668">
        <f t="shared" ca="1" si="255"/>
        <v>39451.173824465921</v>
      </c>
      <c r="R668">
        <f t="shared" ca="1" si="256"/>
        <v>4.0176432616576277E-12</v>
      </c>
      <c r="S668">
        <f t="shared" ca="1" si="274"/>
        <v>1.1583680607145652E-2</v>
      </c>
      <c r="T668">
        <f t="shared" ca="1" si="275"/>
        <v>0</v>
      </c>
      <c r="U668">
        <f t="shared" ca="1" si="257"/>
        <v>0.05</v>
      </c>
      <c r="V668">
        <f t="shared" ca="1" si="258"/>
        <v>0.26</v>
      </c>
      <c r="W668">
        <f t="shared" ca="1" si="259"/>
        <v>4.9056603773584909E-2</v>
      </c>
      <c r="X668">
        <f t="shared" ca="1" si="260"/>
        <v>196.15384615384616</v>
      </c>
      <c r="Y668">
        <f t="shared" ca="1" si="261"/>
        <v>632.35299999999995</v>
      </c>
      <c r="Z668">
        <f t="shared" ca="1" si="262"/>
        <v>2593.430031648662</v>
      </c>
      <c r="AA668">
        <f t="shared" ca="1" si="263"/>
        <v>482.07306851378365</v>
      </c>
      <c r="AB668">
        <f t="shared" ca="1" si="264"/>
        <v>482.14774313333055</v>
      </c>
      <c r="AC668">
        <f t="shared" ca="1" si="265"/>
        <v>0</v>
      </c>
      <c r="AD668">
        <f ca="1">IF(V32="Supercritical",L668,U668)</f>
        <v>0.05</v>
      </c>
      <c r="AE668">
        <f t="shared" ca="1" si="266"/>
        <v>632.35299999999995</v>
      </c>
      <c r="AF668">
        <f t="shared" ca="1" si="267"/>
        <v>2593.430031648662</v>
      </c>
      <c r="AI668">
        <v>0</v>
      </c>
      <c r="AJ668">
        <v>0</v>
      </c>
      <c r="AK668">
        <f t="shared" si="268"/>
        <v>0</v>
      </c>
      <c r="AL668">
        <f t="shared" si="276"/>
        <v>0</v>
      </c>
      <c r="AM668">
        <f t="shared" ca="1" si="269"/>
        <v>280.07692026646265</v>
      </c>
      <c r="AN668" t="str">
        <f t="shared" ca="1" si="270"/>
        <v>Supercritical</v>
      </c>
      <c r="AO668">
        <f ca="1">IF(V32="Supercritical",R668,AA668)</f>
        <v>482.07306851378365</v>
      </c>
    </row>
    <row r="669" spans="1:41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174</v>
      </c>
      <c r="I669">
        <v>2.3E-2</v>
      </c>
      <c r="J669">
        <f t="shared" si="271"/>
        <v>1</v>
      </c>
      <c r="K669">
        <f t="shared" si="272"/>
        <v>51</v>
      </c>
      <c r="L669">
        <f t="shared" ca="1" si="273"/>
        <v>38818.870824462669</v>
      </c>
      <c r="M669">
        <f t="shared" ca="1" si="251"/>
        <v>201858.12828720588</v>
      </c>
      <c r="N669">
        <f t="shared" ca="1" si="252"/>
        <v>2.5998258695547483</v>
      </c>
      <c r="O669">
        <f t="shared" ca="1" si="253"/>
        <v>2.5265269440840482E-4</v>
      </c>
      <c r="P669">
        <f t="shared" ca="1" si="254"/>
        <v>39451.173324462667</v>
      </c>
      <c r="Q669">
        <f t="shared" ca="1" si="255"/>
        <v>39451.173324465919</v>
      </c>
      <c r="R669">
        <f t="shared" ca="1" si="256"/>
        <v>4.0176432616576277E-12</v>
      </c>
      <c r="S669">
        <f t="shared" ca="1" si="274"/>
        <v>4.999999946448952E-4</v>
      </c>
      <c r="T669">
        <f t="shared" ca="1" si="275"/>
        <v>1</v>
      </c>
      <c r="U669">
        <f t="shared" ca="1" si="257"/>
        <v>0.05</v>
      </c>
      <c r="V669">
        <f t="shared" ca="1" si="258"/>
        <v>0.26</v>
      </c>
      <c r="W669">
        <f t="shared" ca="1" si="259"/>
        <v>4.9056603773584909E-2</v>
      </c>
      <c r="X669">
        <f t="shared" ca="1" si="260"/>
        <v>196.15384615384616</v>
      </c>
      <c r="Y669">
        <f t="shared" ca="1" si="261"/>
        <v>632.35249999999996</v>
      </c>
      <c r="Z669">
        <f t="shared" ca="1" si="262"/>
        <v>2593.4295316486623</v>
      </c>
      <c r="AA669">
        <f t="shared" ca="1" si="263"/>
        <v>482.07306851378365</v>
      </c>
      <c r="AB669">
        <f t="shared" ca="1" si="264"/>
        <v>482.62981620183245</v>
      </c>
      <c r="AC669">
        <f t="shared" ca="1" si="265"/>
        <v>0</v>
      </c>
      <c r="AD669">
        <f ca="1">IF(V32="Supercritical",L669,U669)</f>
        <v>0.05</v>
      </c>
      <c r="AE669">
        <f t="shared" ca="1" si="266"/>
        <v>632.35249999999996</v>
      </c>
      <c r="AF669">
        <f t="shared" ca="1" si="267"/>
        <v>2593.4295316486623</v>
      </c>
      <c r="AI669">
        <v>0</v>
      </c>
      <c r="AJ669">
        <v>0</v>
      </c>
      <c r="AK669">
        <f t="shared" si="268"/>
        <v>0</v>
      </c>
      <c r="AL669">
        <f t="shared" si="276"/>
        <v>0</v>
      </c>
      <c r="AM669">
        <f t="shared" ca="1" si="269"/>
        <v>280.07692026646265</v>
      </c>
      <c r="AN669" t="str">
        <f t="shared" ca="1" si="270"/>
        <v>Supercritical</v>
      </c>
      <c r="AO669">
        <f ca="1">IF(V32="Supercritical",R669,AA669)</f>
        <v>482.07306851378365</v>
      </c>
    </row>
    <row r="670" spans="1:41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174</v>
      </c>
      <c r="I670">
        <v>2.3E-2</v>
      </c>
      <c r="J670">
        <f t="shared" si="271"/>
        <v>1.0009999999999764</v>
      </c>
      <c r="K670">
        <f t="shared" si="272"/>
        <v>51</v>
      </c>
      <c r="L670">
        <f t="shared" ca="1" si="273"/>
        <v>38818.85975385741</v>
      </c>
      <c r="M670">
        <f t="shared" ca="1" si="251"/>
        <v>201858.07072005855</v>
      </c>
      <c r="N670">
        <f t="shared" ca="1" si="252"/>
        <v>2.599825869505092</v>
      </c>
      <c r="O670">
        <f t="shared" ca="1" si="253"/>
        <v>2.5265276646148067E-4</v>
      </c>
      <c r="P670">
        <f t="shared" ca="1" si="254"/>
        <v>39451.161753857414</v>
      </c>
      <c r="Q670">
        <f t="shared" ca="1" si="255"/>
        <v>39451.161753860666</v>
      </c>
      <c r="R670">
        <f t="shared" ca="1" si="256"/>
        <v>4.0176455533135464E-12</v>
      </c>
      <c r="S670">
        <f t="shared" ca="1" si="274"/>
        <v>1.1570605245651677E-2</v>
      </c>
      <c r="T670">
        <f t="shared" ca="1" si="275"/>
        <v>0</v>
      </c>
      <c r="U670">
        <f t="shared" ca="1" si="257"/>
        <v>0.05</v>
      </c>
      <c r="V670">
        <f t="shared" ca="1" si="258"/>
        <v>0.26</v>
      </c>
      <c r="W670">
        <f t="shared" ca="1" si="259"/>
        <v>4.9056603773584909E-2</v>
      </c>
      <c r="X670">
        <f t="shared" ca="1" si="260"/>
        <v>196.15384615384616</v>
      </c>
      <c r="Y670">
        <f t="shared" ca="1" si="261"/>
        <v>632.35199999999998</v>
      </c>
      <c r="Z670">
        <f t="shared" ca="1" si="262"/>
        <v>2593.4290316486622</v>
      </c>
      <c r="AA670">
        <f t="shared" ca="1" si="263"/>
        <v>482.07306851378365</v>
      </c>
      <c r="AB670">
        <f t="shared" ca="1" si="264"/>
        <v>481.67874391170562</v>
      </c>
      <c r="AC670">
        <f t="shared" ca="1" si="265"/>
        <v>0</v>
      </c>
      <c r="AD670">
        <f ca="1">IF(V32="Supercritical",L670,U670)</f>
        <v>0.05</v>
      </c>
      <c r="AE670">
        <f t="shared" ca="1" si="266"/>
        <v>632.35199999999998</v>
      </c>
      <c r="AF670">
        <f t="shared" ca="1" si="267"/>
        <v>2593.4290316486622</v>
      </c>
      <c r="AI670">
        <v>0</v>
      </c>
      <c r="AJ670">
        <v>0</v>
      </c>
      <c r="AK670">
        <f t="shared" si="268"/>
        <v>0</v>
      </c>
      <c r="AL670">
        <f t="shared" si="276"/>
        <v>0</v>
      </c>
      <c r="AM670">
        <f t="shared" ca="1" si="269"/>
        <v>280.07692026646265</v>
      </c>
      <c r="AN670" t="str">
        <f t="shared" ca="1" si="270"/>
        <v>Supercritical</v>
      </c>
      <c r="AO670">
        <f ca="1">IF(V32="Supercritical",R670,AA670)</f>
        <v>482.07306851378365</v>
      </c>
    </row>
    <row r="671" spans="1:41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174</v>
      </c>
      <c r="I671">
        <v>2.7E-2</v>
      </c>
      <c r="J671">
        <f t="shared" si="271"/>
        <v>0.99900000000002365</v>
      </c>
      <c r="K671">
        <f t="shared" si="272"/>
        <v>51</v>
      </c>
      <c r="L671">
        <f t="shared" ca="1" si="273"/>
        <v>38818.85975385741</v>
      </c>
      <c r="M671">
        <f t="shared" ca="1" si="251"/>
        <v>201858.07072005855</v>
      </c>
      <c r="N671">
        <f t="shared" ca="1" si="252"/>
        <v>2.599825869505092</v>
      </c>
      <c r="O671">
        <f t="shared" ca="1" si="253"/>
        <v>2.5265276646148067E-4</v>
      </c>
      <c r="P671">
        <f t="shared" ca="1" si="254"/>
        <v>39451.161253857412</v>
      </c>
      <c r="Q671">
        <f t="shared" ca="1" si="255"/>
        <v>39451.161253860664</v>
      </c>
      <c r="R671">
        <f t="shared" ca="1" si="256"/>
        <v>4.0176455533135464E-12</v>
      </c>
      <c r="S671">
        <f t="shared" ca="1" si="274"/>
        <v>4.999999946448952E-4</v>
      </c>
      <c r="T671">
        <f t="shared" ca="1" si="275"/>
        <v>1</v>
      </c>
      <c r="U671">
        <f t="shared" ca="1" si="257"/>
        <v>0.05</v>
      </c>
      <c r="V671">
        <f t="shared" ca="1" si="258"/>
        <v>0.26</v>
      </c>
      <c r="W671">
        <f t="shared" ca="1" si="259"/>
        <v>4.9056603773584909E-2</v>
      </c>
      <c r="X671">
        <f t="shared" ca="1" si="260"/>
        <v>196.15384615384616</v>
      </c>
      <c r="Y671">
        <f t="shared" ca="1" si="261"/>
        <v>632.35149999999999</v>
      </c>
      <c r="Z671">
        <f t="shared" ca="1" si="262"/>
        <v>2593.4285316486621</v>
      </c>
      <c r="AA671">
        <f t="shared" ca="1" si="263"/>
        <v>482.07306851378365</v>
      </c>
      <c r="AB671">
        <f t="shared" ca="1" si="264"/>
        <v>482.64289004871034</v>
      </c>
      <c r="AC671">
        <f t="shared" ca="1" si="265"/>
        <v>0</v>
      </c>
      <c r="AD671">
        <f ca="1">IF(V32="Supercritical",L671,U671)</f>
        <v>0.05</v>
      </c>
      <c r="AE671">
        <f t="shared" ca="1" si="266"/>
        <v>632.35149999999999</v>
      </c>
      <c r="AF671">
        <f t="shared" ca="1" si="267"/>
        <v>2593.4285316486621</v>
      </c>
      <c r="AI671">
        <v>0</v>
      </c>
      <c r="AJ671">
        <v>0</v>
      </c>
      <c r="AK671">
        <f t="shared" si="268"/>
        <v>0</v>
      </c>
      <c r="AL671">
        <f t="shared" si="276"/>
        <v>0</v>
      </c>
      <c r="AM671">
        <f t="shared" ca="1" si="269"/>
        <v>280.07692026646265</v>
      </c>
      <c r="AN671" t="str">
        <f t="shared" ca="1" si="270"/>
        <v>Supercritical</v>
      </c>
      <c r="AO671">
        <f ca="1">IF(V32="Supercritical",R671,AA671)</f>
        <v>482.07306851378365</v>
      </c>
    </row>
    <row r="672" spans="1:41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174</v>
      </c>
      <c r="I672">
        <v>2.7E-2</v>
      </c>
      <c r="J672">
        <f t="shared" si="271"/>
        <v>1.0009999999999764</v>
      </c>
      <c r="K672">
        <f t="shared" si="272"/>
        <v>51</v>
      </c>
      <c r="L672">
        <f t="shared" ca="1" si="273"/>
        <v>38818.848694388616</v>
      </c>
      <c r="M672">
        <f t="shared" ca="1" si="251"/>
        <v>201858.01321082082</v>
      </c>
      <c r="N672">
        <f t="shared" ca="1" si="252"/>
        <v>2.5998258694554859</v>
      </c>
      <c r="O672">
        <f t="shared" ca="1" si="253"/>
        <v>2.5265283844211583E-4</v>
      </c>
      <c r="P672">
        <f t="shared" ca="1" si="254"/>
        <v>39451.149694388616</v>
      </c>
      <c r="Q672">
        <f t="shared" ca="1" si="255"/>
        <v>39451.149694391868</v>
      </c>
      <c r="R672">
        <f t="shared" ca="1" si="256"/>
        <v>4.0176478426661322E-12</v>
      </c>
      <c r="S672">
        <f t="shared" ca="1" si="274"/>
        <v>1.1559468788618688E-2</v>
      </c>
      <c r="T672">
        <f t="shared" ca="1" si="275"/>
        <v>0</v>
      </c>
      <c r="U672">
        <f t="shared" ca="1" si="257"/>
        <v>0.05</v>
      </c>
      <c r="V672">
        <f t="shared" ca="1" si="258"/>
        <v>0.26</v>
      </c>
      <c r="W672">
        <f t="shared" ca="1" si="259"/>
        <v>4.9056603773584909E-2</v>
      </c>
      <c r="X672">
        <f t="shared" ca="1" si="260"/>
        <v>196.15384615384616</v>
      </c>
      <c r="Y672">
        <f t="shared" ca="1" si="261"/>
        <v>632.351</v>
      </c>
      <c r="Z672">
        <f t="shared" ca="1" si="262"/>
        <v>2593.428031648662</v>
      </c>
      <c r="AA672">
        <f t="shared" ca="1" si="263"/>
        <v>482.07306851378365</v>
      </c>
      <c r="AB672">
        <f t="shared" ca="1" si="264"/>
        <v>481.59049544528125</v>
      </c>
      <c r="AC672">
        <f t="shared" ca="1" si="265"/>
        <v>0</v>
      </c>
      <c r="AD672">
        <f ca="1">IF(V32="Supercritical",L672,U672)</f>
        <v>0.05</v>
      </c>
      <c r="AE672">
        <f t="shared" ca="1" si="266"/>
        <v>632.351</v>
      </c>
      <c r="AF672">
        <f t="shared" ca="1" si="267"/>
        <v>2593.428031648662</v>
      </c>
      <c r="AI672">
        <v>0</v>
      </c>
      <c r="AJ672">
        <v>0</v>
      </c>
      <c r="AK672">
        <f t="shared" si="268"/>
        <v>0</v>
      </c>
      <c r="AL672">
        <f t="shared" si="276"/>
        <v>0</v>
      </c>
      <c r="AM672">
        <f t="shared" ca="1" si="269"/>
        <v>280.07692026646265</v>
      </c>
      <c r="AN672" t="str">
        <f t="shared" ca="1" si="270"/>
        <v>Supercritical</v>
      </c>
      <c r="AO672">
        <f ca="1">IF(V32="Supercritical",R672,AA672)</f>
        <v>482.07306851378365</v>
      </c>
    </row>
    <row r="673" spans="1:41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174</v>
      </c>
      <c r="I673">
        <v>0</v>
      </c>
      <c r="J673">
        <f t="shared" si="271"/>
        <v>0.99900000000002365</v>
      </c>
      <c r="K673">
        <f t="shared" si="272"/>
        <v>51</v>
      </c>
      <c r="L673">
        <f t="shared" ca="1" si="273"/>
        <v>38818.848694388616</v>
      </c>
      <c r="M673">
        <f t="shared" ca="1" si="251"/>
        <v>201858.01321082082</v>
      </c>
      <c r="N673">
        <f t="shared" ca="1" si="252"/>
        <v>2.5998258694554859</v>
      </c>
      <c r="O673">
        <f t="shared" ca="1" si="253"/>
        <v>2.5265283844211583E-4</v>
      </c>
      <c r="P673">
        <f t="shared" ca="1" si="254"/>
        <v>39451.149194388614</v>
      </c>
      <c r="Q673">
        <f t="shared" ca="1" si="255"/>
        <v>39451.149194391866</v>
      </c>
      <c r="R673">
        <f t="shared" ca="1" si="256"/>
        <v>4.0176478426661322E-12</v>
      </c>
      <c r="S673">
        <f t="shared" ca="1" si="274"/>
        <v>4.999999946448952E-4</v>
      </c>
      <c r="T673">
        <f t="shared" ca="1" si="275"/>
        <v>1</v>
      </c>
      <c r="U673">
        <f t="shared" ca="1" si="257"/>
        <v>0.05</v>
      </c>
      <c r="V673">
        <f t="shared" ca="1" si="258"/>
        <v>0.26</v>
      </c>
      <c r="W673">
        <f t="shared" ca="1" si="259"/>
        <v>4.9056603773584909E-2</v>
      </c>
      <c r="X673">
        <f t="shared" ca="1" si="260"/>
        <v>196.15384615384616</v>
      </c>
      <c r="Y673">
        <f t="shared" ca="1" si="261"/>
        <v>632.35050000000001</v>
      </c>
      <c r="Z673">
        <f t="shared" ca="1" si="262"/>
        <v>2593.4275316486619</v>
      </c>
      <c r="AA673">
        <f t="shared" ca="1" si="263"/>
        <v>482.07306851378365</v>
      </c>
      <c r="AB673">
        <f t="shared" ca="1" si="264"/>
        <v>482.1477431333301</v>
      </c>
      <c r="AC673">
        <f t="shared" ca="1" si="265"/>
        <v>0</v>
      </c>
      <c r="AD673">
        <f ca="1">IF(V32="Supercritical",L673,U673)</f>
        <v>0.05</v>
      </c>
      <c r="AE673">
        <f t="shared" ca="1" si="266"/>
        <v>632.35050000000001</v>
      </c>
      <c r="AF673">
        <f t="shared" ca="1" si="267"/>
        <v>2593.4275316486619</v>
      </c>
      <c r="AI673">
        <v>0</v>
      </c>
      <c r="AJ673">
        <v>0</v>
      </c>
      <c r="AK673">
        <f t="shared" si="268"/>
        <v>0</v>
      </c>
      <c r="AL673">
        <f t="shared" si="276"/>
        <v>0</v>
      </c>
      <c r="AM673">
        <f t="shared" ca="1" si="269"/>
        <v>280.07692026646265</v>
      </c>
      <c r="AN673" t="str">
        <f t="shared" ca="1" si="270"/>
        <v>Supercritical</v>
      </c>
      <c r="AO673">
        <f ca="1">IF(V32="Supercritical",R673,AA673)</f>
        <v>482.07306851378365</v>
      </c>
    </row>
    <row r="674" spans="1:41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174</v>
      </c>
      <c r="I674">
        <v>2.3E-2</v>
      </c>
      <c r="J674">
        <f t="shared" si="271"/>
        <v>1</v>
      </c>
      <c r="K674">
        <f t="shared" si="272"/>
        <v>51</v>
      </c>
      <c r="L674">
        <f t="shared" ca="1" si="273"/>
        <v>38818.837643640414</v>
      </c>
      <c r="M674">
        <f t="shared" ca="1" si="251"/>
        <v>201857.95574693015</v>
      </c>
      <c r="N674">
        <f t="shared" ca="1" si="252"/>
        <v>2.599825869405918</v>
      </c>
      <c r="O674">
        <f t="shared" ca="1" si="253"/>
        <v>2.5265291036603399E-4</v>
      </c>
      <c r="P674">
        <f t="shared" ca="1" si="254"/>
        <v>39451.137643640417</v>
      </c>
      <c r="Q674">
        <f t="shared" ca="1" si="255"/>
        <v>39451.137643643669</v>
      </c>
      <c r="R674">
        <f t="shared" ca="1" si="256"/>
        <v>4.0176501302154804E-12</v>
      </c>
      <c r="S674">
        <f t="shared" ca="1" si="274"/>
        <v>1.1550748189620208E-2</v>
      </c>
      <c r="T674">
        <f t="shared" ca="1" si="275"/>
        <v>0</v>
      </c>
      <c r="U674">
        <f t="shared" ca="1" si="257"/>
        <v>0.05</v>
      </c>
      <c r="V674">
        <f t="shared" ca="1" si="258"/>
        <v>0.26</v>
      </c>
      <c r="W674">
        <f t="shared" ca="1" si="259"/>
        <v>4.9056603773584909E-2</v>
      </c>
      <c r="X674">
        <f t="shared" ca="1" si="260"/>
        <v>196.15384615384616</v>
      </c>
      <c r="Y674">
        <f t="shared" ca="1" si="261"/>
        <v>632.34999999999991</v>
      </c>
      <c r="Z674">
        <f t="shared" ca="1" si="262"/>
        <v>2593.4270316486618</v>
      </c>
      <c r="AA674">
        <f t="shared" ca="1" si="263"/>
        <v>482.07306851378365</v>
      </c>
      <c r="AB674">
        <f t="shared" ca="1" si="264"/>
        <v>482.62981620183291</v>
      </c>
      <c r="AC674">
        <f t="shared" ca="1" si="265"/>
        <v>0</v>
      </c>
      <c r="AD674">
        <f ca="1">IF(V32="Supercritical",L674,U674)</f>
        <v>0.05</v>
      </c>
      <c r="AE674">
        <f t="shared" ca="1" si="266"/>
        <v>632.34999999999991</v>
      </c>
      <c r="AF674">
        <f t="shared" ca="1" si="267"/>
        <v>2593.4270316486618</v>
      </c>
      <c r="AI674">
        <v>0</v>
      </c>
      <c r="AJ674">
        <v>0</v>
      </c>
      <c r="AK674">
        <f t="shared" si="268"/>
        <v>0</v>
      </c>
      <c r="AL674">
        <f t="shared" si="276"/>
        <v>0</v>
      </c>
      <c r="AM674">
        <f t="shared" ca="1" si="269"/>
        <v>280.07692026646265</v>
      </c>
      <c r="AN674" t="str">
        <f t="shared" ca="1" si="270"/>
        <v>Supercritical</v>
      </c>
      <c r="AO674">
        <f ca="1">IF(V32="Supercritical",R674,AA674)</f>
        <v>482.07306851378365</v>
      </c>
    </row>
    <row r="675" spans="1:41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174</v>
      </c>
      <c r="I675">
        <v>2.3E-2</v>
      </c>
      <c r="J675">
        <f t="shared" si="271"/>
        <v>1.0009999999999764</v>
      </c>
      <c r="K675">
        <f t="shared" si="272"/>
        <v>51</v>
      </c>
      <c r="L675">
        <f t="shared" ca="1" si="273"/>
        <v>38818.837643640414</v>
      </c>
      <c r="M675">
        <f t="shared" ca="1" si="251"/>
        <v>201857.95574693015</v>
      </c>
      <c r="N675">
        <f t="shared" ca="1" si="252"/>
        <v>2.599825869405918</v>
      </c>
      <c r="O675">
        <f t="shared" ca="1" si="253"/>
        <v>2.5265291036603399E-4</v>
      </c>
      <c r="P675">
        <f t="shared" ca="1" si="254"/>
        <v>39451.137143640415</v>
      </c>
      <c r="Q675">
        <f t="shared" ca="1" si="255"/>
        <v>39451.137143643668</v>
      </c>
      <c r="R675">
        <f t="shared" ca="1" si="256"/>
        <v>4.0176501302154804E-12</v>
      </c>
      <c r="S675">
        <f t="shared" ca="1" si="274"/>
        <v>4.999999946448952E-4</v>
      </c>
      <c r="T675">
        <f t="shared" ca="1" si="275"/>
        <v>1</v>
      </c>
      <c r="U675">
        <f t="shared" ca="1" si="257"/>
        <v>0.05</v>
      </c>
      <c r="V675">
        <f t="shared" ca="1" si="258"/>
        <v>0.26</v>
      </c>
      <c r="W675">
        <f t="shared" ca="1" si="259"/>
        <v>4.9056603773584909E-2</v>
      </c>
      <c r="X675">
        <f t="shared" ca="1" si="260"/>
        <v>196.15384615384616</v>
      </c>
      <c r="Y675">
        <f t="shared" ca="1" si="261"/>
        <v>632.34949999999992</v>
      </c>
      <c r="Z675">
        <f t="shared" ca="1" si="262"/>
        <v>2593.4265316486621</v>
      </c>
      <c r="AA675">
        <f t="shared" ca="1" si="263"/>
        <v>482.07306851378365</v>
      </c>
      <c r="AB675">
        <f t="shared" ca="1" si="264"/>
        <v>481.67874391170562</v>
      </c>
      <c r="AC675">
        <f t="shared" ca="1" si="265"/>
        <v>0</v>
      </c>
      <c r="AD675">
        <f ca="1">IF(V32="Supercritical",L675,U675)</f>
        <v>0.05</v>
      </c>
      <c r="AE675">
        <f t="shared" ca="1" si="266"/>
        <v>632.34949999999992</v>
      </c>
      <c r="AF675">
        <f t="shared" ca="1" si="267"/>
        <v>2593.4265316486621</v>
      </c>
      <c r="AI675">
        <v>0</v>
      </c>
      <c r="AJ675">
        <v>0</v>
      </c>
      <c r="AK675">
        <f t="shared" si="268"/>
        <v>0</v>
      </c>
      <c r="AL675">
        <f t="shared" si="276"/>
        <v>0</v>
      </c>
      <c r="AM675">
        <f t="shared" ca="1" si="269"/>
        <v>280.07692026646265</v>
      </c>
      <c r="AN675" t="str">
        <f t="shared" ca="1" si="270"/>
        <v>Supercritical</v>
      </c>
      <c r="AO675">
        <f ca="1">IF(V32="Supercritical",R675,AA675)</f>
        <v>482.07306851378365</v>
      </c>
    </row>
    <row r="676" spans="1:41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174</v>
      </c>
      <c r="I676">
        <v>2.7E-2</v>
      </c>
      <c r="J676">
        <f t="shared" si="271"/>
        <v>0.99900000000002365</v>
      </c>
      <c r="K676">
        <f t="shared" si="272"/>
        <v>51</v>
      </c>
      <c r="L676">
        <f t="shared" ca="1" si="273"/>
        <v>38818.826598713829</v>
      </c>
      <c r="M676">
        <f t="shared" ca="1" si="251"/>
        <v>201857.89831331192</v>
      </c>
      <c r="N676">
        <f t="shared" ca="1" si="252"/>
        <v>2.5998258693563772</v>
      </c>
      <c r="O676">
        <f t="shared" ca="1" si="253"/>
        <v>2.5265298225210297E-4</v>
      </c>
      <c r="P676">
        <f t="shared" ca="1" si="254"/>
        <v>39451.125598713828</v>
      </c>
      <c r="Q676">
        <f t="shared" ca="1" si="255"/>
        <v>39451.125598717081</v>
      </c>
      <c r="R676">
        <f t="shared" ca="1" si="256"/>
        <v>4.0176524165616767E-12</v>
      </c>
      <c r="S676">
        <f t="shared" ca="1" si="274"/>
        <v>1.1544926579517778E-2</v>
      </c>
      <c r="T676">
        <f t="shared" ca="1" si="275"/>
        <v>0</v>
      </c>
      <c r="U676">
        <f t="shared" ca="1" si="257"/>
        <v>0.05</v>
      </c>
      <c r="V676">
        <f t="shared" ca="1" si="258"/>
        <v>0.26</v>
      </c>
      <c r="W676">
        <f t="shared" ca="1" si="259"/>
        <v>4.9056603773584909E-2</v>
      </c>
      <c r="X676">
        <f t="shared" ca="1" si="260"/>
        <v>196.15384615384616</v>
      </c>
      <c r="Y676">
        <f t="shared" ca="1" si="261"/>
        <v>632.34899999999993</v>
      </c>
      <c r="Z676">
        <f t="shared" ca="1" si="262"/>
        <v>2593.426031648662</v>
      </c>
      <c r="AA676">
        <f t="shared" ca="1" si="263"/>
        <v>482.07306851378365</v>
      </c>
      <c r="AB676">
        <f t="shared" ca="1" si="264"/>
        <v>482.64289004871034</v>
      </c>
      <c r="AC676">
        <f t="shared" ca="1" si="265"/>
        <v>0</v>
      </c>
      <c r="AD676">
        <f ca="1">IF(V32="Supercritical",L676,U676)</f>
        <v>0.05</v>
      </c>
      <c r="AE676">
        <f t="shared" ca="1" si="266"/>
        <v>632.34899999999993</v>
      </c>
      <c r="AF676">
        <f t="shared" ca="1" si="267"/>
        <v>2593.426031648662</v>
      </c>
      <c r="AI676">
        <v>0</v>
      </c>
      <c r="AJ676">
        <v>0</v>
      </c>
      <c r="AK676">
        <f t="shared" si="268"/>
        <v>0</v>
      </c>
      <c r="AL676">
        <f t="shared" si="276"/>
        <v>0</v>
      </c>
      <c r="AM676">
        <f t="shared" ca="1" si="269"/>
        <v>280.07692026646265</v>
      </c>
      <c r="AN676" t="str">
        <f t="shared" ca="1" si="270"/>
        <v>Supercritical</v>
      </c>
      <c r="AO676">
        <f ca="1">IF(V32="Supercritical",R676,AA676)</f>
        <v>482.07306851378365</v>
      </c>
    </row>
    <row r="677" spans="1:41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174</v>
      </c>
      <c r="I677">
        <v>2.7E-2</v>
      </c>
      <c r="J677">
        <f t="shared" si="271"/>
        <v>1.0009999999999764</v>
      </c>
      <c r="K677">
        <f t="shared" si="272"/>
        <v>51</v>
      </c>
      <c r="L677">
        <f t="shared" ca="1" si="273"/>
        <v>38818.826598713829</v>
      </c>
      <c r="M677">
        <f t="shared" ca="1" si="251"/>
        <v>201857.89831331192</v>
      </c>
      <c r="N677">
        <f t="shared" ca="1" si="252"/>
        <v>2.5998258693563772</v>
      </c>
      <c r="O677">
        <f t="shared" ca="1" si="253"/>
        <v>2.5265298225210297E-4</v>
      </c>
      <c r="P677">
        <f t="shared" ca="1" si="254"/>
        <v>39451.125098713826</v>
      </c>
      <c r="Q677">
        <f t="shared" ca="1" si="255"/>
        <v>39451.125098717079</v>
      </c>
      <c r="R677">
        <f t="shared" ca="1" si="256"/>
        <v>4.0176524165616767E-12</v>
      </c>
      <c r="S677">
        <f t="shared" ca="1" si="274"/>
        <v>4.999999946448952E-4</v>
      </c>
      <c r="T677">
        <f t="shared" ca="1" si="275"/>
        <v>1</v>
      </c>
      <c r="U677">
        <f t="shared" ca="1" si="257"/>
        <v>0.05</v>
      </c>
      <c r="V677">
        <f t="shared" ca="1" si="258"/>
        <v>0.26</v>
      </c>
      <c r="W677">
        <f t="shared" ca="1" si="259"/>
        <v>4.9056603773584909E-2</v>
      </c>
      <c r="X677">
        <f t="shared" ca="1" si="260"/>
        <v>196.15384615384616</v>
      </c>
      <c r="Y677">
        <f t="shared" ca="1" si="261"/>
        <v>632.34849999999994</v>
      </c>
      <c r="Z677">
        <f t="shared" ca="1" si="262"/>
        <v>2593.4255316486619</v>
      </c>
      <c r="AA677">
        <f t="shared" ca="1" si="263"/>
        <v>482.07306851378365</v>
      </c>
      <c r="AB677">
        <f t="shared" ca="1" si="264"/>
        <v>481.75391853125257</v>
      </c>
      <c r="AC677">
        <f t="shared" ca="1" si="265"/>
        <v>0</v>
      </c>
      <c r="AD677">
        <f ca="1">IF(V32="Supercritical",L677,U677)</f>
        <v>0.05</v>
      </c>
      <c r="AE677">
        <f t="shared" ca="1" si="266"/>
        <v>632.34849999999994</v>
      </c>
      <c r="AF677">
        <f t="shared" ca="1" si="267"/>
        <v>2593.4255316486619</v>
      </c>
      <c r="AI677">
        <v>0</v>
      </c>
      <c r="AJ677">
        <v>0</v>
      </c>
      <c r="AK677">
        <f t="shared" si="268"/>
        <v>0</v>
      </c>
      <c r="AL677">
        <f t="shared" si="276"/>
        <v>0</v>
      </c>
      <c r="AM677">
        <f t="shared" ca="1" si="269"/>
        <v>280.07692026646265</v>
      </c>
      <c r="AN677" t="str">
        <f t="shared" ca="1" si="270"/>
        <v>Supercritical</v>
      </c>
      <c r="AO677">
        <f ca="1">IF(V32="Supercritical",R677,AA677)</f>
        <v>482.07306851378365</v>
      </c>
    </row>
    <row r="678" spans="1:41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174</v>
      </c>
      <c r="I678">
        <v>0.05</v>
      </c>
      <c r="J678">
        <f t="shared" si="271"/>
        <v>0.99900000000002365</v>
      </c>
      <c r="K678">
        <f t="shared" si="272"/>
        <v>51</v>
      </c>
      <c r="L678">
        <f t="shared" ca="1" si="273"/>
        <v>38818.815556232606</v>
      </c>
      <c r="M678">
        <f t="shared" ca="1" si="251"/>
        <v>201857.84089240956</v>
      </c>
      <c r="N678">
        <f t="shared" ca="1" si="252"/>
        <v>2.599825869306847</v>
      </c>
      <c r="O678">
        <f t="shared" ca="1" si="253"/>
        <v>2.5265305412229717E-4</v>
      </c>
      <c r="P678">
        <f t="shared" ca="1" si="254"/>
        <v>39451.113556232609</v>
      </c>
      <c r="Q678">
        <f t="shared" ca="1" si="255"/>
        <v>39451.113556235861</v>
      </c>
      <c r="R678">
        <f t="shared" ca="1" si="256"/>
        <v>4.0176547024036272E-12</v>
      </c>
      <c r="S678">
        <f t="shared" ca="1" si="274"/>
        <v>1.1542481210199185E-2</v>
      </c>
      <c r="T678">
        <f t="shared" ca="1" si="275"/>
        <v>0</v>
      </c>
      <c r="U678">
        <f t="shared" ca="1" si="257"/>
        <v>0.05</v>
      </c>
      <c r="V678">
        <f t="shared" ca="1" si="258"/>
        <v>0.26</v>
      </c>
      <c r="W678">
        <f t="shared" ca="1" si="259"/>
        <v>4.9056603773584909E-2</v>
      </c>
      <c r="X678">
        <f t="shared" ca="1" si="260"/>
        <v>196.15384615384616</v>
      </c>
      <c r="Y678">
        <f t="shared" ca="1" si="261"/>
        <v>632.34799999999996</v>
      </c>
      <c r="Z678">
        <f t="shared" ca="1" si="262"/>
        <v>2593.4250316486623</v>
      </c>
      <c r="AA678">
        <f t="shared" ca="1" si="263"/>
        <v>482.07306851378365</v>
      </c>
      <c r="AB678">
        <f t="shared" ca="1" si="264"/>
        <v>482.32750852789786</v>
      </c>
      <c r="AC678">
        <f t="shared" ca="1" si="265"/>
        <v>0</v>
      </c>
      <c r="AD678">
        <f ca="1">IF(V32="Supercritical",L678,U678)</f>
        <v>0.05</v>
      </c>
      <c r="AE678">
        <f t="shared" ca="1" si="266"/>
        <v>632.34799999999996</v>
      </c>
      <c r="AF678">
        <f t="shared" ca="1" si="267"/>
        <v>2593.4250316486623</v>
      </c>
      <c r="AI678">
        <v>0</v>
      </c>
      <c r="AJ678">
        <v>0</v>
      </c>
      <c r="AK678">
        <f t="shared" si="268"/>
        <v>0</v>
      </c>
      <c r="AL678">
        <f t="shared" si="276"/>
        <v>0</v>
      </c>
      <c r="AM678">
        <f t="shared" ca="1" si="269"/>
        <v>280.07692026646265</v>
      </c>
      <c r="AN678" t="str">
        <f t="shared" ca="1" si="270"/>
        <v>Supercritical</v>
      </c>
      <c r="AO678">
        <f ca="1">IF(V32="Supercritical",R678,AA678)</f>
        <v>482.07306851378365</v>
      </c>
    </row>
    <row r="679" spans="1:41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174</v>
      </c>
      <c r="I679">
        <v>7.8E-2</v>
      </c>
      <c r="J679">
        <f t="shared" si="271"/>
        <v>1</v>
      </c>
      <c r="K679">
        <f t="shared" si="272"/>
        <v>51</v>
      </c>
      <c r="L679">
        <f t="shared" ca="1" si="273"/>
        <v>38818.815556232606</v>
      </c>
      <c r="M679">
        <f t="shared" ca="1" si="251"/>
        <v>201857.84089240956</v>
      </c>
      <c r="N679">
        <f t="shared" ca="1" si="252"/>
        <v>2.599825869306847</v>
      </c>
      <c r="O679">
        <f t="shared" ca="1" si="253"/>
        <v>2.5265305412229717E-4</v>
      </c>
      <c r="P679">
        <f t="shared" ca="1" si="254"/>
        <v>39451.113056232607</v>
      </c>
      <c r="Q679">
        <f t="shared" ca="1" si="255"/>
        <v>39451.113056235859</v>
      </c>
      <c r="R679">
        <f t="shared" ca="1" si="256"/>
        <v>4.0176547024036272E-12</v>
      </c>
      <c r="S679">
        <f t="shared" ca="1" si="274"/>
        <v>4.999999946448952E-4</v>
      </c>
      <c r="T679">
        <f t="shared" ca="1" si="275"/>
        <v>1</v>
      </c>
      <c r="U679">
        <f t="shared" ca="1" si="257"/>
        <v>0.05</v>
      </c>
      <c r="V679">
        <f t="shared" ca="1" si="258"/>
        <v>0.26</v>
      </c>
      <c r="W679">
        <f t="shared" ca="1" si="259"/>
        <v>4.9056603773584909E-2</v>
      </c>
      <c r="X679">
        <f t="shared" ca="1" si="260"/>
        <v>196.15384615384616</v>
      </c>
      <c r="Y679">
        <f t="shared" ca="1" si="261"/>
        <v>632.34749999999997</v>
      </c>
      <c r="Z679">
        <f t="shared" ca="1" si="262"/>
        <v>2593.4245316486622</v>
      </c>
      <c r="AA679">
        <f t="shared" ca="1" si="263"/>
        <v>482.07306851378365</v>
      </c>
      <c r="AB679">
        <f t="shared" ca="1" si="264"/>
        <v>482.64289004871034</v>
      </c>
      <c r="AC679">
        <f t="shared" ca="1" si="265"/>
        <v>0</v>
      </c>
      <c r="AD679">
        <f ca="1">IF(V32="Supercritical",L679,U679)</f>
        <v>0.05</v>
      </c>
      <c r="AE679">
        <f t="shared" ca="1" si="266"/>
        <v>632.34749999999997</v>
      </c>
      <c r="AF679">
        <f t="shared" ca="1" si="267"/>
        <v>2593.4245316486622</v>
      </c>
      <c r="AI679">
        <v>0</v>
      </c>
      <c r="AJ679">
        <v>0</v>
      </c>
      <c r="AK679">
        <f t="shared" si="268"/>
        <v>0</v>
      </c>
      <c r="AL679">
        <f t="shared" si="276"/>
        <v>0</v>
      </c>
      <c r="AM679">
        <f t="shared" ca="1" si="269"/>
        <v>280.07692026646265</v>
      </c>
      <c r="AN679" t="str">
        <f t="shared" ca="1" si="270"/>
        <v>Supercritical</v>
      </c>
      <c r="AO679">
        <f ca="1">IF(V32="Supercritical",R679,AA679)</f>
        <v>482.07306851378365</v>
      </c>
    </row>
    <row r="680" spans="1:41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174</v>
      </c>
      <c r="I680">
        <v>2.7E-2</v>
      </c>
      <c r="J680">
        <f t="shared" si="271"/>
        <v>1.0009999999999764</v>
      </c>
      <c r="K680">
        <f t="shared" si="272"/>
        <v>51</v>
      </c>
      <c r="L680">
        <f t="shared" ca="1" si="273"/>
        <v>38818.804512362593</v>
      </c>
      <c r="M680">
        <f t="shared" ca="1" si="251"/>
        <v>201857.78346428549</v>
      </c>
      <c r="N680">
        <f t="shared" ca="1" si="252"/>
        <v>2.5998258692573102</v>
      </c>
      <c r="O680">
        <f t="shared" ca="1" si="253"/>
        <v>2.5265312600157119E-4</v>
      </c>
      <c r="P680">
        <f t="shared" ca="1" si="254"/>
        <v>39451.101512362591</v>
      </c>
      <c r="Q680">
        <f t="shared" ca="1" si="255"/>
        <v>39451.101512365844</v>
      </c>
      <c r="R680">
        <f t="shared" ca="1" si="256"/>
        <v>4.0176569885350149E-12</v>
      </c>
      <c r="S680">
        <f t="shared" ca="1" si="274"/>
        <v>1.1543870008608792E-2</v>
      </c>
      <c r="T680">
        <f t="shared" ca="1" si="275"/>
        <v>0</v>
      </c>
      <c r="U680">
        <f t="shared" ca="1" si="257"/>
        <v>0.05</v>
      </c>
      <c r="V680">
        <f t="shared" ca="1" si="258"/>
        <v>0.26</v>
      </c>
      <c r="W680">
        <f t="shared" ca="1" si="259"/>
        <v>4.9056603773584909E-2</v>
      </c>
      <c r="X680">
        <f t="shared" ca="1" si="260"/>
        <v>196.15384615384616</v>
      </c>
      <c r="Y680">
        <f t="shared" ca="1" si="261"/>
        <v>632.34699999999998</v>
      </c>
      <c r="Z680">
        <f t="shared" ca="1" si="262"/>
        <v>2593.4240316486621</v>
      </c>
      <c r="AA680">
        <f t="shared" ca="1" si="263"/>
        <v>482.07306851378365</v>
      </c>
      <c r="AB680">
        <f t="shared" ca="1" si="264"/>
        <v>481.67874391170562</v>
      </c>
      <c r="AC680">
        <f t="shared" ca="1" si="265"/>
        <v>0</v>
      </c>
      <c r="AD680">
        <f ca="1">IF(V32="Supercritical",L680,U680)</f>
        <v>0.05</v>
      </c>
      <c r="AE680">
        <f t="shared" ca="1" si="266"/>
        <v>632.34699999999998</v>
      </c>
      <c r="AF680">
        <f t="shared" ca="1" si="267"/>
        <v>2593.4240316486621</v>
      </c>
      <c r="AI680">
        <v>0</v>
      </c>
      <c r="AJ680">
        <v>0</v>
      </c>
      <c r="AK680">
        <f t="shared" si="268"/>
        <v>0</v>
      </c>
      <c r="AL680">
        <f t="shared" si="276"/>
        <v>0</v>
      </c>
      <c r="AM680">
        <f t="shared" ca="1" si="269"/>
        <v>280.07692026646265</v>
      </c>
      <c r="AN680" t="str">
        <f t="shared" ca="1" si="270"/>
        <v>Supercritical</v>
      </c>
      <c r="AO680">
        <f ca="1">IF(V32="Supercritical",R680,AA680)</f>
        <v>482.07306851378365</v>
      </c>
    </row>
    <row r="681" spans="1:41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174</v>
      </c>
      <c r="I681">
        <v>2.7E-2</v>
      </c>
      <c r="J681">
        <f t="shared" si="271"/>
        <v>0.99900000000002365</v>
      </c>
      <c r="K681">
        <f t="shared" si="272"/>
        <v>51</v>
      </c>
      <c r="L681">
        <f t="shared" ca="1" si="273"/>
        <v>38818.804512362593</v>
      </c>
      <c r="M681">
        <f t="shared" ca="1" si="251"/>
        <v>201857.78346428549</v>
      </c>
      <c r="N681">
        <f t="shared" ca="1" si="252"/>
        <v>2.5998258692573102</v>
      </c>
      <c r="O681">
        <f t="shared" ca="1" si="253"/>
        <v>2.5265312600157119E-4</v>
      </c>
      <c r="P681">
        <f t="shared" ca="1" si="254"/>
        <v>39451.101012362589</v>
      </c>
      <c r="Q681">
        <f t="shared" ca="1" si="255"/>
        <v>39451.101012365842</v>
      </c>
      <c r="R681">
        <f t="shared" ca="1" si="256"/>
        <v>4.0176569885350149E-12</v>
      </c>
      <c r="S681">
        <f t="shared" ca="1" si="274"/>
        <v>4.999999946448952E-4</v>
      </c>
      <c r="T681">
        <f t="shared" ca="1" si="275"/>
        <v>1</v>
      </c>
      <c r="U681">
        <f t="shared" ca="1" si="257"/>
        <v>0.05</v>
      </c>
      <c r="V681">
        <f t="shared" ca="1" si="258"/>
        <v>0.26</v>
      </c>
      <c r="W681">
        <f t="shared" ca="1" si="259"/>
        <v>4.9056603773584909E-2</v>
      </c>
      <c r="X681">
        <f t="shared" ca="1" si="260"/>
        <v>196.15384615384616</v>
      </c>
      <c r="Y681">
        <f t="shared" ca="1" si="261"/>
        <v>632.34649999999999</v>
      </c>
      <c r="Z681">
        <f t="shared" ca="1" si="262"/>
        <v>2593.423531648662</v>
      </c>
      <c r="AA681">
        <f t="shared" ca="1" si="263"/>
        <v>482.07306851378365</v>
      </c>
      <c r="AB681">
        <f t="shared" ca="1" si="264"/>
        <v>482.80958159640022</v>
      </c>
      <c r="AC681">
        <f t="shared" ca="1" si="265"/>
        <v>0</v>
      </c>
      <c r="AD681">
        <f ca="1">IF(V32="Supercritical",L681,U681)</f>
        <v>0.05</v>
      </c>
      <c r="AE681">
        <f t="shared" ca="1" si="266"/>
        <v>632.34649999999999</v>
      </c>
      <c r="AF681">
        <f t="shared" ca="1" si="267"/>
        <v>2593.423531648662</v>
      </c>
      <c r="AI681">
        <v>0</v>
      </c>
      <c r="AJ681">
        <v>0</v>
      </c>
      <c r="AK681">
        <f t="shared" si="268"/>
        <v>0</v>
      </c>
      <c r="AL681">
        <f t="shared" si="276"/>
        <v>0</v>
      </c>
      <c r="AM681">
        <f t="shared" ca="1" si="269"/>
        <v>280.07692026646265</v>
      </c>
      <c r="AN681" t="str">
        <f t="shared" ca="1" si="270"/>
        <v>Supercritical</v>
      </c>
      <c r="AO681">
        <f ca="1">IF(V32="Supercritical",R681,AA681)</f>
        <v>482.07306851378365</v>
      </c>
    </row>
    <row r="682" spans="1:41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174</v>
      </c>
      <c r="I682">
        <v>7.8E-2</v>
      </c>
      <c r="J682">
        <f t="shared" si="271"/>
        <v>1.0009999999999764</v>
      </c>
      <c r="K682">
        <f t="shared" si="272"/>
        <v>51</v>
      </c>
      <c r="L682">
        <f t="shared" ca="1" si="273"/>
        <v>38818.793462845097</v>
      </c>
      <c r="M682">
        <f t="shared" ca="1" si="251"/>
        <v>201857.72600679452</v>
      </c>
      <c r="N682">
        <f t="shared" ca="1" si="252"/>
        <v>2.5998258692077485</v>
      </c>
      <c r="O682">
        <f t="shared" ca="1" si="253"/>
        <v>2.5265319791764298E-4</v>
      </c>
      <c r="P682">
        <f t="shared" ca="1" si="254"/>
        <v>39451.089462845099</v>
      </c>
      <c r="Q682">
        <f t="shared" ca="1" si="255"/>
        <v>39451.089462848351</v>
      </c>
      <c r="R682">
        <f t="shared" ca="1" si="256"/>
        <v>4.0176592758374094E-12</v>
      </c>
      <c r="S682">
        <f t="shared" ca="1" si="274"/>
        <v>1.1549517483217642E-2</v>
      </c>
      <c r="T682">
        <f t="shared" ca="1" si="275"/>
        <v>0</v>
      </c>
      <c r="U682">
        <f t="shared" ca="1" si="257"/>
        <v>0.05</v>
      </c>
      <c r="V682">
        <f t="shared" ca="1" si="258"/>
        <v>0.26</v>
      </c>
      <c r="W682">
        <f t="shared" ca="1" si="259"/>
        <v>4.9056603773584909E-2</v>
      </c>
      <c r="X682">
        <f t="shared" ca="1" si="260"/>
        <v>196.15384615384616</v>
      </c>
      <c r="Y682">
        <f t="shared" ca="1" si="261"/>
        <v>632.346</v>
      </c>
      <c r="Z682">
        <f t="shared" ca="1" si="262"/>
        <v>2593.4230316486619</v>
      </c>
      <c r="AA682">
        <f t="shared" ca="1" si="263"/>
        <v>482.07306851378365</v>
      </c>
      <c r="AB682">
        <f t="shared" ca="1" si="264"/>
        <v>482.23599159975447</v>
      </c>
      <c r="AC682">
        <f t="shared" ca="1" si="265"/>
        <v>0</v>
      </c>
      <c r="AD682">
        <f ca="1">IF(V32="Supercritical",L682,U682)</f>
        <v>0.05</v>
      </c>
      <c r="AE682">
        <f t="shared" ca="1" si="266"/>
        <v>632.346</v>
      </c>
      <c r="AF682">
        <f t="shared" ca="1" si="267"/>
        <v>2593.4230316486619</v>
      </c>
      <c r="AI682">
        <v>0</v>
      </c>
      <c r="AJ682">
        <v>0</v>
      </c>
      <c r="AK682">
        <f t="shared" si="268"/>
        <v>0</v>
      </c>
      <c r="AL682">
        <f t="shared" si="276"/>
        <v>0</v>
      </c>
      <c r="AM682">
        <f t="shared" ca="1" si="269"/>
        <v>280.07692026646265</v>
      </c>
      <c r="AN682" t="str">
        <f t="shared" ca="1" si="270"/>
        <v>Supercritical</v>
      </c>
      <c r="AO682">
        <f ca="1">IF(V32="Supercritical",R682,AA682)</f>
        <v>482.07306851378365</v>
      </c>
    </row>
    <row r="683" spans="1:41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174</v>
      </c>
      <c r="I683">
        <v>0.05</v>
      </c>
      <c r="J683">
        <f t="shared" si="271"/>
        <v>1</v>
      </c>
      <c r="K683">
        <f t="shared" si="272"/>
        <v>51</v>
      </c>
      <c r="L683">
        <f t="shared" ca="1" si="273"/>
        <v>38818.793462845097</v>
      </c>
      <c r="M683">
        <f t="shared" ca="1" si="251"/>
        <v>201857.72600679452</v>
      </c>
      <c r="N683">
        <f t="shared" ca="1" si="252"/>
        <v>2.5998258692077485</v>
      </c>
      <c r="O683">
        <f t="shared" ca="1" si="253"/>
        <v>2.5265319791764298E-4</v>
      </c>
      <c r="P683">
        <f t="shared" ca="1" si="254"/>
        <v>39451.088962845097</v>
      </c>
      <c r="Q683">
        <f t="shared" ca="1" si="255"/>
        <v>39451.088962848349</v>
      </c>
      <c r="R683">
        <f t="shared" ca="1" si="256"/>
        <v>4.0176592758374094E-12</v>
      </c>
      <c r="S683">
        <f t="shared" ca="1" si="274"/>
        <v>4.999999946448952E-4</v>
      </c>
      <c r="T683">
        <f t="shared" ca="1" si="275"/>
        <v>1</v>
      </c>
      <c r="U683">
        <f t="shared" ca="1" si="257"/>
        <v>0.05</v>
      </c>
      <c r="V683">
        <f t="shared" ca="1" si="258"/>
        <v>0.26</v>
      </c>
      <c r="W683">
        <f t="shared" ca="1" si="259"/>
        <v>4.9056603773584909E-2</v>
      </c>
      <c r="X683">
        <f t="shared" ca="1" si="260"/>
        <v>196.15384615384616</v>
      </c>
      <c r="Y683">
        <f t="shared" ca="1" si="261"/>
        <v>632.3454999999999</v>
      </c>
      <c r="Z683">
        <f t="shared" ca="1" si="262"/>
        <v>2593.4225316486618</v>
      </c>
      <c r="AA683">
        <f t="shared" ca="1" si="263"/>
        <v>482.07306851378365</v>
      </c>
      <c r="AB683">
        <f t="shared" ca="1" si="264"/>
        <v>481.67874391170608</v>
      </c>
      <c r="AC683">
        <f t="shared" ca="1" si="265"/>
        <v>0</v>
      </c>
      <c r="AD683">
        <f ca="1">IF(V32="Supercritical",L683,U683)</f>
        <v>0.05</v>
      </c>
      <c r="AE683">
        <f t="shared" ca="1" si="266"/>
        <v>632.3454999999999</v>
      </c>
      <c r="AF683">
        <f t="shared" ca="1" si="267"/>
        <v>2593.4225316486618</v>
      </c>
      <c r="AI683">
        <v>0</v>
      </c>
      <c r="AJ683">
        <v>0</v>
      </c>
      <c r="AK683">
        <f t="shared" si="268"/>
        <v>0</v>
      </c>
      <c r="AL683">
        <f t="shared" si="276"/>
        <v>0</v>
      </c>
      <c r="AM683">
        <f t="shared" ca="1" si="269"/>
        <v>280.07692026646265</v>
      </c>
      <c r="AN683" t="str">
        <f t="shared" ca="1" si="270"/>
        <v>Supercritical</v>
      </c>
      <c r="AO683">
        <f ca="1">IF(V32="Supercritical",R683,AA683)</f>
        <v>482.07306851378365</v>
      </c>
    </row>
    <row r="684" spans="1:41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174</v>
      </c>
      <c r="I684">
        <v>2.7E-2</v>
      </c>
      <c r="J684">
        <f t="shared" si="271"/>
        <v>0.99900000000002365</v>
      </c>
      <c r="K684">
        <f t="shared" si="272"/>
        <v>51</v>
      </c>
      <c r="L684">
        <f t="shared" ca="1" si="273"/>
        <v>38818.78240304497</v>
      </c>
      <c r="M684">
        <f t="shared" ca="1" si="251"/>
        <v>201857.66849583384</v>
      </c>
      <c r="N684">
        <f t="shared" ca="1" si="252"/>
        <v>2.5998258691581402</v>
      </c>
      <c r="O684">
        <f t="shared" ca="1" si="253"/>
        <v>2.5265326990068051E-4</v>
      </c>
      <c r="P684">
        <f t="shared" ca="1" si="254"/>
        <v>39451.077403044968</v>
      </c>
      <c r="Q684">
        <f t="shared" ca="1" si="255"/>
        <v>39451.077403048221</v>
      </c>
      <c r="R684">
        <f t="shared" ca="1" si="256"/>
        <v>4.0176615652703124E-12</v>
      </c>
      <c r="S684">
        <f t="shared" ca="1" si="274"/>
        <v>1.1559800121176522E-2</v>
      </c>
      <c r="T684">
        <f t="shared" ca="1" si="275"/>
        <v>0</v>
      </c>
      <c r="U684">
        <f t="shared" ca="1" si="257"/>
        <v>0.05</v>
      </c>
      <c r="V684">
        <f t="shared" ca="1" si="258"/>
        <v>0.26</v>
      </c>
      <c r="W684">
        <f t="shared" ca="1" si="259"/>
        <v>4.9056603773584909E-2</v>
      </c>
      <c r="X684">
        <f t="shared" ca="1" si="260"/>
        <v>196.15384615384616</v>
      </c>
      <c r="Y684">
        <f t="shared" ca="1" si="261"/>
        <v>632.34499999999991</v>
      </c>
      <c r="Z684">
        <f t="shared" ca="1" si="262"/>
        <v>2593.4220316486621</v>
      </c>
      <c r="AA684">
        <f t="shared" ca="1" si="263"/>
        <v>482.07306851378365</v>
      </c>
      <c r="AB684">
        <f t="shared" ca="1" si="264"/>
        <v>482.16081698020798</v>
      </c>
      <c r="AC684">
        <f t="shared" ca="1" si="265"/>
        <v>0</v>
      </c>
      <c r="AD684">
        <f ca="1">IF(V32="Supercritical",L684,U684)</f>
        <v>0.05</v>
      </c>
      <c r="AE684">
        <f t="shared" ca="1" si="266"/>
        <v>632.34499999999991</v>
      </c>
      <c r="AF684">
        <f t="shared" ca="1" si="267"/>
        <v>2593.4220316486621</v>
      </c>
      <c r="AI684">
        <v>0</v>
      </c>
      <c r="AJ684">
        <v>0</v>
      </c>
      <c r="AK684">
        <f t="shared" si="268"/>
        <v>0</v>
      </c>
      <c r="AL684">
        <f t="shared" si="276"/>
        <v>0</v>
      </c>
      <c r="AM684">
        <f t="shared" ca="1" si="269"/>
        <v>280.07692026646265</v>
      </c>
      <c r="AN684" t="str">
        <f t="shared" ca="1" si="270"/>
        <v>Supercritical</v>
      </c>
      <c r="AO684">
        <f ca="1">IF(V32="Supercritical",R684,AA684)</f>
        <v>482.07306851378365</v>
      </c>
    </row>
    <row r="685" spans="1:41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174</v>
      </c>
      <c r="I685">
        <v>2.7E-2</v>
      </c>
      <c r="J685">
        <f t="shared" si="271"/>
        <v>1</v>
      </c>
      <c r="K685">
        <f t="shared" si="272"/>
        <v>51</v>
      </c>
      <c r="L685">
        <f t="shared" ca="1" si="273"/>
        <v>38818.78240304497</v>
      </c>
      <c r="M685">
        <f t="shared" ca="1" si="251"/>
        <v>201857.66849583384</v>
      </c>
      <c r="N685">
        <f t="shared" ca="1" si="252"/>
        <v>2.5998258691581402</v>
      </c>
      <c r="O685">
        <f t="shared" ca="1" si="253"/>
        <v>2.5265326990068051E-4</v>
      </c>
      <c r="P685">
        <f t="shared" ca="1" si="254"/>
        <v>39451.076903044974</v>
      </c>
      <c r="Q685">
        <f t="shared" ca="1" si="255"/>
        <v>39451.076903048226</v>
      </c>
      <c r="R685">
        <f t="shared" ca="1" si="256"/>
        <v>4.0176615652703124E-12</v>
      </c>
      <c r="S685">
        <f t="shared" ca="1" si="274"/>
        <v>4.9999998736893758E-4</v>
      </c>
      <c r="T685">
        <f t="shared" ca="1" si="275"/>
        <v>1</v>
      </c>
      <c r="U685">
        <f t="shared" ca="1" si="257"/>
        <v>0.05</v>
      </c>
      <c r="V685">
        <f t="shared" ca="1" si="258"/>
        <v>0.26</v>
      </c>
      <c r="W685">
        <f t="shared" ca="1" si="259"/>
        <v>4.9056603773584909E-2</v>
      </c>
      <c r="X685">
        <f t="shared" ca="1" si="260"/>
        <v>196.15384615384616</v>
      </c>
      <c r="Y685">
        <f t="shared" ca="1" si="261"/>
        <v>632.34449999999993</v>
      </c>
      <c r="Z685">
        <f t="shared" ca="1" si="262"/>
        <v>2593.421531648662</v>
      </c>
      <c r="AA685">
        <f t="shared" ca="1" si="263"/>
        <v>482.07306851378365</v>
      </c>
      <c r="AB685">
        <f t="shared" ca="1" si="264"/>
        <v>482.16081698020798</v>
      </c>
      <c r="AC685">
        <f t="shared" ca="1" si="265"/>
        <v>0</v>
      </c>
      <c r="AD685">
        <f ca="1">IF(V32="Supercritical",L685,U685)</f>
        <v>0.05</v>
      </c>
      <c r="AE685">
        <f t="shared" ca="1" si="266"/>
        <v>632.34449999999993</v>
      </c>
      <c r="AF685">
        <f t="shared" ca="1" si="267"/>
        <v>2593.421531648662</v>
      </c>
      <c r="AI685">
        <v>0</v>
      </c>
      <c r="AJ685">
        <v>0</v>
      </c>
      <c r="AK685">
        <f t="shared" si="268"/>
        <v>0</v>
      </c>
      <c r="AL685">
        <f t="shared" si="276"/>
        <v>0</v>
      </c>
      <c r="AM685">
        <f t="shared" ca="1" si="269"/>
        <v>280.07692026646265</v>
      </c>
      <c r="AN685" t="str">
        <f t="shared" ca="1" si="270"/>
        <v>Supercritical</v>
      </c>
      <c r="AO685">
        <f ca="1">IF(V32="Supercritical",R685,AA685)</f>
        <v>482.07306851378365</v>
      </c>
    </row>
    <row r="686" spans="1:41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174</v>
      </c>
      <c r="I686">
        <v>2.7E-2</v>
      </c>
      <c r="J686">
        <f t="shared" si="271"/>
        <v>1</v>
      </c>
      <c r="K686">
        <f t="shared" si="272"/>
        <v>51</v>
      </c>
      <c r="L686">
        <f t="shared" ca="1" si="273"/>
        <v>38818.771328013223</v>
      </c>
      <c r="M686">
        <f t="shared" ca="1" si="251"/>
        <v>201857.61090566876</v>
      </c>
      <c r="N686">
        <f t="shared" ca="1" si="252"/>
        <v>2.5998258691084639</v>
      </c>
      <c r="O686">
        <f t="shared" ca="1" si="253"/>
        <v>2.5265334198289457E-4</v>
      </c>
      <c r="P686">
        <f t="shared" ca="1" si="254"/>
        <v>39451.065328013225</v>
      </c>
      <c r="Q686">
        <f t="shared" ca="1" si="255"/>
        <v>39451.065328016477</v>
      </c>
      <c r="R686">
        <f t="shared" ca="1" si="256"/>
        <v>4.0176638578581963E-12</v>
      </c>
      <c r="S686">
        <f t="shared" ca="1" si="274"/>
        <v>1.1575031741813291E-2</v>
      </c>
      <c r="T686">
        <f t="shared" ca="1" si="275"/>
        <v>0</v>
      </c>
      <c r="U686">
        <f t="shared" ca="1" si="257"/>
        <v>0.05</v>
      </c>
      <c r="V686">
        <f t="shared" ca="1" si="258"/>
        <v>0.26</v>
      </c>
      <c r="W686">
        <f t="shared" ca="1" si="259"/>
        <v>4.9056603773584909E-2</v>
      </c>
      <c r="X686">
        <f t="shared" ca="1" si="260"/>
        <v>196.15384615384616</v>
      </c>
      <c r="Y686">
        <f t="shared" ca="1" si="261"/>
        <v>632.34399999999994</v>
      </c>
      <c r="Z686">
        <f t="shared" ca="1" si="262"/>
        <v>2593.4210316486619</v>
      </c>
      <c r="AA686">
        <f t="shared" ca="1" si="263"/>
        <v>482.07306851378365</v>
      </c>
      <c r="AB686">
        <f t="shared" ca="1" si="264"/>
        <v>482.32750852789832</v>
      </c>
      <c r="AC686">
        <f t="shared" ca="1" si="265"/>
        <v>0</v>
      </c>
      <c r="AD686">
        <f ca="1">IF(V32="Supercritical",L686,U686)</f>
        <v>0.05</v>
      </c>
      <c r="AE686">
        <f t="shared" ca="1" si="266"/>
        <v>632.34399999999994</v>
      </c>
      <c r="AF686">
        <f t="shared" ca="1" si="267"/>
        <v>2593.4210316486619</v>
      </c>
      <c r="AI686">
        <v>0</v>
      </c>
      <c r="AJ686">
        <v>0</v>
      </c>
      <c r="AK686">
        <f t="shared" si="268"/>
        <v>0</v>
      </c>
      <c r="AL686">
        <f t="shared" si="276"/>
        <v>0</v>
      </c>
      <c r="AM686">
        <f t="shared" ca="1" si="269"/>
        <v>280.07692026646265</v>
      </c>
      <c r="AN686" t="str">
        <f t="shared" ca="1" si="270"/>
        <v>Supercritical</v>
      </c>
      <c r="AO686">
        <f ca="1">IF(V32="Supercritical",R686,AA686)</f>
        <v>482.07306851378365</v>
      </c>
    </row>
    <row r="687" spans="1:41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174</v>
      </c>
      <c r="I687">
        <v>7.8E-2</v>
      </c>
      <c r="J687">
        <f t="shared" si="271"/>
        <v>1</v>
      </c>
      <c r="K687">
        <f t="shared" si="272"/>
        <v>51</v>
      </c>
      <c r="L687">
        <f t="shared" ca="1" si="273"/>
        <v>38818.771328013223</v>
      </c>
      <c r="M687">
        <f t="shared" ca="1" si="251"/>
        <v>201857.61090566876</v>
      </c>
      <c r="N687">
        <f t="shared" ca="1" si="252"/>
        <v>2.5998258691084639</v>
      </c>
      <c r="O687">
        <f t="shared" ca="1" si="253"/>
        <v>2.5265334198289457E-4</v>
      </c>
      <c r="P687">
        <f t="shared" ca="1" si="254"/>
        <v>39451.064828013223</v>
      </c>
      <c r="Q687">
        <f t="shared" ca="1" si="255"/>
        <v>39451.064828016475</v>
      </c>
      <c r="R687">
        <f t="shared" ca="1" si="256"/>
        <v>4.0176638578581963E-12</v>
      </c>
      <c r="S687">
        <f t="shared" ca="1" si="274"/>
        <v>4.999999946448952E-4</v>
      </c>
      <c r="T687">
        <f t="shared" ca="1" si="275"/>
        <v>1</v>
      </c>
      <c r="U687">
        <f t="shared" ca="1" si="257"/>
        <v>0.05</v>
      </c>
      <c r="V687">
        <f t="shared" ca="1" si="258"/>
        <v>0.26</v>
      </c>
      <c r="W687">
        <f t="shared" ca="1" si="259"/>
        <v>4.9056603773584909E-2</v>
      </c>
      <c r="X687">
        <f t="shared" ca="1" si="260"/>
        <v>196.15384615384616</v>
      </c>
      <c r="Y687">
        <f t="shared" ca="1" si="261"/>
        <v>632.34349999999995</v>
      </c>
      <c r="Z687">
        <f t="shared" ca="1" si="262"/>
        <v>2593.4205316486623</v>
      </c>
      <c r="AA687">
        <f t="shared" ca="1" si="263"/>
        <v>482.07306851378365</v>
      </c>
      <c r="AB687">
        <f t="shared" ca="1" si="264"/>
        <v>482.23599159975447</v>
      </c>
      <c r="AC687">
        <f t="shared" ca="1" si="265"/>
        <v>0</v>
      </c>
      <c r="AD687">
        <f ca="1">IF(V32="Supercritical",L687,U687)</f>
        <v>0.05</v>
      </c>
      <c r="AE687">
        <f t="shared" ca="1" si="266"/>
        <v>632.34349999999995</v>
      </c>
      <c r="AF687">
        <f t="shared" ca="1" si="267"/>
        <v>2593.4205316486623</v>
      </c>
      <c r="AI687">
        <v>0</v>
      </c>
      <c r="AJ687">
        <v>0</v>
      </c>
      <c r="AK687">
        <f t="shared" si="268"/>
        <v>0</v>
      </c>
      <c r="AL687">
        <f t="shared" si="276"/>
        <v>0</v>
      </c>
      <c r="AM687">
        <f t="shared" ca="1" si="269"/>
        <v>280.07692026646265</v>
      </c>
      <c r="AN687" t="str">
        <f t="shared" ca="1" si="270"/>
        <v>Supercritical</v>
      </c>
      <c r="AO687">
        <f ca="1">IF(V32="Supercritical",R687,AA687)</f>
        <v>482.07306851378365</v>
      </c>
    </row>
    <row r="688" spans="1:41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174</v>
      </c>
      <c r="I688">
        <v>0.05</v>
      </c>
      <c r="J688">
        <f t="shared" si="271"/>
        <v>1</v>
      </c>
      <c r="K688">
        <f t="shared" si="272"/>
        <v>51</v>
      </c>
      <c r="L688">
        <f t="shared" ca="1" si="273"/>
        <v>38818.760232563829</v>
      </c>
      <c r="M688">
        <f t="shared" ca="1" si="251"/>
        <v>201857.55320933191</v>
      </c>
      <c r="N688">
        <f t="shared" ca="1" si="252"/>
        <v>2.5998258690586962</v>
      </c>
      <c r="O688">
        <f t="shared" ca="1" si="253"/>
        <v>2.5265341419803886E-4</v>
      </c>
      <c r="P688">
        <f t="shared" ca="1" si="254"/>
        <v>39451.053232563827</v>
      </c>
      <c r="Q688">
        <f t="shared" ca="1" si="255"/>
        <v>39451.053232567079</v>
      </c>
      <c r="R688">
        <f t="shared" ca="1" si="256"/>
        <v>4.0176661546746056E-12</v>
      </c>
      <c r="S688">
        <f t="shared" ca="1" si="274"/>
        <v>1.159544938855106E-2</v>
      </c>
      <c r="T688">
        <f t="shared" ca="1" si="275"/>
        <v>0</v>
      </c>
      <c r="U688">
        <f t="shared" ca="1" si="257"/>
        <v>0.05</v>
      </c>
      <c r="V688">
        <f t="shared" ca="1" si="258"/>
        <v>0.26</v>
      </c>
      <c r="W688">
        <f t="shared" ca="1" si="259"/>
        <v>4.9056603773584909E-2</v>
      </c>
      <c r="X688">
        <f t="shared" ca="1" si="260"/>
        <v>196.15384615384616</v>
      </c>
      <c r="Y688">
        <f t="shared" ca="1" si="261"/>
        <v>632.34299999999996</v>
      </c>
      <c r="Z688">
        <f t="shared" ca="1" si="262"/>
        <v>2593.4200316486622</v>
      </c>
      <c r="AA688">
        <f t="shared" ca="1" si="263"/>
        <v>482.07306851378365</v>
      </c>
      <c r="AB688">
        <f t="shared" ca="1" si="264"/>
        <v>482.16081698020798</v>
      </c>
      <c r="AC688">
        <f t="shared" ca="1" si="265"/>
        <v>0</v>
      </c>
      <c r="AD688">
        <f ca="1">IF(V32="Supercritical",L688,U688)</f>
        <v>0.05</v>
      </c>
      <c r="AE688">
        <f t="shared" ca="1" si="266"/>
        <v>632.34299999999996</v>
      </c>
      <c r="AF688">
        <f t="shared" ca="1" si="267"/>
        <v>2593.4200316486622</v>
      </c>
      <c r="AI688">
        <v>0</v>
      </c>
      <c r="AJ688">
        <v>0</v>
      </c>
      <c r="AK688">
        <f t="shared" si="268"/>
        <v>0</v>
      </c>
      <c r="AL688">
        <f t="shared" si="276"/>
        <v>0</v>
      </c>
      <c r="AM688">
        <f t="shared" ca="1" si="269"/>
        <v>280.07692026646265</v>
      </c>
      <c r="AN688" t="str">
        <f t="shared" ca="1" si="270"/>
        <v>Supercritical</v>
      </c>
      <c r="AO688">
        <f ca="1">IF(V32="Supercritical",R688,AA688)</f>
        <v>482.07306851378365</v>
      </c>
    </row>
    <row r="689" spans="1:41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174</v>
      </c>
      <c r="I689">
        <v>2.7E-2</v>
      </c>
      <c r="J689">
        <f t="shared" si="271"/>
        <v>1</v>
      </c>
      <c r="K689">
        <f t="shared" si="272"/>
        <v>51</v>
      </c>
      <c r="L689">
        <f t="shared" ca="1" si="273"/>
        <v>38818.760232563829</v>
      </c>
      <c r="M689">
        <f t="shared" ca="1" si="251"/>
        <v>201857.55320933191</v>
      </c>
      <c r="N689">
        <f t="shared" ca="1" si="252"/>
        <v>2.5998258690586962</v>
      </c>
      <c r="O689">
        <f t="shared" ca="1" si="253"/>
        <v>2.5265341419803886E-4</v>
      </c>
      <c r="P689">
        <f t="shared" ca="1" si="254"/>
        <v>39451.052732563832</v>
      </c>
      <c r="Q689">
        <f t="shared" ca="1" si="255"/>
        <v>39451.052732567085</v>
      </c>
      <c r="R689">
        <f t="shared" ca="1" si="256"/>
        <v>4.0176661546746056E-12</v>
      </c>
      <c r="S689">
        <f t="shared" ca="1" si="274"/>
        <v>4.9999998736893758E-4</v>
      </c>
      <c r="T689">
        <f t="shared" ca="1" si="275"/>
        <v>1</v>
      </c>
      <c r="U689">
        <f t="shared" ca="1" si="257"/>
        <v>0.05</v>
      </c>
      <c r="V689">
        <f t="shared" ca="1" si="258"/>
        <v>0.26</v>
      </c>
      <c r="W689">
        <f t="shared" ca="1" si="259"/>
        <v>4.9056603773584909E-2</v>
      </c>
      <c r="X689">
        <f t="shared" ca="1" si="260"/>
        <v>196.15384615384616</v>
      </c>
      <c r="Y689">
        <f t="shared" ca="1" si="261"/>
        <v>632.34249999999997</v>
      </c>
      <c r="Z689">
        <f t="shared" ca="1" si="262"/>
        <v>2593.4195316486621</v>
      </c>
      <c r="AA689">
        <f t="shared" ca="1" si="263"/>
        <v>482.07306851378365</v>
      </c>
      <c r="AB689">
        <f t="shared" ca="1" si="264"/>
        <v>482.16081698020798</v>
      </c>
      <c r="AC689">
        <f t="shared" ca="1" si="265"/>
        <v>0</v>
      </c>
      <c r="AD689">
        <f ca="1">IF(V32="Supercritical",L689,U689)</f>
        <v>0.05</v>
      </c>
      <c r="AE689">
        <f t="shared" ca="1" si="266"/>
        <v>632.34249999999997</v>
      </c>
      <c r="AF689">
        <f t="shared" ca="1" si="267"/>
        <v>2593.4195316486621</v>
      </c>
      <c r="AI689">
        <v>0</v>
      </c>
      <c r="AJ689">
        <v>0</v>
      </c>
      <c r="AK689">
        <f t="shared" si="268"/>
        <v>0</v>
      </c>
      <c r="AL689">
        <f t="shared" si="276"/>
        <v>0</v>
      </c>
      <c r="AM689">
        <f t="shared" ca="1" si="269"/>
        <v>280.07692026646265</v>
      </c>
      <c r="AN689" t="str">
        <f t="shared" ca="1" si="270"/>
        <v>Supercritical</v>
      </c>
      <c r="AO689">
        <f ca="1">IF(V32="Supercritical",R689,AA689)</f>
        <v>482.07306851378365</v>
      </c>
    </row>
    <row r="690" spans="1:41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174</v>
      </c>
      <c r="I690">
        <v>2.7E-2</v>
      </c>
      <c r="J690">
        <f t="shared" si="271"/>
        <v>1</v>
      </c>
      <c r="K690">
        <f t="shared" si="272"/>
        <v>51</v>
      </c>
      <c r="L690">
        <f t="shared" ca="1" si="273"/>
        <v>38818.749111363817</v>
      </c>
      <c r="M690">
        <f t="shared" ca="1" si="251"/>
        <v>201857.49537909185</v>
      </c>
      <c r="N690">
        <f t="shared" ca="1" si="252"/>
        <v>2.5998258690088125</v>
      </c>
      <c r="O690">
        <f t="shared" ca="1" si="253"/>
        <v>2.5265348658082336E-4</v>
      </c>
      <c r="P690">
        <f t="shared" ca="1" si="254"/>
        <v>39451.041111363818</v>
      </c>
      <c r="Q690">
        <f t="shared" ca="1" si="255"/>
        <v>39451.041111367071</v>
      </c>
      <c r="R690">
        <f t="shared" ca="1" si="256"/>
        <v>4.0176684568235043E-12</v>
      </c>
      <c r="S690">
        <f t="shared" ca="1" si="274"/>
        <v>1.1621200006629806E-2</v>
      </c>
      <c r="T690">
        <f t="shared" ca="1" si="275"/>
        <v>0</v>
      </c>
      <c r="U690">
        <f t="shared" ca="1" si="257"/>
        <v>0.05</v>
      </c>
      <c r="V690">
        <f t="shared" ca="1" si="258"/>
        <v>0.26</v>
      </c>
      <c r="W690">
        <f t="shared" ca="1" si="259"/>
        <v>4.9056603773584909E-2</v>
      </c>
      <c r="X690">
        <f t="shared" ca="1" si="260"/>
        <v>196.15384615384616</v>
      </c>
      <c r="Y690">
        <f t="shared" ca="1" si="261"/>
        <v>632.34199999999998</v>
      </c>
      <c r="Z690">
        <f t="shared" ca="1" si="262"/>
        <v>2593.419031648662</v>
      </c>
      <c r="AA690">
        <f t="shared" ca="1" si="263"/>
        <v>482.07306851378365</v>
      </c>
      <c r="AB690">
        <f t="shared" ca="1" si="264"/>
        <v>482.1477431333301</v>
      </c>
      <c r="AC690">
        <f t="shared" ca="1" si="265"/>
        <v>0</v>
      </c>
      <c r="AD690">
        <f ca="1">IF(V32="Supercritical",L690,U690)</f>
        <v>0.05</v>
      </c>
      <c r="AE690">
        <f t="shared" ca="1" si="266"/>
        <v>632.34199999999998</v>
      </c>
      <c r="AF690">
        <f t="shared" ca="1" si="267"/>
        <v>2593.419031648662</v>
      </c>
      <c r="AI690">
        <v>0</v>
      </c>
      <c r="AJ690">
        <v>0</v>
      </c>
      <c r="AK690">
        <f t="shared" si="268"/>
        <v>0</v>
      </c>
      <c r="AL690">
        <f t="shared" si="276"/>
        <v>0</v>
      </c>
      <c r="AM690">
        <f t="shared" ca="1" si="269"/>
        <v>280.07692026646265</v>
      </c>
      <c r="AN690" t="str">
        <f t="shared" ca="1" si="270"/>
        <v>Supercritical</v>
      </c>
      <c r="AO690">
        <f ca="1">IF(V32="Supercritical",R690,AA690)</f>
        <v>482.07306851378365</v>
      </c>
    </row>
    <row r="691" spans="1:41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174</v>
      </c>
      <c r="I691">
        <v>2.3E-2</v>
      </c>
      <c r="J691">
        <f t="shared" si="271"/>
        <v>1</v>
      </c>
      <c r="K691">
        <f t="shared" si="272"/>
        <v>51</v>
      </c>
      <c r="L691">
        <f t="shared" ca="1" si="273"/>
        <v>38818.749111363817</v>
      </c>
      <c r="M691">
        <f t="shared" ca="1" si="251"/>
        <v>201857.49537909185</v>
      </c>
      <c r="N691">
        <f t="shared" ca="1" si="252"/>
        <v>2.5998258690088125</v>
      </c>
      <c r="O691">
        <f t="shared" ca="1" si="253"/>
        <v>2.5265348658082336E-4</v>
      </c>
      <c r="P691">
        <f t="shared" ca="1" si="254"/>
        <v>39451.040611363816</v>
      </c>
      <c r="Q691">
        <f t="shared" ca="1" si="255"/>
        <v>39451.040611367069</v>
      </c>
      <c r="R691">
        <f t="shared" ca="1" si="256"/>
        <v>4.0176684568235043E-12</v>
      </c>
      <c r="S691">
        <f t="shared" ca="1" si="274"/>
        <v>4.999999946448952E-4</v>
      </c>
      <c r="T691">
        <f t="shared" ca="1" si="275"/>
        <v>1</v>
      </c>
      <c r="U691">
        <f t="shared" ca="1" si="257"/>
        <v>0.05</v>
      </c>
      <c r="V691">
        <f t="shared" ca="1" si="258"/>
        <v>0.26</v>
      </c>
      <c r="W691">
        <f t="shared" ca="1" si="259"/>
        <v>4.9056603773584909E-2</v>
      </c>
      <c r="X691">
        <f t="shared" ca="1" si="260"/>
        <v>196.15384615384616</v>
      </c>
      <c r="Y691">
        <f t="shared" ca="1" si="261"/>
        <v>632.3415</v>
      </c>
      <c r="Z691">
        <f t="shared" ca="1" si="262"/>
        <v>2593.4185316486619</v>
      </c>
      <c r="AA691">
        <f t="shared" ca="1" si="263"/>
        <v>482.07306851378365</v>
      </c>
      <c r="AB691">
        <f t="shared" ca="1" si="264"/>
        <v>482.62981620183291</v>
      </c>
      <c r="AC691">
        <f t="shared" ca="1" si="265"/>
        <v>0</v>
      </c>
      <c r="AD691">
        <f ca="1">IF(V32="Supercritical",L691,U691)</f>
        <v>0.05</v>
      </c>
      <c r="AE691">
        <f t="shared" ca="1" si="266"/>
        <v>632.3415</v>
      </c>
      <c r="AF691">
        <f t="shared" ca="1" si="267"/>
        <v>2593.4185316486619</v>
      </c>
      <c r="AI691">
        <v>0</v>
      </c>
      <c r="AJ691">
        <v>0</v>
      </c>
      <c r="AK691">
        <f t="shared" si="268"/>
        <v>0</v>
      </c>
      <c r="AL691">
        <f t="shared" si="276"/>
        <v>0</v>
      </c>
      <c r="AM691">
        <f t="shared" ca="1" si="269"/>
        <v>280.07692026646265</v>
      </c>
      <c r="AN691" t="str">
        <f t="shared" ca="1" si="270"/>
        <v>Supercritical</v>
      </c>
      <c r="AO691">
        <f ca="1">IF(V32="Supercritical",R691,AA691)</f>
        <v>482.07306851378365</v>
      </c>
    </row>
    <row r="692" spans="1:41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174</v>
      </c>
      <c r="I692">
        <v>2.3E-2</v>
      </c>
      <c r="J692">
        <f t="shared" si="271"/>
        <v>1.0009999999999764</v>
      </c>
      <c r="K692">
        <f t="shared" si="272"/>
        <v>51</v>
      </c>
      <c r="L692">
        <f t="shared" ca="1" si="273"/>
        <v>38818.737959035367</v>
      </c>
      <c r="M692">
        <f t="shared" ca="1" si="251"/>
        <v>201857.43738698392</v>
      </c>
      <c r="N692">
        <f t="shared" ca="1" si="252"/>
        <v>2.5998258689587894</v>
      </c>
      <c r="O692">
        <f t="shared" ca="1" si="253"/>
        <v>2.5265355916625028E-4</v>
      </c>
      <c r="P692">
        <f t="shared" ca="1" si="254"/>
        <v>39451.028959035364</v>
      </c>
      <c r="Q692">
        <f t="shared" ca="1" si="255"/>
        <v>39451.028959038616</v>
      </c>
      <c r="R692">
        <f t="shared" ca="1" si="256"/>
        <v>4.0176707654181456E-12</v>
      </c>
      <c r="S692">
        <f t="shared" ca="1" si="274"/>
        <v>1.1652328445052262E-2</v>
      </c>
      <c r="T692">
        <f t="shared" ca="1" si="275"/>
        <v>0</v>
      </c>
      <c r="U692">
        <f t="shared" ca="1" si="257"/>
        <v>0.05</v>
      </c>
      <c r="V692">
        <f t="shared" ca="1" si="258"/>
        <v>0.26</v>
      </c>
      <c r="W692">
        <f t="shared" ca="1" si="259"/>
        <v>4.9056603773584909E-2</v>
      </c>
      <c r="X692">
        <f t="shared" ca="1" si="260"/>
        <v>196.15384615384616</v>
      </c>
      <c r="Y692">
        <f t="shared" ca="1" si="261"/>
        <v>632.34100000000001</v>
      </c>
      <c r="Z692">
        <f t="shared" ca="1" si="262"/>
        <v>2593.4180316486622</v>
      </c>
      <c r="AA692">
        <f t="shared" ca="1" si="263"/>
        <v>482.07306851378365</v>
      </c>
      <c r="AB692">
        <f t="shared" ca="1" si="264"/>
        <v>481.59049544528125</v>
      </c>
      <c r="AC692">
        <f t="shared" ca="1" si="265"/>
        <v>0</v>
      </c>
      <c r="AD692">
        <f ca="1">IF(V32="Supercritical",L692,U692)</f>
        <v>0.05</v>
      </c>
      <c r="AE692">
        <f t="shared" ca="1" si="266"/>
        <v>632.34100000000001</v>
      </c>
      <c r="AF692">
        <f t="shared" ca="1" si="267"/>
        <v>2593.4180316486622</v>
      </c>
      <c r="AI692">
        <v>0</v>
      </c>
      <c r="AJ692">
        <v>0</v>
      </c>
      <c r="AK692">
        <f t="shared" si="268"/>
        <v>0</v>
      </c>
      <c r="AL692">
        <f t="shared" si="276"/>
        <v>0</v>
      </c>
      <c r="AM692">
        <f t="shared" ca="1" si="269"/>
        <v>280.07692026646265</v>
      </c>
      <c r="AN692" t="str">
        <f t="shared" ca="1" si="270"/>
        <v>Supercritical</v>
      </c>
      <c r="AO692">
        <f ca="1">IF(V32="Supercritical",R692,AA692)</f>
        <v>482.07306851378365</v>
      </c>
    </row>
    <row r="693" spans="1:41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174</v>
      </c>
      <c r="I693">
        <v>0</v>
      </c>
      <c r="J693">
        <f t="shared" si="271"/>
        <v>0.99900000000002365</v>
      </c>
      <c r="K693">
        <f t="shared" si="272"/>
        <v>51</v>
      </c>
      <c r="L693">
        <f t="shared" ca="1" si="273"/>
        <v>38818.737959035367</v>
      </c>
      <c r="M693">
        <f t="shared" ca="1" si="251"/>
        <v>201857.43738698392</v>
      </c>
      <c r="N693">
        <f t="shared" ca="1" si="252"/>
        <v>2.5998258689587894</v>
      </c>
      <c r="O693">
        <f t="shared" ca="1" si="253"/>
        <v>2.5265355916625028E-4</v>
      </c>
      <c r="P693">
        <f t="shared" ca="1" si="254"/>
        <v>39451.028459035369</v>
      </c>
      <c r="Q693">
        <f t="shared" ca="1" si="255"/>
        <v>39451.028459038622</v>
      </c>
      <c r="R693">
        <f t="shared" ca="1" si="256"/>
        <v>4.0176707654181456E-12</v>
      </c>
      <c r="S693">
        <f t="shared" ca="1" si="274"/>
        <v>4.9999998736893758E-4</v>
      </c>
      <c r="T693">
        <f t="shared" ca="1" si="275"/>
        <v>1</v>
      </c>
      <c r="U693">
        <f t="shared" ca="1" si="257"/>
        <v>0.05</v>
      </c>
      <c r="V693">
        <f t="shared" ca="1" si="258"/>
        <v>0.26</v>
      </c>
      <c r="W693">
        <f t="shared" ca="1" si="259"/>
        <v>4.9056603773584909E-2</v>
      </c>
      <c r="X693">
        <f t="shared" ca="1" si="260"/>
        <v>196.15384615384616</v>
      </c>
      <c r="Y693">
        <f t="shared" ca="1" si="261"/>
        <v>632.34049999999991</v>
      </c>
      <c r="Z693">
        <f t="shared" ca="1" si="262"/>
        <v>2593.4175316486621</v>
      </c>
      <c r="AA693">
        <f t="shared" ca="1" si="263"/>
        <v>482.07306851378365</v>
      </c>
      <c r="AB693">
        <f t="shared" ca="1" si="264"/>
        <v>482.16081698020798</v>
      </c>
      <c r="AC693">
        <f t="shared" ca="1" si="265"/>
        <v>0</v>
      </c>
      <c r="AD693">
        <f ca="1">IF(V32="Supercritical",L693,U693)</f>
        <v>0.05</v>
      </c>
      <c r="AE693">
        <f t="shared" ca="1" si="266"/>
        <v>632.34049999999991</v>
      </c>
      <c r="AF693">
        <f t="shared" ca="1" si="267"/>
        <v>2593.4175316486621</v>
      </c>
      <c r="AI693">
        <v>0</v>
      </c>
      <c r="AJ693">
        <v>0</v>
      </c>
      <c r="AK693">
        <f t="shared" si="268"/>
        <v>0</v>
      </c>
      <c r="AL693">
        <f t="shared" si="276"/>
        <v>0</v>
      </c>
      <c r="AM693">
        <f t="shared" ca="1" si="269"/>
        <v>280.07692026646265</v>
      </c>
      <c r="AN693" t="str">
        <f t="shared" ca="1" si="270"/>
        <v>Supercritical</v>
      </c>
      <c r="AO693">
        <f ca="1">IF(V32="Supercritical",R693,AA693)</f>
        <v>482.07306851378365</v>
      </c>
    </row>
    <row r="694" spans="1:41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174</v>
      </c>
      <c r="I694">
        <v>2.7E-2</v>
      </c>
      <c r="J694">
        <f t="shared" si="271"/>
        <v>1</v>
      </c>
      <c r="K694">
        <f t="shared" si="272"/>
        <v>51</v>
      </c>
      <c r="L694">
        <f t="shared" ca="1" si="273"/>
        <v>38818.726770267975</v>
      </c>
      <c r="M694">
        <f t="shared" ca="1" si="251"/>
        <v>201857.37920539349</v>
      </c>
      <c r="N694">
        <f t="shared" ca="1" si="252"/>
        <v>2.5998258689086029</v>
      </c>
      <c r="O694">
        <f t="shared" ca="1" si="253"/>
        <v>2.5265363198888352E-4</v>
      </c>
      <c r="P694">
        <f t="shared" ca="1" si="254"/>
        <v>39451.016770267976</v>
      </c>
      <c r="Q694">
        <f t="shared" ca="1" si="255"/>
        <v>39451.016770271228</v>
      </c>
      <c r="R694">
        <f t="shared" ca="1" si="256"/>
        <v>4.0176730815578519E-12</v>
      </c>
      <c r="S694">
        <f t="shared" ca="1" si="274"/>
        <v>1.1688767386658583E-2</v>
      </c>
      <c r="T694">
        <f t="shared" ca="1" si="275"/>
        <v>0</v>
      </c>
      <c r="U694">
        <f t="shared" ca="1" si="257"/>
        <v>0.05</v>
      </c>
      <c r="V694">
        <f t="shared" ca="1" si="258"/>
        <v>0.26</v>
      </c>
      <c r="W694">
        <f t="shared" ca="1" si="259"/>
        <v>4.9056603773584909E-2</v>
      </c>
      <c r="X694">
        <f t="shared" ca="1" si="260"/>
        <v>196.15384615384616</v>
      </c>
      <c r="Y694">
        <f t="shared" ca="1" si="261"/>
        <v>632.33999999999992</v>
      </c>
      <c r="Z694">
        <f t="shared" ca="1" si="262"/>
        <v>2593.417031648662</v>
      </c>
      <c r="AA694">
        <f t="shared" ca="1" si="263"/>
        <v>482.07306851378365</v>
      </c>
      <c r="AB694">
        <f t="shared" ca="1" si="264"/>
        <v>482.32750852789786</v>
      </c>
      <c r="AC694">
        <f t="shared" ca="1" si="265"/>
        <v>0</v>
      </c>
      <c r="AD694">
        <f ca="1">IF(V32="Supercritical",L694,U694)</f>
        <v>0.05</v>
      </c>
      <c r="AE694">
        <f t="shared" ca="1" si="266"/>
        <v>632.33999999999992</v>
      </c>
      <c r="AF694">
        <f t="shared" ca="1" si="267"/>
        <v>2593.417031648662</v>
      </c>
      <c r="AI694">
        <v>0</v>
      </c>
      <c r="AJ694">
        <v>0</v>
      </c>
      <c r="AK694">
        <f t="shared" si="268"/>
        <v>0</v>
      </c>
      <c r="AL694">
        <f t="shared" si="276"/>
        <v>0</v>
      </c>
      <c r="AM694">
        <f t="shared" ca="1" si="269"/>
        <v>280.07692026646265</v>
      </c>
      <c r="AN694" t="str">
        <f t="shared" ca="1" si="270"/>
        <v>Supercritical</v>
      </c>
      <c r="AO694">
        <f ca="1">IF(V32="Supercritical",R694,AA694)</f>
        <v>482.07306851378365</v>
      </c>
    </row>
    <row r="695" spans="1:41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174</v>
      </c>
      <c r="I695">
        <v>7.8E-2</v>
      </c>
      <c r="J695">
        <f t="shared" si="271"/>
        <v>1</v>
      </c>
      <c r="K695">
        <f t="shared" si="272"/>
        <v>51</v>
      </c>
      <c r="L695">
        <f t="shared" ca="1" si="273"/>
        <v>38818.726770267975</v>
      </c>
      <c r="M695">
        <f t="shared" ca="1" si="251"/>
        <v>201857.37920539349</v>
      </c>
      <c r="N695">
        <f t="shared" ca="1" si="252"/>
        <v>2.5998258689086029</v>
      </c>
      <c r="O695">
        <f t="shared" ca="1" si="253"/>
        <v>2.5265363198888352E-4</v>
      </c>
      <c r="P695">
        <f t="shared" ca="1" si="254"/>
        <v>39451.016270267974</v>
      </c>
      <c r="Q695">
        <f t="shared" ca="1" si="255"/>
        <v>39451.016270271226</v>
      </c>
      <c r="R695">
        <f t="shared" ca="1" si="256"/>
        <v>4.0176730815578519E-12</v>
      </c>
      <c r="S695">
        <f t="shared" ca="1" si="274"/>
        <v>4.999999946448952E-4</v>
      </c>
      <c r="T695">
        <f t="shared" ca="1" si="275"/>
        <v>1</v>
      </c>
      <c r="U695">
        <f t="shared" ca="1" si="257"/>
        <v>0.05</v>
      </c>
      <c r="V695">
        <f t="shared" ca="1" si="258"/>
        <v>0.26</v>
      </c>
      <c r="W695">
        <f t="shared" ca="1" si="259"/>
        <v>4.9056603773584909E-2</v>
      </c>
      <c r="X695">
        <f t="shared" ca="1" si="260"/>
        <v>196.15384615384616</v>
      </c>
      <c r="Y695">
        <f t="shared" ca="1" si="261"/>
        <v>632.33949999999993</v>
      </c>
      <c r="Z695">
        <f t="shared" ca="1" si="262"/>
        <v>2593.4165316486619</v>
      </c>
      <c r="AA695">
        <f t="shared" ca="1" si="263"/>
        <v>482.07306851378365</v>
      </c>
      <c r="AB695">
        <f t="shared" ca="1" si="264"/>
        <v>482.32750852789832</v>
      </c>
      <c r="AC695">
        <f t="shared" ca="1" si="265"/>
        <v>0</v>
      </c>
      <c r="AD695">
        <f ca="1">IF(V32="Supercritical",L695,U695)</f>
        <v>0.05</v>
      </c>
      <c r="AE695">
        <f t="shared" ca="1" si="266"/>
        <v>632.33949999999993</v>
      </c>
      <c r="AF695">
        <f t="shared" ca="1" si="267"/>
        <v>2593.4165316486619</v>
      </c>
      <c r="AI695">
        <v>0</v>
      </c>
      <c r="AJ695">
        <v>0</v>
      </c>
      <c r="AK695">
        <f t="shared" si="268"/>
        <v>0</v>
      </c>
      <c r="AL695">
        <f t="shared" si="276"/>
        <v>0</v>
      </c>
      <c r="AM695">
        <f t="shared" ca="1" si="269"/>
        <v>280.07692026646265</v>
      </c>
      <c r="AN695" t="str">
        <f t="shared" ca="1" si="270"/>
        <v>Supercritical</v>
      </c>
      <c r="AO695">
        <f ca="1">IF(V32="Supercritical",R695,AA695)</f>
        <v>482.07306851378365</v>
      </c>
    </row>
    <row r="696" spans="1:41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174</v>
      </c>
      <c r="I696">
        <v>7.8E-2</v>
      </c>
      <c r="J696">
        <f t="shared" si="271"/>
        <v>1</v>
      </c>
      <c r="K696">
        <f t="shared" si="272"/>
        <v>51</v>
      </c>
      <c r="L696">
        <f t="shared" ca="1" si="273"/>
        <v>38818.71553993885</v>
      </c>
      <c r="M696">
        <f t="shared" ca="1" si="251"/>
        <v>201857.32080768203</v>
      </c>
      <c r="N696">
        <f t="shared" ca="1" si="252"/>
        <v>2.5998258688582299</v>
      </c>
      <c r="O696">
        <f t="shared" ca="1" si="253"/>
        <v>2.5265370508206558E-4</v>
      </c>
      <c r="P696">
        <f t="shared" ca="1" si="254"/>
        <v>39451.004539938847</v>
      </c>
      <c r="Q696">
        <f t="shared" ca="1" si="255"/>
        <v>39451.0045399421</v>
      </c>
      <c r="R696">
        <f t="shared" ca="1" si="256"/>
        <v>4.0176754063030921E-12</v>
      </c>
      <c r="S696">
        <f t="shared" ca="1" si="274"/>
        <v>1.1730329119018279E-2</v>
      </c>
      <c r="T696">
        <f t="shared" ca="1" si="275"/>
        <v>0</v>
      </c>
      <c r="U696">
        <f t="shared" ca="1" si="257"/>
        <v>0.05</v>
      </c>
      <c r="V696">
        <f t="shared" ca="1" si="258"/>
        <v>0.26</v>
      </c>
      <c r="W696">
        <f t="shared" ca="1" si="259"/>
        <v>4.9056603773584909E-2</v>
      </c>
      <c r="X696">
        <f t="shared" ca="1" si="260"/>
        <v>196.15384615384616</v>
      </c>
      <c r="Y696">
        <f t="shared" ca="1" si="261"/>
        <v>632.33899999999994</v>
      </c>
      <c r="Z696">
        <f t="shared" ca="1" si="262"/>
        <v>2593.4160316486623</v>
      </c>
      <c r="AA696">
        <f t="shared" ca="1" si="263"/>
        <v>482.07306851378365</v>
      </c>
      <c r="AB696">
        <f t="shared" ca="1" si="264"/>
        <v>482.64289004871034</v>
      </c>
      <c r="AC696">
        <f t="shared" ca="1" si="265"/>
        <v>0</v>
      </c>
      <c r="AD696">
        <f ca="1">IF(V32="Supercritical",L696,U696)</f>
        <v>0.05</v>
      </c>
      <c r="AE696">
        <f t="shared" ca="1" si="266"/>
        <v>632.33899999999994</v>
      </c>
      <c r="AF696">
        <f t="shared" ca="1" si="267"/>
        <v>2593.4160316486623</v>
      </c>
      <c r="AI696">
        <v>0</v>
      </c>
      <c r="AJ696">
        <v>0</v>
      </c>
      <c r="AK696">
        <f t="shared" si="268"/>
        <v>0</v>
      </c>
      <c r="AL696">
        <f t="shared" si="276"/>
        <v>0</v>
      </c>
      <c r="AM696">
        <f t="shared" ca="1" si="269"/>
        <v>280.07692026646265</v>
      </c>
      <c r="AN696" t="str">
        <f t="shared" ca="1" si="270"/>
        <v>Supercritical</v>
      </c>
      <c r="AO696">
        <f ca="1">IF(V32="Supercritical",R696,AA696)</f>
        <v>482.07306851378365</v>
      </c>
    </row>
    <row r="697" spans="1:41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174</v>
      </c>
      <c r="I697">
        <v>2.7E-2</v>
      </c>
      <c r="J697">
        <f t="shared" si="271"/>
        <v>1.0009999999999764</v>
      </c>
      <c r="K697">
        <f t="shared" si="272"/>
        <v>51</v>
      </c>
      <c r="L697">
        <f t="shared" ca="1" si="273"/>
        <v>38818.71553993885</v>
      </c>
      <c r="M697">
        <f t="shared" ca="1" si="251"/>
        <v>201857.32080768203</v>
      </c>
      <c r="N697">
        <f t="shared" ca="1" si="252"/>
        <v>2.5998258688582299</v>
      </c>
      <c r="O697">
        <f t="shared" ca="1" si="253"/>
        <v>2.5265370508206558E-4</v>
      </c>
      <c r="P697">
        <f t="shared" ca="1" si="254"/>
        <v>39451.004039938853</v>
      </c>
      <c r="Q697">
        <f t="shared" ca="1" si="255"/>
        <v>39451.004039942105</v>
      </c>
      <c r="R697">
        <f t="shared" ca="1" si="256"/>
        <v>4.0176754063030921E-12</v>
      </c>
      <c r="S697">
        <f t="shared" ca="1" si="274"/>
        <v>4.9999998736893758E-4</v>
      </c>
      <c r="T697">
        <f t="shared" ca="1" si="275"/>
        <v>1</v>
      </c>
      <c r="U697">
        <f t="shared" ca="1" si="257"/>
        <v>0.05</v>
      </c>
      <c r="V697">
        <f t="shared" ca="1" si="258"/>
        <v>0.26</v>
      </c>
      <c r="W697">
        <f t="shared" ca="1" si="259"/>
        <v>4.9056603773584909E-2</v>
      </c>
      <c r="X697">
        <f t="shared" ca="1" si="260"/>
        <v>196.15384615384616</v>
      </c>
      <c r="Y697">
        <f t="shared" ca="1" si="261"/>
        <v>632.33849999999995</v>
      </c>
      <c r="Z697">
        <f t="shared" ca="1" si="262"/>
        <v>2593.4155316486622</v>
      </c>
      <c r="AA697">
        <f t="shared" ca="1" si="263"/>
        <v>482.07306851378365</v>
      </c>
      <c r="AB697">
        <f t="shared" ca="1" si="264"/>
        <v>481.59049544528125</v>
      </c>
      <c r="AC697">
        <f t="shared" ca="1" si="265"/>
        <v>0</v>
      </c>
      <c r="AD697">
        <f ca="1">IF(V32="Supercritical",L697,U697)</f>
        <v>0.05</v>
      </c>
      <c r="AE697">
        <f t="shared" ca="1" si="266"/>
        <v>632.33849999999995</v>
      </c>
      <c r="AF697">
        <f t="shared" ca="1" si="267"/>
        <v>2593.4155316486622</v>
      </c>
      <c r="AI697">
        <v>0</v>
      </c>
      <c r="AJ697">
        <v>0</v>
      </c>
      <c r="AK697">
        <f t="shared" si="268"/>
        <v>0</v>
      </c>
      <c r="AL697">
        <f t="shared" si="276"/>
        <v>0</v>
      </c>
      <c r="AM697">
        <f t="shared" ca="1" si="269"/>
        <v>280.07692026646265</v>
      </c>
      <c r="AN697" t="str">
        <f t="shared" ca="1" si="270"/>
        <v>Supercritical</v>
      </c>
      <c r="AO697">
        <f ca="1">IF(V32="Supercritical",R697,AA697)</f>
        <v>482.07306851378365</v>
      </c>
    </row>
    <row r="698" spans="1:41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174</v>
      </c>
      <c r="I698">
        <v>0</v>
      </c>
      <c r="J698">
        <f t="shared" si="271"/>
        <v>0.99900000000002365</v>
      </c>
      <c r="K698">
        <f t="shared" si="272"/>
        <v>51</v>
      </c>
      <c r="L698">
        <f t="shared" ca="1" si="273"/>
        <v>38818.704263238913</v>
      </c>
      <c r="M698">
        <f t="shared" ca="1" si="251"/>
        <v>201857.26216884237</v>
      </c>
      <c r="N698">
        <f t="shared" ca="1" si="252"/>
        <v>2.599825868807649</v>
      </c>
      <c r="O698">
        <f t="shared" ca="1" si="253"/>
        <v>2.5265377847709706E-4</v>
      </c>
      <c r="P698">
        <f t="shared" ca="1" si="254"/>
        <v>39450.992263238913</v>
      </c>
      <c r="Q698">
        <f t="shared" ca="1" si="255"/>
        <v>39450.992263242166</v>
      </c>
      <c r="R698">
        <f t="shared" ca="1" si="256"/>
        <v>4.0176777406493991E-12</v>
      </c>
      <c r="S698">
        <f t="shared" ca="1" si="274"/>
        <v>1.1776699931942858E-2</v>
      </c>
      <c r="T698">
        <f t="shared" ca="1" si="275"/>
        <v>0</v>
      </c>
      <c r="U698">
        <f t="shared" ca="1" si="257"/>
        <v>0.05</v>
      </c>
      <c r="V698">
        <f t="shared" ca="1" si="258"/>
        <v>0.26</v>
      </c>
      <c r="W698">
        <f t="shared" ca="1" si="259"/>
        <v>4.9056603773584909E-2</v>
      </c>
      <c r="X698">
        <f t="shared" ca="1" si="260"/>
        <v>196.15384615384616</v>
      </c>
      <c r="Y698">
        <f t="shared" ca="1" si="261"/>
        <v>632.33799999999997</v>
      </c>
      <c r="Z698">
        <f t="shared" ca="1" si="262"/>
        <v>2593.4150316486621</v>
      </c>
      <c r="AA698">
        <f t="shared" ca="1" si="263"/>
        <v>482.07306851378365</v>
      </c>
      <c r="AB698">
        <f t="shared" ca="1" si="264"/>
        <v>482.16081698020798</v>
      </c>
      <c r="AC698">
        <f t="shared" ca="1" si="265"/>
        <v>0</v>
      </c>
      <c r="AD698">
        <f ca="1">IF(V32="Supercritical",L698,U698)</f>
        <v>0.05</v>
      </c>
      <c r="AE698">
        <f t="shared" ca="1" si="266"/>
        <v>632.33799999999997</v>
      </c>
      <c r="AF698">
        <f t="shared" ca="1" si="267"/>
        <v>2593.4150316486621</v>
      </c>
      <c r="AI698">
        <v>0</v>
      </c>
      <c r="AJ698">
        <v>0</v>
      </c>
      <c r="AK698">
        <f t="shared" si="268"/>
        <v>0</v>
      </c>
      <c r="AL698">
        <f t="shared" si="276"/>
        <v>0</v>
      </c>
      <c r="AM698">
        <f t="shared" ca="1" si="269"/>
        <v>280.07692026646265</v>
      </c>
      <c r="AN698" t="str">
        <f t="shared" ca="1" si="270"/>
        <v>Supercritical</v>
      </c>
      <c r="AO698">
        <f ca="1">IF(V32="Supercritical",R698,AA698)</f>
        <v>482.07306851378365</v>
      </c>
    </row>
    <row r="699" spans="1:41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174</v>
      </c>
      <c r="I699">
        <v>2.7E-2</v>
      </c>
      <c r="J699">
        <f t="shared" si="271"/>
        <v>1</v>
      </c>
      <c r="K699">
        <f t="shared" si="272"/>
        <v>51</v>
      </c>
      <c r="L699">
        <f t="shared" ca="1" si="273"/>
        <v>38818.704263238913</v>
      </c>
      <c r="M699">
        <f t="shared" ca="1" si="251"/>
        <v>201857.26216884237</v>
      </c>
      <c r="N699">
        <f t="shared" ca="1" si="252"/>
        <v>2.599825868807649</v>
      </c>
      <c r="O699">
        <f t="shared" ca="1" si="253"/>
        <v>2.5265377847709706E-4</v>
      </c>
      <c r="P699">
        <f t="shared" ca="1" si="254"/>
        <v>39450.991763238912</v>
      </c>
      <c r="Q699">
        <f t="shared" ca="1" si="255"/>
        <v>39450.991763242164</v>
      </c>
      <c r="R699">
        <f t="shared" ca="1" si="256"/>
        <v>4.0176777406493991E-12</v>
      </c>
      <c r="S699">
        <f t="shared" ca="1" si="274"/>
        <v>4.999999946448952E-4</v>
      </c>
      <c r="T699">
        <f t="shared" ca="1" si="275"/>
        <v>1</v>
      </c>
      <c r="U699">
        <f t="shared" ca="1" si="257"/>
        <v>0.05</v>
      </c>
      <c r="V699">
        <f t="shared" ca="1" si="258"/>
        <v>0.26</v>
      </c>
      <c r="W699">
        <f t="shared" ca="1" si="259"/>
        <v>4.9056603773584909E-2</v>
      </c>
      <c r="X699">
        <f t="shared" ca="1" si="260"/>
        <v>196.15384615384616</v>
      </c>
      <c r="Y699">
        <f t="shared" ca="1" si="261"/>
        <v>632.33749999999998</v>
      </c>
      <c r="Z699">
        <f t="shared" ca="1" si="262"/>
        <v>2593.414531648662</v>
      </c>
      <c r="AA699">
        <f t="shared" ca="1" si="263"/>
        <v>482.07306851378365</v>
      </c>
      <c r="AB699">
        <f t="shared" ca="1" si="264"/>
        <v>482.32750852789786</v>
      </c>
      <c r="AC699">
        <f t="shared" ca="1" si="265"/>
        <v>0</v>
      </c>
      <c r="AD699">
        <f ca="1">IF(V32="Supercritical",L699,U699)</f>
        <v>0.05</v>
      </c>
      <c r="AE699">
        <f t="shared" ca="1" si="266"/>
        <v>632.33749999999998</v>
      </c>
      <c r="AF699">
        <f t="shared" ca="1" si="267"/>
        <v>2593.414531648662</v>
      </c>
      <c r="AI699">
        <v>0</v>
      </c>
      <c r="AJ699">
        <v>0</v>
      </c>
      <c r="AK699">
        <f t="shared" si="268"/>
        <v>0</v>
      </c>
      <c r="AL699">
        <f t="shared" si="276"/>
        <v>0</v>
      </c>
      <c r="AM699">
        <f t="shared" ca="1" si="269"/>
        <v>280.07692026646265</v>
      </c>
      <c r="AN699" t="str">
        <f t="shared" ca="1" si="270"/>
        <v>Supercritical</v>
      </c>
      <c r="AO699">
        <f ca="1">IF(V32="Supercritical",R699,AA699)</f>
        <v>482.07306851378365</v>
      </c>
    </row>
    <row r="700" spans="1:41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174</v>
      </c>
      <c r="I700">
        <v>7.8E-2</v>
      </c>
      <c r="J700">
        <f t="shared" si="271"/>
        <v>1</v>
      </c>
      <c r="K700">
        <f t="shared" si="272"/>
        <v>51</v>
      </c>
      <c r="L700">
        <f t="shared" ca="1" si="273"/>
        <v>38818.692935801868</v>
      </c>
      <c r="M700">
        <f t="shared" ca="1" si="251"/>
        <v>201857.20326616973</v>
      </c>
      <c r="N700">
        <f t="shared" ca="1" si="252"/>
        <v>2.5998258687568399</v>
      </c>
      <c r="O700">
        <f t="shared" ca="1" si="253"/>
        <v>2.5265385220239674E-4</v>
      </c>
      <c r="P700">
        <f t="shared" ca="1" si="254"/>
        <v>39450.979935801864</v>
      </c>
      <c r="Q700">
        <f t="shared" ca="1" si="255"/>
        <v>39450.979935805117</v>
      </c>
      <c r="R700">
        <f t="shared" ca="1" si="256"/>
        <v>4.0176800855006462E-12</v>
      </c>
      <c r="S700">
        <f t="shared" ca="1" si="274"/>
        <v>1.182743703975575E-2</v>
      </c>
      <c r="T700">
        <f t="shared" ca="1" si="275"/>
        <v>0</v>
      </c>
      <c r="U700">
        <f t="shared" ca="1" si="257"/>
        <v>0.05</v>
      </c>
      <c r="V700">
        <f t="shared" ca="1" si="258"/>
        <v>0.26</v>
      </c>
      <c r="W700">
        <f t="shared" ca="1" si="259"/>
        <v>4.9056603773584909E-2</v>
      </c>
      <c r="X700">
        <f t="shared" ca="1" si="260"/>
        <v>196.15384615384616</v>
      </c>
      <c r="Y700">
        <f t="shared" ca="1" si="261"/>
        <v>632.33699999999999</v>
      </c>
      <c r="Z700">
        <f t="shared" ca="1" si="262"/>
        <v>2593.4140316486619</v>
      </c>
      <c r="AA700">
        <f t="shared" ca="1" si="263"/>
        <v>482.07306851378365</v>
      </c>
      <c r="AB700">
        <f t="shared" ca="1" si="264"/>
        <v>482.32750852789832</v>
      </c>
      <c r="AC700">
        <f t="shared" ca="1" si="265"/>
        <v>0</v>
      </c>
      <c r="AD700">
        <f ca="1">IF(V32="Supercritical",L700,U700)</f>
        <v>0.05</v>
      </c>
      <c r="AE700">
        <f t="shared" ca="1" si="266"/>
        <v>632.33699999999999</v>
      </c>
      <c r="AF700">
        <f t="shared" ca="1" si="267"/>
        <v>2593.4140316486619</v>
      </c>
      <c r="AI700">
        <v>0</v>
      </c>
      <c r="AJ700">
        <v>0</v>
      </c>
      <c r="AK700">
        <f t="shared" si="268"/>
        <v>0</v>
      </c>
      <c r="AL700">
        <f t="shared" si="276"/>
        <v>0</v>
      </c>
      <c r="AM700">
        <f t="shared" ca="1" si="269"/>
        <v>280.07692026646265</v>
      </c>
      <c r="AN700" t="str">
        <f t="shared" ca="1" si="270"/>
        <v>Supercritical</v>
      </c>
      <c r="AO700">
        <f ca="1">IF(V32="Supercritical",R700,AA700)</f>
        <v>482.07306851378365</v>
      </c>
    </row>
    <row r="701" spans="1:41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174</v>
      </c>
      <c r="I701">
        <v>7.8E-2</v>
      </c>
      <c r="J701">
        <f t="shared" si="271"/>
        <v>1</v>
      </c>
      <c r="K701">
        <f t="shared" si="272"/>
        <v>51</v>
      </c>
      <c r="L701">
        <f t="shared" ca="1" si="273"/>
        <v>38818.692935801868</v>
      </c>
      <c r="M701">
        <f t="shared" ca="1" si="251"/>
        <v>201857.20326616973</v>
      </c>
      <c r="N701">
        <f t="shared" ca="1" si="252"/>
        <v>2.5998258687568399</v>
      </c>
      <c r="O701">
        <f t="shared" ca="1" si="253"/>
        <v>2.5265385220239674E-4</v>
      </c>
      <c r="P701">
        <f t="shared" ca="1" si="254"/>
        <v>39450.97943580187</v>
      </c>
      <c r="Q701">
        <f t="shared" ca="1" si="255"/>
        <v>39450.979435805122</v>
      </c>
      <c r="R701">
        <f t="shared" ca="1" si="256"/>
        <v>4.0176800855006462E-12</v>
      </c>
      <c r="S701">
        <f t="shared" ca="1" si="274"/>
        <v>4.9999998736893758E-4</v>
      </c>
      <c r="T701">
        <f t="shared" ca="1" si="275"/>
        <v>1</v>
      </c>
      <c r="U701">
        <f t="shared" ca="1" si="257"/>
        <v>0.05</v>
      </c>
      <c r="V701">
        <f t="shared" ca="1" si="258"/>
        <v>0.26</v>
      </c>
      <c r="W701">
        <f t="shared" ca="1" si="259"/>
        <v>4.9056603773584909E-2</v>
      </c>
      <c r="X701">
        <f t="shared" ca="1" si="260"/>
        <v>196.15384615384616</v>
      </c>
      <c r="Y701">
        <f t="shared" ca="1" si="261"/>
        <v>632.3365</v>
      </c>
      <c r="Z701">
        <f t="shared" ca="1" si="262"/>
        <v>2593.4135316486622</v>
      </c>
      <c r="AA701">
        <f t="shared" ca="1" si="263"/>
        <v>482.07306851378365</v>
      </c>
      <c r="AB701">
        <f t="shared" ca="1" si="264"/>
        <v>482.64289004871034</v>
      </c>
      <c r="AC701">
        <f t="shared" ca="1" si="265"/>
        <v>0</v>
      </c>
      <c r="AD701">
        <f ca="1">IF(V32="Supercritical",L701,U701)</f>
        <v>0.05</v>
      </c>
      <c r="AE701">
        <f t="shared" ca="1" si="266"/>
        <v>632.3365</v>
      </c>
      <c r="AF701">
        <f t="shared" ca="1" si="267"/>
        <v>2593.4135316486622</v>
      </c>
      <c r="AI701">
        <v>0</v>
      </c>
      <c r="AJ701">
        <v>0</v>
      </c>
      <c r="AK701">
        <f t="shared" si="268"/>
        <v>0</v>
      </c>
      <c r="AL701">
        <f t="shared" si="276"/>
        <v>0</v>
      </c>
      <c r="AM701">
        <f t="shared" ca="1" si="269"/>
        <v>280.07692026646265</v>
      </c>
      <c r="AN701" t="str">
        <f t="shared" ca="1" si="270"/>
        <v>Supercritical</v>
      </c>
      <c r="AO701">
        <f ca="1">IF(V32="Supercritical",R701,AA701)</f>
        <v>482.07306851378365</v>
      </c>
    </row>
    <row r="702" spans="1:41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174</v>
      </c>
      <c r="I702">
        <v>2.7E-2</v>
      </c>
      <c r="J702">
        <f t="shared" si="271"/>
        <v>1.0009999999999764</v>
      </c>
      <c r="K702">
        <f t="shared" si="272"/>
        <v>51</v>
      </c>
      <c r="L702">
        <f t="shared" ca="1" si="273"/>
        <v>38818.68155383366</v>
      </c>
      <c r="M702">
        <f t="shared" ca="1" si="251"/>
        <v>201857.14407993504</v>
      </c>
      <c r="N702">
        <f t="shared" ca="1" si="252"/>
        <v>2.5998258687057865</v>
      </c>
      <c r="O702">
        <f t="shared" ca="1" si="253"/>
        <v>2.5265392628265906E-4</v>
      </c>
      <c r="P702">
        <f t="shared" ca="1" si="254"/>
        <v>39450.96755383366</v>
      </c>
      <c r="Q702">
        <f t="shared" ca="1" si="255"/>
        <v>39450.967553836912</v>
      </c>
      <c r="R702">
        <f t="shared" ca="1" si="256"/>
        <v>4.0176824416422609E-12</v>
      </c>
      <c r="S702">
        <f t="shared" ca="1" si="274"/>
        <v>1.1881968202942517E-2</v>
      </c>
      <c r="T702">
        <f t="shared" ca="1" si="275"/>
        <v>0</v>
      </c>
      <c r="U702">
        <f t="shared" ca="1" si="257"/>
        <v>0.05</v>
      </c>
      <c r="V702">
        <f t="shared" ca="1" si="258"/>
        <v>0.26</v>
      </c>
      <c r="W702">
        <f t="shared" ca="1" si="259"/>
        <v>4.9056603773584909E-2</v>
      </c>
      <c r="X702">
        <f t="shared" ca="1" si="260"/>
        <v>196.15384615384616</v>
      </c>
      <c r="Y702">
        <f t="shared" ca="1" si="261"/>
        <v>632.3359999999999</v>
      </c>
      <c r="Z702">
        <f t="shared" ca="1" si="262"/>
        <v>2593.4130316486621</v>
      </c>
      <c r="AA702">
        <f t="shared" ca="1" si="263"/>
        <v>482.07306851378365</v>
      </c>
      <c r="AB702">
        <f t="shared" ca="1" si="264"/>
        <v>481.59049544528125</v>
      </c>
      <c r="AC702">
        <f t="shared" ca="1" si="265"/>
        <v>0</v>
      </c>
      <c r="AD702">
        <f ca="1">IF(V32="Supercritical",L702,U702)</f>
        <v>0.05</v>
      </c>
      <c r="AE702">
        <f t="shared" ca="1" si="266"/>
        <v>632.3359999999999</v>
      </c>
      <c r="AF702">
        <f t="shared" ca="1" si="267"/>
        <v>2593.4130316486621</v>
      </c>
      <c r="AI702">
        <v>0</v>
      </c>
      <c r="AJ702">
        <v>0</v>
      </c>
      <c r="AK702">
        <f t="shared" si="268"/>
        <v>0</v>
      </c>
      <c r="AL702">
        <f t="shared" si="276"/>
        <v>0</v>
      </c>
      <c r="AM702">
        <f t="shared" ca="1" si="269"/>
        <v>280.07692026646265</v>
      </c>
      <c r="AN702" t="str">
        <f t="shared" ca="1" si="270"/>
        <v>Supercritical</v>
      </c>
      <c r="AO702">
        <f ca="1">IF(V32="Supercritical",R702,AA702)</f>
        <v>482.07306851378365</v>
      </c>
    </row>
    <row r="703" spans="1:41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174</v>
      </c>
      <c r="I703">
        <v>0</v>
      </c>
      <c r="J703">
        <f t="shared" si="271"/>
        <v>0.99900000000002365</v>
      </c>
      <c r="K703">
        <f t="shared" si="272"/>
        <v>51</v>
      </c>
      <c r="L703">
        <f t="shared" ca="1" si="273"/>
        <v>38818.68155383366</v>
      </c>
      <c r="M703">
        <f t="shared" ca="1" si="251"/>
        <v>201857.14407993504</v>
      </c>
      <c r="N703">
        <f t="shared" ca="1" si="252"/>
        <v>2.5998258687057865</v>
      </c>
      <c r="O703">
        <f t="shared" ca="1" si="253"/>
        <v>2.5265392628265906E-4</v>
      </c>
      <c r="P703">
        <f t="shared" ca="1" si="254"/>
        <v>39450.967053833658</v>
      </c>
      <c r="Q703">
        <f t="shared" ca="1" si="255"/>
        <v>39450.96705383691</v>
      </c>
      <c r="R703">
        <f t="shared" ca="1" si="256"/>
        <v>4.0176824416422609E-12</v>
      </c>
      <c r="S703">
        <f t="shared" ca="1" si="274"/>
        <v>4.999999946448952E-4</v>
      </c>
      <c r="T703">
        <f t="shared" ca="1" si="275"/>
        <v>1</v>
      </c>
      <c r="U703">
        <f t="shared" ca="1" si="257"/>
        <v>0.05</v>
      </c>
      <c r="V703">
        <f t="shared" ca="1" si="258"/>
        <v>0.26</v>
      </c>
      <c r="W703">
        <f t="shared" ca="1" si="259"/>
        <v>4.9056603773584909E-2</v>
      </c>
      <c r="X703">
        <f t="shared" ca="1" si="260"/>
        <v>196.15384615384616</v>
      </c>
      <c r="Y703">
        <f t="shared" ca="1" si="261"/>
        <v>632.33549999999991</v>
      </c>
      <c r="Z703">
        <f t="shared" ca="1" si="262"/>
        <v>2593.412531648662</v>
      </c>
      <c r="AA703">
        <f t="shared" ca="1" si="263"/>
        <v>482.07306851378365</v>
      </c>
      <c r="AB703">
        <f t="shared" ca="1" si="264"/>
        <v>482.1477431333301</v>
      </c>
      <c r="AC703">
        <f t="shared" ca="1" si="265"/>
        <v>0</v>
      </c>
      <c r="AD703">
        <f ca="1">IF(V32="Supercritical",L703,U703)</f>
        <v>0.05</v>
      </c>
      <c r="AE703">
        <f t="shared" ca="1" si="266"/>
        <v>632.33549999999991</v>
      </c>
      <c r="AF703">
        <f t="shared" ca="1" si="267"/>
        <v>2593.412531648662</v>
      </c>
      <c r="AI703">
        <v>0</v>
      </c>
      <c r="AJ703">
        <v>0</v>
      </c>
      <c r="AK703">
        <f t="shared" si="268"/>
        <v>0</v>
      </c>
      <c r="AL703">
        <f t="shared" si="276"/>
        <v>0</v>
      </c>
      <c r="AM703">
        <f t="shared" ca="1" si="269"/>
        <v>280.07692026646265</v>
      </c>
      <c r="AN703" t="str">
        <f t="shared" ca="1" si="270"/>
        <v>Supercritical</v>
      </c>
      <c r="AO703">
        <f ca="1">IF(V32="Supercritical",R703,AA703)</f>
        <v>482.07306851378365</v>
      </c>
    </row>
    <row r="704" spans="1:41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174</v>
      </c>
      <c r="I704">
        <v>2.3E-2</v>
      </c>
      <c r="J704">
        <f t="shared" si="271"/>
        <v>1</v>
      </c>
      <c r="K704">
        <f t="shared" si="272"/>
        <v>51</v>
      </c>
      <c r="L704">
        <f t="shared" ca="1" si="273"/>
        <v>38818.670114239365</v>
      </c>
      <c r="M704">
        <f t="shared" ca="1" si="251"/>
        <v>201857.08459404472</v>
      </c>
      <c r="N704">
        <f t="shared" ca="1" si="252"/>
        <v>2.5998258686544751</v>
      </c>
      <c r="O704">
        <f t="shared" ca="1" si="253"/>
        <v>2.5265400073802823E-4</v>
      </c>
      <c r="P704">
        <f t="shared" ca="1" si="254"/>
        <v>39450.955114239368</v>
      </c>
      <c r="Q704">
        <f t="shared" ca="1" si="255"/>
        <v>39450.955114242621</v>
      </c>
      <c r="R704">
        <f t="shared" ca="1" si="256"/>
        <v>4.0176848097149348E-12</v>
      </c>
      <c r="S704">
        <f t="shared" ca="1" si="274"/>
        <v>1.1939594282011967E-2</v>
      </c>
      <c r="T704">
        <f t="shared" ca="1" si="275"/>
        <v>0</v>
      </c>
      <c r="U704">
        <f t="shared" ca="1" si="257"/>
        <v>0.05</v>
      </c>
      <c r="V704">
        <f t="shared" ca="1" si="258"/>
        <v>0.26</v>
      </c>
      <c r="W704">
        <f t="shared" ca="1" si="259"/>
        <v>4.9056603773584909E-2</v>
      </c>
      <c r="X704">
        <f t="shared" ca="1" si="260"/>
        <v>196.15384615384616</v>
      </c>
      <c r="Y704">
        <f t="shared" ca="1" si="261"/>
        <v>632.33499999999992</v>
      </c>
      <c r="Z704">
        <f t="shared" ca="1" si="262"/>
        <v>2593.4120316486619</v>
      </c>
      <c r="AA704">
        <f t="shared" ca="1" si="263"/>
        <v>482.07306851378365</v>
      </c>
      <c r="AB704">
        <f t="shared" ca="1" si="264"/>
        <v>482.62981620183291</v>
      </c>
      <c r="AC704">
        <f t="shared" ca="1" si="265"/>
        <v>0</v>
      </c>
      <c r="AD704">
        <f ca="1">IF(V32="Supercritical",L704,U704)</f>
        <v>0.05</v>
      </c>
      <c r="AE704">
        <f t="shared" ca="1" si="266"/>
        <v>632.33499999999992</v>
      </c>
      <c r="AF704">
        <f t="shared" ca="1" si="267"/>
        <v>2593.4120316486619</v>
      </c>
      <c r="AI704">
        <v>0</v>
      </c>
      <c r="AJ704">
        <v>0</v>
      </c>
      <c r="AK704">
        <f t="shared" si="268"/>
        <v>0</v>
      </c>
      <c r="AL704">
        <f t="shared" si="276"/>
        <v>0</v>
      </c>
      <c r="AM704">
        <f t="shared" ca="1" si="269"/>
        <v>280.07692026646265</v>
      </c>
      <c r="AN704" t="str">
        <f t="shared" ca="1" si="270"/>
        <v>Supercritical</v>
      </c>
      <c r="AO704">
        <f ca="1">IF(V32="Supercritical",R704,AA704)</f>
        <v>482.07306851378365</v>
      </c>
    </row>
    <row r="705" spans="1:41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174</v>
      </c>
      <c r="I705">
        <v>2.3E-2</v>
      </c>
      <c r="J705">
        <f t="shared" si="271"/>
        <v>1.0009999999999764</v>
      </c>
      <c r="K705">
        <f t="shared" si="272"/>
        <v>51</v>
      </c>
      <c r="L705">
        <f t="shared" ca="1" si="273"/>
        <v>38818.670114239365</v>
      </c>
      <c r="M705">
        <f t="shared" ca="1" si="251"/>
        <v>201857.08459404472</v>
      </c>
      <c r="N705">
        <f t="shared" ca="1" si="252"/>
        <v>2.5998258686544751</v>
      </c>
      <c r="O705">
        <f t="shared" ca="1" si="253"/>
        <v>2.5265400073802823E-4</v>
      </c>
      <c r="P705">
        <f t="shared" ca="1" si="254"/>
        <v>39450.954614239366</v>
      </c>
      <c r="Q705">
        <f t="shared" ca="1" si="255"/>
        <v>39450.954614242619</v>
      </c>
      <c r="R705">
        <f t="shared" ca="1" si="256"/>
        <v>4.0176848097149348E-12</v>
      </c>
      <c r="S705">
        <f t="shared" ca="1" si="274"/>
        <v>4.999999946448952E-4</v>
      </c>
      <c r="T705">
        <f t="shared" ca="1" si="275"/>
        <v>1</v>
      </c>
      <c r="U705">
        <f t="shared" ca="1" si="257"/>
        <v>0.05</v>
      </c>
      <c r="V705">
        <f t="shared" ca="1" si="258"/>
        <v>0.26</v>
      </c>
      <c r="W705">
        <f t="shared" ca="1" si="259"/>
        <v>4.9056603773584909E-2</v>
      </c>
      <c r="X705">
        <f t="shared" ca="1" si="260"/>
        <v>196.15384615384616</v>
      </c>
      <c r="Y705">
        <f t="shared" ca="1" si="261"/>
        <v>632.33449999999993</v>
      </c>
      <c r="Z705">
        <f t="shared" ca="1" si="262"/>
        <v>2593.4115316486623</v>
      </c>
      <c r="AA705">
        <f t="shared" ca="1" si="263"/>
        <v>482.07306851378365</v>
      </c>
      <c r="AB705">
        <f t="shared" ca="1" si="264"/>
        <v>481.67874391170562</v>
      </c>
      <c r="AC705">
        <f t="shared" ca="1" si="265"/>
        <v>0</v>
      </c>
      <c r="AD705">
        <f ca="1">IF(V32="Supercritical",L705,U705)</f>
        <v>0.05</v>
      </c>
      <c r="AE705">
        <f t="shared" ca="1" si="266"/>
        <v>632.33449999999993</v>
      </c>
      <c r="AF705">
        <f t="shared" ca="1" si="267"/>
        <v>2593.4115316486623</v>
      </c>
      <c r="AI705">
        <v>0</v>
      </c>
      <c r="AJ705">
        <v>0</v>
      </c>
      <c r="AK705">
        <f t="shared" si="268"/>
        <v>0</v>
      </c>
      <c r="AL705">
        <f t="shared" si="276"/>
        <v>0</v>
      </c>
      <c r="AM705">
        <f t="shared" ca="1" si="269"/>
        <v>280.07692026646265</v>
      </c>
      <c r="AN705" t="str">
        <f t="shared" ca="1" si="270"/>
        <v>Supercritical</v>
      </c>
      <c r="AO705">
        <f ca="1">IF(V32="Supercritical",R705,AA705)</f>
        <v>482.07306851378365</v>
      </c>
    </row>
    <row r="706" spans="1:41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174</v>
      </c>
      <c r="I706">
        <v>2.7E-2</v>
      </c>
      <c r="J706">
        <f t="shared" si="271"/>
        <v>0.99900000000002365</v>
      </c>
      <c r="K706">
        <f t="shared" si="272"/>
        <v>51</v>
      </c>
      <c r="L706">
        <f t="shared" ca="1" si="273"/>
        <v>38818.658614744971</v>
      </c>
      <c r="M706">
        <f t="shared" ca="1" si="251"/>
        <v>201857.02479667385</v>
      </c>
      <c r="N706">
        <f t="shared" ca="1" si="252"/>
        <v>2.5998258686028941</v>
      </c>
      <c r="O706">
        <f t="shared" ca="1" si="253"/>
        <v>2.5265407558330545E-4</v>
      </c>
      <c r="P706">
        <f t="shared" ca="1" si="254"/>
        <v>39450.94261474497</v>
      </c>
      <c r="Q706">
        <f t="shared" ca="1" si="255"/>
        <v>39450.942614748223</v>
      </c>
      <c r="R706">
        <f t="shared" ca="1" si="256"/>
        <v>4.0176871901894453E-12</v>
      </c>
      <c r="S706">
        <f t="shared" ca="1" si="274"/>
        <v>1.1999494388874155E-2</v>
      </c>
      <c r="T706">
        <f t="shared" ca="1" si="275"/>
        <v>0</v>
      </c>
      <c r="U706">
        <f t="shared" ca="1" si="257"/>
        <v>0.05</v>
      </c>
      <c r="V706">
        <f t="shared" ca="1" si="258"/>
        <v>0.26</v>
      </c>
      <c r="W706">
        <f t="shared" ca="1" si="259"/>
        <v>4.9056603773584909E-2</v>
      </c>
      <c r="X706">
        <f t="shared" ca="1" si="260"/>
        <v>196.15384615384616</v>
      </c>
      <c r="Y706">
        <f t="shared" ca="1" si="261"/>
        <v>632.33399999999995</v>
      </c>
      <c r="Z706">
        <f t="shared" ca="1" si="262"/>
        <v>2593.4110316486622</v>
      </c>
      <c r="AA706">
        <f t="shared" ca="1" si="263"/>
        <v>482.07306851378365</v>
      </c>
      <c r="AB706">
        <f t="shared" ca="1" si="264"/>
        <v>482.64289004871034</v>
      </c>
      <c r="AC706">
        <f t="shared" ca="1" si="265"/>
        <v>0</v>
      </c>
      <c r="AD706">
        <f ca="1">IF(V32="Supercritical",L706,U706)</f>
        <v>0.05</v>
      </c>
      <c r="AE706">
        <f t="shared" ca="1" si="266"/>
        <v>632.33399999999995</v>
      </c>
      <c r="AF706">
        <f t="shared" ca="1" si="267"/>
        <v>2593.4110316486622</v>
      </c>
      <c r="AI706">
        <v>0</v>
      </c>
      <c r="AJ706">
        <v>0</v>
      </c>
      <c r="AK706">
        <f t="shared" si="268"/>
        <v>0</v>
      </c>
      <c r="AL706">
        <f t="shared" si="276"/>
        <v>0</v>
      </c>
      <c r="AM706">
        <f t="shared" ca="1" si="269"/>
        <v>280.07692026646265</v>
      </c>
      <c r="AN706" t="str">
        <f t="shared" ca="1" si="270"/>
        <v>Supercritical</v>
      </c>
      <c r="AO706">
        <f ca="1">IF(V32="Supercritical",R706,AA706)</f>
        <v>482.07306851378365</v>
      </c>
    </row>
    <row r="707" spans="1:41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174</v>
      </c>
      <c r="I707">
        <v>2.7E-2</v>
      </c>
      <c r="J707">
        <f t="shared" si="271"/>
        <v>1.0009999999999764</v>
      </c>
      <c r="K707">
        <f t="shared" si="272"/>
        <v>51</v>
      </c>
      <c r="L707">
        <f t="shared" ca="1" si="273"/>
        <v>38818.658614744971</v>
      </c>
      <c r="M707">
        <f t="shared" ca="1" si="251"/>
        <v>201857.02479667385</v>
      </c>
      <c r="N707">
        <f t="shared" ca="1" si="252"/>
        <v>2.5998258686028941</v>
      </c>
      <c r="O707">
        <f t="shared" ca="1" si="253"/>
        <v>2.5265407558330545E-4</v>
      </c>
      <c r="P707">
        <f t="shared" ca="1" si="254"/>
        <v>39450.942114744968</v>
      </c>
      <c r="Q707">
        <f t="shared" ca="1" si="255"/>
        <v>39450.942114748221</v>
      </c>
      <c r="R707">
        <f t="shared" ca="1" si="256"/>
        <v>4.0176871901894453E-12</v>
      </c>
      <c r="S707">
        <f t="shared" ca="1" si="274"/>
        <v>4.999999946448952E-4</v>
      </c>
      <c r="T707">
        <f t="shared" ca="1" si="275"/>
        <v>1</v>
      </c>
      <c r="U707">
        <f t="shared" ca="1" si="257"/>
        <v>0.05</v>
      </c>
      <c r="V707">
        <f t="shared" ca="1" si="258"/>
        <v>0.26</v>
      </c>
      <c r="W707">
        <f t="shared" ca="1" si="259"/>
        <v>4.9056603773584909E-2</v>
      </c>
      <c r="X707">
        <f t="shared" ca="1" si="260"/>
        <v>196.15384615384616</v>
      </c>
      <c r="Y707">
        <f t="shared" ca="1" si="261"/>
        <v>632.33349999999996</v>
      </c>
      <c r="Z707">
        <f t="shared" ca="1" si="262"/>
        <v>2593.4105316486621</v>
      </c>
      <c r="AA707">
        <f t="shared" ca="1" si="263"/>
        <v>482.07306851378365</v>
      </c>
      <c r="AB707">
        <f t="shared" ca="1" si="264"/>
        <v>481.75391853125211</v>
      </c>
      <c r="AC707">
        <f t="shared" ca="1" si="265"/>
        <v>0</v>
      </c>
      <c r="AD707">
        <f ca="1">IF(V32="Supercritical",L707,U707)</f>
        <v>0.05</v>
      </c>
      <c r="AE707">
        <f t="shared" ca="1" si="266"/>
        <v>632.33349999999996</v>
      </c>
      <c r="AF707">
        <f t="shared" ca="1" si="267"/>
        <v>2593.4105316486621</v>
      </c>
      <c r="AI707">
        <v>0</v>
      </c>
      <c r="AJ707">
        <v>0</v>
      </c>
      <c r="AK707">
        <f t="shared" si="268"/>
        <v>0</v>
      </c>
      <c r="AL707">
        <f t="shared" si="276"/>
        <v>0</v>
      </c>
      <c r="AM707">
        <f t="shared" ca="1" si="269"/>
        <v>280.07692026646265</v>
      </c>
      <c r="AN707" t="str">
        <f t="shared" ca="1" si="270"/>
        <v>Supercritical</v>
      </c>
      <c r="AO707">
        <f ca="1">IF(V32="Supercritical",R707,AA707)</f>
        <v>482.07306851378365</v>
      </c>
    </row>
    <row r="708" spans="1:41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174</v>
      </c>
      <c r="I708">
        <v>0.05</v>
      </c>
      <c r="J708">
        <f t="shared" si="271"/>
        <v>0.99900000000002365</v>
      </c>
      <c r="K708">
        <f t="shared" si="272"/>
        <v>51</v>
      </c>
      <c r="L708">
        <f t="shared" ca="1" si="273"/>
        <v>38818.647054011177</v>
      </c>
      <c r="M708">
        <f t="shared" ca="1" si="251"/>
        <v>201856.96468085813</v>
      </c>
      <c r="N708">
        <f t="shared" ca="1" si="252"/>
        <v>2.5998258685510391</v>
      </c>
      <c r="O708">
        <f t="shared" ca="1" si="253"/>
        <v>2.5265415082720836E-4</v>
      </c>
      <c r="P708">
        <f t="shared" ca="1" si="254"/>
        <v>39450.93005401118</v>
      </c>
      <c r="Q708">
        <f t="shared" ca="1" si="255"/>
        <v>39450.930054014432</v>
      </c>
      <c r="R708">
        <f t="shared" ca="1" si="256"/>
        <v>4.0176895833430618E-12</v>
      </c>
      <c r="S708">
        <f t="shared" ca="1" si="274"/>
        <v>1.2060733781254385E-2</v>
      </c>
      <c r="T708">
        <f t="shared" ca="1" si="275"/>
        <v>0</v>
      </c>
      <c r="U708">
        <f t="shared" ca="1" si="257"/>
        <v>0.05</v>
      </c>
      <c r="V708">
        <f t="shared" ca="1" si="258"/>
        <v>0.26</v>
      </c>
      <c r="W708">
        <f t="shared" ca="1" si="259"/>
        <v>4.9056603773584909E-2</v>
      </c>
      <c r="X708">
        <f t="shared" ca="1" si="260"/>
        <v>196.15384615384616</v>
      </c>
      <c r="Y708">
        <f t="shared" ca="1" si="261"/>
        <v>632.33299999999997</v>
      </c>
      <c r="Z708">
        <f t="shared" ca="1" si="262"/>
        <v>2593.410031648662</v>
      </c>
      <c r="AA708">
        <f t="shared" ca="1" si="263"/>
        <v>482.07306851378365</v>
      </c>
      <c r="AB708">
        <f t="shared" ca="1" si="264"/>
        <v>482.32750852789786</v>
      </c>
      <c r="AC708">
        <f t="shared" ca="1" si="265"/>
        <v>0</v>
      </c>
      <c r="AD708">
        <f ca="1">IF(V32="Supercritical",L708,U708)</f>
        <v>0.05</v>
      </c>
      <c r="AE708">
        <f t="shared" ca="1" si="266"/>
        <v>632.33299999999997</v>
      </c>
      <c r="AF708">
        <f t="shared" ca="1" si="267"/>
        <v>2593.410031648662</v>
      </c>
      <c r="AI708">
        <v>0</v>
      </c>
      <c r="AJ708">
        <v>0</v>
      </c>
      <c r="AK708">
        <f t="shared" si="268"/>
        <v>0</v>
      </c>
      <c r="AL708">
        <f t="shared" si="276"/>
        <v>0</v>
      </c>
      <c r="AM708">
        <f t="shared" ca="1" si="269"/>
        <v>280.07692026646265</v>
      </c>
      <c r="AN708" t="str">
        <f t="shared" ca="1" si="270"/>
        <v>Supercritical</v>
      </c>
      <c r="AO708">
        <f ca="1">IF(V32="Supercritical",R708,AA708)</f>
        <v>482.07306851378365</v>
      </c>
    </row>
    <row r="709" spans="1:41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174</v>
      </c>
      <c r="I709">
        <v>7.8E-2</v>
      </c>
      <c r="J709">
        <f t="shared" si="271"/>
        <v>1</v>
      </c>
      <c r="K709">
        <f t="shared" si="272"/>
        <v>51</v>
      </c>
      <c r="L709">
        <f t="shared" ca="1" si="273"/>
        <v>38818.647054011177</v>
      </c>
      <c r="M709">
        <f t="shared" ca="1" si="251"/>
        <v>201856.96468085813</v>
      </c>
      <c r="N709">
        <f t="shared" ca="1" si="252"/>
        <v>2.5998258685510391</v>
      </c>
      <c r="O709">
        <f t="shared" ca="1" si="253"/>
        <v>2.5265415082720836E-4</v>
      </c>
      <c r="P709">
        <f t="shared" ca="1" si="254"/>
        <v>39450.929554011178</v>
      </c>
      <c r="Q709">
        <f t="shared" ca="1" si="255"/>
        <v>39450.92955401443</v>
      </c>
      <c r="R709">
        <f t="shared" ca="1" si="256"/>
        <v>4.0176895833430618E-12</v>
      </c>
      <c r="S709">
        <f t="shared" ca="1" si="274"/>
        <v>4.999999946448952E-4</v>
      </c>
      <c r="T709">
        <f t="shared" ca="1" si="275"/>
        <v>1</v>
      </c>
      <c r="U709">
        <f t="shared" ca="1" si="257"/>
        <v>0.05</v>
      </c>
      <c r="V709">
        <f t="shared" ca="1" si="258"/>
        <v>0.26</v>
      </c>
      <c r="W709">
        <f t="shared" ca="1" si="259"/>
        <v>4.9056603773584909E-2</v>
      </c>
      <c r="X709">
        <f t="shared" ca="1" si="260"/>
        <v>196.15384615384616</v>
      </c>
      <c r="Y709">
        <f t="shared" ca="1" si="261"/>
        <v>632.33249999999998</v>
      </c>
      <c r="Z709">
        <f t="shared" ca="1" si="262"/>
        <v>2593.4095316486619</v>
      </c>
      <c r="AA709">
        <f t="shared" ca="1" si="263"/>
        <v>482.07306851378365</v>
      </c>
      <c r="AB709">
        <f t="shared" ca="1" si="264"/>
        <v>482.6428900487108</v>
      </c>
      <c r="AC709">
        <f t="shared" ca="1" si="265"/>
        <v>0</v>
      </c>
      <c r="AD709">
        <f ca="1">IF(V32="Supercritical",L709,U709)</f>
        <v>0.05</v>
      </c>
      <c r="AE709">
        <f t="shared" ca="1" si="266"/>
        <v>632.33249999999998</v>
      </c>
      <c r="AF709">
        <f t="shared" ca="1" si="267"/>
        <v>2593.4095316486619</v>
      </c>
      <c r="AI709">
        <v>0</v>
      </c>
      <c r="AJ709">
        <v>0</v>
      </c>
      <c r="AK709">
        <f t="shared" si="268"/>
        <v>0</v>
      </c>
      <c r="AL709">
        <f t="shared" si="276"/>
        <v>0</v>
      </c>
      <c r="AM709">
        <f t="shared" ca="1" si="269"/>
        <v>280.07692026646265</v>
      </c>
      <c r="AN709" t="str">
        <f t="shared" ca="1" si="270"/>
        <v>Supercritical</v>
      </c>
      <c r="AO709">
        <f ca="1">IF(V32="Supercritical",R709,AA709)</f>
        <v>482.07306851378365</v>
      </c>
    </row>
    <row r="710" spans="1:41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174</v>
      </c>
      <c r="I710">
        <v>2.7E-2</v>
      </c>
      <c r="J710">
        <f t="shared" si="271"/>
        <v>1.0009999999999764</v>
      </c>
      <c r="K710">
        <f t="shared" si="272"/>
        <v>51</v>
      </c>
      <c r="L710">
        <f t="shared" ca="1" si="273"/>
        <v>38818.635431737232</v>
      </c>
      <c r="M710">
        <f t="shared" ca="1" si="251"/>
        <v>201856.9042450336</v>
      </c>
      <c r="N710">
        <f t="shared" ca="1" si="252"/>
        <v>2.5998258684989075</v>
      </c>
      <c r="O710">
        <f t="shared" ca="1" si="253"/>
        <v>2.5265422647169513E-4</v>
      </c>
      <c r="P710">
        <f t="shared" ca="1" si="254"/>
        <v>39450.917431737231</v>
      </c>
      <c r="Q710">
        <f t="shared" ca="1" si="255"/>
        <v>39450.917431740483</v>
      </c>
      <c r="R710">
        <f t="shared" ca="1" si="256"/>
        <v>4.0176919892380845E-12</v>
      </c>
      <c r="S710">
        <f t="shared" ca="1" si="274"/>
        <v>1.2122273939894512E-2</v>
      </c>
      <c r="T710">
        <f t="shared" ca="1" si="275"/>
        <v>0</v>
      </c>
      <c r="U710">
        <f t="shared" ca="1" si="257"/>
        <v>0.05</v>
      </c>
      <c r="V710">
        <f t="shared" ca="1" si="258"/>
        <v>0.26</v>
      </c>
      <c r="W710">
        <f t="shared" ca="1" si="259"/>
        <v>4.9056603773584909E-2</v>
      </c>
      <c r="X710">
        <f t="shared" ca="1" si="260"/>
        <v>196.15384615384616</v>
      </c>
      <c r="Y710">
        <f t="shared" ca="1" si="261"/>
        <v>632.33199999999999</v>
      </c>
      <c r="Z710">
        <f t="shared" ca="1" si="262"/>
        <v>2593.4090316486622</v>
      </c>
      <c r="AA710">
        <f t="shared" ca="1" si="263"/>
        <v>482.07306851378365</v>
      </c>
      <c r="AB710">
        <f t="shared" ca="1" si="264"/>
        <v>481.67874391170562</v>
      </c>
      <c r="AC710">
        <f t="shared" ca="1" si="265"/>
        <v>0</v>
      </c>
      <c r="AD710">
        <f ca="1">IF(V32="Supercritical",L710,U710)</f>
        <v>0.05</v>
      </c>
      <c r="AE710">
        <f t="shared" ca="1" si="266"/>
        <v>632.33199999999999</v>
      </c>
      <c r="AF710">
        <f t="shared" ca="1" si="267"/>
        <v>2593.4090316486622</v>
      </c>
      <c r="AI710">
        <v>0</v>
      </c>
      <c r="AJ710">
        <v>0</v>
      </c>
      <c r="AK710">
        <f t="shared" si="268"/>
        <v>0</v>
      </c>
      <c r="AL710">
        <f t="shared" si="276"/>
        <v>0</v>
      </c>
      <c r="AM710">
        <f t="shared" ca="1" si="269"/>
        <v>280.07692026646265</v>
      </c>
      <c r="AN710" t="str">
        <f t="shared" ca="1" si="270"/>
        <v>Supercritical</v>
      </c>
      <c r="AO710">
        <f ca="1">IF(V32="Supercritical",R710,AA710)</f>
        <v>482.07306851378365</v>
      </c>
    </row>
    <row r="711" spans="1:41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174</v>
      </c>
      <c r="I711">
        <v>2.7E-2</v>
      </c>
      <c r="J711">
        <f t="shared" si="271"/>
        <v>0.99900000000002365</v>
      </c>
      <c r="K711">
        <f t="shared" si="272"/>
        <v>51</v>
      </c>
      <c r="L711">
        <f t="shared" ca="1" si="273"/>
        <v>38818.635431737232</v>
      </c>
      <c r="M711">
        <f t="shared" ca="1" si="251"/>
        <v>201856.9042450336</v>
      </c>
      <c r="N711">
        <f t="shared" ca="1" si="252"/>
        <v>2.5998258684989075</v>
      </c>
      <c r="O711">
        <f t="shared" ca="1" si="253"/>
        <v>2.5265422647169513E-4</v>
      </c>
      <c r="P711">
        <f t="shared" ca="1" si="254"/>
        <v>39450.916931737229</v>
      </c>
      <c r="Q711">
        <f t="shared" ca="1" si="255"/>
        <v>39450.916931740481</v>
      </c>
      <c r="R711">
        <f t="shared" ca="1" si="256"/>
        <v>4.0176919892380845E-12</v>
      </c>
      <c r="S711">
        <f t="shared" ca="1" si="274"/>
        <v>4.999999946448952E-4</v>
      </c>
      <c r="T711">
        <f t="shared" ca="1" si="275"/>
        <v>1</v>
      </c>
      <c r="U711">
        <f t="shared" ca="1" si="257"/>
        <v>0.05</v>
      </c>
      <c r="V711">
        <f t="shared" ca="1" si="258"/>
        <v>0.26</v>
      </c>
      <c r="W711">
        <f t="shared" ca="1" si="259"/>
        <v>4.9056603773584909E-2</v>
      </c>
      <c r="X711">
        <f t="shared" ca="1" si="260"/>
        <v>196.15384615384616</v>
      </c>
      <c r="Y711">
        <f t="shared" ca="1" si="261"/>
        <v>632.33150000000001</v>
      </c>
      <c r="Z711">
        <f t="shared" ca="1" si="262"/>
        <v>2593.4085316486621</v>
      </c>
      <c r="AA711">
        <f t="shared" ca="1" si="263"/>
        <v>482.07306851378365</v>
      </c>
      <c r="AB711">
        <f t="shared" ca="1" si="264"/>
        <v>482.64289004871034</v>
      </c>
      <c r="AC711">
        <f t="shared" ca="1" si="265"/>
        <v>0</v>
      </c>
      <c r="AD711">
        <f ca="1">IF(V32="Supercritical",L711,U711)</f>
        <v>0.05</v>
      </c>
      <c r="AE711">
        <f t="shared" ca="1" si="266"/>
        <v>632.33150000000001</v>
      </c>
      <c r="AF711">
        <f t="shared" ca="1" si="267"/>
        <v>2593.4085316486621</v>
      </c>
      <c r="AI711">
        <v>0</v>
      </c>
      <c r="AJ711">
        <v>0</v>
      </c>
      <c r="AK711">
        <f t="shared" si="268"/>
        <v>0</v>
      </c>
      <c r="AL711">
        <f t="shared" si="276"/>
        <v>0</v>
      </c>
      <c r="AM711">
        <f t="shared" ca="1" si="269"/>
        <v>280.07692026646265</v>
      </c>
      <c r="AN711" t="str">
        <f t="shared" ca="1" si="270"/>
        <v>Supercritical</v>
      </c>
      <c r="AO711">
        <f ca="1">IF(V32="Supercritical",R711,AA711)</f>
        <v>482.07306851378365</v>
      </c>
    </row>
    <row r="712" spans="1:41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174</v>
      </c>
      <c r="I712">
        <v>2.7E-2</v>
      </c>
      <c r="J712">
        <f t="shared" si="271"/>
        <v>1.0009999999999764</v>
      </c>
      <c r="K712">
        <f t="shared" si="272"/>
        <v>51</v>
      </c>
      <c r="L712">
        <f t="shared" ca="1" si="273"/>
        <v>38818.623748752143</v>
      </c>
      <c r="M712">
        <f t="shared" ca="1" si="251"/>
        <v>201856.84349351114</v>
      </c>
      <c r="N712">
        <f t="shared" ca="1" si="252"/>
        <v>2.5998258684465037</v>
      </c>
      <c r="O712">
        <f t="shared" ca="1" si="253"/>
        <v>2.5265430251137082E-4</v>
      </c>
      <c r="P712">
        <f t="shared" ca="1" si="254"/>
        <v>39450.904748752146</v>
      </c>
      <c r="Q712">
        <f t="shared" ca="1" si="255"/>
        <v>39450.904748755398</v>
      </c>
      <c r="R712">
        <f t="shared" ca="1" si="256"/>
        <v>4.0176944077029294E-12</v>
      </c>
      <c r="S712">
        <f t="shared" ca="1" si="274"/>
        <v>1.218298507592408E-2</v>
      </c>
      <c r="T712">
        <f t="shared" ca="1" si="275"/>
        <v>0</v>
      </c>
      <c r="U712">
        <f t="shared" ca="1" si="257"/>
        <v>0.05</v>
      </c>
      <c r="V712">
        <f t="shared" ca="1" si="258"/>
        <v>0.26</v>
      </c>
      <c r="W712">
        <f t="shared" ca="1" si="259"/>
        <v>4.9056603773584909E-2</v>
      </c>
      <c r="X712">
        <f t="shared" ca="1" si="260"/>
        <v>196.15384615384616</v>
      </c>
      <c r="Y712">
        <f t="shared" ca="1" si="261"/>
        <v>632.3309999999999</v>
      </c>
      <c r="Z712">
        <f t="shared" ca="1" si="262"/>
        <v>2593.408031648662</v>
      </c>
      <c r="AA712">
        <f t="shared" ca="1" si="263"/>
        <v>482.07306851378365</v>
      </c>
      <c r="AB712">
        <f t="shared" ca="1" si="264"/>
        <v>481.75391853125211</v>
      </c>
      <c r="AC712">
        <f t="shared" ca="1" si="265"/>
        <v>0</v>
      </c>
      <c r="AD712">
        <f ca="1">IF(V32="Supercritical",L712,U712)</f>
        <v>0.05</v>
      </c>
      <c r="AE712">
        <f t="shared" ca="1" si="266"/>
        <v>632.3309999999999</v>
      </c>
      <c r="AF712">
        <f t="shared" ca="1" si="267"/>
        <v>2593.408031648662</v>
      </c>
      <c r="AI712">
        <v>0</v>
      </c>
      <c r="AJ712">
        <v>0</v>
      </c>
      <c r="AK712">
        <f t="shared" si="268"/>
        <v>0</v>
      </c>
      <c r="AL712">
        <f t="shared" si="276"/>
        <v>0</v>
      </c>
      <c r="AM712">
        <f t="shared" ca="1" si="269"/>
        <v>280.07692026646265</v>
      </c>
      <c r="AN712" t="str">
        <f t="shared" ca="1" si="270"/>
        <v>Supercritical</v>
      </c>
      <c r="AO712">
        <f ca="1">IF(V32="Supercritical",R712,AA712)</f>
        <v>482.07306851378365</v>
      </c>
    </row>
    <row r="713" spans="1:41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174</v>
      </c>
      <c r="I713">
        <v>0.05</v>
      </c>
      <c r="J713">
        <f t="shared" si="271"/>
        <v>0.99900000000002365</v>
      </c>
      <c r="K713">
        <f t="shared" si="272"/>
        <v>51</v>
      </c>
      <c r="L713">
        <f t="shared" ca="1" si="273"/>
        <v>38818.623748752143</v>
      </c>
      <c r="M713">
        <f t="shared" ca="1" si="251"/>
        <v>201856.84349351114</v>
      </c>
      <c r="N713">
        <f t="shared" ca="1" si="252"/>
        <v>2.5998258684465037</v>
      </c>
      <c r="O713">
        <f t="shared" ca="1" si="253"/>
        <v>2.5265430251137082E-4</v>
      </c>
      <c r="P713">
        <f t="shared" ca="1" si="254"/>
        <v>39450.904248752144</v>
      </c>
      <c r="Q713">
        <f t="shared" ca="1" si="255"/>
        <v>39450.904248755396</v>
      </c>
      <c r="R713">
        <f t="shared" ca="1" si="256"/>
        <v>4.0176944077029294E-12</v>
      </c>
      <c r="S713">
        <f t="shared" ca="1" si="274"/>
        <v>4.999999946448952E-4</v>
      </c>
      <c r="T713">
        <f t="shared" ca="1" si="275"/>
        <v>1</v>
      </c>
      <c r="U713">
        <f t="shared" ca="1" si="257"/>
        <v>0.05</v>
      </c>
      <c r="V713">
        <f t="shared" ca="1" si="258"/>
        <v>0.26</v>
      </c>
      <c r="W713">
        <f t="shared" ca="1" si="259"/>
        <v>4.9056603773584909E-2</v>
      </c>
      <c r="X713">
        <f t="shared" ca="1" si="260"/>
        <v>196.15384615384616</v>
      </c>
      <c r="Y713">
        <f t="shared" ca="1" si="261"/>
        <v>632.33049999999992</v>
      </c>
      <c r="Z713">
        <f t="shared" ca="1" si="262"/>
        <v>2593.4075316486619</v>
      </c>
      <c r="AA713">
        <f t="shared" ca="1" si="263"/>
        <v>482.07306851378365</v>
      </c>
      <c r="AB713">
        <f t="shared" ca="1" si="264"/>
        <v>482.32750852789832</v>
      </c>
      <c r="AC713">
        <f t="shared" ca="1" si="265"/>
        <v>0</v>
      </c>
      <c r="AD713">
        <f ca="1">IF(V32="Supercritical",L713,U713)</f>
        <v>0.05</v>
      </c>
      <c r="AE713">
        <f t="shared" ca="1" si="266"/>
        <v>632.33049999999992</v>
      </c>
      <c r="AF713">
        <f t="shared" ca="1" si="267"/>
        <v>2593.4075316486619</v>
      </c>
      <c r="AI713">
        <v>0</v>
      </c>
      <c r="AJ713">
        <v>0</v>
      </c>
      <c r="AK713">
        <f t="shared" si="268"/>
        <v>0</v>
      </c>
      <c r="AL713">
        <f t="shared" si="276"/>
        <v>0</v>
      </c>
      <c r="AM713">
        <f t="shared" ca="1" si="269"/>
        <v>280.07692026646265</v>
      </c>
      <c r="AN713" t="str">
        <f t="shared" ca="1" si="270"/>
        <v>Supercritical</v>
      </c>
      <c r="AO713">
        <f ca="1">IF(V32="Supercritical",R713,AA713)</f>
        <v>482.07306851378365</v>
      </c>
    </row>
    <row r="714" spans="1:41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174</v>
      </c>
      <c r="I714">
        <v>7.8E-2</v>
      </c>
      <c r="J714">
        <f t="shared" si="271"/>
        <v>1</v>
      </c>
      <c r="K714">
        <f t="shared" si="272"/>
        <v>51</v>
      </c>
      <c r="L714">
        <f t="shared" ca="1" si="273"/>
        <v>38818.612007092037</v>
      </c>
      <c r="M714">
        <f t="shared" ca="1" si="251"/>
        <v>201856.7824368786</v>
      </c>
      <c r="N714">
        <f t="shared" ca="1" si="252"/>
        <v>2.5998258683938369</v>
      </c>
      <c r="O714">
        <f t="shared" ca="1" si="253"/>
        <v>2.5265437893298384E-4</v>
      </c>
      <c r="P714">
        <f t="shared" ca="1" si="254"/>
        <v>39450.892007092036</v>
      </c>
      <c r="Q714">
        <f t="shared" ca="1" si="255"/>
        <v>39450.892007095288</v>
      </c>
      <c r="R714">
        <f t="shared" ca="1" si="256"/>
        <v>4.0176968383161388E-12</v>
      </c>
      <c r="S714">
        <f t="shared" ca="1" si="274"/>
        <v>1.2241660100698937E-2</v>
      </c>
      <c r="T714">
        <f t="shared" ca="1" si="275"/>
        <v>0</v>
      </c>
      <c r="U714">
        <f t="shared" ca="1" si="257"/>
        <v>0.05</v>
      </c>
      <c r="V714">
        <f t="shared" ca="1" si="258"/>
        <v>0.26</v>
      </c>
      <c r="W714">
        <f t="shared" ca="1" si="259"/>
        <v>4.9056603773584909E-2</v>
      </c>
      <c r="X714">
        <f t="shared" ca="1" si="260"/>
        <v>196.15384615384616</v>
      </c>
      <c r="Y714">
        <f t="shared" ca="1" si="261"/>
        <v>632.32999999999993</v>
      </c>
      <c r="Z714">
        <f t="shared" ca="1" si="262"/>
        <v>2593.4070316486623</v>
      </c>
      <c r="AA714">
        <f t="shared" ca="1" si="263"/>
        <v>482.07306851378365</v>
      </c>
      <c r="AB714">
        <f t="shared" ca="1" si="264"/>
        <v>482.64289004871034</v>
      </c>
      <c r="AC714">
        <f t="shared" ca="1" si="265"/>
        <v>0</v>
      </c>
      <c r="AD714">
        <f ca="1">IF(V32="Supercritical",L714,U714)</f>
        <v>0.05</v>
      </c>
      <c r="AE714">
        <f t="shared" ca="1" si="266"/>
        <v>632.32999999999993</v>
      </c>
      <c r="AF714">
        <f t="shared" ca="1" si="267"/>
        <v>2593.4070316486623</v>
      </c>
      <c r="AI714">
        <v>0</v>
      </c>
      <c r="AJ714">
        <v>0</v>
      </c>
      <c r="AK714">
        <f t="shared" si="268"/>
        <v>0</v>
      </c>
      <c r="AL714">
        <f t="shared" si="276"/>
        <v>0</v>
      </c>
      <c r="AM714">
        <f t="shared" ca="1" si="269"/>
        <v>280.07692026646265</v>
      </c>
      <c r="AN714" t="str">
        <f t="shared" ca="1" si="270"/>
        <v>Supercritical</v>
      </c>
      <c r="AO714">
        <f ca="1">IF(V32="Supercritical",R714,AA714)</f>
        <v>482.07306851378365</v>
      </c>
    </row>
    <row r="715" spans="1:41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174</v>
      </c>
      <c r="I715">
        <v>2.7E-2</v>
      </c>
      <c r="J715">
        <f t="shared" si="271"/>
        <v>1.0009999999999764</v>
      </c>
      <c r="K715">
        <f t="shared" si="272"/>
        <v>51</v>
      </c>
      <c r="L715">
        <f t="shared" ca="1" si="273"/>
        <v>38818.612007092037</v>
      </c>
      <c r="M715">
        <f t="shared" ca="1" si="251"/>
        <v>201856.7824368786</v>
      </c>
      <c r="N715">
        <f t="shared" ca="1" si="252"/>
        <v>2.5998258683938369</v>
      </c>
      <c r="O715">
        <f t="shared" ca="1" si="253"/>
        <v>2.5265437893298384E-4</v>
      </c>
      <c r="P715">
        <f t="shared" ca="1" si="254"/>
        <v>39450.891507092034</v>
      </c>
      <c r="Q715">
        <f t="shared" ca="1" si="255"/>
        <v>39450.891507095286</v>
      </c>
      <c r="R715">
        <f t="shared" ca="1" si="256"/>
        <v>4.0176968383161388E-12</v>
      </c>
      <c r="S715">
        <f t="shared" ca="1" si="274"/>
        <v>4.999999946448952E-4</v>
      </c>
      <c r="T715">
        <f t="shared" ca="1" si="275"/>
        <v>1</v>
      </c>
      <c r="U715">
        <f t="shared" ca="1" si="257"/>
        <v>0.05</v>
      </c>
      <c r="V715">
        <f t="shared" ca="1" si="258"/>
        <v>0.26</v>
      </c>
      <c r="W715">
        <f t="shared" ca="1" si="259"/>
        <v>4.9056603773584909E-2</v>
      </c>
      <c r="X715">
        <f t="shared" ca="1" si="260"/>
        <v>196.15384615384616</v>
      </c>
      <c r="Y715">
        <f t="shared" ca="1" si="261"/>
        <v>632.32949999999994</v>
      </c>
      <c r="Z715">
        <f t="shared" ca="1" si="262"/>
        <v>2593.4065316486622</v>
      </c>
      <c r="AA715">
        <f t="shared" ca="1" si="263"/>
        <v>482.07306851378365</v>
      </c>
      <c r="AB715">
        <f t="shared" ca="1" si="264"/>
        <v>481.67874391170562</v>
      </c>
      <c r="AC715">
        <f t="shared" ca="1" si="265"/>
        <v>0</v>
      </c>
      <c r="AD715">
        <f ca="1">IF(V32="Supercritical",L715,U715)</f>
        <v>0.05</v>
      </c>
      <c r="AE715">
        <f t="shared" ca="1" si="266"/>
        <v>632.32949999999994</v>
      </c>
      <c r="AF715">
        <f t="shared" ca="1" si="267"/>
        <v>2593.4065316486622</v>
      </c>
      <c r="AI715">
        <v>0</v>
      </c>
      <c r="AJ715">
        <v>0</v>
      </c>
      <c r="AK715">
        <f t="shared" si="268"/>
        <v>0</v>
      </c>
      <c r="AL715">
        <f t="shared" si="276"/>
        <v>0</v>
      </c>
      <c r="AM715">
        <f t="shared" ca="1" si="269"/>
        <v>280.07692026646265</v>
      </c>
      <c r="AN715" t="str">
        <f t="shared" ca="1" si="270"/>
        <v>Supercritical</v>
      </c>
      <c r="AO715">
        <f ca="1">IF(V32="Supercritical",R715,AA715)</f>
        <v>482.07306851378365</v>
      </c>
    </row>
    <row r="716" spans="1:41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174</v>
      </c>
      <c r="I716">
        <v>2.7E-2</v>
      </c>
      <c r="J716">
        <f t="shared" si="271"/>
        <v>0.99900000000002365</v>
      </c>
      <c r="K716">
        <f t="shared" si="272"/>
        <v>51</v>
      </c>
      <c r="L716">
        <f t="shared" ca="1" si="273"/>
        <v>38818.600210061682</v>
      </c>
      <c r="M716">
        <f t="shared" ca="1" si="251"/>
        <v>201856.72109232075</v>
      </c>
      <c r="N716">
        <f t="shared" ca="1" si="252"/>
        <v>2.5998258683409214</v>
      </c>
      <c r="O716">
        <f t="shared" ca="1" si="253"/>
        <v>2.5265445571502545E-4</v>
      </c>
      <c r="P716">
        <f t="shared" ca="1" si="254"/>
        <v>39450.879210061685</v>
      </c>
      <c r="Q716">
        <f t="shared" ca="1" si="255"/>
        <v>39450.879210064937</v>
      </c>
      <c r="R716">
        <f t="shared" ca="1" si="256"/>
        <v>4.0176992803936337E-12</v>
      </c>
      <c r="S716">
        <f t="shared" ca="1" si="274"/>
        <v>1.2297030341869686E-2</v>
      </c>
      <c r="T716">
        <f t="shared" ca="1" si="275"/>
        <v>0</v>
      </c>
      <c r="U716">
        <f t="shared" ca="1" si="257"/>
        <v>0.05</v>
      </c>
      <c r="V716">
        <f t="shared" ca="1" si="258"/>
        <v>0.26</v>
      </c>
      <c r="W716">
        <f t="shared" ca="1" si="259"/>
        <v>4.9056603773584909E-2</v>
      </c>
      <c r="X716">
        <f t="shared" ca="1" si="260"/>
        <v>196.15384615384616</v>
      </c>
      <c r="Y716">
        <f t="shared" ca="1" si="261"/>
        <v>632.32899999999995</v>
      </c>
      <c r="Z716">
        <f t="shared" ca="1" si="262"/>
        <v>2593.4060316486621</v>
      </c>
      <c r="AA716">
        <f t="shared" ca="1" si="263"/>
        <v>482.07306851378365</v>
      </c>
      <c r="AB716">
        <f t="shared" ca="1" si="264"/>
        <v>482.32750852789786</v>
      </c>
      <c r="AC716">
        <f t="shared" ca="1" si="265"/>
        <v>0</v>
      </c>
      <c r="AD716">
        <f ca="1">IF(V32="Supercritical",L716,U716)</f>
        <v>0.05</v>
      </c>
      <c r="AE716">
        <f t="shared" ca="1" si="266"/>
        <v>632.32899999999995</v>
      </c>
      <c r="AF716">
        <f t="shared" ca="1" si="267"/>
        <v>2593.4060316486621</v>
      </c>
      <c r="AI716">
        <v>0</v>
      </c>
      <c r="AJ716">
        <v>0</v>
      </c>
      <c r="AK716">
        <f t="shared" si="268"/>
        <v>0</v>
      </c>
      <c r="AL716">
        <f t="shared" si="276"/>
        <v>0</v>
      </c>
      <c r="AM716">
        <f t="shared" ca="1" si="269"/>
        <v>280.07692026646265</v>
      </c>
      <c r="AN716" t="str">
        <f t="shared" ca="1" si="270"/>
        <v>Supercritical</v>
      </c>
      <c r="AO716">
        <f ca="1">IF(V32="Supercritical",R716,AA716)</f>
        <v>482.07306851378365</v>
      </c>
    </row>
    <row r="717" spans="1:41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174</v>
      </c>
      <c r="I717">
        <v>7.8E-2</v>
      </c>
      <c r="J717">
        <f t="shared" si="271"/>
        <v>1</v>
      </c>
      <c r="K717">
        <f t="shared" si="272"/>
        <v>51</v>
      </c>
      <c r="L717">
        <f t="shared" ca="1" si="273"/>
        <v>38818.600210061682</v>
      </c>
      <c r="M717">
        <f t="shared" ca="1" si="251"/>
        <v>201856.72109232075</v>
      </c>
      <c r="N717">
        <f t="shared" ca="1" si="252"/>
        <v>2.5998258683409214</v>
      </c>
      <c r="O717">
        <f t="shared" ca="1" si="253"/>
        <v>2.5265445571502545E-4</v>
      </c>
      <c r="P717">
        <f t="shared" ca="1" si="254"/>
        <v>39450.878710061683</v>
      </c>
      <c r="Q717">
        <f t="shared" ca="1" si="255"/>
        <v>39450.878710064935</v>
      </c>
      <c r="R717">
        <f t="shared" ca="1" si="256"/>
        <v>4.0176992803936337E-12</v>
      </c>
      <c r="S717">
        <f t="shared" ca="1" si="274"/>
        <v>4.999999946448952E-4</v>
      </c>
      <c r="T717">
        <f t="shared" ca="1" si="275"/>
        <v>1</v>
      </c>
      <c r="U717">
        <f t="shared" ca="1" si="257"/>
        <v>0.05</v>
      </c>
      <c r="V717">
        <f t="shared" ca="1" si="258"/>
        <v>0.26</v>
      </c>
      <c r="W717">
        <f t="shared" ca="1" si="259"/>
        <v>4.9056603773584909E-2</v>
      </c>
      <c r="X717">
        <f t="shared" ca="1" si="260"/>
        <v>196.15384615384616</v>
      </c>
      <c r="Y717">
        <f t="shared" ca="1" si="261"/>
        <v>632.32849999999996</v>
      </c>
      <c r="Z717">
        <f t="shared" ca="1" si="262"/>
        <v>2593.405531648662</v>
      </c>
      <c r="AA717">
        <f t="shared" ca="1" si="263"/>
        <v>482.07306851378365</v>
      </c>
      <c r="AB717">
        <f t="shared" ca="1" si="264"/>
        <v>482.23599159975447</v>
      </c>
      <c r="AC717">
        <f t="shared" ca="1" si="265"/>
        <v>0</v>
      </c>
      <c r="AD717">
        <f ca="1">IF(V32="Supercritical",L717,U717)</f>
        <v>0.05</v>
      </c>
      <c r="AE717">
        <f t="shared" ca="1" si="266"/>
        <v>632.32849999999996</v>
      </c>
      <c r="AF717">
        <f t="shared" ca="1" si="267"/>
        <v>2593.405531648662</v>
      </c>
      <c r="AI717">
        <v>0</v>
      </c>
      <c r="AJ717">
        <v>0</v>
      </c>
      <c r="AK717">
        <f t="shared" si="268"/>
        <v>0</v>
      </c>
      <c r="AL717">
        <f t="shared" si="276"/>
        <v>0</v>
      </c>
      <c r="AM717">
        <f t="shared" ca="1" si="269"/>
        <v>280.07692026646265</v>
      </c>
      <c r="AN717" t="str">
        <f t="shared" ca="1" si="270"/>
        <v>Supercritical</v>
      </c>
      <c r="AO717">
        <f ca="1">IF(V32="Supercritical",R717,AA717)</f>
        <v>482.07306851378365</v>
      </c>
    </row>
    <row r="718" spans="1:41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174</v>
      </c>
      <c r="I718">
        <v>0.05</v>
      </c>
      <c r="J718">
        <f t="shared" si="271"/>
        <v>1</v>
      </c>
      <c r="K718">
        <f t="shared" si="272"/>
        <v>51</v>
      </c>
      <c r="L718">
        <f t="shared" ca="1" si="273"/>
        <v>38818.588362279632</v>
      </c>
      <c r="M718">
        <f t="shared" ca="1" si="251"/>
        <v>201856.65948385411</v>
      </c>
      <c r="N718">
        <f t="shared" ca="1" si="252"/>
        <v>2.5998258682877786</v>
      </c>
      <c r="O718">
        <f t="shared" ca="1" si="253"/>
        <v>2.5265453282743609E-4</v>
      </c>
      <c r="P718">
        <f t="shared" ca="1" si="254"/>
        <v>39450.86636227963</v>
      </c>
      <c r="Q718">
        <f t="shared" ca="1" si="255"/>
        <v>39450.866362282883</v>
      </c>
      <c r="R718">
        <f t="shared" ca="1" si="256"/>
        <v>4.0177017329793686E-12</v>
      </c>
      <c r="S718">
        <f t="shared" ca="1" si="274"/>
        <v>1.2347782045253552E-2</v>
      </c>
      <c r="T718">
        <f t="shared" ca="1" si="275"/>
        <v>0</v>
      </c>
      <c r="U718">
        <f t="shared" ca="1" si="257"/>
        <v>0.05</v>
      </c>
      <c r="V718">
        <f t="shared" ca="1" si="258"/>
        <v>0.26</v>
      </c>
      <c r="W718">
        <f t="shared" ca="1" si="259"/>
        <v>4.9056603773584909E-2</v>
      </c>
      <c r="X718">
        <f t="shared" ca="1" si="260"/>
        <v>196.15384615384616</v>
      </c>
      <c r="Y718">
        <f t="shared" ca="1" si="261"/>
        <v>632.32799999999997</v>
      </c>
      <c r="Z718">
        <f t="shared" ca="1" si="262"/>
        <v>2593.4050316486619</v>
      </c>
      <c r="AA718">
        <f t="shared" ca="1" si="263"/>
        <v>482.07306851378365</v>
      </c>
      <c r="AB718">
        <f t="shared" ca="1" si="264"/>
        <v>482.16081698020844</v>
      </c>
      <c r="AC718">
        <f t="shared" ca="1" si="265"/>
        <v>0</v>
      </c>
      <c r="AD718">
        <f ca="1">IF(V32="Supercritical",L718,U718)</f>
        <v>0.05</v>
      </c>
      <c r="AE718">
        <f t="shared" ca="1" si="266"/>
        <v>632.32799999999997</v>
      </c>
      <c r="AF718">
        <f t="shared" ca="1" si="267"/>
        <v>2593.4050316486619</v>
      </c>
      <c r="AI718">
        <v>0</v>
      </c>
      <c r="AJ718">
        <v>0</v>
      </c>
      <c r="AK718">
        <f t="shared" si="268"/>
        <v>0</v>
      </c>
      <c r="AL718">
        <f t="shared" si="276"/>
        <v>0</v>
      </c>
      <c r="AM718">
        <f t="shared" ca="1" si="269"/>
        <v>280.07692026646265</v>
      </c>
      <c r="AN718" t="str">
        <f t="shared" ca="1" si="270"/>
        <v>Supercritical</v>
      </c>
      <c r="AO718">
        <f ca="1">IF(V32="Supercritical",R718,AA718)</f>
        <v>482.07306851378365</v>
      </c>
    </row>
    <row r="719" spans="1:41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174</v>
      </c>
      <c r="I719">
        <v>2.7E-2</v>
      </c>
      <c r="J719">
        <f t="shared" si="271"/>
        <v>1</v>
      </c>
      <c r="K719">
        <f t="shared" si="272"/>
        <v>51</v>
      </c>
      <c r="L719">
        <f t="shared" ca="1" si="273"/>
        <v>38818.588362279632</v>
      </c>
      <c r="M719">
        <f t="shared" ca="1" si="251"/>
        <v>201856.65948385411</v>
      </c>
      <c r="N719">
        <f t="shared" ca="1" si="252"/>
        <v>2.5998258682877786</v>
      </c>
      <c r="O719">
        <f t="shared" ca="1" si="253"/>
        <v>2.5265453282743609E-4</v>
      </c>
      <c r="P719">
        <f t="shared" ca="1" si="254"/>
        <v>39450.865862279628</v>
      </c>
      <c r="Q719">
        <f t="shared" ca="1" si="255"/>
        <v>39450.865862282881</v>
      </c>
      <c r="R719">
        <f t="shared" ca="1" si="256"/>
        <v>4.0177017329793686E-12</v>
      </c>
      <c r="S719">
        <f t="shared" ca="1" si="274"/>
        <v>4.999999946448952E-4</v>
      </c>
      <c r="T719">
        <f t="shared" ca="1" si="275"/>
        <v>1</v>
      </c>
      <c r="U719">
        <f t="shared" ca="1" si="257"/>
        <v>0.05</v>
      </c>
      <c r="V719">
        <f t="shared" ca="1" si="258"/>
        <v>0.26</v>
      </c>
      <c r="W719">
        <f t="shared" ca="1" si="259"/>
        <v>4.9056603773584909E-2</v>
      </c>
      <c r="X719">
        <f t="shared" ca="1" si="260"/>
        <v>196.15384615384616</v>
      </c>
      <c r="Y719">
        <f t="shared" ca="1" si="261"/>
        <v>632.32749999999999</v>
      </c>
      <c r="Z719">
        <f t="shared" ca="1" si="262"/>
        <v>2593.4045316486622</v>
      </c>
      <c r="AA719">
        <f t="shared" ca="1" si="263"/>
        <v>482.07306851378365</v>
      </c>
      <c r="AB719">
        <f t="shared" ca="1" si="264"/>
        <v>482.16081698020798</v>
      </c>
      <c r="AC719">
        <f t="shared" ca="1" si="265"/>
        <v>0</v>
      </c>
      <c r="AD719">
        <f ca="1">IF(V32="Supercritical",L719,U719)</f>
        <v>0.05</v>
      </c>
      <c r="AE719">
        <f t="shared" ca="1" si="266"/>
        <v>632.32749999999999</v>
      </c>
      <c r="AF719">
        <f t="shared" ca="1" si="267"/>
        <v>2593.4045316486622</v>
      </c>
      <c r="AI719">
        <v>0</v>
      </c>
      <c r="AJ719">
        <v>0</v>
      </c>
      <c r="AK719">
        <f t="shared" si="268"/>
        <v>0</v>
      </c>
      <c r="AL719">
        <f t="shared" si="276"/>
        <v>0</v>
      </c>
      <c r="AM719">
        <f t="shared" ca="1" si="269"/>
        <v>280.07692026646265</v>
      </c>
      <c r="AN719" t="str">
        <f t="shared" ca="1" si="270"/>
        <v>Supercritical</v>
      </c>
      <c r="AO719">
        <f ca="1">IF(V32="Supercritical",R719,AA719)</f>
        <v>482.07306851378365</v>
      </c>
    </row>
    <row r="720" spans="1:41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174</v>
      </c>
      <c r="I720">
        <v>2.7E-2</v>
      </c>
      <c r="J720">
        <f t="shared" si="271"/>
        <v>1</v>
      </c>
      <c r="K720">
        <f t="shared" si="272"/>
        <v>51</v>
      </c>
      <c r="L720">
        <f t="shared" ca="1" si="273"/>
        <v>38818.576469705724</v>
      </c>
      <c r="M720">
        <f t="shared" ca="1" si="251"/>
        <v>201856.59764246977</v>
      </c>
      <c r="N720">
        <f t="shared" ca="1" si="252"/>
        <v>2.5998258682344346</v>
      </c>
      <c r="O720">
        <f t="shared" ca="1" si="253"/>
        <v>2.526546102314261E-4</v>
      </c>
      <c r="P720">
        <f t="shared" ca="1" si="254"/>
        <v>39450.853469705726</v>
      </c>
      <c r="Q720">
        <f t="shared" ca="1" si="255"/>
        <v>39450.853469708978</v>
      </c>
      <c r="R720">
        <f t="shared" ca="1" si="256"/>
        <v>4.0177041948396343E-12</v>
      </c>
      <c r="S720">
        <f t="shared" ca="1" si="274"/>
        <v>1.239257389534032E-2</v>
      </c>
      <c r="T720">
        <f t="shared" ca="1" si="275"/>
        <v>0</v>
      </c>
      <c r="U720">
        <f t="shared" ca="1" si="257"/>
        <v>0.05</v>
      </c>
      <c r="V720">
        <f t="shared" ca="1" si="258"/>
        <v>0.26</v>
      </c>
      <c r="W720">
        <f t="shared" ca="1" si="259"/>
        <v>4.9056603773584909E-2</v>
      </c>
      <c r="X720">
        <f t="shared" ca="1" si="260"/>
        <v>196.15384615384616</v>
      </c>
      <c r="Y720">
        <f t="shared" ca="1" si="261"/>
        <v>632.327</v>
      </c>
      <c r="Z720">
        <f t="shared" ca="1" si="262"/>
        <v>2593.4040316486621</v>
      </c>
      <c r="AA720">
        <f t="shared" ca="1" si="263"/>
        <v>482.07306851378365</v>
      </c>
      <c r="AB720">
        <f t="shared" ca="1" si="264"/>
        <v>482.1477431333301</v>
      </c>
      <c r="AC720">
        <f t="shared" ca="1" si="265"/>
        <v>0</v>
      </c>
      <c r="AD720">
        <f ca="1">IF(V32="Supercritical",L720,U720)</f>
        <v>0.05</v>
      </c>
      <c r="AE720">
        <f t="shared" ca="1" si="266"/>
        <v>632.327</v>
      </c>
      <c r="AF720">
        <f t="shared" ca="1" si="267"/>
        <v>2593.4040316486621</v>
      </c>
      <c r="AI720">
        <v>0</v>
      </c>
      <c r="AJ720">
        <v>0</v>
      </c>
      <c r="AK720">
        <f t="shared" si="268"/>
        <v>0</v>
      </c>
      <c r="AL720">
        <f t="shared" si="276"/>
        <v>0</v>
      </c>
      <c r="AM720">
        <f t="shared" ca="1" si="269"/>
        <v>280.07692026646265</v>
      </c>
      <c r="AN720" t="str">
        <f t="shared" ca="1" si="270"/>
        <v>Supercritical</v>
      </c>
      <c r="AO720">
        <f ca="1">IF(V32="Supercritical",R720,AA720)</f>
        <v>482.07306851378365</v>
      </c>
    </row>
    <row r="721" spans="1:41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174</v>
      </c>
      <c r="I721">
        <v>2.3E-2</v>
      </c>
      <c r="J721">
        <f t="shared" si="271"/>
        <v>1</v>
      </c>
      <c r="K721">
        <f t="shared" si="272"/>
        <v>51</v>
      </c>
      <c r="L721">
        <f t="shared" ca="1" si="273"/>
        <v>38818.576469705724</v>
      </c>
      <c r="M721">
        <f t="shared" ca="1" si="251"/>
        <v>201856.59764246977</v>
      </c>
      <c r="N721">
        <f t="shared" ca="1" si="252"/>
        <v>2.5998258682344346</v>
      </c>
      <c r="O721">
        <f t="shared" ca="1" si="253"/>
        <v>2.526546102314261E-4</v>
      </c>
      <c r="P721">
        <f t="shared" ca="1" si="254"/>
        <v>39450.852969705724</v>
      </c>
      <c r="Q721">
        <f t="shared" ca="1" si="255"/>
        <v>39450.852969708976</v>
      </c>
      <c r="R721">
        <f t="shared" ca="1" si="256"/>
        <v>4.0177041948396343E-12</v>
      </c>
      <c r="S721">
        <f t="shared" ca="1" si="274"/>
        <v>4.999999946448952E-4</v>
      </c>
      <c r="T721">
        <f t="shared" ca="1" si="275"/>
        <v>1</v>
      </c>
      <c r="U721">
        <f t="shared" ca="1" si="257"/>
        <v>0.05</v>
      </c>
      <c r="V721">
        <f t="shared" ca="1" si="258"/>
        <v>0.26</v>
      </c>
      <c r="W721">
        <f t="shared" ca="1" si="259"/>
        <v>4.9056603773584909E-2</v>
      </c>
      <c r="X721">
        <f t="shared" ca="1" si="260"/>
        <v>196.15384615384616</v>
      </c>
      <c r="Y721">
        <f t="shared" ca="1" si="261"/>
        <v>632.32650000000001</v>
      </c>
      <c r="Z721">
        <f t="shared" ca="1" si="262"/>
        <v>2593.403531648662</v>
      </c>
      <c r="AA721">
        <f t="shared" ca="1" si="263"/>
        <v>482.07306851378365</v>
      </c>
      <c r="AB721">
        <f t="shared" ca="1" si="264"/>
        <v>482.62981620183245</v>
      </c>
      <c r="AC721">
        <f t="shared" ca="1" si="265"/>
        <v>0</v>
      </c>
      <c r="AD721">
        <f ca="1">IF(V32="Supercritical",L721,U721)</f>
        <v>0.05</v>
      </c>
      <c r="AE721">
        <f t="shared" ca="1" si="266"/>
        <v>632.32650000000001</v>
      </c>
      <c r="AF721">
        <f t="shared" ca="1" si="267"/>
        <v>2593.403531648662</v>
      </c>
      <c r="AI721">
        <v>0</v>
      </c>
      <c r="AJ721">
        <v>0</v>
      </c>
      <c r="AK721">
        <f t="shared" si="268"/>
        <v>0</v>
      </c>
      <c r="AL721">
        <f t="shared" si="276"/>
        <v>0</v>
      </c>
      <c r="AM721">
        <f t="shared" ca="1" si="269"/>
        <v>280.07692026646265</v>
      </c>
      <c r="AN721" t="str">
        <f t="shared" ca="1" si="270"/>
        <v>Supercritical</v>
      </c>
      <c r="AO721">
        <f ca="1">IF(V32="Supercritical",R721,AA721)</f>
        <v>482.07306851378365</v>
      </c>
    </row>
    <row r="722" spans="1:41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174</v>
      </c>
      <c r="I722">
        <v>2.3E-2</v>
      </c>
      <c r="J722">
        <f t="shared" si="271"/>
        <v>1.0009999999999764</v>
      </c>
      <c r="K722">
        <f t="shared" si="272"/>
        <v>51</v>
      </c>
      <c r="L722">
        <f t="shared" ca="1" si="273"/>
        <v>38818.564539651059</v>
      </c>
      <c r="M722">
        <f t="shared" ca="1" si="251"/>
        <v>201856.53560618553</v>
      </c>
      <c r="N722">
        <f t="shared" ca="1" si="252"/>
        <v>2.5998258681809228</v>
      </c>
      <c r="O722">
        <f t="shared" ca="1" si="253"/>
        <v>2.5265468787941093E-4</v>
      </c>
      <c r="P722">
        <f t="shared" ca="1" si="254"/>
        <v>39450.840539651057</v>
      </c>
      <c r="Q722">
        <f t="shared" ca="1" si="255"/>
        <v>39450.840539654309</v>
      </c>
      <c r="R722">
        <f t="shared" ca="1" si="256"/>
        <v>4.0177066644609964E-12</v>
      </c>
      <c r="S722">
        <f t="shared" ca="1" si="274"/>
        <v>1.2430054659489542E-2</v>
      </c>
      <c r="T722">
        <f t="shared" ca="1" si="275"/>
        <v>0</v>
      </c>
      <c r="U722">
        <f t="shared" ca="1" si="257"/>
        <v>0.05</v>
      </c>
      <c r="V722">
        <f t="shared" ca="1" si="258"/>
        <v>0.26</v>
      </c>
      <c r="W722">
        <f t="shared" ca="1" si="259"/>
        <v>4.9056603773584909E-2</v>
      </c>
      <c r="X722">
        <f t="shared" ca="1" si="260"/>
        <v>196.15384615384616</v>
      </c>
      <c r="Y722">
        <f t="shared" ca="1" si="261"/>
        <v>632.32599999999991</v>
      </c>
      <c r="Z722">
        <f t="shared" ca="1" si="262"/>
        <v>2593.4030316486619</v>
      </c>
      <c r="AA722">
        <f t="shared" ca="1" si="263"/>
        <v>482.07306851378365</v>
      </c>
      <c r="AB722">
        <f t="shared" ca="1" si="264"/>
        <v>481.5904954452817</v>
      </c>
      <c r="AC722">
        <f t="shared" ca="1" si="265"/>
        <v>0</v>
      </c>
      <c r="AD722">
        <f ca="1">IF(V32="Supercritical",L722,U722)</f>
        <v>0.05</v>
      </c>
      <c r="AE722">
        <f t="shared" ca="1" si="266"/>
        <v>632.32599999999991</v>
      </c>
      <c r="AF722">
        <f t="shared" ca="1" si="267"/>
        <v>2593.4030316486619</v>
      </c>
      <c r="AI722">
        <v>0</v>
      </c>
      <c r="AJ722">
        <v>0</v>
      </c>
      <c r="AK722">
        <f t="shared" si="268"/>
        <v>0</v>
      </c>
      <c r="AL722">
        <f t="shared" si="276"/>
        <v>0</v>
      </c>
      <c r="AM722">
        <f t="shared" ca="1" si="269"/>
        <v>280.07692026646265</v>
      </c>
      <c r="AN722" t="str">
        <f t="shared" ca="1" si="270"/>
        <v>Supercritical</v>
      </c>
      <c r="AO722">
        <f ca="1">IF(V32="Supercritical",R722,AA722)</f>
        <v>482.07306851378365</v>
      </c>
    </row>
    <row r="723" spans="1:41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174</v>
      </c>
      <c r="I723">
        <v>0</v>
      </c>
      <c r="J723">
        <f t="shared" si="271"/>
        <v>0.99900000000002365</v>
      </c>
      <c r="K723">
        <f t="shared" si="272"/>
        <v>51</v>
      </c>
      <c r="L723">
        <f t="shared" ca="1" si="273"/>
        <v>38818.564539651059</v>
      </c>
      <c r="M723">
        <f t="shared" ca="1" si="251"/>
        <v>201856.53560618553</v>
      </c>
      <c r="N723">
        <f t="shared" ca="1" si="252"/>
        <v>2.5998258681809228</v>
      </c>
      <c r="O723">
        <f t="shared" ca="1" si="253"/>
        <v>2.5265468787941093E-4</v>
      </c>
      <c r="P723">
        <f t="shared" ca="1" si="254"/>
        <v>39450.840039651062</v>
      </c>
      <c r="Q723">
        <f t="shared" ca="1" si="255"/>
        <v>39450.840039654315</v>
      </c>
      <c r="R723">
        <f t="shared" ca="1" si="256"/>
        <v>4.0177066644609964E-12</v>
      </c>
      <c r="S723">
        <f t="shared" ca="1" si="274"/>
        <v>4.9999998736893758E-4</v>
      </c>
      <c r="T723">
        <f t="shared" ca="1" si="275"/>
        <v>1</v>
      </c>
      <c r="U723">
        <f t="shared" ca="1" si="257"/>
        <v>0.05</v>
      </c>
      <c r="V723">
        <f t="shared" ca="1" si="258"/>
        <v>0.26</v>
      </c>
      <c r="W723">
        <f t="shared" ca="1" si="259"/>
        <v>4.9056603773584909E-2</v>
      </c>
      <c r="X723">
        <f t="shared" ca="1" si="260"/>
        <v>196.15384615384616</v>
      </c>
      <c r="Y723">
        <f t="shared" ca="1" si="261"/>
        <v>632.32549999999992</v>
      </c>
      <c r="Z723">
        <f t="shared" ca="1" si="262"/>
        <v>2593.4025316486623</v>
      </c>
      <c r="AA723">
        <f t="shared" ca="1" si="263"/>
        <v>482.07306851378365</v>
      </c>
      <c r="AB723">
        <f t="shared" ca="1" si="264"/>
        <v>482.16081698020798</v>
      </c>
      <c r="AC723">
        <f t="shared" ca="1" si="265"/>
        <v>0</v>
      </c>
      <c r="AD723">
        <f ca="1">IF(V32="Supercritical",L723,U723)</f>
        <v>0.05</v>
      </c>
      <c r="AE723">
        <f t="shared" ca="1" si="266"/>
        <v>632.32549999999992</v>
      </c>
      <c r="AF723">
        <f t="shared" ca="1" si="267"/>
        <v>2593.4025316486623</v>
      </c>
      <c r="AI723">
        <v>0</v>
      </c>
      <c r="AJ723">
        <v>0</v>
      </c>
      <c r="AK723">
        <f t="shared" si="268"/>
        <v>0</v>
      </c>
      <c r="AL723">
        <f t="shared" si="276"/>
        <v>0</v>
      </c>
      <c r="AM723">
        <f t="shared" ca="1" si="269"/>
        <v>280.07692026646265</v>
      </c>
      <c r="AN723" t="str">
        <f t="shared" ca="1" si="270"/>
        <v>Supercritical</v>
      </c>
      <c r="AO723">
        <f ca="1">IF(V32="Supercritical",R723,AA723)</f>
        <v>482.07306851378365</v>
      </c>
    </row>
    <row r="724" spans="1:41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174</v>
      </c>
      <c r="I724">
        <v>2.7E-2</v>
      </c>
      <c r="J724">
        <f t="shared" si="271"/>
        <v>1</v>
      </c>
      <c r="K724">
        <f t="shared" si="272"/>
        <v>51</v>
      </c>
      <c r="L724">
        <f t="shared" ca="1" si="273"/>
        <v>38818.552580770076</v>
      </c>
      <c r="M724">
        <f t="shared" ca="1" si="251"/>
        <v>201856.47342000439</v>
      </c>
      <c r="N724">
        <f t="shared" ca="1" si="252"/>
        <v>2.5998258681272812</v>
      </c>
      <c r="O724">
        <f t="shared" ca="1" si="253"/>
        <v>2.5265476571506275E-4</v>
      </c>
      <c r="P724">
        <f t="shared" ca="1" si="254"/>
        <v>39450.827580770077</v>
      </c>
      <c r="Q724">
        <f t="shared" ca="1" si="255"/>
        <v>39450.82758077333</v>
      </c>
      <c r="R724">
        <f t="shared" ca="1" si="256"/>
        <v>4.0177091400519351E-12</v>
      </c>
      <c r="S724">
        <f t="shared" ca="1" si="274"/>
        <v>1.2458880977646913E-2</v>
      </c>
      <c r="T724">
        <f t="shared" ca="1" si="275"/>
        <v>0</v>
      </c>
      <c r="U724">
        <f t="shared" ca="1" si="257"/>
        <v>0.05</v>
      </c>
      <c r="V724">
        <f t="shared" ca="1" si="258"/>
        <v>0.26</v>
      </c>
      <c r="W724">
        <f t="shared" ca="1" si="259"/>
        <v>4.9056603773584909E-2</v>
      </c>
      <c r="X724">
        <f t="shared" ca="1" si="260"/>
        <v>196.15384615384616</v>
      </c>
      <c r="Y724">
        <f t="shared" ca="1" si="261"/>
        <v>632.32499999999993</v>
      </c>
      <c r="Z724">
        <f t="shared" ca="1" si="262"/>
        <v>2593.4020316486622</v>
      </c>
      <c r="AA724">
        <f t="shared" ca="1" si="263"/>
        <v>482.07306851378365</v>
      </c>
      <c r="AB724">
        <f t="shared" ca="1" si="264"/>
        <v>482.16081698020798</v>
      </c>
      <c r="AC724">
        <f t="shared" ca="1" si="265"/>
        <v>0</v>
      </c>
      <c r="AD724">
        <f ca="1">IF(V32="Supercritical",L724,U724)</f>
        <v>0.05</v>
      </c>
      <c r="AE724">
        <f t="shared" ca="1" si="266"/>
        <v>632.32499999999993</v>
      </c>
      <c r="AF724">
        <f t="shared" ca="1" si="267"/>
        <v>2593.4020316486622</v>
      </c>
      <c r="AI724">
        <v>0</v>
      </c>
      <c r="AJ724">
        <v>0</v>
      </c>
      <c r="AK724">
        <f t="shared" si="268"/>
        <v>0</v>
      </c>
      <c r="AL724">
        <f t="shared" si="276"/>
        <v>0</v>
      </c>
      <c r="AM724">
        <f t="shared" ca="1" si="269"/>
        <v>280.07692026646265</v>
      </c>
      <c r="AN724" t="str">
        <f t="shared" ca="1" si="270"/>
        <v>Supercritical</v>
      </c>
      <c r="AO724">
        <f ca="1">IF(V32="Supercritical",R724,AA724)</f>
        <v>482.07306851378365</v>
      </c>
    </row>
    <row r="725" spans="1:41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174</v>
      </c>
      <c r="I725">
        <v>2.7E-2</v>
      </c>
      <c r="J725">
        <f t="shared" si="271"/>
        <v>1</v>
      </c>
      <c r="K725">
        <f t="shared" si="272"/>
        <v>51</v>
      </c>
      <c r="L725">
        <f t="shared" ca="1" si="273"/>
        <v>38818.552580770076</v>
      </c>
      <c r="M725">
        <f t="shared" ca="1" si="251"/>
        <v>201856.47342000439</v>
      </c>
      <c r="N725">
        <f t="shared" ca="1" si="252"/>
        <v>2.5998258681272812</v>
      </c>
      <c r="O725">
        <f t="shared" ca="1" si="253"/>
        <v>2.5265476571506275E-4</v>
      </c>
      <c r="P725">
        <f t="shared" ca="1" si="254"/>
        <v>39450.827080770076</v>
      </c>
      <c r="Q725">
        <f t="shared" ca="1" si="255"/>
        <v>39450.827080773328</v>
      </c>
      <c r="R725">
        <f t="shared" ca="1" si="256"/>
        <v>4.0177091400519351E-12</v>
      </c>
      <c r="S725">
        <f t="shared" ca="1" si="274"/>
        <v>4.999999946448952E-4</v>
      </c>
      <c r="T725">
        <f t="shared" ca="1" si="275"/>
        <v>1</v>
      </c>
      <c r="U725">
        <f t="shared" ca="1" si="257"/>
        <v>0.05</v>
      </c>
      <c r="V725">
        <f t="shared" ca="1" si="258"/>
        <v>0.26</v>
      </c>
      <c r="W725">
        <f t="shared" ca="1" si="259"/>
        <v>4.9056603773584909E-2</v>
      </c>
      <c r="X725">
        <f t="shared" ca="1" si="260"/>
        <v>196.15384615384616</v>
      </c>
      <c r="Y725">
        <f t="shared" ca="1" si="261"/>
        <v>632.32449999999994</v>
      </c>
      <c r="Z725">
        <f t="shared" ca="1" si="262"/>
        <v>2593.4015316486621</v>
      </c>
      <c r="AA725">
        <f t="shared" ca="1" si="263"/>
        <v>482.07306851378365</v>
      </c>
      <c r="AB725">
        <f t="shared" ca="1" si="264"/>
        <v>482.1477431333301</v>
      </c>
      <c r="AC725">
        <f t="shared" ca="1" si="265"/>
        <v>0</v>
      </c>
      <c r="AD725">
        <f ca="1">IF(V32="Supercritical",L725,U725)</f>
        <v>0.05</v>
      </c>
      <c r="AE725">
        <f t="shared" ca="1" si="266"/>
        <v>632.32449999999994</v>
      </c>
      <c r="AF725">
        <f t="shared" ca="1" si="267"/>
        <v>2593.4015316486621</v>
      </c>
      <c r="AI725">
        <v>0</v>
      </c>
      <c r="AJ725">
        <v>0</v>
      </c>
      <c r="AK725">
        <f t="shared" si="268"/>
        <v>0</v>
      </c>
      <c r="AL725">
        <f t="shared" si="276"/>
        <v>0</v>
      </c>
      <c r="AM725">
        <f t="shared" ca="1" si="269"/>
        <v>280.07692026646265</v>
      </c>
      <c r="AN725" t="str">
        <f t="shared" ca="1" si="270"/>
        <v>Supercritical</v>
      </c>
      <c r="AO725">
        <f ca="1">IF(V32="Supercritical",R725,AA725)</f>
        <v>482.07306851378365</v>
      </c>
    </row>
    <row r="726" spans="1:41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174</v>
      </c>
      <c r="I726">
        <v>2.3E-2</v>
      </c>
      <c r="J726">
        <f t="shared" si="271"/>
        <v>1</v>
      </c>
      <c r="K726">
        <f t="shared" si="272"/>
        <v>51</v>
      </c>
      <c r="L726">
        <f t="shared" ca="1" si="273"/>
        <v>38818.540603035115</v>
      </c>
      <c r="M726">
        <f t="shared" ref="M726:M789" ca="1" si="277">((F726)+(G726)*(L726))*(L726)</f>
        <v>201856.4111357826</v>
      </c>
      <c r="N726">
        <f t="shared" ref="N726:N789" ca="1" si="278">(((F726)+(G726)*(L726))*(L726))/MAX((F726)+2*(L726)*SQRT(1+(G726)^2),0.000001)</f>
        <v>2.5998258680735553</v>
      </c>
      <c r="O726">
        <f t="shared" ref="O726:O789" ca="1" si="279">ABS(K726)/MAX(((F726)+(G726)*(L726))*(L726),0.000001)</f>
        <v>2.5265484367347575E-4</v>
      </c>
      <c r="P726">
        <f t="shared" ref="P726:P789" ca="1" si="280">E726+L726</f>
        <v>39450.814603035113</v>
      </c>
      <c r="Q726">
        <f t="shared" ref="Q726:Q789" ca="1" si="281">P726+((ABS(K726)/MAX(((F726)+(G726)*(L726))*(L726),0.000001))^2)/(2*$I$5)</f>
        <v>39450.814603038365</v>
      </c>
      <c r="R726">
        <f t="shared" ref="R726:R789" ca="1" si="282">((ABS(K726)*$D$6)/(MAX(((F726)+(G726)*(L726))*(L726),0.000001)*MAX(((((F726)+(G726)*(L726))*(L726))/MAX((F726)+2*(L726)*SQRT(1+(G726)^2),0.000001))^(2/3),0.000001)))^2</f>
        <v>4.0177116195481018E-12</v>
      </c>
      <c r="S726">
        <f t="shared" ca="1" si="274"/>
        <v>1.2477734955609776E-2</v>
      </c>
      <c r="T726">
        <f t="shared" ca="1" si="275"/>
        <v>0</v>
      </c>
      <c r="U726">
        <f t="shared" ref="U726:U789" ca="1" si="283">IF($D$20=0,U727,IF(AC727=0,U727,IF(U726=0,U727,IF(ABS(AB726)&gt;$D$19,MAX($D$16,U726+((AB726)*$D$18*IF((ABS(ABS(K726)/MAX(((F726)+(G726)*(U726))*(U726),0.000001))/SQRT($I$5*MAX((((F726)+(G726)*(U726))*(U726))/MAX((F726)+2*(G726)*(U726),0.000001),0.000001)))&lt;1,1,-1))),U726))))</f>
        <v>0.05</v>
      </c>
      <c r="V726">
        <f t="shared" ref="V726:V789" ca="1" si="284">((F726)+(G726)*(U726))*(U726)</f>
        <v>0.26</v>
      </c>
      <c r="W726">
        <f t="shared" ref="W726:W789" ca="1" si="285">(((F726)+(G726)*(U726))*(U726))/MAX((F726)+2*(U726)*SQRT(1+(G726)^2),0.000001)</f>
        <v>4.9056603773584909E-2</v>
      </c>
      <c r="X726">
        <f t="shared" ref="X726:X789" ca="1" si="286">ABS(K726)/MAX(((F726)+(G726)*(U726))*(U726),0.000001)</f>
        <v>196.15384615384616</v>
      </c>
      <c r="Y726">
        <f t="shared" ref="Y726:Y789" ca="1" si="287">E726+U726</f>
        <v>632.32399999999996</v>
      </c>
      <c r="Z726">
        <f t="shared" ref="Z726:Z789" ca="1" si="288">Y726+((ABS(K726)/MAX(((F726)+(G726)*(U726))*(U726),0.000001))^2)/(2*$I$5)</f>
        <v>2593.401031648662</v>
      </c>
      <c r="AA726">
        <f t="shared" ref="AA726:AA789" ca="1" si="289">((ABS(K726)*$D$6)/(MAX(((F726)+(G726)*(U726))*(U726),0.000001)*MAX(((((F726)+(G726)*(U726))*(U726))/MAX((F726)+2*(U726)*SQRT(1+(G726)^2),0.000001))^(2/3),0.000001)))^2</f>
        <v>482.07306851378365</v>
      </c>
      <c r="AB726">
        <f t="shared" ref="AB726:AB789" ca="1" si="290">Z727+(((AA726+AA727)/2)*J727)+(IF(X726&gt;X727,$D$8*((X726^2-X727^2)/(2*$I$5)),$D$9*((X727^2-X726^2)/(2*$I$5)))+($D$10*(ABS(I727)/90)*(MAX(X726^2,X727^2)/(2*$I$5))))-Z726</f>
        <v>482.62981620183245</v>
      </c>
      <c r="AC726">
        <f t="shared" ref="AC726:AC789" ca="1" si="291">IF(ABS(AB726)&lt;$D$19,1,0)</f>
        <v>0</v>
      </c>
      <c r="AD726">
        <f ca="1">IF(V32="Supercritical",L726,U726)</f>
        <v>0.05</v>
      </c>
      <c r="AE726">
        <f t="shared" ref="AE726:AE789" ca="1" si="292">E726+AD726</f>
        <v>632.32399999999996</v>
      </c>
      <c r="AF726">
        <f t="shared" ref="AF726:AF789" ca="1" si="293">AE726+((ABS(K726)/MAX(((F726)+(G726)*(AD726))*(AD726),0.000001))^2)/(2*$I$5)</f>
        <v>2593.401031648662</v>
      </c>
      <c r="AI726">
        <v>0</v>
      </c>
      <c r="AJ726">
        <v>0</v>
      </c>
      <c r="AK726">
        <f t="shared" ref="AK726:AK789" si="294">AI726+AJ726</f>
        <v>0</v>
      </c>
      <c r="AL726">
        <f t="shared" si="276"/>
        <v>0</v>
      </c>
      <c r="AM726">
        <f t="shared" ref="AM726:AM789" ca="1" si="295">ABS(ABS(K726)/MAX(((F726)+(G726)*(AD726))*(AD726),0.000001))/SQRT($I$5*MAX((((F726)+(G726)*(AD726))*(AD726))/MAX((F726)+2*(G726)*(AD726),0.000001),0.000001))</f>
        <v>280.07692026646265</v>
      </c>
      <c r="AN726" t="str">
        <f t="shared" ref="AN726:AN789" ca="1" si="296">IF(AM726&lt;1,"Subcritical","Supercritical")</f>
        <v>Supercritical</v>
      </c>
      <c r="AO726">
        <f ca="1">IF(V32="Supercritical",R726,AA726)</f>
        <v>482.07306851378365</v>
      </c>
    </row>
    <row r="727" spans="1:41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174</v>
      </c>
      <c r="I727">
        <v>2.3E-2</v>
      </c>
      <c r="J727">
        <f t="shared" ref="J727:J790" si="297">B727-B726</f>
        <v>1.0009999999999764</v>
      </c>
      <c r="K727">
        <f t="shared" ref="K727:K790" si="298">MAX(0,K726-AK726)</f>
        <v>51</v>
      </c>
      <c r="L727">
        <f t="shared" ref="L727:L790" ca="1" si="299">IF($D$20=0,L726,IF(T726=0,L726,IF(L727=0,L726,IF(ABS(S727)&gt;$D$19,MAX($D$16,L727+((S727)*$D$18*IF((ABS(ABS(K727)/MAX(((F727)+(G727)*(L727))*(L727),0.000001))/SQRT($I$5*MAX((((F727)+(G727)*(L727))*(L727))/MAX((F727)+2*(G727)*(L727),0.000001),0.000001)))&lt;1,1,-1))),L727))))</f>
        <v>38818.540603035115</v>
      </c>
      <c r="M727">
        <f t="shared" ca="1" si="277"/>
        <v>201856.4111357826</v>
      </c>
      <c r="N727">
        <f t="shared" ca="1" si="278"/>
        <v>2.5998258680735553</v>
      </c>
      <c r="O727">
        <f t="shared" ca="1" si="279"/>
        <v>2.5265484367347575E-4</v>
      </c>
      <c r="P727">
        <f t="shared" ca="1" si="280"/>
        <v>39450.814103035118</v>
      </c>
      <c r="Q727">
        <f t="shared" ca="1" si="281"/>
        <v>39450.81410303837</v>
      </c>
      <c r="R727">
        <f t="shared" ca="1" si="282"/>
        <v>4.0177116195481018E-12</v>
      </c>
      <c r="S727">
        <f t="shared" ref="S727:S790" ca="1" si="300">Q726-(((R726+R727)/2)*J727)-(IF(O726&gt;O727,$D$8*((O726^2-O727^2)/(2*$I$5)),$D$9*((O727^2-O726^2)/(2*$I$5)))+($D$10*(ABS(I727)/90)*(MAX(O726^2,O727^2)/(2*$I$5))))-Q727</f>
        <v>4.9999998736893758E-4</v>
      </c>
      <c r="T727">
        <f t="shared" ref="T727:T790" ca="1" si="301">IF(ABS(S727)&lt;$D$19,1,0)</f>
        <v>1</v>
      </c>
      <c r="U727">
        <f t="shared" ca="1" si="283"/>
        <v>0.05</v>
      </c>
      <c r="V727">
        <f t="shared" ca="1" si="284"/>
        <v>0.26</v>
      </c>
      <c r="W727">
        <f t="shared" ca="1" si="285"/>
        <v>4.9056603773584909E-2</v>
      </c>
      <c r="X727">
        <f t="shared" ca="1" si="286"/>
        <v>196.15384615384616</v>
      </c>
      <c r="Y727">
        <f t="shared" ca="1" si="287"/>
        <v>632.32349999999997</v>
      </c>
      <c r="Z727">
        <f t="shared" ca="1" si="288"/>
        <v>2593.4005316486619</v>
      </c>
      <c r="AA727">
        <f t="shared" ca="1" si="289"/>
        <v>482.07306851378365</v>
      </c>
      <c r="AB727">
        <f t="shared" ca="1" si="290"/>
        <v>481.5904954452817</v>
      </c>
      <c r="AC727">
        <f t="shared" ca="1" si="291"/>
        <v>0</v>
      </c>
      <c r="AD727">
        <f ca="1">IF(V32="Supercritical",L727,U727)</f>
        <v>0.05</v>
      </c>
      <c r="AE727">
        <f t="shared" ca="1" si="292"/>
        <v>632.32349999999997</v>
      </c>
      <c r="AF727">
        <f t="shared" ca="1" si="293"/>
        <v>2593.4005316486619</v>
      </c>
      <c r="AI727">
        <v>0</v>
      </c>
      <c r="AJ727">
        <v>0</v>
      </c>
      <c r="AK727">
        <f t="shared" si="294"/>
        <v>0</v>
      </c>
      <c r="AL727">
        <f t="shared" ref="AL727:AL790" si="302">AL726+AK727</f>
        <v>0</v>
      </c>
      <c r="AM727">
        <f t="shared" ca="1" si="295"/>
        <v>280.07692026646265</v>
      </c>
      <c r="AN727" t="str">
        <f t="shared" ca="1" si="296"/>
        <v>Supercritical</v>
      </c>
      <c r="AO727">
        <f ca="1">IF(V32="Supercritical",R727,AA727)</f>
        <v>482.07306851378365</v>
      </c>
    </row>
    <row r="728" spans="1:41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174</v>
      </c>
      <c r="I728">
        <v>0</v>
      </c>
      <c r="J728">
        <f t="shared" si="297"/>
        <v>0.99900000000002365</v>
      </c>
      <c r="K728">
        <f t="shared" si="298"/>
        <v>51</v>
      </c>
      <c r="L728">
        <f t="shared" ca="1" si="299"/>
        <v>38818.528617693883</v>
      </c>
      <c r="M728">
        <f t="shared" ca="1" si="277"/>
        <v>201856.34881200819</v>
      </c>
      <c r="N728">
        <f t="shared" ca="1" si="278"/>
        <v>2.5998258680197948</v>
      </c>
      <c r="O728">
        <f t="shared" ca="1" si="279"/>
        <v>2.5265492168144313E-4</v>
      </c>
      <c r="P728">
        <f t="shared" ca="1" si="280"/>
        <v>39450.801617693884</v>
      </c>
      <c r="Q728">
        <f t="shared" ca="1" si="281"/>
        <v>39450.801617697136</v>
      </c>
      <c r="R728">
        <f t="shared" ca="1" si="282"/>
        <v>4.0177141006211317E-12</v>
      </c>
      <c r="S728">
        <f t="shared" ca="1" si="300"/>
        <v>1.2485341227147728E-2</v>
      </c>
      <c r="T728">
        <f t="shared" ca="1" si="301"/>
        <v>0</v>
      </c>
      <c r="U728">
        <f t="shared" ca="1" si="283"/>
        <v>0.05</v>
      </c>
      <c r="V728">
        <f t="shared" ca="1" si="284"/>
        <v>0.26</v>
      </c>
      <c r="W728">
        <f t="shared" ca="1" si="285"/>
        <v>4.9056603773584909E-2</v>
      </c>
      <c r="X728">
        <f t="shared" ca="1" si="286"/>
        <v>196.15384615384616</v>
      </c>
      <c r="Y728">
        <f t="shared" ca="1" si="287"/>
        <v>632.32299999999998</v>
      </c>
      <c r="Z728">
        <f t="shared" ca="1" si="288"/>
        <v>2593.4000316486622</v>
      </c>
      <c r="AA728">
        <f t="shared" ca="1" si="289"/>
        <v>482.07306851378365</v>
      </c>
      <c r="AB728">
        <f t="shared" ca="1" si="290"/>
        <v>482.16081698020798</v>
      </c>
      <c r="AC728">
        <f t="shared" ca="1" si="291"/>
        <v>0</v>
      </c>
      <c r="AD728">
        <f ca="1">IF(V32="Supercritical",L728,U728)</f>
        <v>0.05</v>
      </c>
      <c r="AE728">
        <f t="shared" ca="1" si="292"/>
        <v>632.32299999999998</v>
      </c>
      <c r="AF728">
        <f t="shared" ca="1" si="293"/>
        <v>2593.4000316486622</v>
      </c>
      <c r="AI728">
        <v>0</v>
      </c>
      <c r="AJ728">
        <v>0</v>
      </c>
      <c r="AK728">
        <f t="shared" si="294"/>
        <v>0</v>
      </c>
      <c r="AL728">
        <f t="shared" si="302"/>
        <v>0</v>
      </c>
      <c r="AM728">
        <f t="shared" ca="1" si="295"/>
        <v>280.07692026646265</v>
      </c>
      <c r="AN728" t="str">
        <f t="shared" ca="1" si="296"/>
        <v>Supercritical</v>
      </c>
      <c r="AO728">
        <f ca="1">IF(V32="Supercritical",R728,AA728)</f>
        <v>482.07306851378365</v>
      </c>
    </row>
    <row r="729" spans="1:41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174</v>
      </c>
      <c r="I729">
        <v>2.7E-2</v>
      </c>
      <c r="J729">
        <f t="shared" si="297"/>
        <v>1</v>
      </c>
      <c r="K729">
        <f t="shared" si="298"/>
        <v>51</v>
      </c>
      <c r="L729">
        <f t="shared" ca="1" si="299"/>
        <v>38818.528617693883</v>
      </c>
      <c r="M729">
        <f t="shared" ca="1" si="277"/>
        <v>201856.34881200819</v>
      </c>
      <c r="N729">
        <f t="shared" ca="1" si="278"/>
        <v>2.5998258680197948</v>
      </c>
      <c r="O729">
        <f t="shared" ca="1" si="279"/>
        <v>2.5265492168144313E-4</v>
      </c>
      <c r="P729">
        <f t="shared" ca="1" si="280"/>
        <v>39450.801117693882</v>
      </c>
      <c r="Q729">
        <f t="shared" ca="1" si="281"/>
        <v>39450.801117697134</v>
      </c>
      <c r="R729">
        <f t="shared" ca="1" si="282"/>
        <v>4.0177141006211317E-12</v>
      </c>
      <c r="S729">
        <f t="shared" ca="1" si="300"/>
        <v>4.999999946448952E-4</v>
      </c>
      <c r="T729">
        <f t="shared" ca="1" si="301"/>
        <v>1</v>
      </c>
      <c r="U729">
        <f t="shared" ca="1" si="283"/>
        <v>0.05</v>
      </c>
      <c r="V729">
        <f t="shared" ca="1" si="284"/>
        <v>0.26</v>
      </c>
      <c r="W729">
        <f t="shared" ca="1" si="285"/>
        <v>4.9056603773584909E-2</v>
      </c>
      <c r="X729">
        <f t="shared" ca="1" si="286"/>
        <v>196.15384615384616</v>
      </c>
      <c r="Y729">
        <f t="shared" ca="1" si="287"/>
        <v>632.32249999999999</v>
      </c>
      <c r="Z729">
        <f t="shared" ca="1" si="288"/>
        <v>2593.3995316486621</v>
      </c>
      <c r="AA729">
        <f t="shared" ca="1" si="289"/>
        <v>482.07306851378365</v>
      </c>
      <c r="AB729">
        <f t="shared" ca="1" si="290"/>
        <v>482.32750852789786</v>
      </c>
      <c r="AC729">
        <f t="shared" ca="1" si="291"/>
        <v>0</v>
      </c>
      <c r="AD729">
        <f ca="1">IF(V32="Supercritical",L729,U729)</f>
        <v>0.05</v>
      </c>
      <c r="AE729">
        <f t="shared" ca="1" si="292"/>
        <v>632.32249999999999</v>
      </c>
      <c r="AF729">
        <f t="shared" ca="1" si="293"/>
        <v>2593.3995316486621</v>
      </c>
      <c r="AI729">
        <v>0</v>
      </c>
      <c r="AJ729">
        <v>0</v>
      </c>
      <c r="AK729">
        <f t="shared" si="294"/>
        <v>0</v>
      </c>
      <c r="AL729">
        <f t="shared" si="302"/>
        <v>0</v>
      </c>
      <c r="AM729">
        <f t="shared" ca="1" si="295"/>
        <v>280.07692026646265</v>
      </c>
      <c r="AN729" t="str">
        <f t="shared" ca="1" si="296"/>
        <v>Supercritical</v>
      </c>
      <c r="AO729">
        <f ca="1">IF(V32="Supercritical",R729,AA729)</f>
        <v>482.07306851378365</v>
      </c>
    </row>
    <row r="730" spans="1:41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174</v>
      </c>
      <c r="I730">
        <v>7.8E-2</v>
      </c>
      <c r="J730">
        <f t="shared" si="297"/>
        <v>1</v>
      </c>
      <c r="K730">
        <f t="shared" si="298"/>
        <v>51</v>
      </c>
      <c r="L730">
        <f t="shared" ca="1" si="299"/>
        <v>38818.516637210523</v>
      </c>
      <c r="M730">
        <f t="shared" ca="1" si="277"/>
        <v>201856.28651349474</v>
      </c>
      <c r="N730">
        <f t="shared" ca="1" si="278"/>
        <v>2.5998258679660569</v>
      </c>
      <c r="O730">
        <f t="shared" ca="1" si="279"/>
        <v>2.5265499965784066E-4</v>
      </c>
      <c r="P730">
        <f t="shared" ca="1" si="280"/>
        <v>39450.78863721052</v>
      </c>
      <c r="Q730">
        <f t="shared" ca="1" si="281"/>
        <v>39450.788637213773</v>
      </c>
      <c r="R730">
        <f t="shared" ca="1" si="282"/>
        <v>4.0177165806908326E-12</v>
      </c>
      <c r="S730">
        <f t="shared" ca="1" si="300"/>
        <v>1.2480483354011085E-2</v>
      </c>
      <c r="T730">
        <f t="shared" ca="1" si="301"/>
        <v>0</v>
      </c>
      <c r="U730">
        <f t="shared" ca="1" si="283"/>
        <v>0.05</v>
      </c>
      <c r="V730">
        <f t="shared" ca="1" si="284"/>
        <v>0.26</v>
      </c>
      <c r="W730">
        <f t="shared" ca="1" si="285"/>
        <v>4.9056603773584909E-2</v>
      </c>
      <c r="X730">
        <f t="shared" ca="1" si="286"/>
        <v>196.15384615384616</v>
      </c>
      <c r="Y730">
        <f t="shared" ca="1" si="287"/>
        <v>632.322</v>
      </c>
      <c r="Z730">
        <f t="shared" ca="1" si="288"/>
        <v>2593.399031648662</v>
      </c>
      <c r="AA730">
        <f t="shared" ca="1" si="289"/>
        <v>482.07306851378365</v>
      </c>
      <c r="AB730">
        <f t="shared" ca="1" si="290"/>
        <v>482.32750852789786</v>
      </c>
      <c r="AC730">
        <f t="shared" ca="1" si="291"/>
        <v>0</v>
      </c>
      <c r="AD730">
        <f ca="1">IF(V32="Supercritical",L730,U730)</f>
        <v>0.05</v>
      </c>
      <c r="AE730">
        <f t="shared" ca="1" si="292"/>
        <v>632.322</v>
      </c>
      <c r="AF730">
        <f t="shared" ca="1" si="293"/>
        <v>2593.399031648662</v>
      </c>
      <c r="AI730">
        <v>0</v>
      </c>
      <c r="AJ730">
        <v>0</v>
      </c>
      <c r="AK730">
        <f t="shared" si="294"/>
        <v>0</v>
      </c>
      <c r="AL730">
        <f t="shared" si="302"/>
        <v>0</v>
      </c>
      <c r="AM730">
        <f t="shared" ca="1" si="295"/>
        <v>280.07692026646265</v>
      </c>
      <c r="AN730" t="str">
        <f t="shared" ca="1" si="296"/>
        <v>Supercritical</v>
      </c>
      <c r="AO730">
        <f ca="1">IF(V32="Supercritical",R730,AA730)</f>
        <v>482.07306851378365</v>
      </c>
    </row>
    <row r="731" spans="1:41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174</v>
      </c>
      <c r="I731">
        <v>7.8E-2</v>
      </c>
      <c r="J731">
        <f t="shared" si="297"/>
        <v>1</v>
      </c>
      <c r="K731">
        <f t="shared" si="298"/>
        <v>51</v>
      </c>
      <c r="L731">
        <f t="shared" ca="1" si="299"/>
        <v>38818.516637210523</v>
      </c>
      <c r="M731">
        <f t="shared" ca="1" si="277"/>
        <v>201856.28651349474</v>
      </c>
      <c r="N731">
        <f t="shared" ca="1" si="278"/>
        <v>2.5998258679660569</v>
      </c>
      <c r="O731">
        <f t="shared" ca="1" si="279"/>
        <v>2.5265499965784066E-4</v>
      </c>
      <c r="P731">
        <f t="shared" ca="1" si="280"/>
        <v>39450.788137210526</v>
      </c>
      <c r="Q731">
        <f t="shared" ca="1" si="281"/>
        <v>39450.788137213778</v>
      </c>
      <c r="R731">
        <f t="shared" ca="1" si="282"/>
        <v>4.0177165806908326E-12</v>
      </c>
      <c r="S731">
        <f t="shared" ca="1" si="300"/>
        <v>4.9999998736893758E-4</v>
      </c>
      <c r="T731">
        <f t="shared" ca="1" si="301"/>
        <v>1</v>
      </c>
      <c r="U731">
        <f t="shared" ca="1" si="283"/>
        <v>0.05</v>
      </c>
      <c r="V731">
        <f t="shared" ca="1" si="284"/>
        <v>0.26</v>
      </c>
      <c r="W731">
        <f t="shared" ca="1" si="285"/>
        <v>4.9056603773584909E-2</v>
      </c>
      <c r="X731">
        <f t="shared" ca="1" si="286"/>
        <v>196.15384615384616</v>
      </c>
      <c r="Y731">
        <f t="shared" ca="1" si="287"/>
        <v>632.3214999999999</v>
      </c>
      <c r="Z731">
        <f t="shared" ca="1" si="288"/>
        <v>2593.3985316486619</v>
      </c>
      <c r="AA731">
        <f t="shared" ca="1" si="289"/>
        <v>482.07306851378365</v>
      </c>
      <c r="AB731">
        <f t="shared" ca="1" si="290"/>
        <v>482.6428900487108</v>
      </c>
      <c r="AC731">
        <f t="shared" ca="1" si="291"/>
        <v>0</v>
      </c>
      <c r="AD731">
        <f ca="1">IF(V32="Supercritical",L731,U731)</f>
        <v>0.05</v>
      </c>
      <c r="AE731">
        <f t="shared" ca="1" si="292"/>
        <v>632.3214999999999</v>
      </c>
      <c r="AF731">
        <f t="shared" ca="1" si="293"/>
        <v>2593.3985316486619</v>
      </c>
      <c r="AI731">
        <v>0</v>
      </c>
      <c r="AJ731">
        <v>0</v>
      </c>
      <c r="AK731">
        <f t="shared" si="294"/>
        <v>0</v>
      </c>
      <c r="AL731">
        <f t="shared" si="302"/>
        <v>0</v>
      </c>
      <c r="AM731">
        <f t="shared" ca="1" si="295"/>
        <v>280.07692026646265</v>
      </c>
      <c r="AN731" t="str">
        <f t="shared" ca="1" si="296"/>
        <v>Supercritical</v>
      </c>
      <c r="AO731">
        <f ca="1">IF(V32="Supercritical",R731,AA731)</f>
        <v>482.07306851378365</v>
      </c>
    </row>
    <row r="732" spans="1:41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174</v>
      </c>
      <c r="I732">
        <v>2.7E-2</v>
      </c>
      <c r="J732">
        <f t="shared" si="297"/>
        <v>1.0009999999999764</v>
      </c>
      <c r="K732">
        <f t="shared" si="298"/>
        <v>51</v>
      </c>
      <c r="L732">
        <f t="shared" ca="1" si="299"/>
        <v>38818.504675191019</v>
      </c>
      <c r="M732">
        <f t="shared" ca="1" si="277"/>
        <v>201856.2243109933</v>
      </c>
      <c r="N732">
        <f t="shared" ca="1" si="278"/>
        <v>2.5998258679124007</v>
      </c>
      <c r="O732">
        <f t="shared" ca="1" si="279"/>
        <v>2.5265507751411206E-4</v>
      </c>
      <c r="P732">
        <f t="shared" ca="1" si="280"/>
        <v>39450.77567519102</v>
      </c>
      <c r="Q732">
        <f t="shared" ca="1" si="281"/>
        <v>39450.775675194272</v>
      </c>
      <c r="R732">
        <f t="shared" ca="1" si="282"/>
        <v>4.0177190569406417E-12</v>
      </c>
      <c r="S732">
        <f t="shared" ca="1" si="300"/>
        <v>1.2462019498343579E-2</v>
      </c>
      <c r="T732">
        <f t="shared" ca="1" si="301"/>
        <v>0</v>
      </c>
      <c r="U732">
        <f t="shared" ca="1" si="283"/>
        <v>0.05</v>
      </c>
      <c r="V732">
        <f t="shared" ca="1" si="284"/>
        <v>0.26</v>
      </c>
      <c r="W732">
        <f t="shared" ca="1" si="285"/>
        <v>4.9056603773584909E-2</v>
      </c>
      <c r="X732">
        <f t="shared" ca="1" si="286"/>
        <v>196.15384615384616</v>
      </c>
      <c r="Y732">
        <f t="shared" ca="1" si="287"/>
        <v>632.32099999999991</v>
      </c>
      <c r="Z732">
        <f t="shared" ca="1" si="288"/>
        <v>2593.3980316486623</v>
      </c>
      <c r="AA732">
        <f t="shared" ca="1" si="289"/>
        <v>482.07306851378365</v>
      </c>
      <c r="AB732">
        <f t="shared" ca="1" si="290"/>
        <v>481.59049544528125</v>
      </c>
      <c r="AC732">
        <f t="shared" ca="1" si="291"/>
        <v>0</v>
      </c>
      <c r="AD732">
        <f ca="1">IF(V32="Supercritical",L732,U732)</f>
        <v>0.05</v>
      </c>
      <c r="AE732">
        <f t="shared" ca="1" si="292"/>
        <v>632.32099999999991</v>
      </c>
      <c r="AF732">
        <f t="shared" ca="1" si="293"/>
        <v>2593.3980316486623</v>
      </c>
      <c r="AI732">
        <v>0</v>
      </c>
      <c r="AJ732">
        <v>0</v>
      </c>
      <c r="AK732">
        <f t="shared" si="294"/>
        <v>0</v>
      </c>
      <c r="AL732">
        <f t="shared" si="302"/>
        <v>0</v>
      </c>
      <c r="AM732">
        <f t="shared" ca="1" si="295"/>
        <v>280.07692026646265</v>
      </c>
      <c r="AN732" t="str">
        <f t="shared" ca="1" si="296"/>
        <v>Supercritical</v>
      </c>
      <c r="AO732">
        <f ca="1">IF(V32="Supercritical",R732,AA732)</f>
        <v>482.07306851378365</v>
      </c>
    </row>
    <row r="733" spans="1:41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174</v>
      </c>
      <c r="I733">
        <v>0</v>
      </c>
      <c r="J733">
        <f t="shared" si="297"/>
        <v>0.99900000000002365</v>
      </c>
      <c r="K733">
        <f t="shared" si="298"/>
        <v>51</v>
      </c>
      <c r="L733">
        <f t="shared" ca="1" si="299"/>
        <v>38818.504675191019</v>
      </c>
      <c r="M733">
        <f t="shared" ca="1" si="277"/>
        <v>201856.2243109933</v>
      </c>
      <c r="N733">
        <f t="shared" ca="1" si="278"/>
        <v>2.5998258679124007</v>
      </c>
      <c r="O733">
        <f t="shared" ca="1" si="279"/>
        <v>2.5265507751411206E-4</v>
      </c>
      <c r="P733">
        <f t="shared" ca="1" si="280"/>
        <v>39450.775175191018</v>
      </c>
      <c r="Q733">
        <f t="shared" ca="1" si="281"/>
        <v>39450.775175194271</v>
      </c>
      <c r="R733">
        <f t="shared" ca="1" si="282"/>
        <v>4.0177190569406417E-12</v>
      </c>
      <c r="S733">
        <f t="shared" ca="1" si="300"/>
        <v>4.999999946448952E-4</v>
      </c>
      <c r="T733">
        <f t="shared" ca="1" si="301"/>
        <v>1</v>
      </c>
      <c r="U733">
        <f t="shared" ca="1" si="283"/>
        <v>0.05</v>
      </c>
      <c r="V733">
        <f t="shared" ca="1" si="284"/>
        <v>0.26</v>
      </c>
      <c r="W733">
        <f t="shared" ca="1" si="285"/>
        <v>4.9056603773584909E-2</v>
      </c>
      <c r="X733">
        <f t="shared" ca="1" si="286"/>
        <v>196.15384615384616</v>
      </c>
      <c r="Y733">
        <f t="shared" ca="1" si="287"/>
        <v>632.32049999999992</v>
      </c>
      <c r="Z733">
        <f t="shared" ca="1" si="288"/>
        <v>2593.3975316486622</v>
      </c>
      <c r="AA733">
        <f t="shared" ca="1" si="289"/>
        <v>482.07306851378365</v>
      </c>
      <c r="AB733">
        <f t="shared" ca="1" si="290"/>
        <v>482.1477431333301</v>
      </c>
      <c r="AC733">
        <f t="shared" ca="1" si="291"/>
        <v>0</v>
      </c>
      <c r="AD733">
        <f ca="1">IF(V32="Supercritical",L733,U733)</f>
        <v>0.05</v>
      </c>
      <c r="AE733">
        <f t="shared" ca="1" si="292"/>
        <v>632.32049999999992</v>
      </c>
      <c r="AF733">
        <f t="shared" ca="1" si="293"/>
        <v>2593.3975316486622</v>
      </c>
      <c r="AI733">
        <v>0</v>
      </c>
      <c r="AJ733">
        <v>0</v>
      </c>
      <c r="AK733">
        <f t="shared" si="294"/>
        <v>0</v>
      </c>
      <c r="AL733">
        <f t="shared" si="302"/>
        <v>0</v>
      </c>
      <c r="AM733">
        <f t="shared" ca="1" si="295"/>
        <v>280.07692026646265</v>
      </c>
      <c r="AN733" t="str">
        <f t="shared" ca="1" si="296"/>
        <v>Supercritical</v>
      </c>
      <c r="AO733">
        <f ca="1">IF(V32="Supercritical",R733,AA733)</f>
        <v>482.07306851378365</v>
      </c>
    </row>
    <row r="734" spans="1:41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174</v>
      </c>
      <c r="I734">
        <v>2.3E-2</v>
      </c>
      <c r="J734">
        <f t="shared" si="297"/>
        <v>1</v>
      </c>
      <c r="K734">
        <f t="shared" si="298"/>
        <v>51</v>
      </c>
      <c r="L734">
        <f t="shared" ca="1" si="299"/>
        <v>38818.492746293959</v>
      </c>
      <c r="M734">
        <f t="shared" ca="1" si="277"/>
        <v>201856.1622807286</v>
      </c>
      <c r="N734">
        <f t="shared" ca="1" si="278"/>
        <v>2.5998258678588941</v>
      </c>
      <c r="O734">
        <f t="shared" ca="1" si="279"/>
        <v>2.526551551548497E-4</v>
      </c>
      <c r="P734">
        <f t="shared" ca="1" si="280"/>
        <v>39450.762746293956</v>
      </c>
      <c r="Q734">
        <f t="shared" ca="1" si="281"/>
        <v>39450.762746297209</v>
      </c>
      <c r="R734">
        <f t="shared" ca="1" si="282"/>
        <v>4.0177215263360696E-12</v>
      </c>
      <c r="S734">
        <f t="shared" ca="1" si="300"/>
        <v>1.2428897054633126E-2</v>
      </c>
      <c r="T734">
        <f t="shared" ca="1" si="301"/>
        <v>0</v>
      </c>
      <c r="U734">
        <f t="shared" ca="1" si="283"/>
        <v>0.05</v>
      </c>
      <c r="V734">
        <f t="shared" ca="1" si="284"/>
        <v>0.26</v>
      </c>
      <c r="W734">
        <f t="shared" ca="1" si="285"/>
        <v>4.9056603773584909E-2</v>
      </c>
      <c r="X734">
        <f t="shared" ca="1" si="286"/>
        <v>196.15384615384616</v>
      </c>
      <c r="Y734">
        <f t="shared" ca="1" si="287"/>
        <v>632.31999999999994</v>
      </c>
      <c r="Z734">
        <f t="shared" ca="1" si="288"/>
        <v>2593.3970316486621</v>
      </c>
      <c r="AA734">
        <f t="shared" ca="1" si="289"/>
        <v>482.07306851378365</v>
      </c>
      <c r="AB734">
        <f t="shared" ca="1" si="290"/>
        <v>482.62981620183245</v>
      </c>
      <c r="AC734">
        <f t="shared" ca="1" si="291"/>
        <v>0</v>
      </c>
      <c r="AD734">
        <f ca="1">IF(V32="Supercritical",L734,U734)</f>
        <v>0.05</v>
      </c>
      <c r="AE734">
        <f t="shared" ca="1" si="292"/>
        <v>632.31999999999994</v>
      </c>
      <c r="AF734">
        <f t="shared" ca="1" si="293"/>
        <v>2593.3970316486621</v>
      </c>
      <c r="AI734">
        <v>0</v>
      </c>
      <c r="AJ734">
        <v>0</v>
      </c>
      <c r="AK734">
        <f t="shared" si="294"/>
        <v>0</v>
      </c>
      <c r="AL734">
        <f t="shared" si="302"/>
        <v>0</v>
      </c>
      <c r="AM734">
        <f t="shared" ca="1" si="295"/>
        <v>280.07692026646265</v>
      </c>
      <c r="AN734" t="str">
        <f t="shared" ca="1" si="296"/>
        <v>Supercritical</v>
      </c>
      <c r="AO734">
        <f ca="1">IF(V32="Supercritical",R734,AA734)</f>
        <v>482.07306851378365</v>
      </c>
    </row>
    <row r="735" spans="1:41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174</v>
      </c>
      <c r="I735">
        <v>2.3E-2</v>
      </c>
      <c r="J735">
        <f t="shared" si="297"/>
        <v>1.0009999999999764</v>
      </c>
      <c r="K735">
        <f t="shared" si="298"/>
        <v>51</v>
      </c>
      <c r="L735">
        <f t="shared" ca="1" si="299"/>
        <v>38818.492746293959</v>
      </c>
      <c r="M735">
        <f t="shared" ca="1" si="277"/>
        <v>201856.1622807286</v>
      </c>
      <c r="N735">
        <f t="shared" ca="1" si="278"/>
        <v>2.5998258678588941</v>
      </c>
      <c r="O735">
        <f t="shared" ca="1" si="279"/>
        <v>2.526551551548497E-4</v>
      </c>
      <c r="P735">
        <f t="shared" ca="1" si="280"/>
        <v>39450.762246293962</v>
      </c>
      <c r="Q735">
        <f t="shared" ca="1" si="281"/>
        <v>39450.762246297214</v>
      </c>
      <c r="R735">
        <f t="shared" ca="1" si="282"/>
        <v>4.0177215263360696E-12</v>
      </c>
      <c r="S735">
        <f t="shared" ca="1" si="300"/>
        <v>4.9999998736893758E-4</v>
      </c>
      <c r="T735">
        <f t="shared" ca="1" si="301"/>
        <v>1</v>
      </c>
      <c r="U735">
        <f t="shared" ca="1" si="283"/>
        <v>0.05</v>
      </c>
      <c r="V735">
        <f t="shared" ca="1" si="284"/>
        <v>0.26</v>
      </c>
      <c r="W735">
        <f t="shared" ca="1" si="285"/>
        <v>4.9056603773584909E-2</v>
      </c>
      <c r="X735">
        <f t="shared" ca="1" si="286"/>
        <v>196.15384615384616</v>
      </c>
      <c r="Y735">
        <f t="shared" ca="1" si="287"/>
        <v>632.31949999999995</v>
      </c>
      <c r="Z735">
        <f t="shared" ca="1" si="288"/>
        <v>2593.3965316486619</v>
      </c>
      <c r="AA735">
        <f t="shared" ca="1" si="289"/>
        <v>482.07306851378365</v>
      </c>
      <c r="AB735">
        <f t="shared" ca="1" si="290"/>
        <v>481.67874391170562</v>
      </c>
      <c r="AC735">
        <f t="shared" ca="1" si="291"/>
        <v>0</v>
      </c>
      <c r="AD735">
        <f ca="1">IF(V32="Supercritical",L735,U735)</f>
        <v>0.05</v>
      </c>
      <c r="AE735">
        <f t="shared" ca="1" si="292"/>
        <v>632.31949999999995</v>
      </c>
      <c r="AF735">
        <f t="shared" ca="1" si="293"/>
        <v>2593.3965316486619</v>
      </c>
      <c r="AI735">
        <v>0</v>
      </c>
      <c r="AJ735">
        <v>0</v>
      </c>
      <c r="AK735">
        <f t="shared" si="294"/>
        <v>0</v>
      </c>
      <c r="AL735">
        <f t="shared" si="302"/>
        <v>0</v>
      </c>
      <c r="AM735">
        <f t="shared" ca="1" si="295"/>
        <v>280.07692026646265</v>
      </c>
      <c r="AN735" t="str">
        <f t="shared" ca="1" si="296"/>
        <v>Supercritical</v>
      </c>
      <c r="AO735">
        <f ca="1">IF(V32="Supercritical",R735,AA735)</f>
        <v>482.07306851378365</v>
      </c>
    </row>
    <row r="736" spans="1:41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174</v>
      </c>
      <c r="I736">
        <v>2.7E-2</v>
      </c>
      <c r="J736">
        <f t="shared" si="297"/>
        <v>0.99900000000002365</v>
      </c>
      <c r="K736">
        <f t="shared" si="298"/>
        <v>51</v>
      </c>
      <c r="L736">
        <f t="shared" ca="1" si="299"/>
        <v>38818.48086612764</v>
      </c>
      <c r="M736">
        <f t="shared" ca="1" si="277"/>
        <v>201856.10050386374</v>
      </c>
      <c r="N736">
        <f t="shared" ca="1" si="278"/>
        <v>2.5998258678056052</v>
      </c>
      <c r="O736">
        <f t="shared" ca="1" si="279"/>
        <v>2.5265523247846455E-4</v>
      </c>
      <c r="P736">
        <f t="shared" ca="1" si="280"/>
        <v>39450.74986612764</v>
      </c>
      <c r="Q736">
        <f t="shared" ca="1" si="281"/>
        <v>39450.749866130893</v>
      </c>
      <c r="R736">
        <f t="shared" ca="1" si="282"/>
        <v>4.0177239856460365E-12</v>
      </c>
      <c r="S736">
        <f t="shared" ca="1" si="300"/>
        <v>1.2380166313960217E-2</v>
      </c>
      <c r="T736">
        <f t="shared" ca="1" si="301"/>
        <v>0</v>
      </c>
      <c r="U736">
        <f t="shared" ca="1" si="283"/>
        <v>0.05</v>
      </c>
      <c r="V736">
        <f t="shared" ca="1" si="284"/>
        <v>0.26</v>
      </c>
      <c r="W736">
        <f t="shared" ca="1" si="285"/>
        <v>4.9056603773584909E-2</v>
      </c>
      <c r="X736">
        <f t="shared" ca="1" si="286"/>
        <v>196.15384615384616</v>
      </c>
      <c r="Y736">
        <f t="shared" ca="1" si="287"/>
        <v>632.31899999999996</v>
      </c>
      <c r="Z736">
        <f t="shared" ca="1" si="288"/>
        <v>2593.3960316486618</v>
      </c>
      <c r="AA736">
        <f t="shared" ca="1" si="289"/>
        <v>482.07306851378365</v>
      </c>
      <c r="AB736">
        <f t="shared" ca="1" si="290"/>
        <v>482.6428900487108</v>
      </c>
      <c r="AC736">
        <f t="shared" ca="1" si="291"/>
        <v>0</v>
      </c>
      <c r="AD736">
        <f ca="1">IF(V32="Supercritical",L736,U736)</f>
        <v>0.05</v>
      </c>
      <c r="AE736">
        <f t="shared" ca="1" si="292"/>
        <v>632.31899999999996</v>
      </c>
      <c r="AF736">
        <f t="shared" ca="1" si="293"/>
        <v>2593.3960316486618</v>
      </c>
      <c r="AI736">
        <v>0</v>
      </c>
      <c r="AJ736">
        <v>0</v>
      </c>
      <c r="AK736">
        <f t="shared" si="294"/>
        <v>0</v>
      </c>
      <c r="AL736">
        <f t="shared" si="302"/>
        <v>0</v>
      </c>
      <c r="AM736">
        <f t="shared" ca="1" si="295"/>
        <v>280.07692026646265</v>
      </c>
      <c r="AN736" t="str">
        <f t="shared" ca="1" si="296"/>
        <v>Supercritical</v>
      </c>
      <c r="AO736">
        <f ca="1">IF(V32="Supercritical",R736,AA736)</f>
        <v>482.07306851378365</v>
      </c>
    </row>
    <row r="737" spans="1:41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174</v>
      </c>
      <c r="I737">
        <v>2.7E-2</v>
      </c>
      <c r="J737">
        <f t="shared" si="297"/>
        <v>1.0009999999999764</v>
      </c>
      <c r="K737">
        <f t="shared" si="298"/>
        <v>51</v>
      </c>
      <c r="L737">
        <f t="shared" ca="1" si="299"/>
        <v>38818.48086612764</v>
      </c>
      <c r="M737">
        <f t="shared" ca="1" si="277"/>
        <v>201856.10050386374</v>
      </c>
      <c r="N737">
        <f t="shared" ca="1" si="278"/>
        <v>2.5998258678056052</v>
      </c>
      <c r="O737">
        <f t="shared" ca="1" si="279"/>
        <v>2.5265523247846455E-4</v>
      </c>
      <c r="P737">
        <f t="shared" ca="1" si="280"/>
        <v>39450.749366127638</v>
      </c>
      <c r="Q737">
        <f t="shared" ca="1" si="281"/>
        <v>39450.749366130891</v>
      </c>
      <c r="R737">
        <f t="shared" ca="1" si="282"/>
        <v>4.0177239856460365E-12</v>
      </c>
      <c r="S737">
        <f t="shared" ca="1" si="300"/>
        <v>4.999999946448952E-4</v>
      </c>
      <c r="T737">
        <f t="shared" ca="1" si="301"/>
        <v>1</v>
      </c>
      <c r="U737">
        <f t="shared" ca="1" si="283"/>
        <v>0.05</v>
      </c>
      <c r="V737">
        <f t="shared" ca="1" si="284"/>
        <v>0.26</v>
      </c>
      <c r="W737">
        <f t="shared" ca="1" si="285"/>
        <v>4.9056603773584909E-2</v>
      </c>
      <c r="X737">
        <f t="shared" ca="1" si="286"/>
        <v>196.15384615384616</v>
      </c>
      <c r="Y737">
        <f t="shared" ca="1" si="287"/>
        <v>632.31849999999997</v>
      </c>
      <c r="Z737">
        <f t="shared" ca="1" si="288"/>
        <v>2593.3955316486622</v>
      </c>
      <c r="AA737">
        <f t="shared" ca="1" si="289"/>
        <v>482.07306851378365</v>
      </c>
      <c r="AB737">
        <f t="shared" ca="1" si="290"/>
        <v>481.59049544528125</v>
      </c>
      <c r="AC737">
        <f t="shared" ca="1" si="291"/>
        <v>0</v>
      </c>
      <c r="AD737">
        <f ca="1">IF(V32="Supercritical",L737,U737)</f>
        <v>0.05</v>
      </c>
      <c r="AE737">
        <f t="shared" ca="1" si="292"/>
        <v>632.31849999999997</v>
      </c>
      <c r="AF737">
        <f t="shared" ca="1" si="293"/>
        <v>2593.3955316486622</v>
      </c>
      <c r="AI737">
        <v>0</v>
      </c>
      <c r="AJ737">
        <v>0</v>
      </c>
      <c r="AK737">
        <f t="shared" si="294"/>
        <v>0</v>
      </c>
      <c r="AL737">
        <f t="shared" si="302"/>
        <v>0</v>
      </c>
      <c r="AM737">
        <f t="shared" ca="1" si="295"/>
        <v>280.07692026646265</v>
      </c>
      <c r="AN737" t="str">
        <f t="shared" ca="1" si="296"/>
        <v>Supercritical</v>
      </c>
      <c r="AO737">
        <f ca="1">IF(V32="Supercritical",R737,AA737)</f>
        <v>482.07306851378365</v>
      </c>
    </row>
    <row r="738" spans="1:41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174</v>
      </c>
      <c r="I738">
        <v>0</v>
      </c>
      <c r="J738">
        <f t="shared" si="297"/>
        <v>0.99900000000002365</v>
      </c>
      <c r="K738">
        <f t="shared" si="298"/>
        <v>51</v>
      </c>
      <c r="L738">
        <f t="shared" ca="1" si="299"/>
        <v>38818.469051134562</v>
      </c>
      <c r="M738">
        <f t="shared" ca="1" si="277"/>
        <v>201856.03906589973</v>
      </c>
      <c r="N738">
        <f t="shared" ca="1" si="278"/>
        <v>2.5998258677526094</v>
      </c>
      <c r="O738">
        <f t="shared" ca="1" si="279"/>
        <v>2.5265530937793783E-4</v>
      </c>
      <c r="P738">
        <f t="shared" ca="1" si="280"/>
        <v>39450.737051134565</v>
      </c>
      <c r="Q738">
        <f t="shared" ca="1" si="281"/>
        <v>39450.737051137818</v>
      </c>
      <c r="R738">
        <f t="shared" ca="1" si="282"/>
        <v>4.0177264314667466E-12</v>
      </c>
      <c r="S738">
        <f t="shared" ca="1" si="300"/>
        <v>1.2314993065956514E-2</v>
      </c>
      <c r="T738">
        <f t="shared" ca="1" si="301"/>
        <v>0</v>
      </c>
      <c r="U738">
        <f t="shared" ca="1" si="283"/>
        <v>0.05</v>
      </c>
      <c r="V738">
        <f t="shared" ca="1" si="284"/>
        <v>0.26</v>
      </c>
      <c r="W738">
        <f t="shared" ca="1" si="285"/>
        <v>4.9056603773584909E-2</v>
      </c>
      <c r="X738">
        <f t="shared" ca="1" si="286"/>
        <v>196.15384615384616</v>
      </c>
      <c r="Y738">
        <f t="shared" ca="1" si="287"/>
        <v>632.31799999999998</v>
      </c>
      <c r="Z738">
        <f t="shared" ca="1" si="288"/>
        <v>2593.3950316486621</v>
      </c>
      <c r="AA738">
        <f t="shared" ca="1" si="289"/>
        <v>482.07306851378365</v>
      </c>
      <c r="AB738">
        <f t="shared" ca="1" si="290"/>
        <v>482.1477431333301</v>
      </c>
      <c r="AC738">
        <f t="shared" ca="1" si="291"/>
        <v>0</v>
      </c>
      <c r="AD738">
        <f ca="1">IF(V32="Supercritical",L738,U738)</f>
        <v>0.05</v>
      </c>
      <c r="AE738">
        <f t="shared" ca="1" si="292"/>
        <v>632.31799999999998</v>
      </c>
      <c r="AF738">
        <f t="shared" ca="1" si="293"/>
        <v>2593.3950316486621</v>
      </c>
      <c r="AI738">
        <v>0</v>
      </c>
      <c r="AJ738">
        <v>0</v>
      </c>
      <c r="AK738">
        <f t="shared" si="294"/>
        <v>0</v>
      </c>
      <c r="AL738">
        <f t="shared" si="302"/>
        <v>0</v>
      </c>
      <c r="AM738">
        <f t="shared" ca="1" si="295"/>
        <v>280.07692026646265</v>
      </c>
      <c r="AN738" t="str">
        <f t="shared" ca="1" si="296"/>
        <v>Supercritical</v>
      </c>
      <c r="AO738">
        <f ca="1">IF(V32="Supercritical",R738,AA738)</f>
        <v>482.07306851378365</v>
      </c>
    </row>
    <row r="739" spans="1:41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174</v>
      </c>
      <c r="I739">
        <v>2.3E-2</v>
      </c>
      <c r="J739">
        <f t="shared" si="297"/>
        <v>1</v>
      </c>
      <c r="K739">
        <f t="shared" si="298"/>
        <v>51</v>
      </c>
      <c r="L739">
        <f t="shared" ca="1" si="299"/>
        <v>38818.469051134562</v>
      </c>
      <c r="M739">
        <f t="shared" ca="1" si="277"/>
        <v>201856.03906589973</v>
      </c>
      <c r="N739">
        <f t="shared" ca="1" si="278"/>
        <v>2.5998258677526094</v>
      </c>
      <c r="O739">
        <f t="shared" ca="1" si="279"/>
        <v>2.5265530937793783E-4</v>
      </c>
      <c r="P739">
        <f t="shared" ca="1" si="280"/>
        <v>39450.736551134563</v>
      </c>
      <c r="Q739">
        <f t="shared" ca="1" si="281"/>
        <v>39450.736551137816</v>
      </c>
      <c r="R739">
        <f t="shared" ca="1" si="282"/>
        <v>4.0177264314667466E-12</v>
      </c>
      <c r="S739">
        <f t="shared" ca="1" si="300"/>
        <v>4.999999946448952E-4</v>
      </c>
      <c r="T739">
        <f t="shared" ca="1" si="301"/>
        <v>1</v>
      </c>
      <c r="U739">
        <f t="shared" ca="1" si="283"/>
        <v>0.05</v>
      </c>
      <c r="V739">
        <f t="shared" ca="1" si="284"/>
        <v>0.26</v>
      </c>
      <c r="W739">
        <f t="shared" ca="1" si="285"/>
        <v>4.9056603773584909E-2</v>
      </c>
      <c r="X739">
        <f t="shared" ca="1" si="286"/>
        <v>196.15384615384616</v>
      </c>
      <c r="Y739">
        <f t="shared" ca="1" si="287"/>
        <v>632.3175</v>
      </c>
      <c r="Z739">
        <f t="shared" ca="1" si="288"/>
        <v>2593.394531648662</v>
      </c>
      <c r="AA739">
        <f t="shared" ca="1" si="289"/>
        <v>482.07306851378365</v>
      </c>
      <c r="AB739">
        <f t="shared" ca="1" si="290"/>
        <v>482.62981620183291</v>
      </c>
      <c r="AC739">
        <f t="shared" ca="1" si="291"/>
        <v>0</v>
      </c>
      <c r="AD739">
        <f ca="1">IF(V32="Supercritical",L739,U739)</f>
        <v>0.05</v>
      </c>
      <c r="AE739">
        <f t="shared" ca="1" si="292"/>
        <v>632.3175</v>
      </c>
      <c r="AF739">
        <f t="shared" ca="1" si="293"/>
        <v>2593.394531648662</v>
      </c>
      <c r="AI739">
        <v>0</v>
      </c>
      <c r="AJ739">
        <v>0</v>
      </c>
      <c r="AK739">
        <f t="shared" si="294"/>
        <v>0</v>
      </c>
      <c r="AL739">
        <f t="shared" si="302"/>
        <v>0</v>
      </c>
      <c r="AM739">
        <f t="shared" ca="1" si="295"/>
        <v>280.07692026646265</v>
      </c>
      <c r="AN739" t="str">
        <f t="shared" ca="1" si="296"/>
        <v>Supercritical</v>
      </c>
      <c r="AO739">
        <f ca="1">IF(V32="Supercritical",R739,AA739)</f>
        <v>482.07306851378365</v>
      </c>
    </row>
    <row r="740" spans="1:41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174</v>
      </c>
      <c r="I740">
        <v>2.3E-2</v>
      </c>
      <c r="J740">
        <f t="shared" si="297"/>
        <v>1.0009999999999764</v>
      </c>
      <c r="K740">
        <f t="shared" si="298"/>
        <v>51</v>
      </c>
      <c r="L740">
        <f t="shared" ca="1" si="299"/>
        <v>38818.457318464512</v>
      </c>
      <c r="M740">
        <f t="shared" ca="1" si="277"/>
        <v>201855.97805601548</v>
      </c>
      <c r="N740">
        <f t="shared" ca="1" si="278"/>
        <v>2.5998258676999821</v>
      </c>
      <c r="O740">
        <f t="shared" ca="1" si="279"/>
        <v>2.5265538574164692E-4</v>
      </c>
      <c r="P740">
        <f t="shared" ca="1" si="280"/>
        <v>39450.724318464512</v>
      </c>
      <c r="Q740">
        <f t="shared" ca="1" si="281"/>
        <v>39450.724318467765</v>
      </c>
      <c r="R740">
        <f t="shared" ca="1" si="282"/>
        <v>4.0177288602479828E-12</v>
      </c>
      <c r="S740">
        <f t="shared" ca="1" si="300"/>
        <v>1.2232670043886174E-2</v>
      </c>
      <c r="T740">
        <f t="shared" ca="1" si="301"/>
        <v>0</v>
      </c>
      <c r="U740">
        <f t="shared" ca="1" si="283"/>
        <v>0.05</v>
      </c>
      <c r="V740">
        <f t="shared" ca="1" si="284"/>
        <v>0.26</v>
      </c>
      <c r="W740">
        <f t="shared" ca="1" si="285"/>
        <v>4.9056603773584909E-2</v>
      </c>
      <c r="X740">
        <f t="shared" ca="1" si="286"/>
        <v>196.15384615384616</v>
      </c>
      <c r="Y740">
        <f t="shared" ca="1" si="287"/>
        <v>632.31700000000001</v>
      </c>
      <c r="Z740">
        <f t="shared" ca="1" si="288"/>
        <v>2593.3940316486623</v>
      </c>
      <c r="AA740">
        <f t="shared" ca="1" si="289"/>
        <v>482.07306851378365</v>
      </c>
      <c r="AB740">
        <f t="shared" ca="1" si="290"/>
        <v>481.67874391170562</v>
      </c>
      <c r="AC740">
        <f t="shared" ca="1" si="291"/>
        <v>0</v>
      </c>
      <c r="AD740">
        <f ca="1">IF(V32="Supercritical",L740,U740)</f>
        <v>0.05</v>
      </c>
      <c r="AE740">
        <f t="shared" ca="1" si="292"/>
        <v>632.31700000000001</v>
      </c>
      <c r="AF740">
        <f t="shared" ca="1" si="293"/>
        <v>2593.3940316486623</v>
      </c>
      <c r="AI740">
        <v>0</v>
      </c>
      <c r="AJ740">
        <v>0</v>
      </c>
      <c r="AK740">
        <f t="shared" si="294"/>
        <v>0</v>
      </c>
      <c r="AL740">
        <f t="shared" si="302"/>
        <v>0</v>
      </c>
      <c r="AM740">
        <f t="shared" ca="1" si="295"/>
        <v>280.07692026646265</v>
      </c>
      <c r="AN740" t="str">
        <f t="shared" ca="1" si="296"/>
        <v>Supercritical</v>
      </c>
      <c r="AO740">
        <f ca="1">IF(V32="Supercritical",R740,AA740)</f>
        <v>482.07306851378365</v>
      </c>
    </row>
    <row r="741" spans="1:41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174</v>
      </c>
      <c r="I741">
        <v>2.7E-2</v>
      </c>
      <c r="J741">
        <f t="shared" si="297"/>
        <v>0.99900000000002365</v>
      </c>
      <c r="K741">
        <f t="shared" si="298"/>
        <v>51</v>
      </c>
      <c r="L741">
        <f t="shared" ca="1" si="299"/>
        <v>38818.457318464512</v>
      </c>
      <c r="M741">
        <f t="shared" ca="1" si="277"/>
        <v>201855.97805601548</v>
      </c>
      <c r="N741">
        <f t="shared" ca="1" si="278"/>
        <v>2.5998258676999821</v>
      </c>
      <c r="O741">
        <f t="shared" ca="1" si="279"/>
        <v>2.5265538574164692E-4</v>
      </c>
      <c r="P741">
        <f t="shared" ca="1" si="280"/>
        <v>39450.72381846451</v>
      </c>
      <c r="Q741">
        <f t="shared" ca="1" si="281"/>
        <v>39450.723818467763</v>
      </c>
      <c r="R741">
        <f t="shared" ca="1" si="282"/>
        <v>4.0177288602479828E-12</v>
      </c>
      <c r="S741">
        <f t="shared" ca="1" si="300"/>
        <v>4.999999946448952E-4</v>
      </c>
      <c r="T741">
        <f t="shared" ca="1" si="301"/>
        <v>1</v>
      </c>
      <c r="U741">
        <f t="shared" ca="1" si="283"/>
        <v>0.05</v>
      </c>
      <c r="V741">
        <f t="shared" ca="1" si="284"/>
        <v>0.26</v>
      </c>
      <c r="W741">
        <f t="shared" ca="1" si="285"/>
        <v>4.9056603773584909E-2</v>
      </c>
      <c r="X741">
        <f t="shared" ca="1" si="286"/>
        <v>196.15384615384616</v>
      </c>
      <c r="Y741">
        <f t="shared" ca="1" si="287"/>
        <v>632.31649999999991</v>
      </c>
      <c r="Z741">
        <f t="shared" ca="1" si="288"/>
        <v>2593.3935316486622</v>
      </c>
      <c r="AA741">
        <f t="shared" ca="1" si="289"/>
        <v>482.07306851378365</v>
      </c>
      <c r="AB741">
        <f t="shared" ca="1" si="290"/>
        <v>482.64289004871034</v>
      </c>
      <c r="AC741">
        <f t="shared" ca="1" si="291"/>
        <v>0</v>
      </c>
      <c r="AD741">
        <f ca="1">IF(V32="Supercritical",L741,U741)</f>
        <v>0.05</v>
      </c>
      <c r="AE741">
        <f t="shared" ca="1" si="292"/>
        <v>632.31649999999991</v>
      </c>
      <c r="AF741">
        <f t="shared" ca="1" si="293"/>
        <v>2593.3935316486622</v>
      </c>
      <c r="AI741">
        <v>0</v>
      </c>
      <c r="AJ741">
        <v>0</v>
      </c>
      <c r="AK741">
        <f t="shared" si="294"/>
        <v>0</v>
      </c>
      <c r="AL741">
        <f t="shared" si="302"/>
        <v>0</v>
      </c>
      <c r="AM741">
        <f t="shared" ca="1" si="295"/>
        <v>280.07692026646265</v>
      </c>
      <c r="AN741" t="str">
        <f t="shared" ca="1" si="296"/>
        <v>Supercritical</v>
      </c>
      <c r="AO741">
        <f ca="1">IF(V32="Supercritical",R741,AA741)</f>
        <v>482.07306851378365</v>
      </c>
    </row>
    <row r="742" spans="1:41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174</v>
      </c>
      <c r="I742">
        <v>2.7E-2</v>
      </c>
      <c r="J742">
        <f t="shared" si="297"/>
        <v>1.0009999999999764</v>
      </c>
      <c r="K742">
        <f t="shared" si="298"/>
        <v>51</v>
      </c>
      <c r="L742">
        <f t="shared" ca="1" si="299"/>
        <v>38818.445685837403</v>
      </c>
      <c r="M742">
        <f t="shared" ca="1" si="277"/>
        <v>201855.9175663545</v>
      </c>
      <c r="N742">
        <f t="shared" ca="1" si="278"/>
        <v>2.5998258676478039</v>
      </c>
      <c r="O742">
        <f t="shared" ca="1" si="279"/>
        <v>2.5265546145425817E-4</v>
      </c>
      <c r="P742">
        <f t="shared" ca="1" si="280"/>
        <v>39450.711685837407</v>
      </c>
      <c r="Q742">
        <f t="shared" ca="1" si="281"/>
        <v>39450.711685840659</v>
      </c>
      <c r="R742">
        <f t="shared" ca="1" si="282"/>
        <v>4.0177312683214972E-12</v>
      </c>
      <c r="S742">
        <f t="shared" ca="1" si="300"/>
        <v>1.2132627096434589E-2</v>
      </c>
      <c r="T742">
        <f t="shared" ca="1" si="301"/>
        <v>0</v>
      </c>
      <c r="U742">
        <f t="shared" ca="1" si="283"/>
        <v>0.05</v>
      </c>
      <c r="V742">
        <f t="shared" ca="1" si="284"/>
        <v>0.26</v>
      </c>
      <c r="W742">
        <f t="shared" ca="1" si="285"/>
        <v>4.9056603773584909E-2</v>
      </c>
      <c r="X742">
        <f t="shared" ca="1" si="286"/>
        <v>196.15384615384616</v>
      </c>
      <c r="Y742">
        <f t="shared" ca="1" si="287"/>
        <v>632.31599999999992</v>
      </c>
      <c r="Z742">
        <f t="shared" ca="1" si="288"/>
        <v>2593.3930316486621</v>
      </c>
      <c r="AA742">
        <f t="shared" ca="1" si="289"/>
        <v>482.07306851378365</v>
      </c>
      <c r="AB742">
        <f t="shared" ca="1" si="290"/>
        <v>481.75391853125211</v>
      </c>
      <c r="AC742">
        <f t="shared" ca="1" si="291"/>
        <v>0</v>
      </c>
      <c r="AD742">
        <f ca="1">IF(V32="Supercritical",L742,U742)</f>
        <v>0.05</v>
      </c>
      <c r="AE742">
        <f t="shared" ca="1" si="292"/>
        <v>632.31599999999992</v>
      </c>
      <c r="AF742">
        <f t="shared" ca="1" si="293"/>
        <v>2593.3930316486621</v>
      </c>
      <c r="AI742">
        <v>0</v>
      </c>
      <c r="AJ742">
        <v>0</v>
      </c>
      <c r="AK742">
        <f t="shared" si="294"/>
        <v>0</v>
      </c>
      <c r="AL742">
        <f t="shared" si="302"/>
        <v>0</v>
      </c>
      <c r="AM742">
        <f t="shared" ca="1" si="295"/>
        <v>280.07692026646265</v>
      </c>
      <c r="AN742" t="str">
        <f t="shared" ca="1" si="296"/>
        <v>Supercritical</v>
      </c>
      <c r="AO742">
        <f ca="1">IF(V32="Supercritical",R742,AA742)</f>
        <v>482.07306851378365</v>
      </c>
    </row>
    <row r="743" spans="1:41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174</v>
      </c>
      <c r="I743">
        <v>0.05</v>
      </c>
      <c r="J743">
        <f t="shared" si="297"/>
        <v>0.99900000000002365</v>
      </c>
      <c r="K743">
        <f t="shared" si="298"/>
        <v>51</v>
      </c>
      <c r="L743">
        <f t="shared" ca="1" si="299"/>
        <v>38818.445685837403</v>
      </c>
      <c r="M743">
        <f t="shared" ca="1" si="277"/>
        <v>201855.9175663545</v>
      </c>
      <c r="N743">
        <f t="shared" ca="1" si="278"/>
        <v>2.5998258676478039</v>
      </c>
      <c r="O743">
        <f t="shared" ca="1" si="279"/>
        <v>2.5265546145425817E-4</v>
      </c>
      <c r="P743">
        <f t="shared" ca="1" si="280"/>
        <v>39450.711185837405</v>
      </c>
      <c r="Q743">
        <f t="shared" ca="1" si="281"/>
        <v>39450.711185840657</v>
      </c>
      <c r="R743">
        <f t="shared" ca="1" si="282"/>
        <v>4.0177312683214972E-12</v>
      </c>
      <c r="S743">
        <f t="shared" ca="1" si="300"/>
        <v>4.999999946448952E-4</v>
      </c>
      <c r="T743">
        <f t="shared" ca="1" si="301"/>
        <v>1</v>
      </c>
      <c r="U743">
        <f t="shared" ca="1" si="283"/>
        <v>0.05</v>
      </c>
      <c r="V743">
        <f t="shared" ca="1" si="284"/>
        <v>0.26</v>
      </c>
      <c r="W743">
        <f t="shared" ca="1" si="285"/>
        <v>4.9056603773584909E-2</v>
      </c>
      <c r="X743">
        <f t="shared" ca="1" si="286"/>
        <v>196.15384615384616</v>
      </c>
      <c r="Y743">
        <f t="shared" ca="1" si="287"/>
        <v>632.31549999999993</v>
      </c>
      <c r="Z743">
        <f t="shared" ca="1" si="288"/>
        <v>2593.392531648662</v>
      </c>
      <c r="AA743">
        <f t="shared" ca="1" si="289"/>
        <v>482.07306851378365</v>
      </c>
      <c r="AB743">
        <f t="shared" ca="1" si="290"/>
        <v>482.32750852789786</v>
      </c>
      <c r="AC743">
        <f t="shared" ca="1" si="291"/>
        <v>0</v>
      </c>
      <c r="AD743">
        <f ca="1">IF(V32="Supercritical",L743,U743)</f>
        <v>0.05</v>
      </c>
      <c r="AE743">
        <f t="shared" ca="1" si="292"/>
        <v>632.31549999999993</v>
      </c>
      <c r="AF743">
        <f t="shared" ca="1" si="293"/>
        <v>2593.392531648662</v>
      </c>
      <c r="AI743">
        <v>0</v>
      </c>
      <c r="AJ743">
        <v>0</v>
      </c>
      <c r="AK743">
        <f t="shared" si="294"/>
        <v>0</v>
      </c>
      <c r="AL743">
        <f t="shared" si="302"/>
        <v>0</v>
      </c>
      <c r="AM743">
        <f t="shared" ca="1" si="295"/>
        <v>280.07692026646265</v>
      </c>
      <c r="AN743" t="str">
        <f t="shared" ca="1" si="296"/>
        <v>Supercritical</v>
      </c>
      <c r="AO743">
        <f ca="1">IF(V32="Supercritical",R743,AA743)</f>
        <v>482.07306851378365</v>
      </c>
    </row>
    <row r="744" spans="1:41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174</v>
      </c>
      <c r="I744">
        <v>7.8E-2</v>
      </c>
      <c r="J744">
        <f t="shared" si="297"/>
        <v>1</v>
      </c>
      <c r="K744">
        <f t="shared" si="298"/>
        <v>51</v>
      </c>
      <c r="L744">
        <f t="shared" ca="1" si="299"/>
        <v>38818.434171397217</v>
      </c>
      <c r="M744">
        <f t="shared" ca="1" si="277"/>
        <v>201855.85769126553</v>
      </c>
      <c r="N744">
        <f t="shared" ca="1" si="278"/>
        <v>2.5998258675961554</v>
      </c>
      <c r="O744">
        <f t="shared" ca="1" si="279"/>
        <v>2.5265553639767775E-4</v>
      </c>
      <c r="P744">
        <f t="shared" ca="1" si="280"/>
        <v>39450.699171397217</v>
      </c>
      <c r="Q744">
        <f t="shared" ca="1" si="281"/>
        <v>39450.699171400469</v>
      </c>
      <c r="R744">
        <f t="shared" ca="1" si="282"/>
        <v>4.0177336519312347E-12</v>
      </c>
      <c r="S744">
        <f t="shared" ca="1" si="300"/>
        <v>1.2014440180792008E-2</v>
      </c>
      <c r="T744">
        <f t="shared" ca="1" si="301"/>
        <v>0</v>
      </c>
      <c r="U744">
        <f t="shared" ca="1" si="283"/>
        <v>0.05</v>
      </c>
      <c r="V744">
        <f t="shared" ca="1" si="284"/>
        <v>0.26</v>
      </c>
      <c r="W744">
        <f t="shared" ca="1" si="285"/>
        <v>4.9056603773584909E-2</v>
      </c>
      <c r="X744">
        <f t="shared" ca="1" si="286"/>
        <v>196.15384615384616</v>
      </c>
      <c r="Y744">
        <f t="shared" ca="1" si="287"/>
        <v>632.31499999999994</v>
      </c>
      <c r="Z744">
        <f t="shared" ca="1" si="288"/>
        <v>2593.3920316486619</v>
      </c>
      <c r="AA744">
        <f t="shared" ca="1" si="289"/>
        <v>482.07306851378365</v>
      </c>
      <c r="AB744">
        <f t="shared" ca="1" si="290"/>
        <v>482.64289004871034</v>
      </c>
      <c r="AC744">
        <f t="shared" ca="1" si="291"/>
        <v>0</v>
      </c>
      <c r="AD744">
        <f ca="1">IF(V32="Supercritical",L744,U744)</f>
        <v>0.05</v>
      </c>
      <c r="AE744">
        <f t="shared" ca="1" si="292"/>
        <v>632.31499999999994</v>
      </c>
      <c r="AF744">
        <f t="shared" ca="1" si="293"/>
        <v>2593.3920316486619</v>
      </c>
      <c r="AI744">
        <v>0</v>
      </c>
      <c r="AJ744">
        <v>0</v>
      </c>
      <c r="AK744">
        <f t="shared" si="294"/>
        <v>0</v>
      </c>
      <c r="AL744">
        <f t="shared" si="302"/>
        <v>0</v>
      </c>
      <c r="AM744">
        <f t="shared" ca="1" si="295"/>
        <v>280.07692026646265</v>
      </c>
      <c r="AN744" t="str">
        <f t="shared" ca="1" si="296"/>
        <v>Supercritical</v>
      </c>
      <c r="AO744">
        <f ca="1">IF(V32="Supercritical",R744,AA744)</f>
        <v>482.07306851378365</v>
      </c>
    </row>
    <row r="745" spans="1:41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174</v>
      </c>
      <c r="I745">
        <v>2.7E-2</v>
      </c>
      <c r="J745">
        <f t="shared" si="297"/>
        <v>1.0009999999999764</v>
      </c>
      <c r="K745">
        <f t="shared" si="298"/>
        <v>51</v>
      </c>
      <c r="L745">
        <f t="shared" ca="1" si="299"/>
        <v>38818.434171397217</v>
      </c>
      <c r="M745">
        <f t="shared" ca="1" si="277"/>
        <v>201855.85769126553</v>
      </c>
      <c r="N745">
        <f t="shared" ca="1" si="278"/>
        <v>2.5998258675961554</v>
      </c>
      <c r="O745">
        <f t="shared" ca="1" si="279"/>
        <v>2.5265553639767775E-4</v>
      </c>
      <c r="P745">
        <f t="shared" ca="1" si="280"/>
        <v>39450.698671397215</v>
      </c>
      <c r="Q745">
        <f t="shared" ca="1" si="281"/>
        <v>39450.698671400467</v>
      </c>
      <c r="R745">
        <f t="shared" ca="1" si="282"/>
        <v>4.0177336519312347E-12</v>
      </c>
      <c r="S745">
        <f t="shared" ca="1" si="300"/>
        <v>4.999999946448952E-4</v>
      </c>
      <c r="T745">
        <f t="shared" ca="1" si="301"/>
        <v>1</v>
      </c>
      <c r="U745">
        <f t="shared" ca="1" si="283"/>
        <v>0.05</v>
      </c>
      <c r="V745">
        <f t="shared" ca="1" si="284"/>
        <v>0.26</v>
      </c>
      <c r="W745">
        <f t="shared" ca="1" si="285"/>
        <v>4.9056603773584909E-2</v>
      </c>
      <c r="X745">
        <f t="shared" ca="1" si="286"/>
        <v>196.15384615384616</v>
      </c>
      <c r="Y745">
        <f t="shared" ca="1" si="287"/>
        <v>632.31449999999995</v>
      </c>
      <c r="Z745">
        <f t="shared" ca="1" si="288"/>
        <v>2593.3915316486618</v>
      </c>
      <c r="AA745">
        <f t="shared" ca="1" si="289"/>
        <v>482.07306851378365</v>
      </c>
      <c r="AB745">
        <f t="shared" ca="1" si="290"/>
        <v>481.67874391170608</v>
      </c>
      <c r="AC745">
        <f t="shared" ca="1" si="291"/>
        <v>0</v>
      </c>
      <c r="AD745">
        <f ca="1">IF(V32="Supercritical",L745,U745)</f>
        <v>0.05</v>
      </c>
      <c r="AE745">
        <f t="shared" ca="1" si="292"/>
        <v>632.31449999999995</v>
      </c>
      <c r="AF745">
        <f t="shared" ca="1" si="293"/>
        <v>2593.3915316486618</v>
      </c>
      <c r="AI745">
        <v>0</v>
      </c>
      <c r="AJ745">
        <v>0</v>
      </c>
      <c r="AK745">
        <f t="shared" si="294"/>
        <v>0</v>
      </c>
      <c r="AL745">
        <f t="shared" si="302"/>
        <v>0</v>
      </c>
      <c r="AM745">
        <f t="shared" ca="1" si="295"/>
        <v>280.07692026646265</v>
      </c>
      <c r="AN745" t="str">
        <f t="shared" ca="1" si="296"/>
        <v>Supercritical</v>
      </c>
      <c r="AO745">
        <f ca="1">IF(V32="Supercritical",R745,AA745)</f>
        <v>482.07306851378365</v>
      </c>
    </row>
    <row r="746" spans="1:41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174</v>
      </c>
      <c r="I746">
        <v>2.7E-2</v>
      </c>
      <c r="J746">
        <f t="shared" si="297"/>
        <v>0.99900000000002365</v>
      </c>
      <c r="K746">
        <f t="shared" si="298"/>
        <v>51</v>
      </c>
      <c r="L746">
        <f t="shared" ca="1" si="299"/>
        <v>38818.422793558217</v>
      </c>
      <c r="M746">
        <f t="shared" ca="1" si="277"/>
        <v>201855.79852650274</v>
      </c>
      <c r="N746">
        <f t="shared" ca="1" si="278"/>
        <v>2.5998258675451202</v>
      </c>
      <c r="O746">
        <f t="shared" ca="1" si="279"/>
        <v>2.5265561045205215E-4</v>
      </c>
      <c r="P746">
        <f t="shared" ca="1" si="280"/>
        <v>39450.68679355822</v>
      </c>
      <c r="Q746">
        <f t="shared" ca="1" si="281"/>
        <v>39450.686793561472</v>
      </c>
      <c r="R746">
        <f t="shared" ca="1" si="282"/>
        <v>4.0177360072651737E-12</v>
      </c>
      <c r="S746">
        <f t="shared" ca="1" si="300"/>
        <v>1.1877838987857103E-2</v>
      </c>
      <c r="T746">
        <f t="shared" ca="1" si="301"/>
        <v>0</v>
      </c>
      <c r="U746">
        <f t="shared" ca="1" si="283"/>
        <v>0.05</v>
      </c>
      <c r="V746">
        <f t="shared" ca="1" si="284"/>
        <v>0.26</v>
      </c>
      <c r="W746">
        <f t="shared" ca="1" si="285"/>
        <v>4.9056603773584909E-2</v>
      </c>
      <c r="X746">
        <f t="shared" ca="1" si="286"/>
        <v>196.15384615384616</v>
      </c>
      <c r="Y746">
        <f t="shared" ca="1" si="287"/>
        <v>632.31399999999996</v>
      </c>
      <c r="Z746">
        <f t="shared" ca="1" si="288"/>
        <v>2593.3910316486622</v>
      </c>
      <c r="AA746">
        <f t="shared" ca="1" si="289"/>
        <v>482.07306851378365</v>
      </c>
      <c r="AB746">
        <f t="shared" ca="1" si="290"/>
        <v>482.32750852789786</v>
      </c>
      <c r="AC746">
        <f t="shared" ca="1" si="291"/>
        <v>0</v>
      </c>
      <c r="AD746">
        <f ca="1">IF(V32="Supercritical",L746,U746)</f>
        <v>0.05</v>
      </c>
      <c r="AE746">
        <f t="shared" ca="1" si="292"/>
        <v>632.31399999999996</v>
      </c>
      <c r="AF746">
        <f t="shared" ca="1" si="293"/>
        <v>2593.3910316486622</v>
      </c>
      <c r="AI746">
        <v>0</v>
      </c>
      <c r="AJ746">
        <v>0</v>
      </c>
      <c r="AK746">
        <f t="shared" si="294"/>
        <v>0</v>
      </c>
      <c r="AL746">
        <f t="shared" si="302"/>
        <v>0</v>
      </c>
      <c r="AM746">
        <f t="shared" ca="1" si="295"/>
        <v>280.07692026646265</v>
      </c>
      <c r="AN746" t="str">
        <f t="shared" ca="1" si="296"/>
        <v>Supercritical</v>
      </c>
      <c r="AO746">
        <f ca="1">IF(V32="Supercritical",R746,AA746)</f>
        <v>482.07306851378365</v>
      </c>
    </row>
    <row r="747" spans="1:41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174</v>
      </c>
      <c r="I747">
        <v>7.8E-2</v>
      </c>
      <c r="J747">
        <f t="shared" si="297"/>
        <v>1</v>
      </c>
      <c r="K747">
        <f t="shared" si="298"/>
        <v>51</v>
      </c>
      <c r="L747">
        <f t="shared" ca="1" si="299"/>
        <v>38818.422793558217</v>
      </c>
      <c r="M747">
        <f t="shared" ca="1" si="277"/>
        <v>201855.79852650274</v>
      </c>
      <c r="N747">
        <f t="shared" ca="1" si="278"/>
        <v>2.5998258675451202</v>
      </c>
      <c r="O747">
        <f t="shared" ca="1" si="279"/>
        <v>2.5265561045205215E-4</v>
      </c>
      <c r="P747">
        <f t="shared" ca="1" si="280"/>
        <v>39450.686293558218</v>
      </c>
      <c r="Q747">
        <f t="shared" ca="1" si="281"/>
        <v>39450.68629356147</v>
      </c>
      <c r="R747">
        <f t="shared" ca="1" si="282"/>
        <v>4.0177360072651737E-12</v>
      </c>
      <c r="S747">
        <f t="shared" ca="1" si="300"/>
        <v>4.999999946448952E-4</v>
      </c>
      <c r="T747">
        <f t="shared" ca="1" si="301"/>
        <v>1</v>
      </c>
      <c r="U747">
        <f t="shared" ca="1" si="283"/>
        <v>0.05</v>
      </c>
      <c r="V747">
        <f t="shared" ca="1" si="284"/>
        <v>0.26</v>
      </c>
      <c r="W747">
        <f t="shared" ca="1" si="285"/>
        <v>4.9056603773584909E-2</v>
      </c>
      <c r="X747">
        <f t="shared" ca="1" si="286"/>
        <v>196.15384615384616</v>
      </c>
      <c r="Y747">
        <f t="shared" ca="1" si="287"/>
        <v>632.31349999999998</v>
      </c>
      <c r="Z747">
        <f t="shared" ca="1" si="288"/>
        <v>2593.3905316486621</v>
      </c>
      <c r="AA747">
        <f t="shared" ca="1" si="289"/>
        <v>482.07306851378365</v>
      </c>
      <c r="AB747">
        <f t="shared" ca="1" si="290"/>
        <v>482.71806466825683</v>
      </c>
      <c r="AC747">
        <f t="shared" ca="1" si="291"/>
        <v>0</v>
      </c>
      <c r="AD747">
        <f ca="1">IF(V32="Supercritical",L747,U747)</f>
        <v>0.05</v>
      </c>
      <c r="AE747">
        <f t="shared" ca="1" si="292"/>
        <v>632.31349999999998</v>
      </c>
      <c r="AF747">
        <f t="shared" ca="1" si="293"/>
        <v>2593.3905316486621</v>
      </c>
      <c r="AI747">
        <v>0</v>
      </c>
      <c r="AJ747">
        <v>0</v>
      </c>
      <c r="AK747">
        <f t="shared" si="294"/>
        <v>0</v>
      </c>
      <c r="AL747">
        <f t="shared" si="302"/>
        <v>0</v>
      </c>
      <c r="AM747">
        <f t="shared" ca="1" si="295"/>
        <v>280.07692026646265</v>
      </c>
      <c r="AN747" t="str">
        <f t="shared" ca="1" si="296"/>
        <v>Supercritical</v>
      </c>
      <c r="AO747">
        <f ca="1">IF(V32="Supercritical",R747,AA747)</f>
        <v>482.07306851378365</v>
      </c>
    </row>
    <row r="748" spans="1:41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174</v>
      </c>
      <c r="I748">
        <v>0.05</v>
      </c>
      <c r="J748">
        <f t="shared" si="297"/>
        <v>1.0009999999999764</v>
      </c>
      <c r="K748">
        <f t="shared" si="298"/>
        <v>51</v>
      </c>
      <c r="L748">
        <f t="shared" ca="1" si="299"/>
        <v>38818.411570845194</v>
      </c>
      <c r="M748">
        <f t="shared" ca="1" si="277"/>
        <v>201855.74016839502</v>
      </c>
      <c r="N748">
        <f t="shared" ca="1" si="278"/>
        <v>2.5998258674947805</v>
      </c>
      <c r="O748">
        <f t="shared" ca="1" si="279"/>
        <v>2.5265568349680837E-4</v>
      </c>
      <c r="P748">
        <f t="shared" ca="1" si="280"/>
        <v>39450.674570845193</v>
      </c>
      <c r="Q748">
        <f t="shared" ca="1" si="281"/>
        <v>39450.674570848445</v>
      </c>
      <c r="R748">
        <f t="shared" ca="1" si="282"/>
        <v>4.0177383304884153E-12</v>
      </c>
      <c r="S748">
        <f t="shared" ca="1" si="300"/>
        <v>1.172271301766159E-2</v>
      </c>
      <c r="T748">
        <f t="shared" ca="1" si="301"/>
        <v>0</v>
      </c>
      <c r="U748">
        <f t="shared" ca="1" si="283"/>
        <v>0.05</v>
      </c>
      <c r="V748">
        <f t="shared" ca="1" si="284"/>
        <v>0.26</v>
      </c>
      <c r="W748">
        <f t="shared" ca="1" si="285"/>
        <v>4.9056603773584909E-2</v>
      </c>
      <c r="X748">
        <f t="shared" ca="1" si="286"/>
        <v>196.15384615384616</v>
      </c>
      <c r="Y748">
        <f t="shared" ca="1" si="287"/>
        <v>632.31299999999999</v>
      </c>
      <c r="Z748">
        <f t="shared" ca="1" si="288"/>
        <v>2593.390031648662</v>
      </c>
      <c r="AA748">
        <f t="shared" ca="1" si="289"/>
        <v>482.07306851378365</v>
      </c>
      <c r="AB748">
        <f t="shared" ca="1" si="290"/>
        <v>481.67874391170608</v>
      </c>
      <c r="AC748">
        <f t="shared" ca="1" si="291"/>
        <v>0</v>
      </c>
      <c r="AD748">
        <f ca="1">IF(V32="Supercritical",L748,U748)</f>
        <v>0.05</v>
      </c>
      <c r="AE748">
        <f t="shared" ca="1" si="292"/>
        <v>632.31299999999999</v>
      </c>
      <c r="AF748">
        <f t="shared" ca="1" si="293"/>
        <v>2593.390031648662</v>
      </c>
      <c r="AI748">
        <v>0</v>
      </c>
      <c r="AJ748">
        <v>0</v>
      </c>
      <c r="AK748">
        <f t="shared" si="294"/>
        <v>0</v>
      </c>
      <c r="AL748">
        <f t="shared" si="302"/>
        <v>0</v>
      </c>
      <c r="AM748">
        <f t="shared" ca="1" si="295"/>
        <v>280.07692026646265</v>
      </c>
      <c r="AN748" t="str">
        <f t="shared" ca="1" si="296"/>
        <v>Supercritical</v>
      </c>
      <c r="AO748">
        <f ca="1">IF(V32="Supercritical",R748,AA748)</f>
        <v>482.07306851378365</v>
      </c>
    </row>
    <row r="749" spans="1:41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174</v>
      </c>
      <c r="I749">
        <v>2.7E-2</v>
      </c>
      <c r="J749">
        <f t="shared" si="297"/>
        <v>0.99900000000002365</v>
      </c>
      <c r="K749">
        <f t="shared" si="298"/>
        <v>51</v>
      </c>
      <c r="L749">
        <f t="shared" ca="1" si="299"/>
        <v>38818.411570845194</v>
      </c>
      <c r="M749">
        <f t="shared" ca="1" si="277"/>
        <v>201855.74016839502</v>
      </c>
      <c r="N749">
        <f t="shared" ca="1" si="278"/>
        <v>2.5998258674947805</v>
      </c>
      <c r="O749">
        <f t="shared" ca="1" si="279"/>
        <v>2.5265568349680837E-4</v>
      </c>
      <c r="P749">
        <f t="shared" ca="1" si="280"/>
        <v>39450.674070845191</v>
      </c>
      <c r="Q749">
        <f t="shared" ca="1" si="281"/>
        <v>39450.674070848443</v>
      </c>
      <c r="R749">
        <f t="shared" ca="1" si="282"/>
        <v>4.0177383304884153E-12</v>
      </c>
      <c r="S749">
        <f t="shared" ca="1" si="300"/>
        <v>4.999999946448952E-4</v>
      </c>
      <c r="T749">
        <f t="shared" ca="1" si="301"/>
        <v>1</v>
      </c>
      <c r="U749">
        <f t="shared" ca="1" si="283"/>
        <v>0.05</v>
      </c>
      <c r="V749">
        <f t="shared" ca="1" si="284"/>
        <v>0.26</v>
      </c>
      <c r="W749">
        <f t="shared" ca="1" si="285"/>
        <v>4.9056603773584909E-2</v>
      </c>
      <c r="X749">
        <f t="shared" ca="1" si="286"/>
        <v>196.15384615384616</v>
      </c>
      <c r="Y749">
        <f t="shared" ca="1" si="287"/>
        <v>632.3125</v>
      </c>
      <c r="Z749">
        <f t="shared" ca="1" si="288"/>
        <v>2593.3895316486623</v>
      </c>
      <c r="AA749">
        <f t="shared" ca="1" si="289"/>
        <v>482.07306851378365</v>
      </c>
      <c r="AB749">
        <f t="shared" ca="1" si="290"/>
        <v>482.16081698020798</v>
      </c>
      <c r="AC749">
        <f t="shared" ca="1" si="291"/>
        <v>0</v>
      </c>
      <c r="AD749">
        <f ca="1">IF(V32="Supercritical",L749,U749)</f>
        <v>0.05</v>
      </c>
      <c r="AE749">
        <f t="shared" ca="1" si="292"/>
        <v>632.3125</v>
      </c>
      <c r="AF749">
        <f t="shared" ca="1" si="293"/>
        <v>2593.3895316486623</v>
      </c>
      <c r="AI749">
        <v>0</v>
      </c>
      <c r="AJ749">
        <v>0</v>
      </c>
      <c r="AK749">
        <f t="shared" si="294"/>
        <v>0</v>
      </c>
      <c r="AL749">
        <f t="shared" si="302"/>
        <v>0</v>
      </c>
      <c r="AM749">
        <f t="shared" ca="1" si="295"/>
        <v>280.07692026646265</v>
      </c>
      <c r="AN749" t="str">
        <f t="shared" ca="1" si="296"/>
        <v>Supercritical</v>
      </c>
      <c r="AO749">
        <f ca="1">IF(V32="Supercritical",R749,AA749)</f>
        <v>482.07306851378365</v>
      </c>
    </row>
    <row r="750" spans="1:41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174</v>
      </c>
      <c r="I750">
        <v>2.7E-2</v>
      </c>
      <c r="J750">
        <f t="shared" si="297"/>
        <v>1</v>
      </c>
      <c r="K750">
        <f t="shared" si="298"/>
        <v>51</v>
      </c>
      <c r="L750">
        <f t="shared" ca="1" si="299"/>
        <v>38818.400521728945</v>
      </c>
      <c r="M750">
        <f t="shared" ca="1" si="277"/>
        <v>201855.68271299053</v>
      </c>
      <c r="N750">
        <f t="shared" ca="1" si="278"/>
        <v>2.5998258674452193</v>
      </c>
      <c r="O750">
        <f t="shared" ca="1" si="279"/>
        <v>2.5265575541172451E-4</v>
      </c>
      <c r="P750">
        <f t="shared" ca="1" si="280"/>
        <v>39450.662521728947</v>
      </c>
      <c r="Q750">
        <f t="shared" ca="1" si="281"/>
        <v>39450.6625217322</v>
      </c>
      <c r="R750">
        <f t="shared" ca="1" si="282"/>
        <v>4.0177406177772105E-12</v>
      </c>
      <c r="S750">
        <f t="shared" ca="1" si="300"/>
        <v>1.1549116235983092E-2</v>
      </c>
      <c r="T750">
        <f t="shared" ca="1" si="301"/>
        <v>0</v>
      </c>
      <c r="U750">
        <f t="shared" ca="1" si="283"/>
        <v>0.05</v>
      </c>
      <c r="V750">
        <f t="shared" ca="1" si="284"/>
        <v>0.26</v>
      </c>
      <c r="W750">
        <f t="shared" ca="1" si="285"/>
        <v>4.9056603773584909E-2</v>
      </c>
      <c r="X750">
        <f t="shared" ca="1" si="286"/>
        <v>196.15384615384616</v>
      </c>
      <c r="Y750">
        <f t="shared" ca="1" si="287"/>
        <v>632.3119999999999</v>
      </c>
      <c r="Z750">
        <f t="shared" ca="1" si="288"/>
        <v>2593.3890316486622</v>
      </c>
      <c r="AA750">
        <f t="shared" ca="1" si="289"/>
        <v>482.07306851378365</v>
      </c>
      <c r="AB750">
        <f t="shared" ca="1" si="290"/>
        <v>482.16081698020798</v>
      </c>
      <c r="AC750">
        <f t="shared" ca="1" si="291"/>
        <v>0</v>
      </c>
      <c r="AD750">
        <f ca="1">IF(V32="Supercritical",L750,U750)</f>
        <v>0.05</v>
      </c>
      <c r="AE750">
        <f t="shared" ca="1" si="292"/>
        <v>632.3119999999999</v>
      </c>
      <c r="AF750">
        <f t="shared" ca="1" si="293"/>
        <v>2593.3890316486622</v>
      </c>
      <c r="AI750">
        <v>0</v>
      </c>
      <c r="AJ750">
        <v>0</v>
      </c>
      <c r="AK750">
        <f t="shared" si="294"/>
        <v>0</v>
      </c>
      <c r="AL750">
        <f t="shared" si="302"/>
        <v>0</v>
      </c>
      <c r="AM750">
        <f t="shared" ca="1" si="295"/>
        <v>280.07692026646265</v>
      </c>
      <c r="AN750" t="str">
        <f t="shared" ca="1" si="296"/>
        <v>Supercritical</v>
      </c>
      <c r="AO750">
        <f ca="1">IF(V32="Supercritical",R750,AA750)</f>
        <v>482.07306851378365</v>
      </c>
    </row>
    <row r="751" spans="1:41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174</v>
      </c>
      <c r="I751">
        <v>2.7E-2</v>
      </c>
      <c r="J751">
        <f t="shared" si="297"/>
        <v>1</v>
      </c>
      <c r="K751">
        <f t="shared" si="298"/>
        <v>51</v>
      </c>
      <c r="L751">
        <f t="shared" ca="1" si="299"/>
        <v>38818.400521728945</v>
      </c>
      <c r="M751">
        <f t="shared" ca="1" si="277"/>
        <v>201855.68271299053</v>
      </c>
      <c r="N751">
        <f t="shared" ca="1" si="278"/>
        <v>2.5998258674452193</v>
      </c>
      <c r="O751">
        <f t="shared" ca="1" si="279"/>
        <v>2.5265575541172451E-4</v>
      </c>
      <c r="P751">
        <f t="shared" ca="1" si="280"/>
        <v>39450.662021728946</v>
      </c>
      <c r="Q751">
        <f t="shared" ca="1" si="281"/>
        <v>39450.662021732198</v>
      </c>
      <c r="R751">
        <f t="shared" ca="1" si="282"/>
        <v>4.0177406177772105E-12</v>
      </c>
      <c r="S751">
        <f t="shared" ca="1" si="300"/>
        <v>4.999999946448952E-4</v>
      </c>
      <c r="T751">
        <f t="shared" ca="1" si="301"/>
        <v>1</v>
      </c>
      <c r="U751">
        <f t="shared" ca="1" si="283"/>
        <v>0.05</v>
      </c>
      <c r="V751">
        <f t="shared" ca="1" si="284"/>
        <v>0.26</v>
      </c>
      <c r="W751">
        <f t="shared" ca="1" si="285"/>
        <v>4.9056603773584909E-2</v>
      </c>
      <c r="X751">
        <f t="shared" ca="1" si="286"/>
        <v>196.15384615384616</v>
      </c>
      <c r="Y751">
        <f t="shared" ca="1" si="287"/>
        <v>632.31149999999991</v>
      </c>
      <c r="Z751">
        <f t="shared" ca="1" si="288"/>
        <v>2593.3885316486621</v>
      </c>
      <c r="AA751">
        <f t="shared" ca="1" si="289"/>
        <v>482.07306851378365</v>
      </c>
      <c r="AB751">
        <f t="shared" ca="1" si="290"/>
        <v>482.32750852789786</v>
      </c>
      <c r="AC751">
        <f t="shared" ca="1" si="291"/>
        <v>0</v>
      </c>
      <c r="AD751">
        <f ca="1">IF(V32="Supercritical",L751,U751)</f>
        <v>0.05</v>
      </c>
      <c r="AE751">
        <f t="shared" ca="1" si="292"/>
        <v>632.31149999999991</v>
      </c>
      <c r="AF751">
        <f t="shared" ca="1" si="293"/>
        <v>2593.3885316486621</v>
      </c>
      <c r="AI751">
        <v>0</v>
      </c>
      <c r="AJ751">
        <v>0</v>
      </c>
      <c r="AK751">
        <f t="shared" si="294"/>
        <v>0</v>
      </c>
      <c r="AL751">
        <f t="shared" si="302"/>
        <v>0</v>
      </c>
      <c r="AM751">
        <f t="shared" ca="1" si="295"/>
        <v>280.07692026646265</v>
      </c>
      <c r="AN751" t="str">
        <f t="shared" ca="1" si="296"/>
        <v>Supercritical</v>
      </c>
      <c r="AO751">
        <f ca="1">IF(V32="Supercritical",R751,AA751)</f>
        <v>482.07306851378365</v>
      </c>
    </row>
    <row r="752" spans="1:41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174</v>
      </c>
      <c r="I752">
        <v>7.8E-2</v>
      </c>
      <c r="J752">
        <f t="shared" si="297"/>
        <v>1</v>
      </c>
      <c r="K752">
        <f t="shared" si="298"/>
        <v>51</v>
      </c>
      <c r="L752">
        <f t="shared" ca="1" si="299"/>
        <v>38818.389664459035</v>
      </c>
      <c r="M752">
        <f t="shared" ca="1" si="277"/>
        <v>201855.626255187</v>
      </c>
      <c r="N752">
        <f t="shared" ca="1" si="278"/>
        <v>2.5998258673965187</v>
      </c>
      <c r="O752">
        <f t="shared" ca="1" si="279"/>
        <v>2.5265582607801834E-4</v>
      </c>
      <c r="P752">
        <f t="shared" ca="1" si="280"/>
        <v>39450.650664459034</v>
      </c>
      <c r="Q752">
        <f t="shared" ca="1" si="281"/>
        <v>39450.650664462286</v>
      </c>
      <c r="R752">
        <f t="shared" ca="1" si="282"/>
        <v>4.0177428653536025E-12</v>
      </c>
      <c r="S752">
        <f t="shared" ca="1" si="300"/>
        <v>1.1357269904692657E-2</v>
      </c>
      <c r="T752">
        <f t="shared" ca="1" si="301"/>
        <v>0</v>
      </c>
      <c r="U752">
        <f t="shared" ca="1" si="283"/>
        <v>0.05</v>
      </c>
      <c r="V752">
        <f t="shared" ca="1" si="284"/>
        <v>0.26</v>
      </c>
      <c r="W752">
        <f t="shared" ca="1" si="285"/>
        <v>4.9056603773584909E-2</v>
      </c>
      <c r="X752">
        <f t="shared" ca="1" si="286"/>
        <v>196.15384615384616</v>
      </c>
      <c r="Y752">
        <f t="shared" ca="1" si="287"/>
        <v>632.31099999999992</v>
      </c>
      <c r="Z752">
        <f t="shared" ca="1" si="288"/>
        <v>2593.388031648662</v>
      </c>
      <c r="AA752">
        <f t="shared" ca="1" si="289"/>
        <v>482.07306851378365</v>
      </c>
      <c r="AB752">
        <f t="shared" ca="1" si="290"/>
        <v>482.23599159975447</v>
      </c>
      <c r="AC752">
        <f t="shared" ca="1" si="291"/>
        <v>0</v>
      </c>
      <c r="AD752">
        <f ca="1">IF(V32="Supercritical",L752,U752)</f>
        <v>0.05</v>
      </c>
      <c r="AE752">
        <f t="shared" ca="1" si="292"/>
        <v>632.31099999999992</v>
      </c>
      <c r="AF752">
        <f t="shared" ca="1" si="293"/>
        <v>2593.388031648662</v>
      </c>
      <c r="AI752">
        <v>0</v>
      </c>
      <c r="AJ752">
        <v>0</v>
      </c>
      <c r="AK752">
        <f t="shared" si="294"/>
        <v>0</v>
      </c>
      <c r="AL752">
        <f t="shared" si="302"/>
        <v>0</v>
      </c>
      <c r="AM752">
        <f t="shared" ca="1" si="295"/>
        <v>280.07692026646265</v>
      </c>
      <c r="AN752" t="str">
        <f t="shared" ca="1" si="296"/>
        <v>Supercritical</v>
      </c>
      <c r="AO752">
        <f ca="1">IF(V32="Supercritical",R752,AA752)</f>
        <v>482.07306851378365</v>
      </c>
    </row>
    <row r="753" spans="1:41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174</v>
      </c>
      <c r="I753">
        <v>0.05</v>
      </c>
      <c r="J753">
        <f t="shared" si="297"/>
        <v>1</v>
      </c>
      <c r="K753">
        <f t="shared" si="298"/>
        <v>51</v>
      </c>
      <c r="L753">
        <f t="shared" ca="1" si="299"/>
        <v>38818.389664459035</v>
      </c>
      <c r="M753">
        <f t="shared" ca="1" si="277"/>
        <v>201855.626255187</v>
      </c>
      <c r="N753">
        <f t="shared" ca="1" si="278"/>
        <v>2.5998258673965187</v>
      </c>
      <c r="O753">
        <f t="shared" ca="1" si="279"/>
        <v>2.5265582607801834E-4</v>
      </c>
      <c r="P753">
        <f t="shared" ca="1" si="280"/>
        <v>39450.650164459032</v>
      </c>
      <c r="Q753">
        <f t="shared" ca="1" si="281"/>
        <v>39450.650164462284</v>
      </c>
      <c r="R753">
        <f t="shared" ca="1" si="282"/>
        <v>4.0177428653536025E-12</v>
      </c>
      <c r="S753">
        <f t="shared" ca="1" si="300"/>
        <v>4.999999946448952E-4</v>
      </c>
      <c r="T753">
        <f t="shared" ca="1" si="301"/>
        <v>1</v>
      </c>
      <c r="U753">
        <f t="shared" ca="1" si="283"/>
        <v>0.05</v>
      </c>
      <c r="V753">
        <f t="shared" ca="1" si="284"/>
        <v>0.26</v>
      </c>
      <c r="W753">
        <f t="shared" ca="1" si="285"/>
        <v>4.9056603773584909E-2</v>
      </c>
      <c r="X753">
        <f t="shared" ca="1" si="286"/>
        <v>196.15384615384616</v>
      </c>
      <c r="Y753">
        <f t="shared" ca="1" si="287"/>
        <v>632.31049999999993</v>
      </c>
      <c r="Z753">
        <f t="shared" ca="1" si="288"/>
        <v>2593.3875316486619</v>
      </c>
      <c r="AA753">
        <f t="shared" ca="1" si="289"/>
        <v>482.07306851378365</v>
      </c>
      <c r="AB753">
        <f t="shared" ca="1" si="290"/>
        <v>482.16081698020798</v>
      </c>
      <c r="AC753">
        <f t="shared" ca="1" si="291"/>
        <v>0</v>
      </c>
      <c r="AD753">
        <f ca="1">IF(V32="Supercritical",L753,U753)</f>
        <v>0.05</v>
      </c>
      <c r="AE753">
        <f t="shared" ca="1" si="292"/>
        <v>632.31049999999993</v>
      </c>
      <c r="AF753">
        <f t="shared" ca="1" si="293"/>
        <v>2593.3875316486619</v>
      </c>
      <c r="AI753">
        <v>0</v>
      </c>
      <c r="AJ753">
        <v>0</v>
      </c>
      <c r="AK753">
        <f t="shared" si="294"/>
        <v>0</v>
      </c>
      <c r="AL753">
        <f t="shared" si="302"/>
        <v>0</v>
      </c>
      <c r="AM753">
        <f t="shared" ca="1" si="295"/>
        <v>280.07692026646265</v>
      </c>
      <c r="AN753" t="str">
        <f t="shared" ca="1" si="296"/>
        <v>Supercritical</v>
      </c>
      <c r="AO753">
        <f ca="1">IF(V32="Supercritical",R753,AA753)</f>
        <v>482.07306851378365</v>
      </c>
    </row>
    <row r="754" spans="1:41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174</v>
      </c>
      <c r="I754">
        <v>2.7E-2</v>
      </c>
      <c r="J754">
        <f t="shared" si="297"/>
        <v>1</v>
      </c>
      <c r="K754">
        <f t="shared" si="298"/>
        <v>51</v>
      </c>
      <c r="L754">
        <f t="shared" ca="1" si="299"/>
        <v>38818.379016895269</v>
      </c>
      <c r="M754">
        <f t="shared" ca="1" si="277"/>
        <v>201855.5708878554</v>
      </c>
      <c r="N754">
        <f t="shared" ca="1" si="278"/>
        <v>2.5998258673487586</v>
      </c>
      <c r="O754">
        <f t="shared" ca="1" si="279"/>
        <v>2.5265589537944432E-4</v>
      </c>
      <c r="P754">
        <f t="shared" ca="1" si="280"/>
        <v>39450.639016895271</v>
      </c>
      <c r="Q754">
        <f t="shared" ca="1" si="281"/>
        <v>39450.639016898524</v>
      </c>
      <c r="R754">
        <f t="shared" ca="1" si="282"/>
        <v>4.0177450695203096E-12</v>
      </c>
      <c r="S754">
        <f t="shared" ca="1" si="300"/>
        <v>1.1147563753183931E-2</v>
      </c>
      <c r="T754">
        <f t="shared" ca="1" si="301"/>
        <v>0</v>
      </c>
      <c r="U754">
        <f t="shared" ca="1" si="283"/>
        <v>0.05</v>
      </c>
      <c r="V754">
        <f t="shared" ca="1" si="284"/>
        <v>0.26</v>
      </c>
      <c r="W754">
        <f t="shared" ca="1" si="285"/>
        <v>4.9056603773584909E-2</v>
      </c>
      <c r="X754">
        <f t="shared" ca="1" si="286"/>
        <v>196.15384615384616</v>
      </c>
      <c r="Y754">
        <f t="shared" ca="1" si="287"/>
        <v>632.30999999999995</v>
      </c>
      <c r="Z754">
        <f t="shared" ca="1" si="288"/>
        <v>2593.3870316486618</v>
      </c>
      <c r="AA754">
        <f t="shared" ca="1" si="289"/>
        <v>482.07306851378365</v>
      </c>
      <c r="AB754">
        <f t="shared" ca="1" si="290"/>
        <v>482.16081698020844</v>
      </c>
      <c r="AC754">
        <f t="shared" ca="1" si="291"/>
        <v>0</v>
      </c>
      <c r="AD754">
        <f ca="1">IF(V32="Supercritical",L754,U754)</f>
        <v>0.05</v>
      </c>
      <c r="AE754">
        <f t="shared" ca="1" si="292"/>
        <v>632.30999999999995</v>
      </c>
      <c r="AF754">
        <f t="shared" ca="1" si="293"/>
        <v>2593.3870316486618</v>
      </c>
      <c r="AI754">
        <v>0</v>
      </c>
      <c r="AJ754">
        <v>0</v>
      </c>
      <c r="AK754">
        <f t="shared" si="294"/>
        <v>0</v>
      </c>
      <c r="AL754">
        <f t="shared" si="302"/>
        <v>0</v>
      </c>
      <c r="AM754">
        <f t="shared" ca="1" si="295"/>
        <v>280.07692026646265</v>
      </c>
      <c r="AN754" t="str">
        <f t="shared" ca="1" si="296"/>
        <v>Supercritical</v>
      </c>
      <c r="AO754">
        <f ca="1">IF(V32="Supercritical",R754,AA754)</f>
        <v>482.07306851378365</v>
      </c>
    </row>
    <row r="755" spans="1:41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174</v>
      </c>
      <c r="I755">
        <v>2.7E-2</v>
      </c>
      <c r="J755">
        <f t="shared" si="297"/>
        <v>1</v>
      </c>
      <c r="K755">
        <f t="shared" si="298"/>
        <v>51</v>
      </c>
      <c r="L755">
        <f t="shared" ca="1" si="299"/>
        <v>38818.379016895269</v>
      </c>
      <c r="M755">
        <f t="shared" ca="1" si="277"/>
        <v>201855.5708878554</v>
      </c>
      <c r="N755">
        <f t="shared" ca="1" si="278"/>
        <v>2.5998258673487586</v>
      </c>
      <c r="O755">
        <f t="shared" ca="1" si="279"/>
        <v>2.5265589537944432E-4</v>
      </c>
      <c r="P755">
        <f t="shared" ca="1" si="280"/>
        <v>39450.638516895269</v>
      </c>
      <c r="Q755">
        <f t="shared" ca="1" si="281"/>
        <v>39450.638516898522</v>
      </c>
      <c r="R755">
        <f t="shared" ca="1" si="282"/>
        <v>4.0177450695203096E-12</v>
      </c>
      <c r="S755">
        <f t="shared" ca="1" si="300"/>
        <v>4.999999946448952E-4</v>
      </c>
      <c r="T755">
        <f t="shared" ca="1" si="301"/>
        <v>1</v>
      </c>
      <c r="U755">
        <f t="shared" ca="1" si="283"/>
        <v>0.05</v>
      </c>
      <c r="V755">
        <f t="shared" ca="1" si="284"/>
        <v>0.26</v>
      </c>
      <c r="W755">
        <f t="shared" ca="1" si="285"/>
        <v>4.9056603773584909E-2</v>
      </c>
      <c r="X755">
        <f t="shared" ca="1" si="286"/>
        <v>196.15384615384616</v>
      </c>
      <c r="Y755">
        <f t="shared" ca="1" si="287"/>
        <v>632.30949999999996</v>
      </c>
      <c r="Z755">
        <f t="shared" ca="1" si="288"/>
        <v>2593.3865316486622</v>
      </c>
      <c r="AA755">
        <f t="shared" ca="1" si="289"/>
        <v>482.07306851378365</v>
      </c>
      <c r="AB755">
        <f t="shared" ca="1" si="290"/>
        <v>482.1477431333301</v>
      </c>
      <c r="AC755">
        <f t="shared" ca="1" si="291"/>
        <v>0</v>
      </c>
      <c r="AD755">
        <f ca="1">IF(V32="Supercritical",L755,U755)</f>
        <v>0.05</v>
      </c>
      <c r="AE755">
        <f t="shared" ca="1" si="292"/>
        <v>632.30949999999996</v>
      </c>
      <c r="AF755">
        <f t="shared" ca="1" si="293"/>
        <v>2593.3865316486622</v>
      </c>
      <c r="AI755">
        <v>0</v>
      </c>
      <c r="AJ755">
        <v>0</v>
      </c>
      <c r="AK755">
        <f t="shared" si="294"/>
        <v>0</v>
      </c>
      <c r="AL755">
        <f t="shared" si="302"/>
        <v>0</v>
      </c>
      <c r="AM755">
        <f t="shared" ca="1" si="295"/>
        <v>280.07692026646265</v>
      </c>
      <c r="AN755" t="str">
        <f t="shared" ca="1" si="296"/>
        <v>Supercritical</v>
      </c>
      <c r="AO755">
        <f ca="1">IF(V32="Supercritical",R755,AA755)</f>
        <v>482.07306851378365</v>
      </c>
    </row>
    <row r="756" spans="1:41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174</v>
      </c>
      <c r="I756">
        <v>2.3E-2</v>
      </c>
      <c r="J756">
        <f t="shared" si="297"/>
        <v>1</v>
      </c>
      <c r="K756">
        <f t="shared" si="298"/>
        <v>51</v>
      </c>
      <c r="L756">
        <f t="shared" ca="1" si="299"/>
        <v>38818.368596340399</v>
      </c>
      <c r="M756">
        <f t="shared" ca="1" si="277"/>
        <v>201855.51670097007</v>
      </c>
      <c r="N756">
        <f t="shared" ca="1" si="278"/>
        <v>2.5998258673020169</v>
      </c>
      <c r="O756">
        <f t="shared" ca="1" si="279"/>
        <v>2.5265596320338225E-4</v>
      </c>
      <c r="P756">
        <f t="shared" ca="1" si="280"/>
        <v>39450.627596340397</v>
      </c>
      <c r="Q756">
        <f t="shared" ca="1" si="281"/>
        <v>39450.627596343649</v>
      </c>
      <c r="R756">
        <f t="shared" ca="1" si="282"/>
        <v>4.0177472266953482E-12</v>
      </c>
      <c r="S756">
        <f t="shared" ca="1" si="300"/>
        <v>1.0920554865151644E-2</v>
      </c>
      <c r="T756">
        <f t="shared" ca="1" si="301"/>
        <v>0</v>
      </c>
      <c r="U756">
        <f t="shared" ca="1" si="283"/>
        <v>0.05</v>
      </c>
      <c r="V756">
        <f t="shared" ca="1" si="284"/>
        <v>0.26</v>
      </c>
      <c r="W756">
        <f t="shared" ca="1" si="285"/>
        <v>4.9056603773584909E-2</v>
      </c>
      <c r="X756">
        <f t="shared" ca="1" si="286"/>
        <v>196.15384615384616</v>
      </c>
      <c r="Y756">
        <f t="shared" ca="1" si="287"/>
        <v>632.30899999999997</v>
      </c>
      <c r="Z756">
        <f t="shared" ca="1" si="288"/>
        <v>2593.3860316486621</v>
      </c>
      <c r="AA756">
        <f t="shared" ca="1" si="289"/>
        <v>482.07306851378365</v>
      </c>
      <c r="AB756">
        <f t="shared" ca="1" si="290"/>
        <v>482.62981620183245</v>
      </c>
      <c r="AC756">
        <f t="shared" ca="1" si="291"/>
        <v>0</v>
      </c>
      <c r="AD756">
        <f ca="1">IF(V32="Supercritical",L756,U756)</f>
        <v>0.05</v>
      </c>
      <c r="AE756">
        <f t="shared" ca="1" si="292"/>
        <v>632.30899999999997</v>
      </c>
      <c r="AF756">
        <f t="shared" ca="1" si="293"/>
        <v>2593.3860316486621</v>
      </c>
      <c r="AI756">
        <v>0</v>
      </c>
      <c r="AJ756">
        <v>0</v>
      </c>
      <c r="AK756">
        <f t="shared" si="294"/>
        <v>0</v>
      </c>
      <c r="AL756">
        <f t="shared" si="302"/>
        <v>0</v>
      </c>
      <c r="AM756">
        <f t="shared" ca="1" si="295"/>
        <v>280.07692026646265</v>
      </c>
      <c r="AN756" t="str">
        <f t="shared" ca="1" si="296"/>
        <v>Supercritical</v>
      </c>
      <c r="AO756">
        <f ca="1">IF(V32="Supercritical",R756,AA756)</f>
        <v>482.07306851378365</v>
      </c>
    </row>
    <row r="757" spans="1:41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174</v>
      </c>
      <c r="I757">
        <v>2.3E-2</v>
      </c>
      <c r="J757">
        <f t="shared" si="297"/>
        <v>1.0009999999999764</v>
      </c>
      <c r="K757">
        <f t="shared" si="298"/>
        <v>51</v>
      </c>
      <c r="L757">
        <f t="shared" ca="1" si="299"/>
        <v>38818.368596340399</v>
      </c>
      <c r="M757">
        <f t="shared" ca="1" si="277"/>
        <v>201855.51670097007</v>
      </c>
      <c r="N757">
        <f t="shared" ca="1" si="278"/>
        <v>2.5998258673020169</v>
      </c>
      <c r="O757">
        <f t="shared" ca="1" si="279"/>
        <v>2.5265596320338225E-4</v>
      </c>
      <c r="P757">
        <f t="shared" ca="1" si="280"/>
        <v>39450.627096340402</v>
      </c>
      <c r="Q757">
        <f t="shared" ca="1" si="281"/>
        <v>39450.627096343655</v>
      </c>
      <c r="R757">
        <f t="shared" ca="1" si="282"/>
        <v>4.0177472266953482E-12</v>
      </c>
      <c r="S757">
        <f t="shared" ca="1" si="300"/>
        <v>4.9999998736893758E-4</v>
      </c>
      <c r="T757">
        <f t="shared" ca="1" si="301"/>
        <v>1</v>
      </c>
      <c r="U757">
        <f t="shared" ca="1" si="283"/>
        <v>0.05</v>
      </c>
      <c r="V757">
        <f t="shared" ca="1" si="284"/>
        <v>0.26</v>
      </c>
      <c r="W757">
        <f t="shared" ca="1" si="285"/>
        <v>4.9056603773584909E-2</v>
      </c>
      <c r="X757">
        <f t="shared" ca="1" si="286"/>
        <v>196.15384615384616</v>
      </c>
      <c r="Y757">
        <f t="shared" ca="1" si="287"/>
        <v>632.30849999999998</v>
      </c>
      <c r="Z757">
        <f t="shared" ca="1" si="288"/>
        <v>2593.385531648662</v>
      </c>
      <c r="AA757">
        <f t="shared" ca="1" si="289"/>
        <v>482.07306851378365</v>
      </c>
      <c r="AB757">
        <f t="shared" ca="1" si="290"/>
        <v>481.5904954452817</v>
      </c>
      <c r="AC757">
        <f t="shared" ca="1" si="291"/>
        <v>0</v>
      </c>
      <c r="AD757">
        <f ca="1">IF(V32="Supercritical",L757,U757)</f>
        <v>0.05</v>
      </c>
      <c r="AE757">
        <f t="shared" ca="1" si="292"/>
        <v>632.30849999999998</v>
      </c>
      <c r="AF757">
        <f t="shared" ca="1" si="293"/>
        <v>2593.385531648662</v>
      </c>
      <c r="AI757">
        <v>0</v>
      </c>
      <c r="AJ757">
        <v>0</v>
      </c>
      <c r="AK757">
        <f t="shared" si="294"/>
        <v>0</v>
      </c>
      <c r="AL757">
        <f t="shared" si="302"/>
        <v>0</v>
      </c>
      <c r="AM757">
        <f t="shared" ca="1" si="295"/>
        <v>280.07692026646265</v>
      </c>
      <c r="AN757" t="str">
        <f t="shared" ca="1" si="296"/>
        <v>Supercritical</v>
      </c>
      <c r="AO757">
        <f ca="1">IF(V32="Supercritical",R757,AA757)</f>
        <v>482.07306851378365</v>
      </c>
    </row>
    <row r="758" spans="1:41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174</v>
      </c>
      <c r="I758">
        <v>0</v>
      </c>
      <c r="J758">
        <f t="shared" si="297"/>
        <v>0.99900000000002365</v>
      </c>
      <c r="K758">
        <f t="shared" si="298"/>
        <v>51</v>
      </c>
      <c r="L758">
        <f t="shared" ca="1" si="299"/>
        <v>38818.358419375472</v>
      </c>
      <c r="M758">
        <f t="shared" ca="1" si="277"/>
        <v>201855.46378075247</v>
      </c>
      <c r="N758">
        <f t="shared" ca="1" si="278"/>
        <v>2.5998258672563681</v>
      </c>
      <c r="O758">
        <f t="shared" ca="1" si="279"/>
        <v>2.5265602944190906E-4</v>
      </c>
      <c r="P758">
        <f t="shared" ca="1" si="280"/>
        <v>39450.616419375474</v>
      </c>
      <c r="Q758">
        <f t="shared" ca="1" si="281"/>
        <v>39450.616419378726</v>
      </c>
      <c r="R758">
        <f t="shared" ca="1" si="282"/>
        <v>4.0177493334461376E-12</v>
      </c>
      <c r="S758">
        <f t="shared" ca="1" si="300"/>
        <v>1.0676964921003673E-2</v>
      </c>
      <c r="T758">
        <f t="shared" ca="1" si="301"/>
        <v>0</v>
      </c>
      <c r="U758">
        <f t="shared" ca="1" si="283"/>
        <v>0.05</v>
      </c>
      <c r="V758">
        <f t="shared" ca="1" si="284"/>
        <v>0.26</v>
      </c>
      <c r="W758">
        <f t="shared" ca="1" si="285"/>
        <v>4.9056603773584909E-2</v>
      </c>
      <c r="X758">
        <f t="shared" ca="1" si="286"/>
        <v>196.15384615384616</v>
      </c>
      <c r="Y758">
        <f t="shared" ca="1" si="287"/>
        <v>632.30799999999999</v>
      </c>
      <c r="Z758">
        <f t="shared" ca="1" si="288"/>
        <v>2593.3850316486623</v>
      </c>
      <c r="AA758">
        <f t="shared" ca="1" si="289"/>
        <v>482.07306851378365</v>
      </c>
      <c r="AB758">
        <f t="shared" ca="1" si="290"/>
        <v>482.16081698020798</v>
      </c>
      <c r="AC758">
        <f t="shared" ca="1" si="291"/>
        <v>0</v>
      </c>
      <c r="AD758">
        <f ca="1">IF(V32="Supercritical",L758,U758)</f>
        <v>0.05</v>
      </c>
      <c r="AE758">
        <f t="shared" ca="1" si="292"/>
        <v>632.30799999999999</v>
      </c>
      <c r="AF758">
        <f t="shared" ca="1" si="293"/>
        <v>2593.3850316486623</v>
      </c>
      <c r="AI758">
        <v>0</v>
      </c>
      <c r="AJ758">
        <v>0</v>
      </c>
      <c r="AK758">
        <f t="shared" si="294"/>
        <v>0</v>
      </c>
      <c r="AL758">
        <f t="shared" si="302"/>
        <v>0</v>
      </c>
      <c r="AM758">
        <f t="shared" ca="1" si="295"/>
        <v>280.07692026646265</v>
      </c>
      <c r="AN758" t="str">
        <f t="shared" ca="1" si="296"/>
        <v>Supercritical</v>
      </c>
      <c r="AO758">
        <f ca="1">IF(V32="Supercritical",R758,AA758)</f>
        <v>482.07306851378365</v>
      </c>
    </row>
    <row r="759" spans="1:41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174</v>
      </c>
      <c r="I759">
        <v>2.7E-2</v>
      </c>
      <c r="J759">
        <f t="shared" si="297"/>
        <v>1</v>
      </c>
      <c r="K759">
        <f t="shared" si="298"/>
        <v>51</v>
      </c>
      <c r="L759">
        <f t="shared" ca="1" si="299"/>
        <v>38818.358419375472</v>
      </c>
      <c r="M759">
        <f t="shared" ca="1" si="277"/>
        <v>201855.46378075247</v>
      </c>
      <c r="N759">
        <f t="shared" ca="1" si="278"/>
        <v>2.5998258672563681</v>
      </c>
      <c r="O759">
        <f t="shared" ca="1" si="279"/>
        <v>2.5265602944190906E-4</v>
      </c>
      <c r="P759">
        <f t="shared" ca="1" si="280"/>
        <v>39450.615919375472</v>
      </c>
      <c r="Q759">
        <f t="shared" ca="1" si="281"/>
        <v>39450.615919378724</v>
      </c>
      <c r="R759">
        <f t="shared" ca="1" si="282"/>
        <v>4.0177493334461376E-12</v>
      </c>
      <c r="S759">
        <f t="shared" ca="1" si="300"/>
        <v>4.999999946448952E-4</v>
      </c>
      <c r="T759">
        <f t="shared" ca="1" si="301"/>
        <v>1</v>
      </c>
      <c r="U759">
        <f t="shared" ca="1" si="283"/>
        <v>0.05</v>
      </c>
      <c r="V759">
        <f t="shared" ca="1" si="284"/>
        <v>0.26</v>
      </c>
      <c r="W759">
        <f t="shared" ca="1" si="285"/>
        <v>4.9056603773584909E-2</v>
      </c>
      <c r="X759">
        <f t="shared" ca="1" si="286"/>
        <v>196.15384615384616</v>
      </c>
      <c r="Y759">
        <f t="shared" ca="1" si="287"/>
        <v>632.3075</v>
      </c>
      <c r="Z759">
        <f t="shared" ca="1" si="288"/>
        <v>2593.3845316486622</v>
      </c>
      <c r="AA759">
        <f t="shared" ca="1" si="289"/>
        <v>482.07306851378365</v>
      </c>
      <c r="AB759">
        <f t="shared" ca="1" si="290"/>
        <v>482.32750852789786</v>
      </c>
      <c r="AC759">
        <f t="shared" ca="1" si="291"/>
        <v>0</v>
      </c>
      <c r="AD759">
        <f ca="1">IF(V32="Supercritical",L759,U759)</f>
        <v>0.05</v>
      </c>
      <c r="AE759">
        <f t="shared" ca="1" si="292"/>
        <v>632.3075</v>
      </c>
      <c r="AF759">
        <f t="shared" ca="1" si="293"/>
        <v>2593.3845316486622</v>
      </c>
      <c r="AI759">
        <v>0</v>
      </c>
      <c r="AJ759">
        <v>0</v>
      </c>
      <c r="AK759">
        <f t="shared" si="294"/>
        <v>0</v>
      </c>
      <c r="AL759">
        <f t="shared" si="302"/>
        <v>0</v>
      </c>
      <c r="AM759">
        <f t="shared" ca="1" si="295"/>
        <v>280.07692026646265</v>
      </c>
      <c r="AN759" t="str">
        <f t="shared" ca="1" si="296"/>
        <v>Supercritical</v>
      </c>
      <c r="AO759">
        <f ca="1">IF(V32="Supercritical",R759,AA759)</f>
        <v>482.07306851378365</v>
      </c>
    </row>
    <row r="760" spans="1:41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174</v>
      </c>
      <c r="I760">
        <v>7.8E-2</v>
      </c>
      <c r="J760">
        <f t="shared" si="297"/>
        <v>1</v>
      </c>
      <c r="K760">
        <f t="shared" si="298"/>
        <v>51</v>
      </c>
      <c r="L760">
        <f t="shared" ca="1" si="299"/>
        <v>38818.348501700624</v>
      </c>
      <c r="M760">
        <f t="shared" ca="1" si="277"/>
        <v>201855.41220884325</v>
      </c>
      <c r="N760">
        <f t="shared" ca="1" si="278"/>
        <v>2.5998258672118819</v>
      </c>
      <c r="O760">
        <f t="shared" ca="1" si="279"/>
        <v>2.5265609399283525E-4</v>
      </c>
      <c r="P760">
        <f t="shared" ca="1" si="280"/>
        <v>39450.605501700622</v>
      </c>
      <c r="Q760">
        <f t="shared" ca="1" si="281"/>
        <v>39450.605501703874</v>
      </c>
      <c r="R760">
        <f t="shared" ca="1" si="282"/>
        <v>4.0177513865224421E-12</v>
      </c>
      <c r="S760">
        <f t="shared" ca="1" si="300"/>
        <v>1.0417674842756242E-2</v>
      </c>
      <c r="T760">
        <f t="shared" ca="1" si="301"/>
        <v>0</v>
      </c>
      <c r="U760">
        <f t="shared" ca="1" si="283"/>
        <v>0.05</v>
      </c>
      <c r="V760">
        <f t="shared" ca="1" si="284"/>
        <v>0.26</v>
      </c>
      <c r="W760">
        <f t="shared" ca="1" si="285"/>
        <v>4.9056603773584909E-2</v>
      </c>
      <c r="X760">
        <f t="shared" ca="1" si="286"/>
        <v>196.15384615384616</v>
      </c>
      <c r="Y760">
        <f t="shared" ca="1" si="287"/>
        <v>632.3069999999999</v>
      </c>
      <c r="Z760">
        <f t="shared" ca="1" si="288"/>
        <v>2593.3840316486621</v>
      </c>
      <c r="AA760">
        <f t="shared" ca="1" si="289"/>
        <v>482.07306851378365</v>
      </c>
      <c r="AB760">
        <f t="shared" ca="1" si="290"/>
        <v>482.32750852789786</v>
      </c>
      <c r="AC760">
        <f t="shared" ca="1" si="291"/>
        <v>0</v>
      </c>
      <c r="AD760">
        <f ca="1">IF(V32="Supercritical",L760,U760)</f>
        <v>0.05</v>
      </c>
      <c r="AE760">
        <f t="shared" ca="1" si="292"/>
        <v>632.3069999999999</v>
      </c>
      <c r="AF760">
        <f t="shared" ca="1" si="293"/>
        <v>2593.3840316486621</v>
      </c>
      <c r="AI760">
        <v>0</v>
      </c>
      <c r="AJ760">
        <v>0</v>
      </c>
      <c r="AK760">
        <f t="shared" si="294"/>
        <v>0</v>
      </c>
      <c r="AL760">
        <f t="shared" si="302"/>
        <v>0</v>
      </c>
      <c r="AM760">
        <f t="shared" ca="1" si="295"/>
        <v>280.07692026646265</v>
      </c>
      <c r="AN760" t="str">
        <f t="shared" ca="1" si="296"/>
        <v>Supercritical</v>
      </c>
      <c r="AO760">
        <f ca="1">IF(V32="Supercritical",R760,AA760)</f>
        <v>482.07306851378365</v>
      </c>
    </row>
    <row r="761" spans="1:41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174</v>
      </c>
      <c r="I761">
        <v>7.8E-2</v>
      </c>
      <c r="J761">
        <f t="shared" si="297"/>
        <v>1</v>
      </c>
      <c r="K761">
        <f t="shared" si="298"/>
        <v>51</v>
      </c>
      <c r="L761">
        <f t="shared" ca="1" si="299"/>
        <v>38818.348501700624</v>
      </c>
      <c r="M761">
        <f t="shared" ca="1" si="277"/>
        <v>201855.41220884325</v>
      </c>
      <c r="N761">
        <f t="shared" ca="1" si="278"/>
        <v>2.5998258672118819</v>
      </c>
      <c r="O761">
        <f t="shared" ca="1" si="279"/>
        <v>2.5265609399283525E-4</v>
      </c>
      <c r="P761">
        <f t="shared" ca="1" si="280"/>
        <v>39450.605001700627</v>
      </c>
      <c r="Q761">
        <f t="shared" ca="1" si="281"/>
        <v>39450.60500170388</v>
      </c>
      <c r="R761">
        <f t="shared" ca="1" si="282"/>
        <v>4.0177513865224421E-12</v>
      </c>
      <c r="S761">
        <f t="shared" ca="1" si="300"/>
        <v>4.9999998736893758E-4</v>
      </c>
      <c r="T761">
        <f t="shared" ca="1" si="301"/>
        <v>1</v>
      </c>
      <c r="U761">
        <f t="shared" ca="1" si="283"/>
        <v>0.05</v>
      </c>
      <c r="V761">
        <f t="shared" ca="1" si="284"/>
        <v>0.26</v>
      </c>
      <c r="W761">
        <f t="shared" ca="1" si="285"/>
        <v>4.9056603773584909E-2</v>
      </c>
      <c r="X761">
        <f t="shared" ca="1" si="286"/>
        <v>196.15384615384616</v>
      </c>
      <c r="Y761">
        <f t="shared" ca="1" si="287"/>
        <v>632.30649999999991</v>
      </c>
      <c r="Z761">
        <f t="shared" ca="1" si="288"/>
        <v>2593.383531648662</v>
      </c>
      <c r="AA761">
        <f t="shared" ca="1" si="289"/>
        <v>482.07306851378365</v>
      </c>
      <c r="AB761">
        <f t="shared" ca="1" si="290"/>
        <v>482.64289004871034</v>
      </c>
      <c r="AC761">
        <f t="shared" ca="1" si="291"/>
        <v>0</v>
      </c>
      <c r="AD761">
        <f ca="1">IF(V32="Supercritical",L761,U761)</f>
        <v>0.05</v>
      </c>
      <c r="AE761">
        <f t="shared" ca="1" si="292"/>
        <v>632.30649999999991</v>
      </c>
      <c r="AF761">
        <f t="shared" ca="1" si="293"/>
        <v>2593.383531648662</v>
      </c>
      <c r="AI761">
        <v>0</v>
      </c>
      <c r="AJ761">
        <v>0</v>
      </c>
      <c r="AK761">
        <f t="shared" si="294"/>
        <v>0</v>
      </c>
      <c r="AL761">
        <f t="shared" si="302"/>
        <v>0</v>
      </c>
      <c r="AM761">
        <f t="shared" ca="1" si="295"/>
        <v>280.07692026646265</v>
      </c>
      <c r="AN761" t="str">
        <f t="shared" ca="1" si="296"/>
        <v>Supercritical</v>
      </c>
      <c r="AO761">
        <f ca="1">IF(V32="Supercritical",R761,AA761)</f>
        <v>482.07306851378365</v>
      </c>
    </row>
    <row r="762" spans="1:41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174</v>
      </c>
      <c r="I762">
        <v>2.7E-2</v>
      </c>
      <c r="J762">
        <f t="shared" si="297"/>
        <v>1.0009999999999764</v>
      </c>
      <c r="K762">
        <f t="shared" si="298"/>
        <v>51</v>
      </c>
      <c r="L762">
        <f t="shared" ca="1" si="299"/>
        <v>38818.338857983195</v>
      </c>
      <c r="M762">
        <f t="shared" ca="1" si="277"/>
        <v>201855.36206151263</v>
      </c>
      <c r="N762">
        <f t="shared" ca="1" si="278"/>
        <v>2.5998258671686245</v>
      </c>
      <c r="O762">
        <f t="shared" ca="1" si="279"/>
        <v>2.5265615676069311E-4</v>
      </c>
      <c r="P762">
        <f t="shared" ca="1" si="280"/>
        <v>39450.594857983197</v>
      </c>
      <c r="Q762">
        <f t="shared" ca="1" si="281"/>
        <v>39450.594857986449</v>
      </c>
      <c r="R762">
        <f t="shared" ca="1" si="282"/>
        <v>4.0177533828878197E-12</v>
      </c>
      <c r="S762">
        <f t="shared" ca="1" si="300"/>
        <v>1.0143717423488852E-2</v>
      </c>
      <c r="T762">
        <f t="shared" ca="1" si="301"/>
        <v>0</v>
      </c>
      <c r="U762">
        <f t="shared" ca="1" si="283"/>
        <v>0.05</v>
      </c>
      <c r="V762">
        <f t="shared" ca="1" si="284"/>
        <v>0.26</v>
      </c>
      <c r="W762">
        <f t="shared" ca="1" si="285"/>
        <v>4.9056603773584909E-2</v>
      </c>
      <c r="X762">
        <f t="shared" ca="1" si="286"/>
        <v>196.15384615384616</v>
      </c>
      <c r="Y762">
        <f t="shared" ca="1" si="287"/>
        <v>632.30599999999993</v>
      </c>
      <c r="Z762">
        <f t="shared" ca="1" si="288"/>
        <v>2593.3830316486619</v>
      </c>
      <c r="AA762">
        <f t="shared" ca="1" si="289"/>
        <v>482.07306851378365</v>
      </c>
      <c r="AB762">
        <f t="shared" ca="1" si="290"/>
        <v>481.59049544528125</v>
      </c>
      <c r="AC762">
        <f t="shared" ca="1" si="291"/>
        <v>0</v>
      </c>
      <c r="AD762">
        <f ca="1">IF(V32="Supercritical",L762,U762)</f>
        <v>0.05</v>
      </c>
      <c r="AE762">
        <f t="shared" ca="1" si="292"/>
        <v>632.30599999999993</v>
      </c>
      <c r="AF762">
        <f t="shared" ca="1" si="293"/>
        <v>2593.3830316486619</v>
      </c>
      <c r="AI762">
        <v>0</v>
      </c>
      <c r="AJ762">
        <v>0</v>
      </c>
      <c r="AK762">
        <f t="shared" si="294"/>
        <v>0</v>
      </c>
      <c r="AL762">
        <f t="shared" si="302"/>
        <v>0</v>
      </c>
      <c r="AM762">
        <f t="shared" ca="1" si="295"/>
        <v>280.07692026646265</v>
      </c>
      <c r="AN762" t="str">
        <f t="shared" ca="1" si="296"/>
        <v>Supercritical</v>
      </c>
      <c r="AO762">
        <f ca="1">IF(V32="Supercritical",R762,AA762)</f>
        <v>482.07306851378365</v>
      </c>
    </row>
    <row r="763" spans="1:41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174</v>
      </c>
      <c r="I763">
        <v>0</v>
      </c>
      <c r="J763">
        <f t="shared" si="297"/>
        <v>0.99900000000002365</v>
      </c>
      <c r="K763">
        <f t="shared" si="298"/>
        <v>51</v>
      </c>
      <c r="L763">
        <f t="shared" ca="1" si="299"/>
        <v>38818.338857983195</v>
      </c>
      <c r="M763">
        <f t="shared" ca="1" si="277"/>
        <v>201855.36206151263</v>
      </c>
      <c r="N763">
        <f t="shared" ca="1" si="278"/>
        <v>2.5998258671686245</v>
      </c>
      <c r="O763">
        <f t="shared" ca="1" si="279"/>
        <v>2.5265615676069311E-4</v>
      </c>
      <c r="P763">
        <f t="shared" ca="1" si="280"/>
        <v>39450.594357983195</v>
      </c>
      <c r="Q763">
        <f t="shared" ca="1" si="281"/>
        <v>39450.594357986447</v>
      </c>
      <c r="R763">
        <f t="shared" ca="1" si="282"/>
        <v>4.0177533828878197E-12</v>
      </c>
      <c r="S763">
        <f t="shared" ca="1" si="300"/>
        <v>4.999999946448952E-4</v>
      </c>
      <c r="T763">
        <f t="shared" ca="1" si="301"/>
        <v>1</v>
      </c>
      <c r="U763">
        <f t="shared" ca="1" si="283"/>
        <v>0.05</v>
      </c>
      <c r="V763">
        <f t="shared" ca="1" si="284"/>
        <v>0.26</v>
      </c>
      <c r="W763">
        <f t="shared" ca="1" si="285"/>
        <v>4.9056603773584909E-2</v>
      </c>
      <c r="X763">
        <f t="shared" ca="1" si="286"/>
        <v>196.15384615384616</v>
      </c>
      <c r="Y763">
        <f t="shared" ca="1" si="287"/>
        <v>632.30549999999994</v>
      </c>
      <c r="Z763">
        <f t="shared" ca="1" si="288"/>
        <v>2593.3825316486618</v>
      </c>
      <c r="AA763">
        <f t="shared" ca="1" si="289"/>
        <v>482.07306851378365</v>
      </c>
      <c r="AB763">
        <f t="shared" ca="1" si="290"/>
        <v>482.16081698020844</v>
      </c>
      <c r="AC763">
        <f t="shared" ca="1" si="291"/>
        <v>0</v>
      </c>
      <c r="AD763">
        <f ca="1">IF(V32="Supercritical",L763,U763)</f>
        <v>0.05</v>
      </c>
      <c r="AE763">
        <f t="shared" ca="1" si="292"/>
        <v>632.30549999999994</v>
      </c>
      <c r="AF763">
        <f t="shared" ca="1" si="293"/>
        <v>2593.3825316486618</v>
      </c>
      <c r="AI763">
        <v>0</v>
      </c>
      <c r="AJ763">
        <v>0</v>
      </c>
      <c r="AK763">
        <f t="shared" si="294"/>
        <v>0</v>
      </c>
      <c r="AL763">
        <f t="shared" si="302"/>
        <v>0</v>
      </c>
      <c r="AM763">
        <f t="shared" ca="1" si="295"/>
        <v>280.07692026646265</v>
      </c>
      <c r="AN763" t="str">
        <f t="shared" ca="1" si="296"/>
        <v>Supercritical</v>
      </c>
      <c r="AO763">
        <f ca="1">IF(V32="Supercritical",R763,AA763)</f>
        <v>482.07306851378365</v>
      </c>
    </row>
    <row r="764" spans="1:41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174</v>
      </c>
      <c r="I764">
        <v>2.7E-2</v>
      </c>
      <c r="J764">
        <f t="shared" si="297"/>
        <v>1</v>
      </c>
      <c r="K764">
        <f t="shared" si="298"/>
        <v>51</v>
      </c>
      <c r="L764">
        <f t="shared" ca="1" si="299"/>
        <v>38818.329501715663</v>
      </c>
      <c r="M764">
        <f t="shared" ca="1" si="277"/>
        <v>201855.31340892144</v>
      </c>
      <c r="N764">
        <f t="shared" ca="1" si="278"/>
        <v>2.5998258671266563</v>
      </c>
      <c r="O764">
        <f t="shared" ca="1" si="279"/>
        <v>2.5265621765766183E-4</v>
      </c>
      <c r="P764">
        <f t="shared" ca="1" si="280"/>
        <v>39450.584501715661</v>
      </c>
      <c r="Q764">
        <f t="shared" ca="1" si="281"/>
        <v>39450.584501718913</v>
      </c>
      <c r="R764">
        <f t="shared" ca="1" si="282"/>
        <v>4.0177553197490399E-12</v>
      </c>
      <c r="S764">
        <f t="shared" ca="1" si="300"/>
        <v>9.8562675266293809E-3</v>
      </c>
      <c r="T764">
        <f t="shared" ca="1" si="301"/>
        <v>0</v>
      </c>
      <c r="U764">
        <f t="shared" ca="1" si="283"/>
        <v>0.05</v>
      </c>
      <c r="V764">
        <f t="shared" ca="1" si="284"/>
        <v>0.26</v>
      </c>
      <c r="W764">
        <f t="shared" ca="1" si="285"/>
        <v>4.9056603773584909E-2</v>
      </c>
      <c r="X764">
        <f t="shared" ca="1" si="286"/>
        <v>196.15384615384616</v>
      </c>
      <c r="Y764">
        <f t="shared" ca="1" si="287"/>
        <v>632.30499999999995</v>
      </c>
      <c r="Z764">
        <f t="shared" ca="1" si="288"/>
        <v>2593.3820316486622</v>
      </c>
      <c r="AA764">
        <f t="shared" ca="1" si="289"/>
        <v>482.07306851378365</v>
      </c>
      <c r="AB764">
        <f t="shared" ca="1" si="290"/>
        <v>482.32750852789786</v>
      </c>
      <c r="AC764">
        <f t="shared" ca="1" si="291"/>
        <v>0</v>
      </c>
      <c r="AD764">
        <f ca="1">IF(V32="Supercritical",L764,U764)</f>
        <v>0.05</v>
      </c>
      <c r="AE764">
        <f t="shared" ca="1" si="292"/>
        <v>632.30499999999995</v>
      </c>
      <c r="AF764">
        <f t="shared" ca="1" si="293"/>
        <v>2593.3820316486622</v>
      </c>
      <c r="AI764">
        <v>0</v>
      </c>
      <c r="AJ764">
        <v>0</v>
      </c>
      <c r="AK764">
        <f t="shared" si="294"/>
        <v>0</v>
      </c>
      <c r="AL764">
        <f t="shared" si="302"/>
        <v>0</v>
      </c>
      <c r="AM764">
        <f t="shared" ca="1" si="295"/>
        <v>280.07692026646265</v>
      </c>
      <c r="AN764" t="str">
        <f t="shared" ca="1" si="296"/>
        <v>Supercritical</v>
      </c>
      <c r="AO764">
        <f ca="1">IF(V32="Supercritical",R764,AA764)</f>
        <v>482.07306851378365</v>
      </c>
    </row>
    <row r="765" spans="1:41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174</v>
      </c>
      <c r="I765">
        <v>7.8E-2</v>
      </c>
      <c r="J765">
        <f t="shared" si="297"/>
        <v>1</v>
      </c>
      <c r="K765">
        <f t="shared" si="298"/>
        <v>51</v>
      </c>
      <c r="L765">
        <f t="shared" ca="1" si="299"/>
        <v>38818.329501715663</v>
      </c>
      <c r="M765">
        <f t="shared" ca="1" si="277"/>
        <v>201855.31340892144</v>
      </c>
      <c r="N765">
        <f t="shared" ca="1" si="278"/>
        <v>2.5998258671266563</v>
      </c>
      <c r="O765">
        <f t="shared" ca="1" si="279"/>
        <v>2.5265621765766183E-4</v>
      </c>
      <c r="P765">
        <f t="shared" ca="1" si="280"/>
        <v>39450.584001715666</v>
      </c>
      <c r="Q765">
        <f t="shared" ca="1" si="281"/>
        <v>39450.584001718918</v>
      </c>
      <c r="R765">
        <f t="shared" ca="1" si="282"/>
        <v>4.0177553197490399E-12</v>
      </c>
      <c r="S765">
        <f t="shared" ca="1" si="300"/>
        <v>4.9999998736893758E-4</v>
      </c>
      <c r="T765">
        <f t="shared" ca="1" si="301"/>
        <v>1</v>
      </c>
      <c r="U765">
        <f t="shared" ca="1" si="283"/>
        <v>0.05</v>
      </c>
      <c r="V765">
        <f t="shared" ca="1" si="284"/>
        <v>0.26</v>
      </c>
      <c r="W765">
        <f t="shared" ca="1" si="285"/>
        <v>4.9056603773584909E-2</v>
      </c>
      <c r="X765">
        <f t="shared" ca="1" si="286"/>
        <v>196.15384615384616</v>
      </c>
      <c r="Y765">
        <f t="shared" ca="1" si="287"/>
        <v>632.30449999999996</v>
      </c>
      <c r="Z765">
        <f t="shared" ca="1" si="288"/>
        <v>2593.3815316486621</v>
      </c>
      <c r="AA765">
        <f t="shared" ca="1" si="289"/>
        <v>482.07306851378365</v>
      </c>
      <c r="AB765">
        <f t="shared" ca="1" si="290"/>
        <v>482.32750852789786</v>
      </c>
      <c r="AC765">
        <f t="shared" ca="1" si="291"/>
        <v>0</v>
      </c>
      <c r="AD765">
        <f ca="1">IF(V32="Supercritical",L765,U765)</f>
        <v>0.05</v>
      </c>
      <c r="AE765">
        <f t="shared" ca="1" si="292"/>
        <v>632.30449999999996</v>
      </c>
      <c r="AF765">
        <f t="shared" ca="1" si="293"/>
        <v>2593.3815316486621</v>
      </c>
      <c r="AI765">
        <v>0</v>
      </c>
      <c r="AJ765">
        <v>0</v>
      </c>
      <c r="AK765">
        <f t="shared" si="294"/>
        <v>0</v>
      </c>
      <c r="AL765">
        <f t="shared" si="302"/>
        <v>0</v>
      </c>
      <c r="AM765">
        <f t="shared" ca="1" si="295"/>
        <v>280.07692026646265</v>
      </c>
      <c r="AN765" t="str">
        <f t="shared" ca="1" si="296"/>
        <v>Supercritical</v>
      </c>
      <c r="AO765">
        <f ca="1">IF(V32="Supercritical",R765,AA765)</f>
        <v>482.07306851378365</v>
      </c>
    </row>
    <row r="766" spans="1:41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174</v>
      </c>
      <c r="I766">
        <v>7.8E-2</v>
      </c>
      <c r="J766">
        <f t="shared" si="297"/>
        <v>1</v>
      </c>
      <c r="K766">
        <f t="shared" si="298"/>
        <v>51</v>
      </c>
      <c r="L766">
        <f t="shared" ca="1" si="299"/>
        <v>38818.320445085454</v>
      </c>
      <c r="M766">
        <f t="shared" ca="1" si="277"/>
        <v>201855.26631444436</v>
      </c>
      <c r="N766">
        <f t="shared" ca="1" si="278"/>
        <v>2.5998258670860328</v>
      </c>
      <c r="O766">
        <f t="shared" ca="1" si="279"/>
        <v>2.5265627660441448E-4</v>
      </c>
      <c r="P766">
        <f t="shared" ca="1" si="280"/>
        <v>39450.574445085454</v>
      </c>
      <c r="Q766">
        <f t="shared" ca="1" si="281"/>
        <v>39450.574445088707</v>
      </c>
      <c r="R766">
        <f t="shared" ca="1" si="282"/>
        <v>4.0177571945830192E-12</v>
      </c>
      <c r="S766">
        <f t="shared" ca="1" si="300"/>
        <v>9.5566302043152973E-3</v>
      </c>
      <c r="T766">
        <f t="shared" ca="1" si="301"/>
        <v>0</v>
      </c>
      <c r="U766">
        <f t="shared" ca="1" si="283"/>
        <v>0.05</v>
      </c>
      <c r="V766">
        <f t="shared" ca="1" si="284"/>
        <v>0.26</v>
      </c>
      <c r="W766">
        <f t="shared" ca="1" si="285"/>
        <v>4.9056603773584909E-2</v>
      </c>
      <c r="X766">
        <f t="shared" ca="1" si="286"/>
        <v>196.15384615384616</v>
      </c>
      <c r="Y766">
        <f t="shared" ca="1" si="287"/>
        <v>632.30399999999997</v>
      </c>
      <c r="Z766">
        <f t="shared" ca="1" si="288"/>
        <v>2593.381031648662</v>
      </c>
      <c r="AA766">
        <f t="shared" ca="1" si="289"/>
        <v>482.07306851378365</v>
      </c>
      <c r="AB766">
        <f t="shared" ca="1" si="290"/>
        <v>482.6428900487108</v>
      </c>
      <c r="AC766">
        <f t="shared" ca="1" si="291"/>
        <v>0</v>
      </c>
      <c r="AD766">
        <f ca="1">IF(V32="Supercritical",L766,U766)</f>
        <v>0.05</v>
      </c>
      <c r="AE766">
        <f t="shared" ca="1" si="292"/>
        <v>632.30399999999997</v>
      </c>
      <c r="AF766">
        <f t="shared" ca="1" si="293"/>
        <v>2593.381031648662</v>
      </c>
      <c r="AI766">
        <v>0</v>
      </c>
      <c r="AJ766">
        <v>0</v>
      </c>
      <c r="AK766">
        <f t="shared" si="294"/>
        <v>0</v>
      </c>
      <c r="AL766">
        <f t="shared" si="302"/>
        <v>0</v>
      </c>
      <c r="AM766">
        <f t="shared" ca="1" si="295"/>
        <v>280.07692026646265</v>
      </c>
      <c r="AN766" t="str">
        <f t="shared" ca="1" si="296"/>
        <v>Supercritical</v>
      </c>
      <c r="AO766">
        <f ca="1">IF(V32="Supercritical",R766,AA766)</f>
        <v>482.07306851378365</v>
      </c>
    </row>
    <row r="767" spans="1:41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174</v>
      </c>
      <c r="I767">
        <v>2.7E-2</v>
      </c>
      <c r="J767">
        <f t="shared" si="297"/>
        <v>1.0009999999999764</v>
      </c>
      <c r="K767">
        <f t="shared" si="298"/>
        <v>51</v>
      </c>
      <c r="L767">
        <f t="shared" ca="1" si="299"/>
        <v>38818.320445085454</v>
      </c>
      <c r="M767">
        <f t="shared" ca="1" si="277"/>
        <v>201855.26631444436</v>
      </c>
      <c r="N767">
        <f t="shared" ca="1" si="278"/>
        <v>2.5998258670860328</v>
      </c>
      <c r="O767">
        <f t="shared" ca="1" si="279"/>
        <v>2.5265627660441448E-4</v>
      </c>
      <c r="P767">
        <f t="shared" ca="1" si="280"/>
        <v>39450.573945085453</v>
      </c>
      <c r="Q767">
        <f t="shared" ca="1" si="281"/>
        <v>39450.573945088705</v>
      </c>
      <c r="R767">
        <f t="shared" ca="1" si="282"/>
        <v>4.0177571945830192E-12</v>
      </c>
      <c r="S767">
        <f t="shared" ca="1" si="300"/>
        <v>4.999999946448952E-4</v>
      </c>
      <c r="T767">
        <f t="shared" ca="1" si="301"/>
        <v>1</v>
      </c>
      <c r="U767">
        <f t="shared" ca="1" si="283"/>
        <v>0.05</v>
      </c>
      <c r="V767">
        <f t="shared" ca="1" si="284"/>
        <v>0.26</v>
      </c>
      <c r="W767">
        <f t="shared" ca="1" si="285"/>
        <v>4.9056603773584909E-2</v>
      </c>
      <c r="X767">
        <f t="shared" ca="1" si="286"/>
        <v>196.15384615384616</v>
      </c>
      <c r="Y767">
        <f t="shared" ca="1" si="287"/>
        <v>632.30349999999999</v>
      </c>
      <c r="Z767">
        <f t="shared" ca="1" si="288"/>
        <v>2593.3805316486623</v>
      </c>
      <c r="AA767">
        <f t="shared" ca="1" si="289"/>
        <v>482.07306851378365</v>
      </c>
      <c r="AB767">
        <f t="shared" ca="1" si="290"/>
        <v>481.59049544528125</v>
      </c>
      <c r="AC767">
        <f t="shared" ca="1" si="291"/>
        <v>0</v>
      </c>
      <c r="AD767">
        <f ca="1">IF(V32="Supercritical",L767,U767)</f>
        <v>0.05</v>
      </c>
      <c r="AE767">
        <f t="shared" ca="1" si="292"/>
        <v>632.30349999999999</v>
      </c>
      <c r="AF767">
        <f t="shared" ca="1" si="293"/>
        <v>2593.3805316486623</v>
      </c>
      <c r="AI767">
        <v>0</v>
      </c>
      <c r="AJ767">
        <v>0</v>
      </c>
      <c r="AK767">
        <f t="shared" si="294"/>
        <v>0</v>
      </c>
      <c r="AL767">
        <f t="shared" si="302"/>
        <v>0</v>
      </c>
      <c r="AM767">
        <f t="shared" ca="1" si="295"/>
        <v>280.07692026646265</v>
      </c>
      <c r="AN767" t="str">
        <f t="shared" ca="1" si="296"/>
        <v>Supercritical</v>
      </c>
      <c r="AO767">
        <f ca="1">IF(V32="Supercritical",R767,AA767)</f>
        <v>482.07306851378365</v>
      </c>
    </row>
    <row r="768" spans="1:41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174</v>
      </c>
      <c r="I768">
        <v>0</v>
      </c>
      <c r="J768">
        <f t="shared" si="297"/>
        <v>0.99900000000002365</v>
      </c>
      <c r="K768">
        <f t="shared" si="298"/>
        <v>51</v>
      </c>
      <c r="L768">
        <f t="shared" ca="1" si="299"/>
        <v>38818.311698858961</v>
      </c>
      <c r="M768">
        <f t="shared" ca="1" si="277"/>
        <v>201855.2208340666</v>
      </c>
      <c r="N768">
        <f t="shared" ca="1" si="278"/>
        <v>2.5998258670468011</v>
      </c>
      <c r="O768">
        <f t="shared" ca="1" si="279"/>
        <v>2.5265633353087325E-4</v>
      </c>
      <c r="P768">
        <f t="shared" ca="1" si="280"/>
        <v>39450.564698858958</v>
      </c>
      <c r="Q768">
        <f t="shared" ca="1" si="281"/>
        <v>39450.56469886221</v>
      </c>
      <c r="R768">
        <f t="shared" ca="1" si="282"/>
        <v>4.0177590051608548E-12</v>
      </c>
      <c r="S768">
        <f t="shared" ca="1" si="300"/>
        <v>9.246226487448439E-3</v>
      </c>
      <c r="T768">
        <f t="shared" ca="1" si="301"/>
        <v>0</v>
      </c>
      <c r="U768">
        <f t="shared" ca="1" si="283"/>
        <v>0.05</v>
      </c>
      <c r="V768">
        <f t="shared" ca="1" si="284"/>
        <v>0.26</v>
      </c>
      <c r="W768">
        <f t="shared" ca="1" si="285"/>
        <v>4.9056603773584909E-2</v>
      </c>
      <c r="X768">
        <f t="shared" ca="1" si="286"/>
        <v>196.15384615384616</v>
      </c>
      <c r="Y768">
        <f t="shared" ca="1" si="287"/>
        <v>632.303</v>
      </c>
      <c r="Z768">
        <f t="shared" ca="1" si="288"/>
        <v>2593.3800316486622</v>
      </c>
      <c r="AA768">
        <f t="shared" ca="1" si="289"/>
        <v>482.07306851378365</v>
      </c>
      <c r="AB768">
        <f t="shared" ca="1" si="290"/>
        <v>482.1477431333301</v>
      </c>
      <c r="AC768">
        <f t="shared" ca="1" si="291"/>
        <v>0</v>
      </c>
      <c r="AD768">
        <f ca="1">IF(V32="Supercritical",L768,U768)</f>
        <v>0.05</v>
      </c>
      <c r="AE768">
        <f t="shared" ca="1" si="292"/>
        <v>632.303</v>
      </c>
      <c r="AF768">
        <f t="shared" ca="1" si="293"/>
        <v>2593.3800316486622</v>
      </c>
      <c r="AI768">
        <v>0</v>
      </c>
      <c r="AJ768">
        <v>0</v>
      </c>
      <c r="AK768">
        <f t="shared" si="294"/>
        <v>0</v>
      </c>
      <c r="AL768">
        <f t="shared" si="302"/>
        <v>0</v>
      </c>
      <c r="AM768">
        <f t="shared" ca="1" si="295"/>
        <v>280.07692026646265</v>
      </c>
      <c r="AN768" t="str">
        <f t="shared" ca="1" si="296"/>
        <v>Supercritical</v>
      </c>
      <c r="AO768">
        <f ca="1">IF(V32="Supercritical",R768,AA768)</f>
        <v>482.07306851378365</v>
      </c>
    </row>
    <row r="769" spans="1:41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174</v>
      </c>
      <c r="I769">
        <v>2.3E-2</v>
      </c>
      <c r="J769">
        <f t="shared" si="297"/>
        <v>1</v>
      </c>
      <c r="K769">
        <f t="shared" si="298"/>
        <v>51</v>
      </c>
      <c r="L769">
        <f t="shared" ca="1" si="299"/>
        <v>38818.311698858961</v>
      </c>
      <c r="M769">
        <f t="shared" ca="1" si="277"/>
        <v>201855.2208340666</v>
      </c>
      <c r="N769">
        <f t="shared" ca="1" si="278"/>
        <v>2.5998258670468011</v>
      </c>
      <c r="O769">
        <f t="shared" ca="1" si="279"/>
        <v>2.5265633353087325E-4</v>
      </c>
      <c r="P769">
        <f t="shared" ca="1" si="280"/>
        <v>39450.564198858963</v>
      </c>
      <c r="Q769">
        <f t="shared" ca="1" si="281"/>
        <v>39450.564198862216</v>
      </c>
      <c r="R769">
        <f t="shared" ca="1" si="282"/>
        <v>4.0177590051608548E-12</v>
      </c>
      <c r="S769">
        <f t="shared" ca="1" si="300"/>
        <v>4.9999998736893758E-4</v>
      </c>
      <c r="T769">
        <f t="shared" ca="1" si="301"/>
        <v>1</v>
      </c>
      <c r="U769">
        <f t="shared" ca="1" si="283"/>
        <v>0.05</v>
      </c>
      <c r="V769">
        <f t="shared" ca="1" si="284"/>
        <v>0.26</v>
      </c>
      <c r="W769">
        <f t="shared" ca="1" si="285"/>
        <v>4.9056603773584909E-2</v>
      </c>
      <c r="X769">
        <f t="shared" ca="1" si="286"/>
        <v>196.15384615384616</v>
      </c>
      <c r="Y769">
        <f t="shared" ca="1" si="287"/>
        <v>632.30250000000001</v>
      </c>
      <c r="Z769">
        <f t="shared" ca="1" si="288"/>
        <v>2593.3795316486621</v>
      </c>
      <c r="AA769">
        <f t="shared" ca="1" si="289"/>
        <v>482.07306851378365</v>
      </c>
      <c r="AB769">
        <f t="shared" ca="1" si="290"/>
        <v>482.62981620183245</v>
      </c>
      <c r="AC769">
        <f t="shared" ca="1" si="291"/>
        <v>0</v>
      </c>
      <c r="AD769">
        <f ca="1">IF(V32="Supercritical",L769,U769)</f>
        <v>0.05</v>
      </c>
      <c r="AE769">
        <f t="shared" ca="1" si="292"/>
        <v>632.30250000000001</v>
      </c>
      <c r="AF769">
        <f t="shared" ca="1" si="293"/>
        <v>2593.3795316486621</v>
      </c>
      <c r="AI769">
        <v>0</v>
      </c>
      <c r="AJ769">
        <v>0</v>
      </c>
      <c r="AK769">
        <f t="shared" si="294"/>
        <v>0</v>
      </c>
      <c r="AL769">
        <f t="shared" si="302"/>
        <v>0</v>
      </c>
      <c r="AM769">
        <f t="shared" ca="1" si="295"/>
        <v>280.07692026646265</v>
      </c>
      <c r="AN769" t="str">
        <f t="shared" ca="1" si="296"/>
        <v>Supercritical</v>
      </c>
      <c r="AO769">
        <f ca="1">IF(V32="Supercritical",R769,AA769)</f>
        <v>482.07306851378365</v>
      </c>
    </row>
    <row r="770" spans="1:41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174</v>
      </c>
      <c r="I770">
        <v>2.3E-2</v>
      </c>
      <c r="J770">
        <f t="shared" si="297"/>
        <v>1.0009999999999764</v>
      </c>
      <c r="K770">
        <f t="shared" si="298"/>
        <v>51</v>
      </c>
      <c r="L770">
        <f t="shared" ca="1" si="299"/>
        <v>38818.303272281722</v>
      </c>
      <c r="M770">
        <f t="shared" ca="1" si="277"/>
        <v>201855.17701586496</v>
      </c>
      <c r="N770">
        <f t="shared" ca="1" si="278"/>
        <v>2.5998258670090033</v>
      </c>
      <c r="O770">
        <f t="shared" ca="1" si="279"/>
        <v>2.5265638837685902E-4</v>
      </c>
      <c r="P770">
        <f t="shared" ca="1" si="280"/>
        <v>39450.555272281723</v>
      </c>
      <c r="Q770">
        <f t="shared" ca="1" si="281"/>
        <v>39450.555272284975</v>
      </c>
      <c r="R770">
        <f t="shared" ca="1" si="282"/>
        <v>4.0177607495684703E-12</v>
      </c>
      <c r="S770">
        <f t="shared" ca="1" si="300"/>
        <v>8.9265772330691107E-3</v>
      </c>
      <c r="T770">
        <f t="shared" ca="1" si="301"/>
        <v>0</v>
      </c>
      <c r="U770">
        <f t="shared" ca="1" si="283"/>
        <v>0.05</v>
      </c>
      <c r="V770">
        <f t="shared" ca="1" si="284"/>
        <v>0.26</v>
      </c>
      <c r="W770">
        <f t="shared" ca="1" si="285"/>
        <v>4.9056603773584909E-2</v>
      </c>
      <c r="X770">
        <f t="shared" ca="1" si="286"/>
        <v>196.15384615384616</v>
      </c>
      <c r="Y770">
        <f t="shared" ca="1" si="287"/>
        <v>632.30199999999991</v>
      </c>
      <c r="Z770">
        <f t="shared" ca="1" si="288"/>
        <v>2593.379031648662</v>
      </c>
      <c r="AA770">
        <f t="shared" ca="1" si="289"/>
        <v>482.07306851378365</v>
      </c>
      <c r="AB770">
        <f t="shared" ca="1" si="290"/>
        <v>481.67874391170562</v>
      </c>
      <c r="AC770">
        <f t="shared" ca="1" si="291"/>
        <v>0</v>
      </c>
      <c r="AD770">
        <f ca="1">IF(V32="Supercritical",L770,U770)</f>
        <v>0.05</v>
      </c>
      <c r="AE770">
        <f t="shared" ca="1" si="292"/>
        <v>632.30199999999991</v>
      </c>
      <c r="AF770">
        <f t="shared" ca="1" si="293"/>
        <v>2593.379031648662</v>
      </c>
      <c r="AI770">
        <v>0</v>
      </c>
      <c r="AJ770">
        <v>0</v>
      </c>
      <c r="AK770">
        <f t="shared" si="294"/>
        <v>0</v>
      </c>
      <c r="AL770">
        <f t="shared" si="302"/>
        <v>0</v>
      </c>
      <c r="AM770">
        <f t="shared" ca="1" si="295"/>
        <v>280.07692026646265</v>
      </c>
      <c r="AN770" t="str">
        <f t="shared" ca="1" si="296"/>
        <v>Supercritical</v>
      </c>
      <c r="AO770">
        <f ca="1">IF(V32="Supercritical",R770,AA770)</f>
        <v>482.07306851378365</v>
      </c>
    </row>
    <row r="771" spans="1:41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174</v>
      </c>
      <c r="I771">
        <v>2.7E-2</v>
      </c>
      <c r="J771">
        <f t="shared" si="297"/>
        <v>0.99900000000002365</v>
      </c>
      <c r="K771">
        <f t="shared" si="298"/>
        <v>51</v>
      </c>
      <c r="L771">
        <f t="shared" ca="1" si="299"/>
        <v>38818.303272281722</v>
      </c>
      <c r="M771">
        <f t="shared" ca="1" si="277"/>
        <v>201855.17701586496</v>
      </c>
      <c r="N771">
        <f t="shared" ca="1" si="278"/>
        <v>2.5998258670090033</v>
      </c>
      <c r="O771">
        <f t="shared" ca="1" si="279"/>
        <v>2.5265638837685902E-4</v>
      </c>
      <c r="P771">
        <f t="shared" ca="1" si="280"/>
        <v>39450.554772281721</v>
      </c>
      <c r="Q771">
        <f t="shared" ca="1" si="281"/>
        <v>39450.554772284973</v>
      </c>
      <c r="R771">
        <f t="shared" ca="1" si="282"/>
        <v>4.0177607495684703E-12</v>
      </c>
      <c r="S771">
        <f t="shared" ca="1" si="300"/>
        <v>4.999999946448952E-4</v>
      </c>
      <c r="T771">
        <f t="shared" ca="1" si="301"/>
        <v>1</v>
      </c>
      <c r="U771">
        <f t="shared" ca="1" si="283"/>
        <v>0.05</v>
      </c>
      <c r="V771">
        <f t="shared" ca="1" si="284"/>
        <v>0.26</v>
      </c>
      <c r="W771">
        <f t="shared" ca="1" si="285"/>
        <v>4.9056603773584909E-2</v>
      </c>
      <c r="X771">
        <f t="shared" ca="1" si="286"/>
        <v>196.15384615384616</v>
      </c>
      <c r="Y771">
        <f t="shared" ca="1" si="287"/>
        <v>632.30149999999992</v>
      </c>
      <c r="Z771">
        <f t="shared" ca="1" si="288"/>
        <v>2593.3785316486619</v>
      </c>
      <c r="AA771">
        <f t="shared" ca="1" si="289"/>
        <v>482.07306851378365</v>
      </c>
      <c r="AB771">
        <f t="shared" ca="1" si="290"/>
        <v>482.64289004871034</v>
      </c>
      <c r="AC771">
        <f t="shared" ca="1" si="291"/>
        <v>0</v>
      </c>
      <c r="AD771">
        <f ca="1">IF(V32="Supercritical",L771,U771)</f>
        <v>0.05</v>
      </c>
      <c r="AE771">
        <f t="shared" ca="1" si="292"/>
        <v>632.30149999999992</v>
      </c>
      <c r="AF771">
        <f t="shared" ca="1" si="293"/>
        <v>2593.3785316486619</v>
      </c>
      <c r="AI771">
        <v>0</v>
      </c>
      <c r="AJ771">
        <v>0</v>
      </c>
      <c r="AK771">
        <f t="shared" si="294"/>
        <v>0</v>
      </c>
      <c r="AL771">
        <f t="shared" si="302"/>
        <v>0</v>
      </c>
      <c r="AM771">
        <f t="shared" ca="1" si="295"/>
        <v>280.07692026646265</v>
      </c>
      <c r="AN771" t="str">
        <f t="shared" ca="1" si="296"/>
        <v>Supercritical</v>
      </c>
      <c r="AO771">
        <f ca="1">IF(V32="Supercritical",R771,AA771)</f>
        <v>482.07306851378365</v>
      </c>
    </row>
    <row r="772" spans="1:41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174</v>
      </c>
      <c r="I772">
        <v>2.7E-2</v>
      </c>
      <c r="J772">
        <f t="shared" si="297"/>
        <v>1.0009999999999764</v>
      </c>
      <c r="K772">
        <f t="shared" si="298"/>
        <v>51</v>
      </c>
      <c r="L772">
        <f t="shared" ca="1" si="299"/>
        <v>38818.295172996499</v>
      </c>
      <c r="M772">
        <f t="shared" ca="1" si="277"/>
        <v>201855.13489958181</v>
      </c>
      <c r="N772">
        <f t="shared" ca="1" si="278"/>
        <v>2.5998258669726737</v>
      </c>
      <c r="O772">
        <f t="shared" ca="1" si="279"/>
        <v>2.5265644109262469E-4</v>
      </c>
      <c r="P772">
        <f t="shared" ca="1" si="280"/>
        <v>39450.546172996495</v>
      </c>
      <c r="Q772">
        <f t="shared" ca="1" si="281"/>
        <v>39450.546172999748</v>
      </c>
      <c r="R772">
        <f t="shared" ca="1" si="282"/>
        <v>4.0177624262235845E-12</v>
      </c>
      <c r="S772">
        <f t="shared" ca="1" si="300"/>
        <v>8.5992852182243951E-3</v>
      </c>
      <c r="T772">
        <f t="shared" ca="1" si="301"/>
        <v>0</v>
      </c>
      <c r="U772">
        <f t="shared" ca="1" si="283"/>
        <v>0.05</v>
      </c>
      <c r="V772">
        <f t="shared" ca="1" si="284"/>
        <v>0.26</v>
      </c>
      <c r="W772">
        <f t="shared" ca="1" si="285"/>
        <v>4.9056603773584909E-2</v>
      </c>
      <c r="X772">
        <f t="shared" ca="1" si="286"/>
        <v>196.15384615384616</v>
      </c>
      <c r="Y772">
        <f t="shared" ca="1" si="287"/>
        <v>632.30099999999993</v>
      </c>
      <c r="Z772">
        <f t="shared" ca="1" si="288"/>
        <v>2593.3780316486618</v>
      </c>
      <c r="AA772">
        <f t="shared" ca="1" si="289"/>
        <v>482.07306851378365</v>
      </c>
      <c r="AB772">
        <f t="shared" ca="1" si="290"/>
        <v>481.75391853125257</v>
      </c>
      <c r="AC772">
        <f t="shared" ca="1" si="291"/>
        <v>0</v>
      </c>
      <c r="AD772">
        <f ca="1">IF(V32="Supercritical",L772,U772)</f>
        <v>0.05</v>
      </c>
      <c r="AE772">
        <f t="shared" ca="1" si="292"/>
        <v>632.30099999999993</v>
      </c>
      <c r="AF772">
        <f t="shared" ca="1" si="293"/>
        <v>2593.3780316486618</v>
      </c>
      <c r="AI772">
        <v>0</v>
      </c>
      <c r="AJ772">
        <v>0</v>
      </c>
      <c r="AK772">
        <f t="shared" si="294"/>
        <v>0</v>
      </c>
      <c r="AL772">
        <f t="shared" si="302"/>
        <v>0</v>
      </c>
      <c r="AM772">
        <f t="shared" ca="1" si="295"/>
        <v>280.07692026646265</v>
      </c>
      <c r="AN772" t="str">
        <f t="shared" ca="1" si="296"/>
        <v>Supercritical</v>
      </c>
      <c r="AO772">
        <f ca="1">IF(V32="Supercritical",R772,AA772)</f>
        <v>482.07306851378365</v>
      </c>
    </row>
    <row r="773" spans="1:41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174</v>
      </c>
      <c r="I773">
        <v>0.05</v>
      </c>
      <c r="J773">
        <f t="shared" si="297"/>
        <v>0.99900000000002365</v>
      </c>
      <c r="K773">
        <f t="shared" si="298"/>
        <v>51</v>
      </c>
      <c r="L773">
        <f t="shared" ca="1" si="299"/>
        <v>38818.295172996499</v>
      </c>
      <c r="M773">
        <f t="shared" ca="1" si="277"/>
        <v>201855.13489958181</v>
      </c>
      <c r="N773">
        <f t="shared" ca="1" si="278"/>
        <v>2.5998258669726737</v>
      </c>
      <c r="O773">
        <f t="shared" ca="1" si="279"/>
        <v>2.5265644109262469E-4</v>
      </c>
      <c r="P773">
        <f t="shared" ca="1" si="280"/>
        <v>39450.545672996501</v>
      </c>
      <c r="Q773">
        <f t="shared" ca="1" si="281"/>
        <v>39450.545672999753</v>
      </c>
      <c r="R773">
        <f t="shared" ca="1" si="282"/>
        <v>4.0177624262235845E-12</v>
      </c>
      <c r="S773">
        <f t="shared" ca="1" si="300"/>
        <v>4.9999998736893758E-4</v>
      </c>
      <c r="T773">
        <f t="shared" ca="1" si="301"/>
        <v>1</v>
      </c>
      <c r="U773">
        <f t="shared" ca="1" si="283"/>
        <v>0.05</v>
      </c>
      <c r="V773">
        <f t="shared" ca="1" si="284"/>
        <v>0.26</v>
      </c>
      <c r="W773">
        <f t="shared" ca="1" si="285"/>
        <v>4.9056603773584909E-2</v>
      </c>
      <c r="X773">
        <f t="shared" ca="1" si="286"/>
        <v>196.15384615384616</v>
      </c>
      <c r="Y773">
        <f t="shared" ca="1" si="287"/>
        <v>632.30049999999994</v>
      </c>
      <c r="Z773">
        <f t="shared" ca="1" si="288"/>
        <v>2593.3775316486622</v>
      </c>
      <c r="AA773">
        <f t="shared" ca="1" si="289"/>
        <v>482.07306851378365</v>
      </c>
      <c r="AB773">
        <f t="shared" ca="1" si="290"/>
        <v>482.32750852789786</v>
      </c>
      <c r="AC773">
        <f t="shared" ca="1" si="291"/>
        <v>0</v>
      </c>
      <c r="AD773">
        <f ca="1">IF(V32="Supercritical",L773,U773)</f>
        <v>0.05</v>
      </c>
      <c r="AE773">
        <f t="shared" ca="1" si="292"/>
        <v>632.30049999999994</v>
      </c>
      <c r="AF773">
        <f t="shared" ca="1" si="293"/>
        <v>2593.3775316486622</v>
      </c>
      <c r="AI773">
        <v>0</v>
      </c>
      <c r="AJ773">
        <v>0</v>
      </c>
      <c r="AK773">
        <f t="shared" si="294"/>
        <v>0</v>
      </c>
      <c r="AL773">
        <f t="shared" si="302"/>
        <v>0</v>
      </c>
      <c r="AM773">
        <f t="shared" ca="1" si="295"/>
        <v>280.07692026646265</v>
      </c>
      <c r="AN773" t="str">
        <f t="shared" ca="1" si="296"/>
        <v>Supercritical</v>
      </c>
      <c r="AO773">
        <f ca="1">IF(V32="Supercritical",R773,AA773)</f>
        <v>482.07306851378365</v>
      </c>
    </row>
    <row r="774" spans="1:41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174</v>
      </c>
      <c r="I774">
        <v>7.8E-2</v>
      </c>
      <c r="J774">
        <f t="shared" si="297"/>
        <v>1</v>
      </c>
      <c r="K774">
        <f t="shared" si="298"/>
        <v>51</v>
      </c>
      <c r="L774">
        <f t="shared" ca="1" si="299"/>
        <v>38818.287406980788</v>
      </c>
      <c r="M774">
        <f t="shared" ca="1" si="277"/>
        <v>201855.0945163001</v>
      </c>
      <c r="N774">
        <f t="shared" ca="1" si="278"/>
        <v>2.5998258669378389</v>
      </c>
      <c r="O774">
        <f t="shared" ca="1" si="279"/>
        <v>2.5265649163926194E-4</v>
      </c>
      <c r="P774">
        <f t="shared" ca="1" si="280"/>
        <v>39450.537406980788</v>
      </c>
      <c r="Q774">
        <f t="shared" ca="1" si="281"/>
        <v>39450.53740698404</v>
      </c>
      <c r="R774">
        <f t="shared" ca="1" si="282"/>
        <v>4.0177640338886562E-12</v>
      </c>
      <c r="S774">
        <f t="shared" ca="1" si="300"/>
        <v>8.2660157058853656E-3</v>
      </c>
      <c r="T774">
        <f t="shared" ca="1" si="301"/>
        <v>0</v>
      </c>
      <c r="U774">
        <f t="shared" ca="1" si="283"/>
        <v>0.05</v>
      </c>
      <c r="V774">
        <f t="shared" ca="1" si="284"/>
        <v>0.26</v>
      </c>
      <c r="W774">
        <f t="shared" ca="1" si="285"/>
        <v>4.9056603773584909E-2</v>
      </c>
      <c r="X774">
        <f t="shared" ca="1" si="286"/>
        <v>196.15384615384616</v>
      </c>
      <c r="Y774">
        <f t="shared" ca="1" si="287"/>
        <v>632.29999999999995</v>
      </c>
      <c r="Z774">
        <f t="shared" ca="1" si="288"/>
        <v>2593.3770316486621</v>
      </c>
      <c r="AA774">
        <f t="shared" ca="1" si="289"/>
        <v>482.07306851378365</v>
      </c>
      <c r="AB774">
        <f t="shared" ca="1" si="290"/>
        <v>482.64289004871034</v>
      </c>
      <c r="AC774">
        <f t="shared" ca="1" si="291"/>
        <v>0</v>
      </c>
      <c r="AD774">
        <f ca="1">IF(V32="Supercritical",L774,U774)</f>
        <v>0.05</v>
      </c>
      <c r="AE774">
        <f t="shared" ca="1" si="292"/>
        <v>632.29999999999995</v>
      </c>
      <c r="AF774">
        <f t="shared" ca="1" si="293"/>
        <v>2593.3770316486621</v>
      </c>
      <c r="AI774">
        <v>0</v>
      </c>
      <c r="AJ774">
        <v>0</v>
      </c>
      <c r="AK774">
        <f t="shared" si="294"/>
        <v>0</v>
      </c>
      <c r="AL774">
        <f t="shared" si="302"/>
        <v>0</v>
      </c>
      <c r="AM774">
        <f t="shared" ca="1" si="295"/>
        <v>280.07692026646265</v>
      </c>
      <c r="AN774" t="str">
        <f t="shared" ca="1" si="296"/>
        <v>Supercritical</v>
      </c>
      <c r="AO774">
        <f ca="1">IF(V32="Supercritical",R774,AA774)</f>
        <v>482.07306851378365</v>
      </c>
    </row>
    <row r="775" spans="1:41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174</v>
      </c>
      <c r="I775">
        <v>2.7E-2</v>
      </c>
      <c r="J775">
        <f t="shared" si="297"/>
        <v>1.0009999999999764</v>
      </c>
      <c r="K775">
        <f t="shared" si="298"/>
        <v>51</v>
      </c>
      <c r="L775">
        <f t="shared" ca="1" si="299"/>
        <v>38818.287406980788</v>
      </c>
      <c r="M775">
        <f t="shared" ca="1" si="277"/>
        <v>201855.0945163001</v>
      </c>
      <c r="N775">
        <f t="shared" ca="1" si="278"/>
        <v>2.5998258669378389</v>
      </c>
      <c r="O775">
        <f t="shared" ca="1" si="279"/>
        <v>2.5265649163926194E-4</v>
      </c>
      <c r="P775">
        <f t="shared" ca="1" si="280"/>
        <v>39450.536906980786</v>
      </c>
      <c r="Q775">
        <f t="shared" ca="1" si="281"/>
        <v>39450.536906984038</v>
      </c>
      <c r="R775">
        <f t="shared" ca="1" si="282"/>
        <v>4.0177640338886562E-12</v>
      </c>
      <c r="S775">
        <f t="shared" ca="1" si="300"/>
        <v>4.999999946448952E-4</v>
      </c>
      <c r="T775">
        <f t="shared" ca="1" si="301"/>
        <v>1</v>
      </c>
      <c r="U775">
        <f t="shared" ca="1" si="283"/>
        <v>0.05</v>
      </c>
      <c r="V775">
        <f t="shared" ca="1" si="284"/>
        <v>0.26</v>
      </c>
      <c r="W775">
        <f t="shared" ca="1" si="285"/>
        <v>4.9056603773584909E-2</v>
      </c>
      <c r="X775">
        <f t="shared" ca="1" si="286"/>
        <v>196.15384615384616</v>
      </c>
      <c r="Y775">
        <f t="shared" ca="1" si="287"/>
        <v>632.29949999999997</v>
      </c>
      <c r="Z775">
        <f t="shared" ca="1" si="288"/>
        <v>2593.376531648662</v>
      </c>
      <c r="AA775">
        <f t="shared" ca="1" si="289"/>
        <v>482.07306851378365</v>
      </c>
      <c r="AB775">
        <f t="shared" ca="1" si="290"/>
        <v>481.67874391170608</v>
      </c>
      <c r="AC775">
        <f t="shared" ca="1" si="291"/>
        <v>0</v>
      </c>
      <c r="AD775">
        <f ca="1">IF(V32="Supercritical",L775,U775)</f>
        <v>0.05</v>
      </c>
      <c r="AE775">
        <f t="shared" ca="1" si="292"/>
        <v>632.29949999999997</v>
      </c>
      <c r="AF775">
        <f t="shared" ca="1" si="293"/>
        <v>2593.376531648662</v>
      </c>
      <c r="AI775">
        <v>0</v>
      </c>
      <c r="AJ775">
        <v>0</v>
      </c>
      <c r="AK775">
        <f t="shared" si="294"/>
        <v>0</v>
      </c>
      <c r="AL775">
        <f t="shared" si="302"/>
        <v>0</v>
      </c>
      <c r="AM775">
        <f t="shared" ca="1" si="295"/>
        <v>280.07692026646265</v>
      </c>
      <c r="AN775" t="str">
        <f t="shared" ca="1" si="296"/>
        <v>Supercritical</v>
      </c>
      <c r="AO775">
        <f ca="1">IF(V32="Supercritical",R775,AA775)</f>
        <v>482.07306851378365</v>
      </c>
    </row>
    <row r="776" spans="1:41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174</v>
      </c>
      <c r="I776">
        <v>2.7E-2</v>
      </c>
      <c r="J776">
        <f t="shared" si="297"/>
        <v>0.99900000000002365</v>
      </c>
      <c r="K776">
        <f t="shared" si="298"/>
        <v>51</v>
      </c>
      <c r="L776">
        <f t="shared" ca="1" si="299"/>
        <v>38818.27997850495</v>
      </c>
      <c r="M776">
        <f t="shared" ca="1" si="277"/>
        <v>201855.05588822576</v>
      </c>
      <c r="N776">
        <f t="shared" ca="1" si="278"/>
        <v>2.599825866904518</v>
      </c>
      <c r="O776">
        <f t="shared" ca="1" si="279"/>
        <v>2.5265653998897354E-4</v>
      </c>
      <c r="P776">
        <f t="shared" ca="1" si="280"/>
        <v>39450.528978504954</v>
      </c>
      <c r="Q776">
        <f t="shared" ca="1" si="281"/>
        <v>39450.528978508206</v>
      </c>
      <c r="R776">
        <f t="shared" ca="1" si="282"/>
        <v>4.0177655716795383E-12</v>
      </c>
      <c r="S776">
        <f t="shared" ca="1" si="300"/>
        <v>7.9284758248832077E-3</v>
      </c>
      <c r="T776">
        <f t="shared" ca="1" si="301"/>
        <v>0</v>
      </c>
      <c r="U776">
        <f t="shared" ca="1" si="283"/>
        <v>0.05</v>
      </c>
      <c r="V776">
        <f t="shared" ca="1" si="284"/>
        <v>0.26</v>
      </c>
      <c r="W776">
        <f t="shared" ca="1" si="285"/>
        <v>4.9056603773584909E-2</v>
      </c>
      <c r="X776">
        <f t="shared" ca="1" si="286"/>
        <v>196.15384615384616</v>
      </c>
      <c r="Y776">
        <f t="shared" ca="1" si="287"/>
        <v>632.29899999999998</v>
      </c>
      <c r="Z776">
        <f t="shared" ca="1" si="288"/>
        <v>2593.3760316486623</v>
      </c>
      <c r="AA776">
        <f t="shared" ca="1" si="289"/>
        <v>482.07306851378365</v>
      </c>
      <c r="AB776">
        <f t="shared" ca="1" si="290"/>
        <v>482.64289004871034</v>
      </c>
      <c r="AC776">
        <f t="shared" ca="1" si="291"/>
        <v>0</v>
      </c>
      <c r="AD776">
        <f ca="1">IF(V32="Supercritical",L776,U776)</f>
        <v>0.05</v>
      </c>
      <c r="AE776">
        <f t="shared" ca="1" si="292"/>
        <v>632.29899999999998</v>
      </c>
      <c r="AF776">
        <f t="shared" ca="1" si="293"/>
        <v>2593.3760316486623</v>
      </c>
      <c r="AI776">
        <v>0</v>
      </c>
      <c r="AJ776">
        <v>0</v>
      </c>
      <c r="AK776">
        <f t="shared" si="294"/>
        <v>0</v>
      </c>
      <c r="AL776">
        <f t="shared" si="302"/>
        <v>0</v>
      </c>
      <c r="AM776">
        <f t="shared" ca="1" si="295"/>
        <v>280.07692026646265</v>
      </c>
      <c r="AN776" t="str">
        <f t="shared" ca="1" si="296"/>
        <v>Supercritical</v>
      </c>
      <c r="AO776">
        <f ca="1">IF(V32="Supercritical",R776,AA776)</f>
        <v>482.07306851378365</v>
      </c>
    </row>
    <row r="777" spans="1:41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174</v>
      </c>
      <c r="I777">
        <v>2.7E-2</v>
      </c>
      <c r="J777">
        <f t="shared" si="297"/>
        <v>1.0009999999999764</v>
      </c>
      <c r="K777">
        <f t="shared" si="298"/>
        <v>51</v>
      </c>
      <c r="L777">
        <f t="shared" ca="1" si="299"/>
        <v>38818.27997850495</v>
      </c>
      <c r="M777">
        <f t="shared" ca="1" si="277"/>
        <v>201855.05588822576</v>
      </c>
      <c r="N777">
        <f t="shared" ca="1" si="278"/>
        <v>2.599825866904518</v>
      </c>
      <c r="O777">
        <f t="shared" ca="1" si="279"/>
        <v>2.5265653998897354E-4</v>
      </c>
      <c r="P777">
        <f t="shared" ca="1" si="280"/>
        <v>39450.528478504952</v>
      </c>
      <c r="Q777">
        <f t="shared" ca="1" si="281"/>
        <v>39450.528478508204</v>
      </c>
      <c r="R777">
        <f t="shared" ca="1" si="282"/>
        <v>4.0177655716795383E-12</v>
      </c>
      <c r="S777">
        <f t="shared" ca="1" si="300"/>
        <v>4.999999946448952E-4</v>
      </c>
      <c r="T777">
        <f t="shared" ca="1" si="301"/>
        <v>1</v>
      </c>
      <c r="U777">
        <f t="shared" ca="1" si="283"/>
        <v>0.05</v>
      </c>
      <c r="V777">
        <f t="shared" ca="1" si="284"/>
        <v>0.26</v>
      </c>
      <c r="W777">
        <f t="shared" ca="1" si="285"/>
        <v>4.9056603773584909E-2</v>
      </c>
      <c r="X777">
        <f t="shared" ca="1" si="286"/>
        <v>196.15384615384616</v>
      </c>
      <c r="Y777">
        <f t="shared" ca="1" si="287"/>
        <v>632.29849999999999</v>
      </c>
      <c r="Z777">
        <f t="shared" ca="1" si="288"/>
        <v>2593.3755316486622</v>
      </c>
      <c r="AA777">
        <f t="shared" ca="1" si="289"/>
        <v>482.07306851378365</v>
      </c>
      <c r="AB777">
        <f t="shared" ca="1" si="290"/>
        <v>481.75391853125211</v>
      </c>
      <c r="AC777">
        <f t="shared" ca="1" si="291"/>
        <v>0</v>
      </c>
      <c r="AD777">
        <f ca="1">IF(V32="Supercritical",L777,U777)</f>
        <v>0.05</v>
      </c>
      <c r="AE777">
        <f t="shared" ca="1" si="292"/>
        <v>632.29849999999999</v>
      </c>
      <c r="AF777">
        <f t="shared" ca="1" si="293"/>
        <v>2593.3755316486622</v>
      </c>
      <c r="AI777">
        <v>0</v>
      </c>
      <c r="AJ777">
        <v>0</v>
      </c>
      <c r="AK777">
        <f t="shared" si="294"/>
        <v>0</v>
      </c>
      <c r="AL777">
        <f t="shared" si="302"/>
        <v>0</v>
      </c>
      <c r="AM777">
        <f t="shared" ca="1" si="295"/>
        <v>280.07692026646265</v>
      </c>
      <c r="AN777" t="str">
        <f t="shared" ca="1" si="296"/>
        <v>Supercritical</v>
      </c>
      <c r="AO777">
        <f ca="1">IF(V32="Supercritical",R777,AA777)</f>
        <v>482.07306851378365</v>
      </c>
    </row>
    <row r="778" spans="1:41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174</v>
      </c>
      <c r="I778">
        <v>0.05</v>
      </c>
      <c r="J778">
        <f t="shared" si="297"/>
        <v>0.99900000000002365</v>
      </c>
      <c r="K778">
        <f t="shared" si="298"/>
        <v>51</v>
      </c>
      <c r="L778">
        <f t="shared" ca="1" si="299"/>
        <v>38818.272890111664</v>
      </c>
      <c r="M778">
        <f t="shared" ca="1" si="277"/>
        <v>201855.01902858066</v>
      </c>
      <c r="N778">
        <f t="shared" ca="1" si="278"/>
        <v>2.5998258668727225</v>
      </c>
      <c r="O778">
        <f t="shared" ca="1" si="279"/>
        <v>2.5265658612520753E-4</v>
      </c>
      <c r="P778">
        <f t="shared" ca="1" si="280"/>
        <v>39450.520890111664</v>
      </c>
      <c r="Q778">
        <f t="shared" ca="1" si="281"/>
        <v>39450.520890114916</v>
      </c>
      <c r="R778">
        <f t="shared" ca="1" si="282"/>
        <v>4.0177670390697441E-12</v>
      </c>
      <c r="S778">
        <f t="shared" ca="1" si="300"/>
        <v>7.5883932804572396E-3</v>
      </c>
      <c r="T778">
        <f t="shared" ca="1" si="301"/>
        <v>0</v>
      </c>
      <c r="U778">
        <f t="shared" ca="1" si="283"/>
        <v>0.05</v>
      </c>
      <c r="V778">
        <f t="shared" ca="1" si="284"/>
        <v>0.26</v>
      </c>
      <c r="W778">
        <f t="shared" ca="1" si="285"/>
        <v>4.9056603773584909E-2</v>
      </c>
      <c r="X778">
        <f t="shared" ca="1" si="286"/>
        <v>196.15384615384616</v>
      </c>
      <c r="Y778">
        <f t="shared" ca="1" si="287"/>
        <v>632.298</v>
      </c>
      <c r="Z778">
        <f t="shared" ca="1" si="288"/>
        <v>2593.3750316486621</v>
      </c>
      <c r="AA778">
        <f t="shared" ca="1" si="289"/>
        <v>482.07306851378365</v>
      </c>
      <c r="AB778">
        <f t="shared" ca="1" si="290"/>
        <v>482.32750852789786</v>
      </c>
      <c r="AC778">
        <f t="shared" ca="1" si="291"/>
        <v>0</v>
      </c>
      <c r="AD778">
        <f ca="1">IF(V32="Supercritical",L778,U778)</f>
        <v>0.05</v>
      </c>
      <c r="AE778">
        <f t="shared" ca="1" si="292"/>
        <v>632.298</v>
      </c>
      <c r="AF778">
        <f t="shared" ca="1" si="293"/>
        <v>2593.3750316486621</v>
      </c>
      <c r="AI778">
        <v>0</v>
      </c>
      <c r="AJ778">
        <v>0</v>
      </c>
      <c r="AK778">
        <f t="shared" si="294"/>
        <v>0</v>
      </c>
      <c r="AL778">
        <f t="shared" si="302"/>
        <v>0</v>
      </c>
      <c r="AM778">
        <f t="shared" ca="1" si="295"/>
        <v>280.07692026646265</v>
      </c>
      <c r="AN778" t="str">
        <f t="shared" ca="1" si="296"/>
        <v>Supercritical</v>
      </c>
      <c r="AO778">
        <f ca="1">IF(V32="Supercritical",R778,AA778)</f>
        <v>482.07306851378365</v>
      </c>
    </row>
    <row r="779" spans="1:41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174</v>
      </c>
      <c r="I779">
        <v>7.8E-2</v>
      </c>
      <c r="J779">
        <f t="shared" si="297"/>
        <v>1</v>
      </c>
      <c r="K779">
        <f t="shared" si="298"/>
        <v>51</v>
      </c>
      <c r="L779">
        <f t="shared" ca="1" si="299"/>
        <v>38818.272890111664</v>
      </c>
      <c r="M779">
        <f t="shared" ca="1" si="277"/>
        <v>201855.01902858066</v>
      </c>
      <c r="N779">
        <f t="shared" ca="1" si="278"/>
        <v>2.5998258668727225</v>
      </c>
      <c r="O779">
        <f t="shared" ca="1" si="279"/>
        <v>2.5265658612520753E-4</v>
      </c>
      <c r="P779">
        <f t="shared" ca="1" si="280"/>
        <v>39450.520390111662</v>
      </c>
      <c r="Q779">
        <f t="shared" ca="1" si="281"/>
        <v>39450.520390114914</v>
      </c>
      <c r="R779">
        <f t="shared" ca="1" si="282"/>
        <v>4.0177670390697441E-12</v>
      </c>
      <c r="S779">
        <f t="shared" ca="1" si="300"/>
        <v>4.999999946448952E-4</v>
      </c>
      <c r="T779">
        <f t="shared" ca="1" si="301"/>
        <v>1</v>
      </c>
      <c r="U779">
        <f t="shared" ca="1" si="283"/>
        <v>0.05</v>
      </c>
      <c r="V779">
        <f t="shared" ca="1" si="284"/>
        <v>0.26</v>
      </c>
      <c r="W779">
        <f t="shared" ca="1" si="285"/>
        <v>4.9056603773584909E-2</v>
      </c>
      <c r="X779">
        <f t="shared" ca="1" si="286"/>
        <v>196.15384615384616</v>
      </c>
      <c r="Y779">
        <f t="shared" ca="1" si="287"/>
        <v>632.2974999999999</v>
      </c>
      <c r="Z779">
        <f t="shared" ca="1" si="288"/>
        <v>2593.374531648662</v>
      </c>
      <c r="AA779">
        <f t="shared" ca="1" si="289"/>
        <v>482.07306851378365</v>
      </c>
      <c r="AB779">
        <f t="shared" ca="1" si="290"/>
        <v>482.16081698020798</v>
      </c>
      <c r="AC779">
        <f t="shared" ca="1" si="291"/>
        <v>0</v>
      </c>
      <c r="AD779">
        <f ca="1">IF(V32="Supercritical",L779,U779)</f>
        <v>0.05</v>
      </c>
      <c r="AE779">
        <f t="shared" ca="1" si="292"/>
        <v>632.2974999999999</v>
      </c>
      <c r="AF779">
        <f t="shared" ca="1" si="293"/>
        <v>2593.374531648662</v>
      </c>
      <c r="AI779">
        <v>0</v>
      </c>
      <c r="AJ779">
        <v>0</v>
      </c>
      <c r="AK779">
        <f t="shared" si="294"/>
        <v>0</v>
      </c>
      <c r="AL779">
        <f t="shared" si="302"/>
        <v>0</v>
      </c>
      <c r="AM779">
        <f t="shared" ca="1" si="295"/>
        <v>280.07692026646265</v>
      </c>
      <c r="AN779" t="str">
        <f t="shared" ca="1" si="296"/>
        <v>Supercritical</v>
      </c>
      <c r="AO779">
        <f ca="1">IF(V32="Supercritical",R779,AA779)</f>
        <v>482.07306851378365</v>
      </c>
    </row>
    <row r="780" spans="1:41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174</v>
      </c>
      <c r="I780">
        <v>2.7E-2</v>
      </c>
      <c r="J780">
        <f t="shared" si="297"/>
        <v>1</v>
      </c>
      <c r="K780">
        <f t="shared" si="298"/>
        <v>51</v>
      </c>
      <c r="L780">
        <f t="shared" ca="1" si="299"/>
        <v>38818.266142617089</v>
      </c>
      <c r="M780">
        <f t="shared" ca="1" si="277"/>
        <v>201854.98394160887</v>
      </c>
      <c r="N780">
        <f t="shared" ca="1" si="278"/>
        <v>2.5998258668424561</v>
      </c>
      <c r="O780">
        <f t="shared" ca="1" si="279"/>
        <v>2.5265663004264937E-4</v>
      </c>
      <c r="P780">
        <f t="shared" ca="1" si="280"/>
        <v>39450.513142617092</v>
      </c>
      <c r="Q780">
        <f t="shared" ca="1" si="281"/>
        <v>39450.513142620344</v>
      </c>
      <c r="R780">
        <f t="shared" ca="1" si="282"/>
        <v>4.0177684358901983E-12</v>
      </c>
      <c r="S780">
        <f t="shared" ca="1" si="300"/>
        <v>7.2474945627618581E-3</v>
      </c>
      <c r="T780">
        <f t="shared" ca="1" si="301"/>
        <v>0</v>
      </c>
      <c r="U780">
        <f t="shared" ca="1" si="283"/>
        <v>0.05</v>
      </c>
      <c r="V780">
        <f t="shared" ca="1" si="284"/>
        <v>0.26</v>
      </c>
      <c r="W780">
        <f t="shared" ca="1" si="285"/>
        <v>4.9056603773584909E-2</v>
      </c>
      <c r="X780">
        <f t="shared" ca="1" si="286"/>
        <v>196.15384615384616</v>
      </c>
      <c r="Y780">
        <f t="shared" ca="1" si="287"/>
        <v>632.29699999999991</v>
      </c>
      <c r="Z780">
        <f t="shared" ca="1" si="288"/>
        <v>2593.3740316486619</v>
      </c>
      <c r="AA780">
        <f t="shared" ca="1" si="289"/>
        <v>482.07306851378365</v>
      </c>
      <c r="AB780">
        <f t="shared" ca="1" si="290"/>
        <v>482.16081698020798</v>
      </c>
      <c r="AC780">
        <f t="shared" ca="1" si="291"/>
        <v>0</v>
      </c>
      <c r="AD780">
        <f ca="1">IF(V32="Supercritical",L780,U780)</f>
        <v>0.05</v>
      </c>
      <c r="AE780">
        <f t="shared" ca="1" si="292"/>
        <v>632.29699999999991</v>
      </c>
      <c r="AF780">
        <f t="shared" ca="1" si="293"/>
        <v>2593.3740316486619</v>
      </c>
      <c r="AI780">
        <v>0</v>
      </c>
      <c r="AJ780">
        <v>0</v>
      </c>
      <c r="AK780">
        <f t="shared" si="294"/>
        <v>0</v>
      </c>
      <c r="AL780">
        <f t="shared" si="302"/>
        <v>0</v>
      </c>
      <c r="AM780">
        <f t="shared" ca="1" si="295"/>
        <v>280.07692026646265</v>
      </c>
      <c r="AN780" t="str">
        <f t="shared" ca="1" si="296"/>
        <v>Supercritical</v>
      </c>
      <c r="AO780">
        <f ca="1">IF(V32="Supercritical",R780,AA780)</f>
        <v>482.07306851378365</v>
      </c>
    </row>
    <row r="781" spans="1:41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174</v>
      </c>
      <c r="I781">
        <v>2.7E-2</v>
      </c>
      <c r="J781">
        <f t="shared" si="297"/>
        <v>1</v>
      </c>
      <c r="K781">
        <f t="shared" si="298"/>
        <v>51</v>
      </c>
      <c r="L781">
        <f t="shared" ca="1" si="299"/>
        <v>38818.266142617089</v>
      </c>
      <c r="M781">
        <f t="shared" ca="1" si="277"/>
        <v>201854.98394160887</v>
      </c>
      <c r="N781">
        <f t="shared" ca="1" si="278"/>
        <v>2.5998258668424561</v>
      </c>
      <c r="O781">
        <f t="shared" ca="1" si="279"/>
        <v>2.5265663004264937E-4</v>
      </c>
      <c r="P781">
        <f t="shared" ca="1" si="280"/>
        <v>39450.51264261709</v>
      </c>
      <c r="Q781">
        <f t="shared" ca="1" si="281"/>
        <v>39450.512642620342</v>
      </c>
      <c r="R781">
        <f t="shared" ca="1" si="282"/>
        <v>4.0177684358901983E-12</v>
      </c>
      <c r="S781">
        <f t="shared" ca="1" si="300"/>
        <v>4.999999946448952E-4</v>
      </c>
      <c r="T781">
        <f t="shared" ca="1" si="301"/>
        <v>1</v>
      </c>
      <c r="U781">
        <f t="shared" ca="1" si="283"/>
        <v>0.05</v>
      </c>
      <c r="V781">
        <f t="shared" ca="1" si="284"/>
        <v>0.26</v>
      </c>
      <c r="W781">
        <f t="shared" ca="1" si="285"/>
        <v>4.9056603773584909E-2</v>
      </c>
      <c r="X781">
        <f t="shared" ca="1" si="286"/>
        <v>196.15384615384616</v>
      </c>
      <c r="Y781">
        <f t="shared" ca="1" si="287"/>
        <v>632.29649999999992</v>
      </c>
      <c r="Z781">
        <f t="shared" ca="1" si="288"/>
        <v>2593.3735316486618</v>
      </c>
      <c r="AA781">
        <f t="shared" ca="1" si="289"/>
        <v>482.07306851378365</v>
      </c>
      <c r="AB781">
        <f t="shared" ca="1" si="290"/>
        <v>482.32750852789832</v>
      </c>
      <c r="AC781">
        <f t="shared" ca="1" si="291"/>
        <v>0</v>
      </c>
      <c r="AD781">
        <f ca="1">IF(V32="Supercritical",L781,U781)</f>
        <v>0.05</v>
      </c>
      <c r="AE781">
        <f t="shared" ca="1" si="292"/>
        <v>632.29649999999992</v>
      </c>
      <c r="AF781">
        <f t="shared" ca="1" si="293"/>
        <v>2593.3735316486618</v>
      </c>
      <c r="AI781">
        <v>0</v>
      </c>
      <c r="AJ781">
        <v>0</v>
      </c>
      <c r="AK781">
        <f t="shared" si="294"/>
        <v>0</v>
      </c>
      <c r="AL781">
        <f t="shared" si="302"/>
        <v>0</v>
      </c>
      <c r="AM781">
        <f t="shared" ca="1" si="295"/>
        <v>280.07692026646265</v>
      </c>
      <c r="AN781" t="str">
        <f t="shared" ca="1" si="296"/>
        <v>Supercritical</v>
      </c>
      <c r="AO781">
        <f ca="1">IF(V32="Supercritical",R781,AA781)</f>
        <v>482.07306851378365</v>
      </c>
    </row>
    <row r="782" spans="1:41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174</v>
      </c>
      <c r="I782">
        <v>7.8E-2</v>
      </c>
      <c r="J782">
        <f t="shared" si="297"/>
        <v>1</v>
      </c>
      <c r="K782">
        <f t="shared" si="298"/>
        <v>51</v>
      </c>
      <c r="L782">
        <f t="shared" ca="1" si="299"/>
        <v>38818.259735133644</v>
      </c>
      <c r="M782">
        <f t="shared" ca="1" si="277"/>
        <v>201854.95062269495</v>
      </c>
      <c r="N782">
        <f t="shared" ca="1" si="278"/>
        <v>2.5998258668137151</v>
      </c>
      <c r="O782">
        <f t="shared" ca="1" si="279"/>
        <v>2.5265667174707368E-4</v>
      </c>
      <c r="P782">
        <f t="shared" ca="1" si="280"/>
        <v>39450.505735133644</v>
      </c>
      <c r="Q782">
        <f t="shared" ca="1" si="281"/>
        <v>39450.505735136896</v>
      </c>
      <c r="R782">
        <f t="shared" ca="1" si="282"/>
        <v>4.0177697623245384E-12</v>
      </c>
      <c r="S782">
        <f t="shared" ca="1" si="300"/>
        <v>6.9074834391358308E-3</v>
      </c>
      <c r="T782">
        <f t="shared" ca="1" si="301"/>
        <v>0</v>
      </c>
      <c r="U782">
        <f t="shared" ca="1" si="283"/>
        <v>0.05</v>
      </c>
      <c r="V782">
        <f t="shared" ca="1" si="284"/>
        <v>0.26</v>
      </c>
      <c r="W782">
        <f t="shared" ca="1" si="285"/>
        <v>4.9056603773584909E-2</v>
      </c>
      <c r="X782">
        <f t="shared" ca="1" si="286"/>
        <v>196.15384615384616</v>
      </c>
      <c r="Y782">
        <f t="shared" ca="1" si="287"/>
        <v>632.29599999999994</v>
      </c>
      <c r="Z782">
        <f t="shared" ca="1" si="288"/>
        <v>2593.3730316486622</v>
      </c>
      <c r="AA782">
        <f t="shared" ca="1" si="289"/>
        <v>482.07306851378365</v>
      </c>
      <c r="AB782">
        <f t="shared" ca="1" si="290"/>
        <v>482.23599159975447</v>
      </c>
      <c r="AC782">
        <f t="shared" ca="1" si="291"/>
        <v>0</v>
      </c>
      <c r="AD782">
        <f ca="1">IF(V32="Supercritical",L782,U782)</f>
        <v>0.05</v>
      </c>
      <c r="AE782">
        <f t="shared" ca="1" si="292"/>
        <v>632.29599999999994</v>
      </c>
      <c r="AF782">
        <f t="shared" ca="1" si="293"/>
        <v>2593.3730316486622</v>
      </c>
      <c r="AI782">
        <v>0</v>
      </c>
      <c r="AJ782">
        <v>0</v>
      </c>
      <c r="AK782">
        <f t="shared" si="294"/>
        <v>0</v>
      </c>
      <c r="AL782">
        <f t="shared" si="302"/>
        <v>0</v>
      </c>
      <c r="AM782">
        <f t="shared" ca="1" si="295"/>
        <v>280.07692026646265</v>
      </c>
      <c r="AN782" t="str">
        <f t="shared" ca="1" si="296"/>
        <v>Supercritical</v>
      </c>
      <c r="AO782">
        <f ca="1">IF(V32="Supercritical",R782,AA782)</f>
        <v>482.07306851378365</v>
      </c>
    </row>
    <row r="783" spans="1:41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174</v>
      </c>
      <c r="I783">
        <v>0.05</v>
      </c>
      <c r="J783">
        <f t="shared" si="297"/>
        <v>1</v>
      </c>
      <c r="K783">
        <f t="shared" si="298"/>
        <v>51</v>
      </c>
      <c r="L783">
        <f t="shared" ca="1" si="299"/>
        <v>38818.259735133644</v>
      </c>
      <c r="M783">
        <f t="shared" ca="1" si="277"/>
        <v>201854.95062269495</v>
      </c>
      <c r="N783">
        <f t="shared" ca="1" si="278"/>
        <v>2.5998258668137151</v>
      </c>
      <c r="O783">
        <f t="shared" ca="1" si="279"/>
        <v>2.5265667174707368E-4</v>
      </c>
      <c r="P783">
        <f t="shared" ca="1" si="280"/>
        <v>39450.505235133642</v>
      </c>
      <c r="Q783">
        <f t="shared" ca="1" si="281"/>
        <v>39450.505235136894</v>
      </c>
      <c r="R783">
        <f t="shared" ca="1" si="282"/>
        <v>4.0177697623245384E-12</v>
      </c>
      <c r="S783">
        <f t="shared" ca="1" si="300"/>
        <v>4.999999946448952E-4</v>
      </c>
      <c r="T783">
        <f t="shared" ca="1" si="301"/>
        <v>1</v>
      </c>
      <c r="U783">
        <f t="shared" ca="1" si="283"/>
        <v>0.05</v>
      </c>
      <c r="V783">
        <f t="shared" ca="1" si="284"/>
        <v>0.26</v>
      </c>
      <c r="W783">
        <f t="shared" ca="1" si="285"/>
        <v>4.9056603773584909E-2</v>
      </c>
      <c r="X783">
        <f t="shared" ca="1" si="286"/>
        <v>196.15384615384616</v>
      </c>
      <c r="Y783">
        <f t="shared" ca="1" si="287"/>
        <v>632.29549999999995</v>
      </c>
      <c r="Z783">
        <f t="shared" ca="1" si="288"/>
        <v>2593.3725316486621</v>
      </c>
      <c r="AA783">
        <f t="shared" ca="1" si="289"/>
        <v>482.07306851378365</v>
      </c>
      <c r="AB783">
        <f t="shared" ca="1" si="290"/>
        <v>482.16081698020798</v>
      </c>
      <c r="AC783">
        <f t="shared" ca="1" si="291"/>
        <v>0</v>
      </c>
      <c r="AD783">
        <f ca="1">IF(V32="Supercritical",L783,U783)</f>
        <v>0.05</v>
      </c>
      <c r="AE783">
        <f t="shared" ca="1" si="292"/>
        <v>632.29549999999995</v>
      </c>
      <c r="AF783">
        <f t="shared" ca="1" si="293"/>
        <v>2593.3725316486621</v>
      </c>
      <c r="AI783">
        <v>0</v>
      </c>
      <c r="AJ783">
        <v>0</v>
      </c>
      <c r="AK783">
        <f t="shared" si="294"/>
        <v>0</v>
      </c>
      <c r="AL783">
        <f t="shared" si="302"/>
        <v>0</v>
      </c>
      <c r="AM783">
        <f t="shared" ca="1" si="295"/>
        <v>280.07692026646265</v>
      </c>
      <c r="AN783" t="str">
        <f t="shared" ca="1" si="296"/>
        <v>Supercritical</v>
      </c>
      <c r="AO783">
        <f ca="1">IF(V32="Supercritical",R783,AA783)</f>
        <v>482.07306851378365</v>
      </c>
    </row>
    <row r="784" spans="1:41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174</v>
      </c>
      <c r="I784">
        <v>2.7E-2</v>
      </c>
      <c r="J784">
        <f t="shared" si="297"/>
        <v>1</v>
      </c>
      <c r="K784">
        <f t="shared" si="298"/>
        <v>51</v>
      </c>
      <c r="L784">
        <f t="shared" ca="1" si="299"/>
        <v>38818.253665113829</v>
      </c>
      <c r="M784">
        <f t="shared" ca="1" si="277"/>
        <v>201854.91905859191</v>
      </c>
      <c r="N784">
        <f t="shared" ca="1" si="278"/>
        <v>2.599825866786488</v>
      </c>
      <c r="O784">
        <f t="shared" ca="1" si="279"/>
        <v>2.5265671125505916E-4</v>
      </c>
      <c r="P784">
        <f t="shared" ca="1" si="280"/>
        <v>39450.498665113832</v>
      </c>
      <c r="Q784">
        <f t="shared" ca="1" si="281"/>
        <v>39450.498665117084</v>
      </c>
      <c r="R784">
        <f t="shared" ca="1" si="282"/>
        <v>4.0177710189000183E-12</v>
      </c>
      <c r="S784">
        <f t="shared" ca="1" si="300"/>
        <v>6.570019802893512E-3</v>
      </c>
      <c r="T784">
        <f t="shared" ca="1" si="301"/>
        <v>0</v>
      </c>
      <c r="U784">
        <f t="shared" ca="1" si="283"/>
        <v>0.05</v>
      </c>
      <c r="V784">
        <f t="shared" ca="1" si="284"/>
        <v>0.26</v>
      </c>
      <c r="W784">
        <f t="shared" ca="1" si="285"/>
        <v>4.9056603773584909E-2</v>
      </c>
      <c r="X784">
        <f t="shared" ca="1" si="286"/>
        <v>196.15384615384616</v>
      </c>
      <c r="Y784">
        <f t="shared" ca="1" si="287"/>
        <v>632.29499999999996</v>
      </c>
      <c r="Z784">
        <f t="shared" ca="1" si="288"/>
        <v>2593.372031648662</v>
      </c>
      <c r="AA784">
        <f t="shared" ca="1" si="289"/>
        <v>482.07306851378365</v>
      </c>
      <c r="AB784">
        <f t="shared" ca="1" si="290"/>
        <v>482.16081698020844</v>
      </c>
      <c r="AC784">
        <f t="shared" ca="1" si="291"/>
        <v>0</v>
      </c>
      <c r="AD784">
        <f ca="1">IF(V32="Supercritical",L784,U784)</f>
        <v>0.05</v>
      </c>
      <c r="AE784">
        <f t="shared" ca="1" si="292"/>
        <v>632.29499999999996</v>
      </c>
      <c r="AF784">
        <f t="shared" ca="1" si="293"/>
        <v>2593.372031648662</v>
      </c>
      <c r="AI784">
        <v>0</v>
      </c>
      <c r="AJ784">
        <v>0</v>
      </c>
      <c r="AK784">
        <f t="shared" si="294"/>
        <v>0</v>
      </c>
      <c r="AL784">
        <f t="shared" si="302"/>
        <v>0</v>
      </c>
      <c r="AM784">
        <f t="shared" ca="1" si="295"/>
        <v>280.07692026646265</v>
      </c>
      <c r="AN784" t="str">
        <f t="shared" ca="1" si="296"/>
        <v>Supercritical</v>
      </c>
      <c r="AO784">
        <f ca="1">IF(V32="Supercritical",R784,AA784)</f>
        <v>482.07306851378365</v>
      </c>
    </row>
    <row r="785" spans="1:41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174</v>
      </c>
      <c r="I785">
        <v>2.7E-2</v>
      </c>
      <c r="J785">
        <f t="shared" si="297"/>
        <v>1</v>
      </c>
      <c r="K785">
        <f t="shared" si="298"/>
        <v>51</v>
      </c>
      <c r="L785">
        <f t="shared" ca="1" si="299"/>
        <v>38818.253665113829</v>
      </c>
      <c r="M785">
        <f t="shared" ca="1" si="277"/>
        <v>201854.91905859191</v>
      </c>
      <c r="N785">
        <f t="shared" ca="1" si="278"/>
        <v>2.599825866786488</v>
      </c>
      <c r="O785">
        <f t="shared" ca="1" si="279"/>
        <v>2.5265671125505916E-4</v>
      </c>
      <c r="P785">
        <f t="shared" ca="1" si="280"/>
        <v>39450.49816511383</v>
      </c>
      <c r="Q785">
        <f t="shared" ca="1" si="281"/>
        <v>39450.498165117082</v>
      </c>
      <c r="R785">
        <f t="shared" ca="1" si="282"/>
        <v>4.0177710189000183E-12</v>
      </c>
      <c r="S785">
        <f t="shared" ca="1" si="300"/>
        <v>4.999999946448952E-4</v>
      </c>
      <c r="T785">
        <f t="shared" ca="1" si="301"/>
        <v>1</v>
      </c>
      <c r="U785">
        <f t="shared" ca="1" si="283"/>
        <v>0.05</v>
      </c>
      <c r="V785">
        <f t="shared" ca="1" si="284"/>
        <v>0.26</v>
      </c>
      <c r="W785">
        <f t="shared" ca="1" si="285"/>
        <v>4.9056603773584909E-2</v>
      </c>
      <c r="X785">
        <f t="shared" ca="1" si="286"/>
        <v>196.15384615384616</v>
      </c>
      <c r="Y785">
        <f t="shared" ca="1" si="287"/>
        <v>632.29449999999997</v>
      </c>
      <c r="Z785">
        <f t="shared" ca="1" si="288"/>
        <v>2593.3715316486623</v>
      </c>
      <c r="AA785">
        <f t="shared" ca="1" si="289"/>
        <v>482.07306851378365</v>
      </c>
      <c r="AB785">
        <f t="shared" ca="1" si="290"/>
        <v>482.1477431333301</v>
      </c>
      <c r="AC785">
        <f t="shared" ca="1" si="291"/>
        <v>0</v>
      </c>
      <c r="AD785">
        <f ca="1">IF(V32="Supercritical",L785,U785)</f>
        <v>0.05</v>
      </c>
      <c r="AE785">
        <f t="shared" ca="1" si="292"/>
        <v>632.29449999999997</v>
      </c>
      <c r="AF785">
        <f t="shared" ca="1" si="293"/>
        <v>2593.3715316486623</v>
      </c>
      <c r="AI785">
        <v>0</v>
      </c>
      <c r="AJ785">
        <v>0</v>
      </c>
      <c r="AK785">
        <f t="shared" si="294"/>
        <v>0</v>
      </c>
      <c r="AL785">
        <f t="shared" si="302"/>
        <v>0</v>
      </c>
      <c r="AM785">
        <f t="shared" ca="1" si="295"/>
        <v>280.07692026646265</v>
      </c>
      <c r="AN785" t="str">
        <f t="shared" ca="1" si="296"/>
        <v>Supercritical</v>
      </c>
      <c r="AO785">
        <f ca="1">IF(V32="Supercritical",R785,AA785)</f>
        <v>482.07306851378365</v>
      </c>
    </row>
    <row r="786" spans="1:41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174</v>
      </c>
      <c r="I786">
        <v>2.3E-2</v>
      </c>
      <c r="J786">
        <f t="shared" si="297"/>
        <v>1</v>
      </c>
      <c r="K786">
        <f t="shared" si="298"/>
        <v>51</v>
      </c>
      <c r="L786">
        <f t="shared" ca="1" si="299"/>
        <v>38818.24792841405</v>
      </c>
      <c r="M786">
        <f t="shared" ca="1" si="277"/>
        <v>201854.88922775307</v>
      </c>
      <c r="N786">
        <f t="shared" ca="1" si="278"/>
        <v>2.5998258667607557</v>
      </c>
      <c r="O786">
        <f t="shared" ca="1" si="279"/>
        <v>2.5265674859357333E-4</v>
      </c>
      <c r="P786">
        <f t="shared" ca="1" si="280"/>
        <v>39450.491928414049</v>
      </c>
      <c r="Q786">
        <f t="shared" ca="1" si="281"/>
        <v>39450.491928417301</v>
      </c>
      <c r="R786">
        <f t="shared" ca="1" si="282"/>
        <v>4.0177722064743227E-12</v>
      </c>
      <c r="S786">
        <f t="shared" ca="1" si="300"/>
        <v>6.2366997735807672E-3</v>
      </c>
      <c r="T786">
        <f t="shared" ca="1" si="301"/>
        <v>0</v>
      </c>
      <c r="U786">
        <f t="shared" ca="1" si="283"/>
        <v>0.05</v>
      </c>
      <c r="V786">
        <f t="shared" ca="1" si="284"/>
        <v>0.26</v>
      </c>
      <c r="W786">
        <f t="shared" ca="1" si="285"/>
        <v>4.9056603773584909E-2</v>
      </c>
      <c r="X786">
        <f t="shared" ca="1" si="286"/>
        <v>196.15384615384616</v>
      </c>
      <c r="Y786">
        <f t="shared" ca="1" si="287"/>
        <v>632.29399999999998</v>
      </c>
      <c r="Z786">
        <f t="shared" ca="1" si="288"/>
        <v>2593.3710316486622</v>
      </c>
      <c r="AA786">
        <f t="shared" ca="1" si="289"/>
        <v>482.07306851378365</v>
      </c>
      <c r="AB786">
        <f t="shared" ca="1" si="290"/>
        <v>482.62981620183245</v>
      </c>
      <c r="AC786">
        <f t="shared" ca="1" si="291"/>
        <v>0</v>
      </c>
      <c r="AD786">
        <f ca="1">IF(V32="Supercritical",L786,U786)</f>
        <v>0.05</v>
      </c>
      <c r="AE786">
        <f t="shared" ca="1" si="292"/>
        <v>632.29399999999998</v>
      </c>
      <c r="AF786">
        <f t="shared" ca="1" si="293"/>
        <v>2593.3710316486622</v>
      </c>
      <c r="AI786">
        <v>0</v>
      </c>
      <c r="AJ786">
        <v>0</v>
      </c>
      <c r="AK786">
        <f t="shared" si="294"/>
        <v>0</v>
      </c>
      <c r="AL786">
        <f t="shared" si="302"/>
        <v>0</v>
      </c>
      <c r="AM786">
        <f t="shared" ca="1" si="295"/>
        <v>280.07692026646265</v>
      </c>
      <c r="AN786" t="str">
        <f t="shared" ca="1" si="296"/>
        <v>Supercritical</v>
      </c>
      <c r="AO786">
        <f ca="1">IF(V32="Supercritical",R786,AA786)</f>
        <v>482.07306851378365</v>
      </c>
    </row>
    <row r="787" spans="1:41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174</v>
      </c>
      <c r="I787">
        <v>2.3E-2</v>
      </c>
      <c r="J787">
        <f t="shared" si="297"/>
        <v>1.0009999999999764</v>
      </c>
      <c r="K787">
        <f t="shared" si="298"/>
        <v>51</v>
      </c>
      <c r="L787">
        <f t="shared" ca="1" si="299"/>
        <v>38818.24792841405</v>
      </c>
      <c r="M787">
        <f t="shared" ca="1" si="277"/>
        <v>201854.88922775307</v>
      </c>
      <c r="N787">
        <f t="shared" ca="1" si="278"/>
        <v>2.5998258667607557</v>
      </c>
      <c r="O787">
        <f t="shared" ca="1" si="279"/>
        <v>2.5265674859357333E-4</v>
      </c>
      <c r="P787">
        <f t="shared" ca="1" si="280"/>
        <v>39450.491428414047</v>
      </c>
      <c r="Q787">
        <f t="shared" ca="1" si="281"/>
        <v>39450.491428417299</v>
      </c>
      <c r="R787">
        <f t="shared" ca="1" si="282"/>
        <v>4.0177722064743227E-12</v>
      </c>
      <c r="S787">
        <f t="shared" ca="1" si="300"/>
        <v>4.999999946448952E-4</v>
      </c>
      <c r="T787">
        <f t="shared" ca="1" si="301"/>
        <v>1</v>
      </c>
      <c r="U787">
        <f t="shared" ca="1" si="283"/>
        <v>0.05</v>
      </c>
      <c r="V787">
        <f t="shared" ca="1" si="284"/>
        <v>0.26</v>
      </c>
      <c r="W787">
        <f t="shared" ca="1" si="285"/>
        <v>4.9056603773584909E-2</v>
      </c>
      <c r="X787">
        <f t="shared" ca="1" si="286"/>
        <v>196.15384615384616</v>
      </c>
      <c r="Y787">
        <f t="shared" ca="1" si="287"/>
        <v>632.29349999999999</v>
      </c>
      <c r="Z787">
        <f t="shared" ca="1" si="288"/>
        <v>2593.3705316486621</v>
      </c>
      <c r="AA787">
        <f t="shared" ca="1" si="289"/>
        <v>482.07306851378365</v>
      </c>
      <c r="AB787">
        <f t="shared" ca="1" si="290"/>
        <v>481.59049544528125</v>
      </c>
      <c r="AC787">
        <f t="shared" ca="1" si="291"/>
        <v>0</v>
      </c>
      <c r="AD787">
        <f ca="1">IF(V32="Supercritical",L787,U787)</f>
        <v>0.05</v>
      </c>
      <c r="AE787">
        <f t="shared" ca="1" si="292"/>
        <v>632.29349999999999</v>
      </c>
      <c r="AF787">
        <f t="shared" ca="1" si="293"/>
        <v>2593.3705316486621</v>
      </c>
      <c r="AI787">
        <v>0</v>
      </c>
      <c r="AJ787">
        <v>0</v>
      </c>
      <c r="AK787">
        <f t="shared" si="294"/>
        <v>0</v>
      </c>
      <c r="AL787">
        <f t="shared" si="302"/>
        <v>0</v>
      </c>
      <c r="AM787">
        <f t="shared" ca="1" si="295"/>
        <v>280.07692026646265</v>
      </c>
      <c r="AN787" t="str">
        <f t="shared" ca="1" si="296"/>
        <v>Supercritical</v>
      </c>
      <c r="AO787">
        <f ca="1">IF(V32="Supercritical",R787,AA787)</f>
        <v>482.07306851378365</v>
      </c>
    </row>
    <row r="788" spans="1:41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174</v>
      </c>
      <c r="I788">
        <v>0</v>
      </c>
      <c r="J788">
        <f t="shared" si="297"/>
        <v>0.99900000000002365</v>
      </c>
      <c r="K788">
        <f t="shared" si="298"/>
        <v>51</v>
      </c>
      <c r="L788">
        <f t="shared" ca="1" si="299"/>
        <v>38818.242519377171</v>
      </c>
      <c r="M788">
        <f t="shared" ca="1" si="277"/>
        <v>201854.86110076131</v>
      </c>
      <c r="N788">
        <f t="shared" ca="1" si="278"/>
        <v>2.5998258667364933</v>
      </c>
      <c r="O788">
        <f t="shared" ca="1" si="279"/>
        <v>2.5265678379943484E-4</v>
      </c>
      <c r="P788">
        <f t="shared" ca="1" si="280"/>
        <v>39450.485519377173</v>
      </c>
      <c r="Q788">
        <f t="shared" ca="1" si="281"/>
        <v>39450.485519380425</v>
      </c>
      <c r="R788">
        <f t="shared" ca="1" si="282"/>
        <v>4.0177733262184678E-12</v>
      </c>
      <c r="S788">
        <f t="shared" ca="1" si="300"/>
        <v>5.9090368667966686E-3</v>
      </c>
      <c r="T788">
        <f t="shared" ca="1" si="301"/>
        <v>0</v>
      </c>
      <c r="U788">
        <f t="shared" ca="1" si="283"/>
        <v>0.05</v>
      </c>
      <c r="V788">
        <f t="shared" ca="1" si="284"/>
        <v>0.26</v>
      </c>
      <c r="W788">
        <f t="shared" ca="1" si="285"/>
        <v>4.9056603773584909E-2</v>
      </c>
      <c r="X788">
        <f t="shared" ca="1" si="286"/>
        <v>196.15384615384616</v>
      </c>
      <c r="Y788">
        <f t="shared" ca="1" si="287"/>
        <v>632.29300000000001</v>
      </c>
      <c r="Z788">
        <f t="shared" ca="1" si="288"/>
        <v>2593.370031648662</v>
      </c>
      <c r="AA788">
        <f t="shared" ca="1" si="289"/>
        <v>482.07306851378365</v>
      </c>
      <c r="AB788">
        <f t="shared" ca="1" si="290"/>
        <v>482.16081698020798</v>
      </c>
      <c r="AC788">
        <f t="shared" ca="1" si="291"/>
        <v>0</v>
      </c>
      <c r="AD788">
        <f ca="1">IF(V32="Supercritical",L788,U788)</f>
        <v>0.05</v>
      </c>
      <c r="AE788">
        <f t="shared" ca="1" si="292"/>
        <v>632.29300000000001</v>
      </c>
      <c r="AF788">
        <f t="shared" ca="1" si="293"/>
        <v>2593.370031648662</v>
      </c>
      <c r="AI788">
        <v>0</v>
      </c>
      <c r="AJ788">
        <v>0</v>
      </c>
      <c r="AK788">
        <f t="shared" si="294"/>
        <v>0</v>
      </c>
      <c r="AL788">
        <f t="shared" si="302"/>
        <v>0</v>
      </c>
      <c r="AM788">
        <f t="shared" ca="1" si="295"/>
        <v>280.07692026646265</v>
      </c>
      <c r="AN788" t="str">
        <f t="shared" ca="1" si="296"/>
        <v>Supercritical</v>
      </c>
      <c r="AO788">
        <f ca="1">IF(V32="Supercritical",R788,AA788)</f>
        <v>482.07306851378365</v>
      </c>
    </row>
    <row r="789" spans="1:41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174</v>
      </c>
      <c r="I789">
        <v>2.7E-2</v>
      </c>
      <c r="J789">
        <f t="shared" si="297"/>
        <v>1</v>
      </c>
      <c r="K789">
        <f t="shared" si="298"/>
        <v>51</v>
      </c>
      <c r="L789">
        <f t="shared" ca="1" si="299"/>
        <v>38818.242519377171</v>
      </c>
      <c r="M789">
        <f t="shared" ca="1" si="277"/>
        <v>201854.86110076131</v>
      </c>
      <c r="N789">
        <f t="shared" ca="1" si="278"/>
        <v>2.5998258667364933</v>
      </c>
      <c r="O789">
        <f t="shared" ca="1" si="279"/>
        <v>2.5265678379943484E-4</v>
      </c>
      <c r="P789">
        <f t="shared" ca="1" si="280"/>
        <v>39450.485019377171</v>
      </c>
      <c r="Q789">
        <f t="shared" ca="1" si="281"/>
        <v>39450.485019380423</v>
      </c>
      <c r="R789">
        <f t="shared" ca="1" si="282"/>
        <v>4.0177733262184678E-12</v>
      </c>
      <c r="S789">
        <f t="shared" ca="1" si="300"/>
        <v>4.999999946448952E-4</v>
      </c>
      <c r="T789">
        <f t="shared" ca="1" si="301"/>
        <v>1</v>
      </c>
      <c r="U789">
        <f t="shared" ca="1" si="283"/>
        <v>0.05</v>
      </c>
      <c r="V789">
        <f t="shared" ca="1" si="284"/>
        <v>0.26</v>
      </c>
      <c r="W789">
        <f t="shared" ca="1" si="285"/>
        <v>4.9056603773584909E-2</v>
      </c>
      <c r="X789">
        <f t="shared" ca="1" si="286"/>
        <v>196.15384615384616</v>
      </c>
      <c r="Y789">
        <f t="shared" ca="1" si="287"/>
        <v>632.2924999999999</v>
      </c>
      <c r="Z789">
        <f t="shared" ca="1" si="288"/>
        <v>2593.3695316486619</v>
      </c>
      <c r="AA789">
        <f t="shared" ca="1" si="289"/>
        <v>482.07306851378365</v>
      </c>
      <c r="AB789">
        <f t="shared" ca="1" si="290"/>
        <v>482.16081698020798</v>
      </c>
      <c r="AC789">
        <f t="shared" ca="1" si="291"/>
        <v>0</v>
      </c>
      <c r="AD789">
        <f ca="1">IF(V32="Supercritical",L789,U789)</f>
        <v>0.05</v>
      </c>
      <c r="AE789">
        <f t="shared" ca="1" si="292"/>
        <v>632.2924999999999</v>
      </c>
      <c r="AF789">
        <f t="shared" ca="1" si="293"/>
        <v>2593.3695316486619</v>
      </c>
      <c r="AI789">
        <v>0</v>
      </c>
      <c r="AJ789">
        <v>0</v>
      </c>
      <c r="AK789">
        <f t="shared" si="294"/>
        <v>0</v>
      </c>
      <c r="AL789">
        <f t="shared" si="302"/>
        <v>0</v>
      </c>
      <c r="AM789">
        <f t="shared" ca="1" si="295"/>
        <v>280.07692026646265</v>
      </c>
      <c r="AN789" t="str">
        <f t="shared" ca="1" si="296"/>
        <v>Supercritical</v>
      </c>
      <c r="AO789">
        <f ca="1">IF(V32="Supercritical",R789,AA789)</f>
        <v>482.07306851378365</v>
      </c>
    </row>
    <row r="790" spans="1:41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174</v>
      </c>
      <c r="I790">
        <v>2.7E-2</v>
      </c>
      <c r="J790">
        <f t="shared" si="297"/>
        <v>1</v>
      </c>
      <c r="K790">
        <f t="shared" si="298"/>
        <v>51</v>
      </c>
      <c r="L790">
        <f t="shared" ca="1" si="299"/>
        <v>38818.237430931847</v>
      </c>
      <c r="M790">
        <f t="shared" ref="M790:M853" ca="1" si="303">((F790)+(G790)*(L790))*(L790)</f>
        <v>201854.83464084563</v>
      </c>
      <c r="N790">
        <f t="shared" ref="N790:N853" ca="1" si="304">(((F790)+(G790)*(L790))*(L790))/MAX((F790)+2*(L790)*SQRT(1+(G790)^2),0.000001)</f>
        <v>2.5998258667136684</v>
      </c>
      <c r="O790">
        <f t="shared" ref="O790:O853" ca="1" si="305">ABS(K790)/MAX(((F790)+(G790)*(L790))*(L790),0.000001)</f>
        <v>2.5265681691866734E-4</v>
      </c>
      <c r="P790">
        <f t="shared" ref="P790:P853" ca="1" si="306">E790+L790</f>
        <v>39450.479430931846</v>
      </c>
      <c r="Q790">
        <f t="shared" ref="Q790:Q853" ca="1" si="307">P790+((ABS(K790)/MAX(((F790)+(G790)*(L790))*(L790),0.000001))^2)/(2*$I$5)</f>
        <v>39450.479430935098</v>
      </c>
      <c r="R790">
        <f t="shared" ref="R790:R853" ca="1" si="308">((ABS(K790)*$D$6)/(MAX(((F790)+(G790)*(L790))*(L790),0.000001)*MAX(((((F790)+(G790)*(L790))*(L790))/MAX((F790)+2*(L790)*SQRT(1+(G790)^2),0.000001))^(2/3),0.000001)))^2</f>
        <v>4.0177743795962305E-12</v>
      </c>
      <c r="S790">
        <f t="shared" ca="1" si="300"/>
        <v>5.5884453176986426E-3</v>
      </c>
      <c r="T790">
        <f t="shared" ca="1" si="301"/>
        <v>0</v>
      </c>
      <c r="U790">
        <f t="shared" ref="U790:U853" ca="1" si="309">IF($D$20=0,U791,IF(AC791=0,U791,IF(U790=0,U791,IF(ABS(AB790)&gt;$D$19,MAX($D$16,U790+((AB790)*$D$18*IF((ABS(ABS(K790)/MAX(((F790)+(G790)*(U790))*(U790),0.000001))/SQRT($I$5*MAX((((F790)+(G790)*(U790))*(U790))/MAX((F790)+2*(G790)*(U790),0.000001),0.000001)))&lt;1,1,-1))),U790))))</f>
        <v>0.05</v>
      </c>
      <c r="V790">
        <f t="shared" ref="V790:V853" ca="1" si="310">((F790)+(G790)*(U790))*(U790)</f>
        <v>0.26</v>
      </c>
      <c r="W790">
        <f t="shared" ref="W790:W853" ca="1" si="311">(((F790)+(G790)*(U790))*(U790))/MAX((F790)+2*(U790)*SQRT(1+(G790)^2),0.000001)</f>
        <v>4.9056603773584909E-2</v>
      </c>
      <c r="X790">
        <f t="shared" ref="X790:X853" ca="1" si="312">ABS(K790)/MAX(((F790)+(G790)*(U790))*(U790),0.000001)</f>
        <v>196.15384615384616</v>
      </c>
      <c r="Y790">
        <f t="shared" ref="Y790:Y853" ca="1" si="313">E790+U790</f>
        <v>632.29199999999992</v>
      </c>
      <c r="Z790">
        <f t="shared" ref="Z790:Z853" ca="1" si="314">Y790+((ABS(K790)/MAX(((F790)+(G790)*(U790))*(U790),0.000001))^2)/(2*$I$5)</f>
        <v>2593.3690316486618</v>
      </c>
      <c r="AA790">
        <f t="shared" ref="AA790:AA853" ca="1" si="315">((ABS(K790)*$D$6)/(MAX(((F790)+(G790)*(U790))*(U790),0.000001)*MAX(((((F790)+(G790)*(U790))*(U790))/MAX((F790)+2*(U790)*SQRT(1+(G790)^2),0.000001))^(2/3),0.000001)))^2</f>
        <v>482.07306851378365</v>
      </c>
      <c r="AB790">
        <f t="shared" ref="AB790:AB853" ca="1" si="316">Z791+(((AA790+AA791)/2)*J791)+(IF(X790&gt;X791,$D$8*((X790^2-X791^2)/(2*$I$5)),$D$9*((X791^2-X790^2)/(2*$I$5)))+($D$10*(ABS(I791)/90)*(MAX(X790^2,X791^2)/(2*$I$5))))-Z790</f>
        <v>482.14774313333055</v>
      </c>
      <c r="AC790">
        <f t="shared" ref="AC790:AC853" ca="1" si="317">IF(ABS(AB790)&lt;$D$19,1,0)</f>
        <v>0</v>
      </c>
      <c r="AD790">
        <f ca="1">IF(V32="Supercritical",L790,U790)</f>
        <v>0.05</v>
      </c>
      <c r="AE790">
        <f t="shared" ref="AE790:AE853" ca="1" si="318">E790+AD790</f>
        <v>632.29199999999992</v>
      </c>
      <c r="AF790">
        <f t="shared" ref="AF790:AF853" ca="1" si="319">AE790+((ABS(K790)/MAX(((F790)+(G790)*(AD790))*(AD790),0.000001))^2)/(2*$I$5)</f>
        <v>2593.3690316486618</v>
      </c>
      <c r="AI790">
        <v>0</v>
      </c>
      <c r="AJ790">
        <v>0</v>
      </c>
      <c r="AK790">
        <f t="shared" ref="AK790:AK853" si="320">AI790+AJ790</f>
        <v>0</v>
      </c>
      <c r="AL790">
        <f t="shared" si="302"/>
        <v>0</v>
      </c>
      <c r="AM790">
        <f t="shared" ref="AM790:AM853" ca="1" si="321">ABS(ABS(K790)/MAX(((F790)+(G790)*(AD790))*(AD790),0.000001))/SQRT($I$5*MAX((((F790)+(G790)*(AD790))*(AD790))/MAX((F790)+2*(G790)*(AD790),0.000001),0.000001))</f>
        <v>280.07692026646265</v>
      </c>
      <c r="AN790" t="str">
        <f t="shared" ref="AN790:AN853" ca="1" si="322">IF(AM790&lt;1,"Subcritical","Supercritical")</f>
        <v>Supercritical</v>
      </c>
      <c r="AO790">
        <f ca="1">IF(V32="Supercritical",R790,AA790)</f>
        <v>482.07306851378365</v>
      </c>
    </row>
    <row r="791" spans="1:41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174</v>
      </c>
      <c r="I791">
        <v>2.3E-2</v>
      </c>
      <c r="J791">
        <f t="shared" ref="J791:J854" si="323">B791-B790</f>
        <v>1</v>
      </c>
      <c r="K791">
        <f t="shared" ref="K791:K854" si="324">MAX(0,K790-AK790)</f>
        <v>51</v>
      </c>
      <c r="L791">
        <f t="shared" ref="L791:L854" ca="1" si="325">IF($D$20=0,L790,IF(T790=0,L790,IF(L791=0,L790,IF(ABS(S791)&gt;$D$19,MAX($D$16,L791+((S791)*$D$18*IF((ABS(ABS(K791)/MAX(((F791)+(G791)*(L791))*(L791),0.000001))/SQRT($I$5*MAX((((F791)+(G791)*(L791))*(L791))/MAX((F791)+2*(G791)*(L791),0.000001),0.000001)))&lt;1,1,-1))),L791))))</f>
        <v>38818.237430931847</v>
      </c>
      <c r="M791">
        <f t="shared" ca="1" si="303"/>
        <v>201854.83464084563</v>
      </c>
      <c r="N791">
        <f t="shared" ca="1" si="304"/>
        <v>2.5998258667136684</v>
      </c>
      <c r="O791">
        <f t="shared" ca="1" si="305"/>
        <v>2.5265681691866734E-4</v>
      </c>
      <c r="P791">
        <f t="shared" ca="1" si="306"/>
        <v>39450.478930931844</v>
      </c>
      <c r="Q791">
        <f t="shared" ca="1" si="307"/>
        <v>39450.478930935096</v>
      </c>
      <c r="R791">
        <f t="shared" ca="1" si="308"/>
        <v>4.0177743795962305E-12</v>
      </c>
      <c r="S791">
        <f t="shared" ref="S791:S854" ca="1" si="326">Q790-(((R790+R791)/2)*J791)-(IF(O790&gt;O791,$D$8*((O790^2-O791^2)/(2*$I$5)),$D$9*((O791^2-O790^2)/(2*$I$5)))+($D$10*(ABS(I791)/90)*(MAX(O790^2,O791^2)/(2*$I$5))))-Q791</f>
        <v>4.999999946448952E-4</v>
      </c>
      <c r="T791">
        <f t="shared" ref="T791:T854" ca="1" si="327">IF(ABS(S791)&lt;$D$19,1,0)</f>
        <v>1</v>
      </c>
      <c r="U791">
        <f t="shared" ca="1" si="309"/>
        <v>0.05</v>
      </c>
      <c r="V791">
        <f t="shared" ca="1" si="310"/>
        <v>0.26</v>
      </c>
      <c r="W791">
        <f t="shared" ca="1" si="311"/>
        <v>4.9056603773584909E-2</v>
      </c>
      <c r="X791">
        <f t="shared" ca="1" si="312"/>
        <v>196.15384615384616</v>
      </c>
      <c r="Y791">
        <f t="shared" ca="1" si="313"/>
        <v>632.29149999999993</v>
      </c>
      <c r="Z791">
        <f t="shared" ca="1" si="314"/>
        <v>2593.3685316486622</v>
      </c>
      <c r="AA791">
        <f t="shared" ca="1" si="315"/>
        <v>482.07306851378365</v>
      </c>
      <c r="AB791">
        <f t="shared" ca="1" si="316"/>
        <v>482.62981620183245</v>
      </c>
      <c r="AC791">
        <f t="shared" ca="1" si="317"/>
        <v>0</v>
      </c>
      <c r="AD791">
        <f ca="1">IF(V32="Supercritical",L791,U791)</f>
        <v>0.05</v>
      </c>
      <c r="AE791">
        <f t="shared" ca="1" si="318"/>
        <v>632.29149999999993</v>
      </c>
      <c r="AF791">
        <f t="shared" ca="1" si="319"/>
        <v>2593.3685316486622</v>
      </c>
      <c r="AI791">
        <v>0</v>
      </c>
      <c r="AJ791">
        <v>0</v>
      </c>
      <c r="AK791">
        <f t="shared" si="320"/>
        <v>0</v>
      </c>
      <c r="AL791">
        <f t="shared" ref="AL791:AL854" si="328">AL790+AK791</f>
        <v>0</v>
      </c>
      <c r="AM791">
        <f t="shared" ca="1" si="321"/>
        <v>280.07692026646265</v>
      </c>
      <c r="AN791" t="str">
        <f t="shared" ca="1" si="322"/>
        <v>Supercritical</v>
      </c>
      <c r="AO791">
        <f ca="1">IF(V32="Supercritical",R791,AA791)</f>
        <v>482.07306851378365</v>
      </c>
    </row>
    <row r="792" spans="1:41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174</v>
      </c>
      <c r="I792">
        <v>2.3E-2</v>
      </c>
      <c r="J792">
        <f t="shared" si="323"/>
        <v>1.0009999999999764</v>
      </c>
      <c r="K792">
        <f t="shared" si="324"/>
        <v>51</v>
      </c>
      <c r="L792">
        <f t="shared" ca="1" si="325"/>
        <v>38818.232654706611</v>
      </c>
      <c r="M792">
        <f t="shared" ca="1" si="303"/>
        <v>201854.80980447438</v>
      </c>
      <c r="N792">
        <f t="shared" ca="1" si="304"/>
        <v>2.5998258666922442</v>
      </c>
      <c r="O792">
        <f t="shared" ca="1" si="305"/>
        <v>2.5265684800575663E-4</v>
      </c>
      <c r="P792">
        <f t="shared" ca="1" si="306"/>
        <v>39450.473654706613</v>
      </c>
      <c r="Q792">
        <f t="shared" ca="1" si="307"/>
        <v>39450.473654709866</v>
      </c>
      <c r="R792">
        <f t="shared" ca="1" si="308"/>
        <v>4.0177753683405454E-12</v>
      </c>
      <c r="S792">
        <f t="shared" ca="1" si="326"/>
        <v>5.2762252234970219E-3</v>
      </c>
      <c r="T792">
        <f t="shared" ca="1" si="327"/>
        <v>0</v>
      </c>
      <c r="U792">
        <f t="shared" ca="1" si="309"/>
        <v>0.05</v>
      </c>
      <c r="V792">
        <f t="shared" ca="1" si="310"/>
        <v>0.26</v>
      </c>
      <c r="W792">
        <f t="shared" ca="1" si="311"/>
        <v>4.9056603773584909E-2</v>
      </c>
      <c r="X792">
        <f t="shared" ca="1" si="312"/>
        <v>196.15384615384616</v>
      </c>
      <c r="Y792">
        <f t="shared" ca="1" si="313"/>
        <v>632.29099999999994</v>
      </c>
      <c r="Z792">
        <f t="shared" ca="1" si="314"/>
        <v>2593.3680316486621</v>
      </c>
      <c r="AA792">
        <f t="shared" ca="1" si="315"/>
        <v>482.07306851378365</v>
      </c>
      <c r="AB792">
        <f t="shared" ca="1" si="316"/>
        <v>481.59049544528125</v>
      </c>
      <c r="AC792">
        <f t="shared" ca="1" si="317"/>
        <v>0</v>
      </c>
      <c r="AD792">
        <f ca="1">IF(V32="Supercritical",L792,U792)</f>
        <v>0.05</v>
      </c>
      <c r="AE792">
        <f t="shared" ca="1" si="318"/>
        <v>632.29099999999994</v>
      </c>
      <c r="AF792">
        <f t="shared" ca="1" si="319"/>
        <v>2593.3680316486621</v>
      </c>
      <c r="AI792">
        <v>0</v>
      </c>
      <c r="AJ792">
        <v>0</v>
      </c>
      <c r="AK792">
        <f t="shared" si="320"/>
        <v>0</v>
      </c>
      <c r="AL792">
        <f t="shared" si="328"/>
        <v>0</v>
      </c>
      <c r="AM792">
        <f t="shared" ca="1" si="321"/>
        <v>280.07692026646265</v>
      </c>
      <c r="AN792" t="str">
        <f t="shared" ca="1" si="322"/>
        <v>Supercritical</v>
      </c>
      <c r="AO792">
        <f ca="1">IF(V32="Supercritical",R792,AA792)</f>
        <v>482.07306851378365</v>
      </c>
    </row>
    <row r="793" spans="1:41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174</v>
      </c>
      <c r="I793">
        <v>0</v>
      </c>
      <c r="J793">
        <f t="shared" si="323"/>
        <v>0.99900000000002365</v>
      </c>
      <c r="K793">
        <f t="shared" si="324"/>
        <v>51</v>
      </c>
      <c r="L793">
        <f t="shared" ca="1" si="325"/>
        <v>38818.232654706611</v>
      </c>
      <c r="M793">
        <f t="shared" ca="1" si="303"/>
        <v>201854.80980447438</v>
      </c>
      <c r="N793">
        <f t="shared" ca="1" si="304"/>
        <v>2.5998258666922442</v>
      </c>
      <c r="O793">
        <f t="shared" ca="1" si="305"/>
        <v>2.5265684800575663E-4</v>
      </c>
      <c r="P793">
        <f t="shared" ca="1" si="306"/>
        <v>39450.473154706611</v>
      </c>
      <c r="Q793">
        <f t="shared" ca="1" si="307"/>
        <v>39450.473154709864</v>
      </c>
      <c r="R793">
        <f t="shared" ca="1" si="308"/>
        <v>4.0177753683405454E-12</v>
      </c>
      <c r="S793">
        <f t="shared" ca="1" si="326"/>
        <v>4.999999946448952E-4</v>
      </c>
      <c r="T793">
        <f t="shared" ca="1" si="327"/>
        <v>1</v>
      </c>
      <c r="U793">
        <f t="shared" ca="1" si="309"/>
        <v>0.05</v>
      </c>
      <c r="V793">
        <f t="shared" ca="1" si="310"/>
        <v>0.26</v>
      </c>
      <c r="W793">
        <f t="shared" ca="1" si="311"/>
        <v>4.9056603773584909E-2</v>
      </c>
      <c r="X793">
        <f t="shared" ca="1" si="312"/>
        <v>196.15384615384616</v>
      </c>
      <c r="Y793">
        <f t="shared" ca="1" si="313"/>
        <v>632.29049999999995</v>
      </c>
      <c r="Z793">
        <f t="shared" ca="1" si="314"/>
        <v>2593.367531648662</v>
      </c>
      <c r="AA793">
        <f t="shared" ca="1" si="315"/>
        <v>482.07306851378365</v>
      </c>
      <c r="AB793">
        <f t="shared" ca="1" si="316"/>
        <v>482.16081698020844</v>
      </c>
      <c r="AC793">
        <f t="shared" ca="1" si="317"/>
        <v>0</v>
      </c>
      <c r="AD793">
        <f ca="1">IF(V32="Supercritical",L793,U793)</f>
        <v>0.05</v>
      </c>
      <c r="AE793">
        <f t="shared" ca="1" si="318"/>
        <v>632.29049999999995</v>
      </c>
      <c r="AF793">
        <f t="shared" ca="1" si="319"/>
        <v>2593.367531648662</v>
      </c>
      <c r="AI793">
        <v>0</v>
      </c>
      <c r="AJ793">
        <v>0</v>
      </c>
      <c r="AK793">
        <f t="shared" si="320"/>
        <v>0</v>
      </c>
      <c r="AL793">
        <f t="shared" si="328"/>
        <v>0</v>
      </c>
      <c r="AM793">
        <f t="shared" ca="1" si="321"/>
        <v>280.07692026646265</v>
      </c>
      <c r="AN793" t="str">
        <f t="shared" ca="1" si="322"/>
        <v>Supercritical</v>
      </c>
      <c r="AO793">
        <f ca="1">IF(V32="Supercritical",R793,AA793)</f>
        <v>482.07306851378365</v>
      </c>
    </row>
    <row r="794" spans="1:41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174</v>
      </c>
      <c r="I794">
        <v>2.7E-2</v>
      </c>
      <c r="J794">
        <f t="shared" si="323"/>
        <v>1</v>
      </c>
      <c r="K794">
        <f t="shared" si="324"/>
        <v>51</v>
      </c>
      <c r="L794">
        <f t="shared" ca="1" si="325"/>
        <v>38818.228181156315</v>
      </c>
      <c r="M794">
        <f t="shared" ca="1" si="303"/>
        <v>201854.78654201285</v>
      </c>
      <c r="N794">
        <f t="shared" ca="1" si="304"/>
        <v>2.5998258666721781</v>
      </c>
      <c r="O794">
        <f t="shared" ca="1" si="305"/>
        <v>2.526568771228279E-4</v>
      </c>
      <c r="P794">
        <f t="shared" ca="1" si="306"/>
        <v>39450.468181156313</v>
      </c>
      <c r="Q794">
        <f t="shared" ca="1" si="307"/>
        <v>39450.468181159566</v>
      </c>
      <c r="R794">
        <f t="shared" ca="1" si="308"/>
        <v>4.0177762944273126E-12</v>
      </c>
      <c r="S794">
        <f t="shared" ca="1" si="326"/>
        <v>4.9735502907424234E-3</v>
      </c>
      <c r="T794">
        <f t="shared" ca="1" si="327"/>
        <v>0</v>
      </c>
      <c r="U794">
        <f t="shared" ca="1" si="309"/>
        <v>0.05</v>
      </c>
      <c r="V794">
        <f t="shared" ca="1" si="310"/>
        <v>0.26</v>
      </c>
      <c r="W794">
        <f t="shared" ca="1" si="311"/>
        <v>4.9056603773584909E-2</v>
      </c>
      <c r="X794">
        <f t="shared" ca="1" si="312"/>
        <v>196.15384615384616</v>
      </c>
      <c r="Y794">
        <f t="shared" ca="1" si="313"/>
        <v>632.29</v>
      </c>
      <c r="Z794">
        <f t="shared" ca="1" si="314"/>
        <v>2593.3670316486623</v>
      </c>
      <c r="AA794">
        <f t="shared" ca="1" si="315"/>
        <v>482.07306851378365</v>
      </c>
      <c r="AB794">
        <f t="shared" ca="1" si="316"/>
        <v>482.32750852789786</v>
      </c>
      <c r="AC794">
        <f t="shared" ca="1" si="317"/>
        <v>0</v>
      </c>
      <c r="AD794">
        <f ca="1">IF(V32="Supercritical",L794,U794)</f>
        <v>0.05</v>
      </c>
      <c r="AE794">
        <f t="shared" ca="1" si="318"/>
        <v>632.29</v>
      </c>
      <c r="AF794">
        <f t="shared" ca="1" si="319"/>
        <v>2593.3670316486623</v>
      </c>
      <c r="AI794">
        <v>0</v>
      </c>
      <c r="AJ794">
        <v>0</v>
      </c>
      <c r="AK794">
        <f t="shared" si="320"/>
        <v>0</v>
      </c>
      <c r="AL794">
        <f t="shared" si="328"/>
        <v>0</v>
      </c>
      <c r="AM794">
        <f t="shared" ca="1" si="321"/>
        <v>280.07692026646265</v>
      </c>
      <c r="AN794" t="str">
        <f t="shared" ca="1" si="322"/>
        <v>Supercritical</v>
      </c>
      <c r="AO794">
        <f ca="1">IF(V32="Supercritical",R794,AA794)</f>
        <v>482.07306851378365</v>
      </c>
    </row>
    <row r="795" spans="1:41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174</v>
      </c>
      <c r="I795">
        <v>7.8E-2</v>
      </c>
      <c r="J795">
        <f t="shared" si="323"/>
        <v>1</v>
      </c>
      <c r="K795">
        <f t="shared" si="324"/>
        <v>51</v>
      </c>
      <c r="L795">
        <f t="shared" ca="1" si="325"/>
        <v>38818.228181156315</v>
      </c>
      <c r="M795">
        <f t="shared" ca="1" si="303"/>
        <v>201854.78654201285</v>
      </c>
      <c r="N795">
        <f t="shared" ca="1" si="304"/>
        <v>2.5998258666721781</v>
      </c>
      <c r="O795">
        <f t="shared" ca="1" si="305"/>
        <v>2.526568771228279E-4</v>
      </c>
      <c r="P795">
        <f t="shared" ca="1" si="306"/>
        <v>39450.467681156319</v>
      </c>
      <c r="Q795">
        <f t="shared" ca="1" si="307"/>
        <v>39450.467681159571</v>
      </c>
      <c r="R795">
        <f t="shared" ca="1" si="308"/>
        <v>4.0177762944273126E-12</v>
      </c>
      <c r="S795">
        <f t="shared" ca="1" si="326"/>
        <v>4.9999998736893758E-4</v>
      </c>
      <c r="T795">
        <f t="shared" ca="1" si="327"/>
        <v>1</v>
      </c>
      <c r="U795">
        <f t="shared" ca="1" si="309"/>
        <v>0.05</v>
      </c>
      <c r="V795">
        <f t="shared" ca="1" si="310"/>
        <v>0.26</v>
      </c>
      <c r="W795">
        <f t="shared" ca="1" si="311"/>
        <v>4.9056603773584909E-2</v>
      </c>
      <c r="X795">
        <f t="shared" ca="1" si="312"/>
        <v>196.15384615384616</v>
      </c>
      <c r="Y795">
        <f t="shared" ca="1" si="313"/>
        <v>632.28949999999998</v>
      </c>
      <c r="Z795">
        <f t="shared" ca="1" si="314"/>
        <v>2593.3665316486622</v>
      </c>
      <c r="AA795">
        <f t="shared" ca="1" si="315"/>
        <v>482.07306851378365</v>
      </c>
      <c r="AB795">
        <f t="shared" ca="1" si="316"/>
        <v>482.32750852789786</v>
      </c>
      <c r="AC795">
        <f t="shared" ca="1" si="317"/>
        <v>0</v>
      </c>
      <c r="AD795">
        <f ca="1">IF(V32="Supercritical",L795,U795)</f>
        <v>0.05</v>
      </c>
      <c r="AE795">
        <f t="shared" ca="1" si="318"/>
        <v>632.28949999999998</v>
      </c>
      <c r="AF795">
        <f t="shared" ca="1" si="319"/>
        <v>2593.3665316486622</v>
      </c>
      <c r="AI795">
        <v>0</v>
      </c>
      <c r="AJ795">
        <v>0</v>
      </c>
      <c r="AK795">
        <f t="shared" si="320"/>
        <v>0</v>
      </c>
      <c r="AL795">
        <f t="shared" si="328"/>
        <v>0</v>
      </c>
      <c r="AM795">
        <f t="shared" ca="1" si="321"/>
        <v>280.07692026646265</v>
      </c>
      <c r="AN795" t="str">
        <f t="shared" ca="1" si="322"/>
        <v>Supercritical</v>
      </c>
      <c r="AO795">
        <f ca="1">IF(V32="Supercritical",R795,AA795)</f>
        <v>482.07306851378365</v>
      </c>
    </row>
    <row r="796" spans="1:41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174</v>
      </c>
      <c r="I796">
        <v>7.8E-2</v>
      </c>
      <c r="J796">
        <f t="shared" si="323"/>
        <v>1</v>
      </c>
      <c r="K796">
        <f t="shared" si="324"/>
        <v>51</v>
      </c>
      <c r="L796">
        <f t="shared" ca="1" si="325"/>
        <v>38818.223999698312</v>
      </c>
      <c r="M796">
        <f t="shared" ca="1" si="303"/>
        <v>201854.76479843122</v>
      </c>
      <c r="N796">
        <f t="shared" ca="1" si="304"/>
        <v>2.5998258666534215</v>
      </c>
      <c r="O796">
        <f t="shared" ca="1" si="305"/>
        <v>2.5265690433875934E-4</v>
      </c>
      <c r="P796">
        <f t="shared" ca="1" si="306"/>
        <v>39450.462999698313</v>
      </c>
      <c r="Q796">
        <f t="shared" ca="1" si="307"/>
        <v>39450.462999701565</v>
      </c>
      <c r="R796">
        <f t="shared" ca="1" si="308"/>
        <v>4.017777160047228E-12</v>
      </c>
      <c r="S796">
        <f t="shared" ca="1" si="326"/>
        <v>4.6814579982310534E-3</v>
      </c>
      <c r="T796">
        <f t="shared" ca="1" si="327"/>
        <v>0</v>
      </c>
      <c r="U796">
        <f t="shared" ca="1" si="309"/>
        <v>0.05</v>
      </c>
      <c r="V796">
        <f t="shared" ca="1" si="310"/>
        <v>0.26</v>
      </c>
      <c r="W796">
        <f t="shared" ca="1" si="311"/>
        <v>4.9056603773584909E-2</v>
      </c>
      <c r="X796">
        <f t="shared" ca="1" si="312"/>
        <v>196.15384615384616</v>
      </c>
      <c r="Y796">
        <f t="shared" ca="1" si="313"/>
        <v>632.28899999999999</v>
      </c>
      <c r="Z796">
        <f t="shared" ca="1" si="314"/>
        <v>2593.3660316486621</v>
      </c>
      <c r="AA796">
        <f t="shared" ca="1" si="315"/>
        <v>482.07306851378365</v>
      </c>
      <c r="AB796">
        <f t="shared" ca="1" si="316"/>
        <v>482.64289004871034</v>
      </c>
      <c r="AC796">
        <f t="shared" ca="1" si="317"/>
        <v>0</v>
      </c>
      <c r="AD796">
        <f ca="1">IF(V32="Supercritical",L796,U796)</f>
        <v>0.05</v>
      </c>
      <c r="AE796">
        <f t="shared" ca="1" si="318"/>
        <v>632.28899999999999</v>
      </c>
      <c r="AF796">
        <f t="shared" ca="1" si="319"/>
        <v>2593.3660316486621</v>
      </c>
      <c r="AI796">
        <v>0</v>
      </c>
      <c r="AJ796">
        <v>0</v>
      </c>
      <c r="AK796">
        <f t="shared" si="320"/>
        <v>0</v>
      </c>
      <c r="AL796">
        <f t="shared" si="328"/>
        <v>0</v>
      </c>
      <c r="AM796">
        <f t="shared" ca="1" si="321"/>
        <v>280.07692026646265</v>
      </c>
      <c r="AN796" t="str">
        <f t="shared" ca="1" si="322"/>
        <v>Supercritical</v>
      </c>
      <c r="AO796">
        <f ca="1">IF(V32="Supercritical",R796,AA796)</f>
        <v>482.07306851378365</v>
      </c>
    </row>
    <row r="797" spans="1:41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174</v>
      </c>
      <c r="I797">
        <v>2.7E-2</v>
      </c>
      <c r="J797">
        <f t="shared" si="323"/>
        <v>1.0009999999999764</v>
      </c>
      <c r="K797">
        <f t="shared" si="324"/>
        <v>51</v>
      </c>
      <c r="L797">
        <f t="shared" ca="1" si="325"/>
        <v>38818.223999698312</v>
      </c>
      <c r="M797">
        <f t="shared" ca="1" si="303"/>
        <v>201854.76479843122</v>
      </c>
      <c r="N797">
        <f t="shared" ca="1" si="304"/>
        <v>2.5998258666534215</v>
      </c>
      <c r="O797">
        <f t="shared" ca="1" si="305"/>
        <v>2.5265690433875934E-4</v>
      </c>
      <c r="P797">
        <f t="shared" ca="1" si="306"/>
        <v>39450.462499698311</v>
      </c>
      <c r="Q797">
        <f t="shared" ca="1" si="307"/>
        <v>39450.462499701564</v>
      </c>
      <c r="R797">
        <f t="shared" ca="1" si="308"/>
        <v>4.017777160047228E-12</v>
      </c>
      <c r="S797">
        <f t="shared" ca="1" si="326"/>
        <v>4.999999946448952E-4</v>
      </c>
      <c r="T797">
        <f t="shared" ca="1" si="327"/>
        <v>1</v>
      </c>
      <c r="U797">
        <f t="shared" ca="1" si="309"/>
        <v>0.05</v>
      </c>
      <c r="V797">
        <f t="shared" ca="1" si="310"/>
        <v>0.26</v>
      </c>
      <c r="W797">
        <f t="shared" ca="1" si="311"/>
        <v>4.9056603773584909E-2</v>
      </c>
      <c r="X797">
        <f t="shared" ca="1" si="312"/>
        <v>196.15384615384616</v>
      </c>
      <c r="Y797">
        <f t="shared" ca="1" si="313"/>
        <v>632.2885</v>
      </c>
      <c r="Z797">
        <f t="shared" ca="1" si="314"/>
        <v>2593.365531648662</v>
      </c>
      <c r="AA797">
        <f t="shared" ca="1" si="315"/>
        <v>482.07306851378365</v>
      </c>
      <c r="AB797">
        <f t="shared" ca="1" si="316"/>
        <v>481.59049544528125</v>
      </c>
      <c r="AC797">
        <f t="shared" ca="1" si="317"/>
        <v>0</v>
      </c>
      <c r="AD797">
        <f ca="1">IF(V32="Supercritical",L797,U797)</f>
        <v>0.05</v>
      </c>
      <c r="AE797">
        <f t="shared" ca="1" si="318"/>
        <v>632.2885</v>
      </c>
      <c r="AF797">
        <f t="shared" ca="1" si="319"/>
        <v>2593.365531648662</v>
      </c>
      <c r="AI797">
        <v>0</v>
      </c>
      <c r="AJ797">
        <v>0</v>
      </c>
      <c r="AK797">
        <f t="shared" si="320"/>
        <v>0</v>
      </c>
      <c r="AL797">
        <f t="shared" si="328"/>
        <v>0</v>
      </c>
      <c r="AM797">
        <f t="shared" ca="1" si="321"/>
        <v>280.07692026646265</v>
      </c>
      <c r="AN797" t="str">
        <f t="shared" ca="1" si="322"/>
        <v>Supercritical</v>
      </c>
      <c r="AO797">
        <f ca="1">IF(V32="Supercritical",R797,AA797)</f>
        <v>482.07306851378365</v>
      </c>
    </row>
    <row r="798" spans="1:41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174</v>
      </c>
      <c r="I798">
        <v>0</v>
      </c>
      <c r="J798">
        <f t="shared" si="323"/>
        <v>0.99900000000002365</v>
      </c>
      <c r="K798">
        <f t="shared" si="324"/>
        <v>51</v>
      </c>
      <c r="L798">
        <f t="shared" ca="1" si="325"/>
        <v>38818.220098855738</v>
      </c>
      <c r="M798">
        <f t="shared" ca="1" si="303"/>
        <v>201854.74451404985</v>
      </c>
      <c r="N798">
        <f t="shared" ca="1" si="304"/>
        <v>2.5998258666359244</v>
      </c>
      <c r="O798">
        <f t="shared" ca="1" si="305"/>
        <v>2.5265692972824928E-4</v>
      </c>
      <c r="P798">
        <f t="shared" ca="1" si="306"/>
        <v>39450.458098855735</v>
      </c>
      <c r="Q798">
        <f t="shared" ca="1" si="307"/>
        <v>39450.458098858988</v>
      </c>
      <c r="R798">
        <f t="shared" ca="1" si="308"/>
        <v>4.0177779675761004E-12</v>
      </c>
      <c r="S798">
        <f t="shared" ca="1" si="326"/>
        <v>4.4008425684296526E-3</v>
      </c>
      <c r="T798">
        <f t="shared" ca="1" si="327"/>
        <v>0</v>
      </c>
      <c r="U798">
        <f t="shared" ca="1" si="309"/>
        <v>0.05</v>
      </c>
      <c r="V798">
        <f t="shared" ca="1" si="310"/>
        <v>0.26</v>
      </c>
      <c r="W798">
        <f t="shared" ca="1" si="311"/>
        <v>4.9056603773584909E-2</v>
      </c>
      <c r="X798">
        <f t="shared" ca="1" si="312"/>
        <v>196.15384615384616</v>
      </c>
      <c r="Y798">
        <f t="shared" ca="1" si="313"/>
        <v>632.28800000000001</v>
      </c>
      <c r="Z798">
        <f t="shared" ca="1" si="314"/>
        <v>2593.3650316486619</v>
      </c>
      <c r="AA798">
        <f t="shared" ca="1" si="315"/>
        <v>482.07306851378365</v>
      </c>
      <c r="AB798">
        <f t="shared" ca="1" si="316"/>
        <v>482.1477431333301</v>
      </c>
      <c r="AC798">
        <f t="shared" ca="1" si="317"/>
        <v>0</v>
      </c>
      <c r="AD798">
        <f ca="1">IF(V32="Supercritical",L798,U798)</f>
        <v>0.05</v>
      </c>
      <c r="AE798">
        <f t="shared" ca="1" si="318"/>
        <v>632.28800000000001</v>
      </c>
      <c r="AF798">
        <f t="shared" ca="1" si="319"/>
        <v>2593.3650316486619</v>
      </c>
      <c r="AI798">
        <v>0</v>
      </c>
      <c r="AJ798">
        <v>0</v>
      </c>
      <c r="AK798">
        <f t="shared" si="320"/>
        <v>0</v>
      </c>
      <c r="AL798">
        <f t="shared" si="328"/>
        <v>0</v>
      </c>
      <c r="AM798">
        <f t="shared" ca="1" si="321"/>
        <v>280.07692026646265</v>
      </c>
      <c r="AN798" t="str">
        <f t="shared" ca="1" si="322"/>
        <v>Supercritical</v>
      </c>
      <c r="AO798">
        <f ca="1">IF(V32="Supercritical",R798,AA798)</f>
        <v>482.07306851378365</v>
      </c>
    </row>
    <row r="799" spans="1:41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174</v>
      </c>
      <c r="I799">
        <v>2.3E-2</v>
      </c>
      <c r="J799">
        <f t="shared" si="323"/>
        <v>1</v>
      </c>
      <c r="K799">
        <f t="shared" si="324"/>
        <v>51</v>
      </c>
      <c r="L799">
        <f t="shared" ca="1" si="325"/>
        <v>38818.220098855738</v>
      </c>
      <c r="M799">
        <f t="shared" ca="1" si="303"/>
        <v>201854.74451404985</v>
      </c>
      <c r="N799">
        <f t="shared" ca="1" si="304"/>
        <v>2.5998258666359244</v>
      </c>
      <c r="O799">
        <f t="shared" ca="1" si="305"/>
        <v>2.5265692972824928E-4</v>
      </c>
      <c r="P799">
        <f t="shared" ca="1" si="306"/>
        <v>39450.457598855741</v>
      </c>
      <c r="Q799">
        <f t="shared" ca="1" si="307"/>
        <v>39450.457598858993</v>
      </c>
      <c r="R799">
        <f t="shared" ca="1" si="308"/>
        <v>4.0177779675761004E-12</v>
      </c>
      <c r="S799">
        <f t="shared" ca="1" si="326"/>
        <v>4.9999998736893758E-4</v>
      </c>
      <c r="T799">
        <f t="shared" ca="1" si="327"/>
        <v>1</v>
      </c>
      <c r="U799">
        <f t="shared" ca="1" si="309"/>
        <v>0.05</v>
      </c>
      <c r="V799">
        <f t="shared" ca="1" si="310"/>
        <v>0.26</v>
      </c>
      <c r="W799">
        <f t="shared" ca="1" si="311"/>
        <v>4.9056603773584909E-2</v>
      </c>
      <c r="X799">
        <f t="shared" ca="1" si="312"/>
        <v>196.15384615384616</v>
      </c>
      <c r="Y799">
        <f t="shared" ca="1" si="313"/>
        <v>632.28749999999991</v>
      </c>
      <c r="Z799">
        <f t="shared" ca="1" si="314"/>
        <v>2593.3645316486618</v>
      </c>
      <c r="AA799">
        <f t="shared" ca="1" si="315"/>
        <v>482.07306851378365</v>
      </c>
      <c r="AB799">
        <f t="shared" ca="1" si="316"/>
        <v>482.62981620183291</v>
      </c>
      <c r="AC799">
        <f t="shared" ca="1" si="317"/>
        <v>0</v>
      </c>
      <c r="AD799">
        <f ca="1">IF(V32="Supercritical",L799,U799)</f>
        <v>0.05</v>
      </c>
      <c r="AE799">
        <f t="shared" ca="1" si="318"/>
        <v>632.28749999999991</v>
      </c>
      <c r="AF799">
        <f t="shared" ca="1" si="319"/>
        <v>2593.3645316486618</v>
      </c>
      <c r="AI799">
        <v>0</v>
      </c>
      <c r="AJ799">
        <v>0</v>
      </c>
      <c r="AK799">
        <f t="shared" si="320"/>
        <v>0</v>
      </c>
      <c r="AL799">
        <f t="shared" si="328"/>
        <v>0</v>
      </c>
      <c r="AM799">
        <f t="shared" ca="1" si="321"/>
        <v>280.07692026646265</v>
      </c>
      <c r="AN799" t="str">
        <f t="shared" ca="1" si="322"/>
        <v>Supercritical</v>
      </c>
      <c r="AO799">
        <f ca="1">IF(V32="Supercritical",R799,AA799)</f>
        <v>482.07306851378365</v>
      </c>
    </row>
    <row r="800" spans="1:41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174</v>
      </c>
      <c r="I800">
        <v>2.3E-2</v>
      </c>
      <c r="J800">
        <f t="shared" si="323"/>
        <v>1.0009999999999764</v>
      </c>
      <c r="K800">
        <f t="shared" si="324"/>
        <v>51</v>
      </c>
      <c r="L800">
        <f t="shared" ca="1" si="325"/>
        <v>38818.216466405189</v>
      </c>
      <c r="M800">
        <f t="shared" ca="1" si="303"/>
        <v>201854.72562530698</v>
      </c>
      <c r="N800">
        <f t="shared" ca="1" si="304"/>
        <v>2.5998258666196303</v>
      </c>
      <c r="O800">
        <f t="shared" ca="1" si="305"/>
        <v>2.5265695337085543E-4</v>
      </c>
      <c r="P800">
        <f t="shared" ca="1" si="306"/>
        <v>39450.45346640519</v>
      </c>
      <c r="Q800">
        <f t="shared" ca="1" si="307"/>
        <v>39450.453466408442</v>
      </c>
      <c r="R800">
        <f t="shared" ca="1" si="308"/>
        <v>4.0177787195442979E-12</v>
      </c>
      <c r="S800">
        <f t="shared" ca="1" si="326"/>
        <v>4.1324505436932668E-3</v>
      </c>
      <c r="T800">
        <f t="shared" ca="1" si="327"/>
        <v>0</v>
      </c>
      <c r="U800">
        <f t="shared" ca="1" si="309"/>
        <v>0.05</v>
      </c>
      <c r="V800">
        <f t="shared" ca="1" si="310"/>
        <v>0.26</v>
      </c>
      <c r="W800">
        <f t="shared" ca="1" si="311"/>
        <v>4.9056603773584909E-2</v>
      </c>
      <c r="X800">
        <f t="shared" ca="1" si="312"/>
        <v>196.15384615384616</v>
      </c>
      <c r="Y800">
        <f t="shared" ca="1" si="313"/>
        <v>632.28699999999992</v>
      </c>
      <c r="Z800">
        <f t="shared" ca="1" si="314"/>
        <v>2593.3640316486621</v>
      </c>
      <c r="AA800">
        <f t="shared" ca="1" si="315"/>
        <v>482.07306851378365</v>
      </c>
      <c r="AB800">
        <f t="shared" ca="1" si="316"/>
        <v>481.67874391170562</v>
      </c>
      <c r="AC800">
        <f t="shared" ca="1" si="317"/>
        <v>0</v>
      </c>
      <c r="AD800">
        <f ca="1">IF(V32="Supercritical",L800,U800)</f>
        <v>0.05</v>
      </c>
      <c r="AE800">
        <f t="shared" ca="1" si="318"/>
        <v>632.28699999999992</v>
      </c>
      <c r="AF800">
        <f t="shared" ca="1" si="319"/>
        <v>2593.3640316486621</v>
      </c>
      <c r="AI800">
        <v>0</v>
      </c>
      <c r="AJ800">
        <v>0</v>
      </c>
      <c r="AK800">
        <f t="shared" si="320"/>
        <v>0</v>
      </c>
      <c r="AL800">
        <f t="shared" si="328"/>
        <v>0</v>
      </c>
      <c r="AM800">
        <f t="shared" ca="1" si="321"/>
        <v>280.07692026646265</v>
      </c>
      <c r="AN800" t="str">
        <f t="shared" ca="1" si="322"/>
        <v>Supercritical</v>
      </c>
      <c r="AO800">
        <f ca="1">IF(V32="Supercritical",R800,AA800)</f>
        <v>482.07306851378365</v>
      </c>
    </row>
    <row r="801" spans="1:41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174</v>
      </c>
      <c r="I801">
        <v>2.7E-2</v>
      </c>
      <c r="J801">
        <f t="shared" si="323"/>
        <v>0.99900000000002365</v>
      </c>
      <c r="K801">
        <f t="shared" si="324"/>
        <v>51</v>
      </c>
      <c r="L801">
        <f t="shared" ca="1" si="325"/>
        <v>38818.216466405189</v>
      </c>
      <c r="M801">
        <f t="shared" ca="1" si="303"/>
        <v>201854.72562530698</v>
      </c>
      <c r="N801">
        <f t="shared" ca="1" si="304"/>
        <v>2.5998258666196303</v>
      </c>
      <c r="O801">
        <f t="shared" ca="1" si="305"/>
        <v>2.5265695337085543E-4</v>
      </c>
      <c r="P801">
        <f t="shared" ca="1" si="306"/>
        <v>39450.452966405188</v>
      </c>
      <c r="Q801">
        <f t="shared" ca="1" si="307"/>
        <v>39450.45296640844</v>
      </c>
      <c r="R801">
        <f t="shared" ca="1" si="308"/>
        <v>4.0177787195442979E-12</v>
      </c>
      <c r="S801">
        <f t="shared" ca="1" si="326"/>
        <v>4.999999946448952E-4</v>
      </c>
      <c r="T801">
        <f t="shared" ca="1" si="327"/>
        <v>1</v>
      </c>
      <c r="U801">
        <f t="shared" ca="1" si="309"/>
        <v>0.05</v>
      </c>
      <c r="V801">
        <f t="shared" ca="1" si="310"/>
        <v>0.26</v>
      </c>
      <c r="W801">
        <f t="shared" ca="1" si="311"/>
        <v>4.9056603773584909E-2</v>
      </c>
      <c r="X801">
        <f t="shared" ca="1" si="312"/>
        <v>196.15384615384616</v>
      </c>
      <c r="Y801">
        <f t="shared" ca="1" si="313"/>
        <v>632.28649999999993</v>
      </c>
      <c r="Z801">
        <f t="shared" ca="1" si="314"/>
        <v>2593.363531648662</v>
      </c>
      <c r="AA801">
        <f t="shared" ca="1" si="315"/>
        <v>482.07306851378365</v>
      </c>
      <c r="AB801">
        <f t="shared" ca="1" si="316"/>
        <v>482.64289004871034</v>
      </c>
      <c r="AC801">
        <f t="shared" ca="1" si="317"/>
        <v>0</v>
      </c>
      <c r="AD801">
        <f ca="1">IF(V32="Supercritical",L801,U801)</f>
        <v>0.05</v>
      </c>
      <c r="AE801">
        <f t="shared" ca="1" si="318"/>
        <v>632.28649999999993</v>
      </c>
      <c r="AF801">
        <f t="shared" ca="1" si="319"/>
        <v>2593.363531648662</v>
      </c>
      <c r="AI801">
        <v>0</v>
      </c>
      <c r="AJ801">
        <v>0</v>
      </c>
      <c r="AK801">
        <f t="shared" si="320"/>
        <v>0</v>
      </c>
      <c r="AL801">
        <f t="shared" si="328"/>
        <v>0</v>
      </c>
      <c r="AM801">
        <f t="shared" ca="1" si="321"/>
        <v>280.07692026646265</v>
      </c>
      <c r="AN801" t="str">
        <f t="shared" ca="1" si="322"/>
        <v>Supercritical</v>
      </c>
      <c r="AO801">
        <f ca="1">IF(V32="Supercritical",R801,AA801)</f>
        <v>482.07306851378365</v>
      </c>
    </row>
    <row r="802" spans="1:41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174</v>
      </c>
      <c r="I802">
        <v>2.7E-2</v>
      </c>
      <c r="J802">
        <f t="shared" si="323"/>
        <v>1.0009999999999764</v>
      </c>
      <c r="K802">
        <f t="shared" si="324"/>
        <v>51</v>
      </c>
      <c r="L802">
        <f t="shared" ca="1" si="325"/>
        <v>38818.213089525889</v>
      </c>
      <c r="M802">
        <f t="shared" ca="1" si="303"/>
        <v>201854.70806553462</v>
      </c>
      <c r="N802">
        <f t="shared" ca="1" si="304"/>
        <v>2.5998258666044833</v>
      </c>
      <c r="O802">
        <f t="shared" ca="1" si="305"/>
        <v>2.5265697535002365E-4</v>
      </c>
      <c r="P802">
        <f t="shared" ca="1" si="306"/>
        <v>39450.449089525886</v>
      </c>
      <c r="Q802">
        <f t="shared" ca="1" si="307"/>
        <v>39450.449089529138</v>
      </c>
      <c r="R802">
        <f t="shared" ca="1" si="308"/>
        <v>4.017779418605849E-12</v>
      </c>
      <c r="S802">
        <f t="shared" ca="1" si="326"/>
        <v>3.8768792946939357E-3</v>
      </c>
      <c r="T802">
        <f t="shared" ca="1" si="327"/>
        <v>0</v>
      </c>
      <c r="U802">
        <f t="shared" ca="1" si="309"/>
        <v>0.05</v>
      </c>
      <c r="V802">
        <f t="shared" ca="1" si="310"/>
        <v>0.26</v>
      </c>
      <c r="W802">
        <f t="shared" ca="1" si="311"/>
        <v>4.9056603773584909E-2</v>
      </c>
      <c r="X802">
        <f t="shared" ca="1" si="312"/>
        <v>196.15384615384616</v>
      </c>
      <c r="Y802">
        <f t="shared" ca="1" si="313"/>
        <v>632.28599999999994</v>
      </c>
      <c r="Z802">
        <f t="shared" ca="1" si="314"/>
        <v>2593.3630316486619</v>
      </c>
      <c r="AA802">
        <f t="shared" ca="1" si="315"/>
        <v>482.07306851378365</v>
      </c>
      <c r="AB802">
        <f t="shared" ca="1" si="316"/>
        <v>481.5904954452817</v>
      </c>
      <c r="AC802">
        <f t="shared" ca="1" si="317"/>
        <v>0</v>
      </c>
      <c r="AD802">
        <f ca="1">IF(V32="Supercritical",L802,U802)</f>
        <v>0.05</v>
      </c>
      <c r="AE802">
        <f t="shared" ca="1" si="318"/>
        <v>632.28599999999994</v>
      </c>
      <c r="AF802">
        <f t="shared" ca="1" si="319"/>
        <v>2593.3630316486619</v>
      </c>
      <c r="AI802">
        <v>0</v>
      </c>
      <c r="AJ802">
        <v>0</v>
      </c>
      <c r="AK802">
        <f t="shared" si="320"/>
        <v>0</v>
      </c>
      <c r="AL802">
        <f t="shared" si="328"/>
        <v>0</v>
      </c>
      <c r="AM802">
        <f t="shared" ca="1" si="321"/>
        <v>280.07692026646265</v>
      </c>
      <c r="AN802" t="str">
        <f t="shared" ca="1" si="322"/>
        <v>Supercritical</v>
      </c>
      <c r="AO802">
        <f ca="1">IF(V32="Supercritical",R802,AA802)</f>
        <v>482.07306851378365</v>
      </c>
    </row>
    <row r="803" spans="1:41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174</v>
      </c>
      <c r="I803">
        <v>0</v>
      </c>
      <c r="J803">
        <f t="shared" si="323"/>
        <v>0.99900000000002365</v>
      </c>
      <c r="K803">
        <f t="shared" si="324"/>
        <v>51</v>
      </c>
      <c r="L803">
        <f t="shared" ca="1" si="325"/>
        <v>38818.213089525889</v>
      </c>
      <c r="M803">
        <f t="shared" ca="1" si="303"/>
        <v>201854.70806553462</v>
      </c>
      <c r="N803">
        <f t="shared" ca="1" si="304"/>
        <v>2.5998258666044833</v>
      </c>
      <c r="O803">
        <f t="shared" ca="1" si="305"/>
        <v>2.5265697535002365E-4</v>
      </c>
      <c r="P803">
        <f t="shared" ca="1" si="306"/>
        <v>39450.448589525891</v>
      </c>
      <c r="Q803">
        <f t="shared" ca="1" si="307"/>
        <v>39450.448589529144</v>
      </c>
      <c r="R803">
        <f t="shared" ca="1" si="308"/>
        <v>4.017779418605849E-12</v>
      </c>
      <c r="S803">
        <f t="shared" ca="1" si="326"/>
        <v>4.9999998736893758E-4</v>
      </c>
      <c r="T803">
        <f t="shared" ca="1" si="327"/>
        <v>1</v>
      </c>
      <c r="U803">
        <f t="shared" ca="1" si="309"/>
        <v>0.05</v>
      </c>
      <c r="V803">
        <f t="shared" ca="1" si="310"/>
        <v>0.26</v>
      </c>
      <c r="W803">
        <f t="shared" ca="1" si="311"/>
        <v>4.9056603773584909E-2</v>
      </c>
      <c r="X803">
        <f t="shared" ca="1" si="312"/>
        <v>196.15384615384616</v>
      </c>
      <c r="Y803">
        <f t="shared" ca="1" si="313"/>
        <v>632.28549999999996</v>
      </c>
      <c r="Z803">
        <f t="shared" ca="1" si="314"/>
        <v>2593.3625316486623</v>
      </c>
      <c r="AA803">
        <f t="shared" ca="1" si="315"/>
        <v>482.07306851378365</v>
      </c>
      <c r="AB803">
        <f t="shared" ca="1" si="316"/>
        <v>482.1477431333301</v>
      </c>
      <c r="AC803">
        <f t="shared" ca="1" si="317"/>
        <v>0</v>
      </c>
      <c r="AD803">
        <f ca="1">IF(V32="Supercritical",L803,U803)</f>
        <v>0.05</v>
      </c>
      <c r="AE803">
        <f t="shared" ca="1" si="318"/>
        <v>632.28549999999996</v>
      </c>
      <c r="AF803">
        <f t="shared" ca="1" si="319"/>
        <v>2593.3625316486623</v>
      </c>
      <c r="AI803">
        <v>0</v>
      </c>
      <c r="AJ803">
        <v>0</v>
      </c>
      <c r="AK803">
        <f t="shared" si="320"/>
        <v>0</v>
      </c>
      <c r="AL803">
        <f t="shared" si="328"/>
        <v>0</v>
      </c>
      <c r="AM803">
        <f t="shared" ca="1" si="321"/>
        <v>280.07692026646265</v>
      </c>
      <c r="AN803" t="str">
        <f t="shared" ca="1" si="322"/>
        <v>Supercritical</v>
      </c>
      <c r="AO803">
        <f ca="1">IF(V32="Supercritical",R803,AA803)</f>
        <v>482.07306851378365</v>
      </c>
    </row>
    <row r="804" spans="1:41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174</v>
      </c>
      <c r="I804">
        <v>2.3E-2</v>
      </c>
      <c r="J804">
        <f t="shared" si="323"/>
        <v>1</v>
      </c>
      <c r="K804">
        <f t="shared" si="324"/>
        <v>51</v>
      </c>
      <c r="L804">
        <f t="shared" ca="1" si="325"/>
        <v>38818.209954947983</v>
      </c>
      <c r="M804">
        <f t="shared" ca="1" si="303"/>
        <v>201854.69176572951</v>
      </c>
      <c r="N804">
        <f t="shared" ca="1" si="304"/>
        <v>2.599825866590423</v>
      </c>
      <c r="O804">
        <f t="shared" ca="1" si="305"/>
        <v>2.5265699575212293E-4</v>
      </c>
      <c r="P804">
        <f t="shared" ca="1" si="306"/>
        <v>39450.444954947983</v>
      </c>
      <c r="Q804">
        <f t="shared" ca="1" si="307"/>
        <v>39450.444954951236</v>
      </c>
      <c r="R804">
        <f t="shared" ca="1" si="308"/>
        <v>4.0177800675077671E-12</v>
      </c>
      <c r="S804">
        <f t="shared" ca="1" si="326"/>
        <v>3.6345779008115642E-3</v>
      </c>
      <c r="T804">
        <f t="shared" ca="1" si="327"/>
        <v>0</v>
      </c>
      <c r="U804">
        <f t="shared" ca="1" si="309"/>
        <v>0.05</v>
      </c>
      <c r="V804">
        <f t="shared" ca="1" si="310"/>
        <v>0.26</v>
      </c>
      <c r="W804">
        <f t="shared" ca="1" si="311"/>
        <v>4.9056603773584909E-2</v>
      </c>
      <c r="X804">
        <f t="shared" ca="1" si="312"/>
        <v>196.15384615384616</v>
      </c>
      <c r="Y804">
        <f t="shared" ca="1" si="313"/>
        <v>632.28499999999997</v>
      </c>
      <c r="Z804">
        <f t="shared" ca="1" si="314"/>
        <v>2593.3620316486622</v>
      </c>
      <c r="AA804">
        <f t="shared" ca="1" si="315"/>
        <v>482.07306851378365</v>
      </c>
      <c r="AB804">
        <f t="shared" ca="1" si="316"/>
        <v>482.62981620183245</v>
      </c>
      <c r="AC804">
        <f t="shared" ca="1" si="317"/>
        <v>0</v>
      </c>
      <c r="AD804">
        <f ca="1">IF(V32="Supercritical",L804,U804)</f>
        <v>0.05</v>
      </c>
      <c r="AE804">
        <f t="shared" ca="1" si="318"/>
        <v>632.28499999999997</v>
      </c>
      <c r="AF804">
        <f t="shared" ca="1" si="319"/>
        <v>2593.3620316486622</v>
      </c>
      <c r="AI804">
        <v>0</v>
      </c>
      <c r="AJ804">
        <v>0</v>
      </c>
      <c r="AK804">
        <f t="shared" si="320"/>
        <v>0</v>
      </c>
      <c r="AL804">
        <f t="shared" si="328"/>
        <v>0</v>
      </c>
      <c r="AM804">
        <f t="shared" ca="1" si="321"/>
        <v>280.07692026646265</v>
      </c>
      <c r="AN804" t="str">
        <f t="shared" ca="1" si="322"/>
        <v>Supercritical</v>
      </c>
      <c r="AO804">
        <f ca="1">IF(V32="Supercritical",R804,AA804)</f>
        <v>482.07306851378365</v>
      </c>
    </row>
    <row r="805" spans="1:41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174</v>
      </c>
      <c r="I805">
        <v>2.3E-2</v>
      </c>
      <c r="J805">
        <f t="shared" si="323"/>
        <v>1.0009999999999764</v>
      </c>
      <c r="K805">
        <f t="shared" si="324"/>
        <v>51</v>
      </c>
      <c r="L805">
        <f t="shared" ca="1" si="325"/>
        <v>38818.209954947983</v>
      </c>
      <c r="M805">
        <f t="shared" ca="1" si="303"/>
        <v>201854.69176572951</v>
      </c>
      <c r="N805">
        <f t="shared" ca="1" si="304"/>
        <v>2.599825866590423</v>
      </c>
      <c r="O805">
        <f t="shared" ca="1" si="305"/>
        <v>2.5265699575212293E-4</v>
      </c>
      <c r="P805">
        <f t="shared" ca="1" si="306"/>
        <v>39450.444454947981</v>
      </c>
      <c r="Q805">
        <f t="shared" ca="1" si="307"/>
        <v>39450.444454951234</v>
      </c>
      <c r="R805">
        <f t="shared" ca="1" si="308"/>
        <v>4.0177800675077671E-12</v>
      </c>
      <c r="S805">
        <f t="shared" ca="1" si="326"/>
        <v>4.999999946448952E-4</v>
      </c>
      <c r="T805">
        <f t="shared" ca="1" si="327"/>
        <v>1</v>
      </c>
      <c r="U805">
        <f t="shared" ca="1" si="309"/>
        <v>0.05</v>
      </c>
      <c r="V805">
        <f t="shared" ca="1" si="310"/>
        <v>0.26</v>
      </c>
      <c r="W805">
        <f t="shared" ca="1" si="311"/>
        <v>4.9056603773584909E-2</v>
      </c>
      <c r="X805">
        <f t="shared" ca="1" si="312"/>
        <v>196.15384615384616</v>
      </c>
      <c r="Y805">
        <f t="shared" ca="1" si="313"/>
        <v>632.28449999999998</v>
      </c>
      <c r="Z805">
        <f t="shared" ca="1" si="314"/>
        <v>2593.3615316486621</v>
      </c>
      <c r="AA805">
        <f t="shared" ca="1" si="315"/>
        <v>482.07306851378365</v>
      </c>
      <c r="AB805">
        <f t="shared" ca="1" si="316"/>
        <v>481.67874391170562</v>
      </c>
      <c r="AC805">
        <f t="shared" ca="1" si="317"/>
        <v>0</v>
      </c>
      <c r="AD805">
        <f ca="1">IF(V32="Supercritical",L805,U805)</f>
        <v>0.05</v>
      </c>
      <c r="AE805">
        <f t="shared" ca="1" si="318"/>
        <v>632.28449999999998</v>
      </c>
      <c r="AF805">
        <f t="shared" ca="1" si="319"/>
        <v>2593.3615316486621</v>
      </c>
      <c r="AI805">
        <v>0</v>
      </c>
      <c r="AJ805">
        <v>0</v>
      </c>
      <c r="AK805">
        <f t="shared" si="320"/>
        <v>0</v>
      </c>
      <c r="AL805">
        <f t="shared" si="328"/>
        <v>0</v>
      </c>
      <c r="AM805">
        <f t="shared" ca="1" si="321"/>
        <v>280.07692026646265</v>
      </c>
      <c r="AN805" t="str">
        <f t="shared" ca="1" si="322"/>
        <v>Supercritical</v>
      </c>
      <c r="AO805">
        <f ca="1">IF(V32="Supercritical",R805,AA805)</f>
        <v>482.07306851378365</v>
      </c>
    </row>
    <row r="806" spans="1:41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174</v>
      </c>
      <c r="I806">
        <v>2.7E-2</v>
      </c>
      <c r="J806">
        <f t="shared" si="323"/>
        <v>0.99900000000002365</v>
      </c>
      <c r="K806">
        <f t="shared" si="324"/>
        <v>51</v>
      </c>
      <c r="L806">
        <f t="shared" ca="1" si="325"/>
        <v>38818.207049097357</v>
      </c>
      <c r="M806">
        <f t="shared" ca="1" si="303"/>
        <v>201854.67665530625</v>
      </c>
      <c r="N806">
        <f t="shared" ca="1" si="304"/>
        <v>2.5998258665773886</v>
      </c>
      <c r="O806">
        <f t="shared" ca="1" si="305"/>
        <v>2.5265701466550263E-4</v>
      </c>
      <c r="P806">
        <f t="shared" ca="1" si="306"/>
        <v>39450.441049097353</v>
      </c>
      <c r="Q806">
        <f t="shared" ca="1" si="307"/>
        <v>39450.441049100606</v>
      </c>
      <c r="R806">
        <f t="shared" ca="1" si="308"/>
        <v>4.0177806690600462E-12</v>
      </c>
      <c r="S806">
        <f t="shared" ca="1" si="326"/>
        <v>3.4058506207657047E-3</v>
      </c>
      <c r="T806">
        <f t="shared" ca="1" si="327"/>
        <v>0</v>
      </c>
      <c r="U806">
        <f t="shared" ca="1" si="309"/>
        <v>0.05</v>
      </c>
      <c r="V806">
        <f t="shared" ca="1" si="310"/>
        <v>0.26</v>
      </c>
      <c r="W806">
        <f t="shared" ca="1" si="311"/>
        <v>4.9056603773584909E-2</v>
      </c>
      <c r="X806">
        <f t="shared" ca="1" si="312"/>
        <v>196.15384615384616</v>
      </c>
      <c r="Y806">
        <f t="shared" ca="1" si="313"/>
        <v>632.28399999999999</v>
      </c>
      <c r="Z806">
        <f t="shared" ca="1" si="314"/>
        <v>2593.361031648662</v>
      </c>
      <c r="AA806">
        <f t="shared" ca="1" si="315"/>
        <v>482.07306851378365</v>
      </c>
      <c r="AB806">
        <f t="shared" ca="1" si="316"/>
        <v>482.64289004871034</v>
      </c>
      <c r="AC806">
        <f t="shared" ca="1" si="317"/>
        <v>0</v>
      </c>
      <c r="AD806">
        <f ca="1">IF(V32="Supercritical",L806,U806)</f>
        <v>0.05</v>
      </c>
      <c r="AE806">
        <f t="shared" ca="1" si="318"/>
        <v>632.28399999999999</v>
      </c>
      <c r="AF806">
        <f t="shared" ca="1" si="319"/>
        <v>2593.361031648662</v>
      </c>
      <c r="AI806">
        <v>0</v>
      </c>
      <c r="AJ806">
        <v>0</v>
      </c>
      <c r="AK806">
        <f t="shared" si="320"/>
        <v>0</v>
      </c>
      <c r="AL806">
        <f t="shared" si="328"/>
        <v>0</v>
      </c>
      <c r="AM806">
        <f t="shared" ca="1" si="321"/>
        <v>280.07692026646265</v>
      </c>
      <c r="AN806" t="str">
        <f t="shared" ca="1" si="322"/>
        <v>Supercritical</v>
      </c>
      <c r="AO806">
        <f ca="1">IF(V32="Supercritical",R806,AA806)</f>
        <v>482.07306851378365</v>
      </c>
    </row>
    <row r="807" spans="1:41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174</v>
      </c>
      <c r="I807">
        <v>2.7E-2</v>
      </c>
      <c r="J807">
        <f t="shared" si="323"/>
        <v>1.0009999999999764</v>
      </c>
      <c r="K807">
        <f t="shared" si="324"/>
        <v>51</v>
      </c>
      <c r="L807">
        <f t="shared" ca="1" si="325"/>
        <v>38818.207049097357</v>
      </c>
      <c r="M807">
        <f t="shared" ca="1" si="303"/>
        <v>201854.67665530625</v>
      </c>
      <c r="N807">
        <f t="shared" ca="1" si="304"/>
        <v>2.5998258665773886</v>
      </c>
      <c r="O807">
        <f t="shared" ca="1" si="305"/>
        <v>2.5265701466550263E-4</v>
      </c>
      <c r="P807">
        <f t="shared" ca="1" si="306"/>
        <v>39450.440549097359</v>
      </c>
      <c r="Q807">
        <f t="shared" ca="1" si="307"/>
        <v>39450.440549100611</v>
      </c>
      <c r="R807">
        <f t="shared" ca="1" si="308"/>
        <v>4.0177806690600462E-12</v>
      </c>
      <c r="S807">
        <f t="shared" ca="1" si="326"/>
        <v>4.9999998736893758E-4</v>
      </c>
      <c r="T807">
        <f t="shared" ca="1" si="327"/>
        <v>1</v>
      </c>
      <c r="U807">
        <f t="shared" ca="1" si="309"/>
        <v>0.05</v>
      </c>
      <c r="V807">
        <f t="shared" ca="1" si="310"/>
        <v>0.26</v>
      </c>
      <c r="W807">
        <f t="shared" ca="1" si="311"/>
        <v>4.9056603773584909E-2</v>
      </c>
      <c r="X807">
        <f t="shared" ca="1" si="312"/>
        <v>196.15384615384616</v>
      </c>
      <c r="Y807">
        <f t="shared" ca="1" si="313"/>
        <v>632.2835</v>
      </c>
      <c r="Z807">
        <f t="shared" ca="1" si="314"/>
        <v>2593.3605316486619</v>
      </c>
      <c r="AA807">
        <f t="shared" ca="1" si="315"/>
        <v>482.07306851378365</v>
      </c>
      <c r="AB807">
        <f t="shared" ca="1" si="316"/>
        <v>481.75391853125211</v>
      </c>
      <c r="AC807">
        <f t="shared" ca="1" si="317"/>
        <v>0</v>
      </c>
      <c r="AD807">
        <f ca="1">IF(V32="Supercritical",L807,U807)</f>
        <v>0.05</v>
      </c>
      <c r="AE807">
        <f t="shared" ca="1" si="318"/>
        <v>632.2835</v>
      </c>
      <c r="AF807">
        <f t="shared" ca="1" si="319"/>
        <v>2593.3605316486619</v>
      </c>
      <c r="AI807">
        <v>0</v>
      </c>
      <c r="AJ807">
        <v>0</v>
      </c>
      <c r="AK807">
        <f t="shared" si="320"/>
        <v>0</v>
      </c>
      <c r="AL807">
        <f t="shared" si="328"/>
        <v>0</v>
      </c>
      <c r="AM807">
        <f t="shared" ca="1" si="321"/>
        <v>280.07692026646265</v>
      </c>
      <c r="AN807" t="str">
        <f t="shared" ca="1" si="322"/>
        <v>Supercritical</v>
      </c>
      <c r="AO807">
        <f ca="1">IF(V32="Supercritical",R807,AA807)</f>
        <v>482.07306851378365</v>
      </c>
    </row>
    <row r="808" spans="1:41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174</v>
      </c>
      <c r="I808">
        <v>0.05</v>
      </c>
      <c r="J808">
        <f t="shared" si="323"/>
        <v>0.99900000000002365</v>
      </c>
      <c r="K808">
        <f t="shared" si="324"/>
        <v>51</v>
      </c>
      <c r="L808">
        <f t="shared" ca="1" si="325"/>
        <v>38818.204358234805</v>
      </c>
      <c r="M808">
        <f t="shared" ca="1" si="303"/>
        <v>201854.66266282101</v>
      </c>
      <c r="N808">
        <f t="shared" ca="1" si="304"/>
        <v>2.5998258665653187</v>
      </c>
      <c r="O808">
        <f t="shared" ca="1" si="305"/>
        <v>2.5265703217958678E-4</v>
      </c>
      <c r="P808">
        <f t="shared" ca="1" si="306"/>
        <v>39450.437358234805</v>
      </c>
      <c r="Q808">
        <f t="shared" ca="1" si="307"/>
        <v>39450.437358238058</v>
      </c>
      <c r="R808">
        <f t="shared" ca="1" si="308"/>
        <v>4.0177812261068627E-12</v>
      </c>
      <c r="S808">
        <f t="shared" ca="1" si="326"/>
        <v>3.1908625460346229E-3</v>
      </c>
      <c r="T808">
        <f t="shared" ca="1" si="327"/>
        <v>0</v>
      </c>
      <c r="U808">
        <f t="shared" ca="1" si="309"/>
        <v>0.05</v>
      </c>
      <c r="V808">
        <f t="shared" ca="1" si="310"/>
        <v>0.26</v>
      </c>
      <c r="W808">
        <f t="shared" ca="1" si="311"/>
        <v>4.9056603773584909E-2</v>
      </c>
      <c r="X808">
        <f t="shared" ca="1" si="312"/>
        <v>196.15384615384616</v>
      </c>
      <c r="Y808">
        <f t="shared" ca="1" si="313"/>
        <v>632.2829999999999</v>
      </c>
      <c r="Z808">
        <f t="shared" ca="1" si="314"/>
        <v>2593.3600316486618</v>
      </c>
      <c r="AA808">
        <f t="shared" ca="1" si="315"/>
        <v>482.07306851378365</v>
      </c>
      <c r="AB808">
        <f t="shared" ca="1" si="316"/>
        <v>482.32750852789832</v>
      </c>
      <c r="AC808">
        <f t="shared" ca="1" si="317"/>
        <v>0</v>
      </c>
      <c r="AD808">
        <f ca="1">IF(V32="Supercritical",L808,U808)</f>
        <v>0.05</v>
      </c>
      <c r="AE808">
        <f t="shared" ca="1" si="318"/>
        <v>632.2829999999999</v>
      </c>
      <c r="AF808">
        <f t="shared" ca="1" si="319"/>
        <v>2593.3600316486618</v>
      </c>
      <c r="AI808">
        <v>0</v>
      </c>
      <c r="AJ808">
        <v>0</v>
      </c>
      <c r="AK808">
        <f t="shared" si="320"/>
        <v>0</v>
      </c>
      <c r="AL808">
        <f t="shared" si="328"/>
        <v>0</v>
      </c>
      <c r="AM808">
        <f t="shared" ca="1" si="321"/>
        <v>280.07692026646265</v>
      </c>
      <c r="AN808" t="str">
        <f t="shared" ca="1" si="322"/>
        <v>Supercritical</v>
      </c>
      <c r="AO808">
        <f ca="1">IF(V32="Supercritical",R808,AA808)</f>
        <v>482.07306851378365</v>
      </c>
    </row>
    <row r="809" spans="1:41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174</v>
      </c>
      <c r="I809">
        <v>7.8E-2</v>
      </c>
      <c r="J809">
        <f t="shared" si="323"/>
        <v>1</v>
      </c>
      <c r="K809">
        <f t="shared" si="324"/>
        <v>51</v>
      </c>
      <c r="L809">
        <f t="shared" ca="1" si="325"/>
        <v>38818.204358234805</v>
      </c>
      <c r="M809">
        <f t="shared" ca="1" si="303"/>
        <v>201854.66266282101</v>
      </c>
      <c r="N809">
        <f t="shared" ca="1" si="304"/>
        <v>2.5998258665653187</v>
      </c>
      <c r="O809">
        <f t="shared" ca="1" si="305"/>
        <v>2.5265703217958678E-4</v>
      </c>
      <c r="P809">
        <f t="shared" ca="1" si="306"/>
        <v>39450.436858234803</v>
      </c>
      <c r="Q809">
        <f t="shared" ca="1" si="307"/>
        <v>39450.436858238056</v>
      </c>
      <c r="R809">
        <f t="shared" ca="1" si="308"/>
        <v>4.0177812261068627E-12</v>
      </c>
      <c r="S809">
        <f t="shared" ca="1" si="326"/>
        <v>4.999999946448952E-4</v>
      </c>
      <c r="T809">
        <f t="shared" ca="1" si="327"/>
        <v>1</v>
      </c>
      <c r="U809">
        <f t="shared" ca="1" si="309"/>
        <v>0.05</v>
      </c>
      <c r="V809">
        <f t="shared" ca="1" si="310"/>
        <v>0.26</v>
      </c>
      <c r="W809">
        <f t="shared" ca="1" si="311"/>
        <v>4.9056603773584909E-2</v>
      </c>
      <c r="X809">
        <f t="shared" ca="1" si="312"/>
        <v>196.15384615384616</v>
      </c>
      <c r="Y809">
        <f t="shared" ca="1" si="313"/>
        <v>632.28249999999991</v>
      </c>
      <c r="Z809">
        <f t="shared" ca="1" si="314"/>
        <v>2593.3595316486621</v>
      </c>
      <c r="AA809">
        <f t="shared" ca="1" si="315"/>
        <v>482.07306851378365</v>
      </c>
      <c r="AB809">
        <f t="shared" ca="1" si="316"/>
        <v>482.64289004871034</v>
      </c>
      <c r="AC809">
        <f t="shared" ca="1" si="317"/>
        <v>0</v>
      </c>
      <c r="AD809">
        <f ca="1">IF(V32="Supercritical",L809,U809)</f>
        <v>0.05</v>
      </c>
      <c r="AE809">
        <f t="shared" ca="1" si="318"/>
        <v>632.28249999999991</v>
      </c>
      <c r="AF809">
        <f t="shared" ca="1" si="319"/>
        <v>2593.3595316486621</v>
      </c>
      <c r="AI809">
        <v>0</v>
      </c>
      <c r="AJ809">
        <v>0</v>
      </c>
      <c r="AK809">
        <f t="shared" si="320"/>
        <v>0</v>
      </c>
      <c r="AL809">
        <f t="shared" si="328"/>
        <v>0</v>
      </c>
      <c r="AM809">
        <f t="shared" ca="1" si="321"/>
        <v>280.07692026646265</v>
      </c>
      <c r="AN809" t="str">
        <f t="shared" ca="1" si="322"/>
        <v>Supercritical</v>
      </c>
      <c r="AO809">
        <f ca="1">IF(V32="Supercritical",R809,AA809)</f>
        <v>482.07306851378365</v>
      </c>
    </row>
    <row r="810" spans="1:41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174</v>
      </c>
      <c r="I810">
        <v>2.7E-2</v>
      </c>
      <c r="J810">
        <f t="shared" si="323"/>
        <v>1.0009999999999764</v>
      </c>
      <c r="K810">
        <f t="shared" si="324"/>
        <v>51</v>
      </c>
      <c r="L810">
        <f t="shared" ca="1" si="325"/>
        <v>38818.201868587596</v>
      </c>
      <c r="M810">
        <f t="shared" ca="1" si="303"/>
        <v>201854.64971665549</v>
      </c>
      <c r="N810">
        <f t="shared" ca="1" si="304"/>
        <v>2.5998258665541512</v>
      </c>
      <c r="O810">
        <f t="shared" ca="1" si="305"/>
        <v>2.5265704838401787E-4</v>
      </c>
      <c r="P810">
        <f t="shared" ca="1" si="306"/>
        <v>39450.433868587599</v>
      </c>
      <c r="Q810">
        <f t="shared" ca="1" si="307"/>
        <v>39450.433868590851</v>
      </c>
      <c r="R810">
        <f t="shared" ca="1" si="308"/>
        <v>4.0177817414993493E-12</v>
      </c>
      <c r="S810">
        <f t="shared" ca="1" si="326"/>
        <v>2.9896471969550475E-3</v>
      </c>
      <c r="T810">
        <f t="shared" ca="1" si="327"/>
        <v>0</v>
      </c>
      <c r="U810">
        <f t="shared" ca="1" si="309"/>
        <v>0.05</v>
      </c>
      <c r="V810">
        <f t="shared" ca="1" si="310"/>
        <v>0.26</v>
      </c>
      <c r="W810">
        <f t="shared" ca="1" si="311"/>
        <v>4.9056603773584909E-2</v>
      </c>
      <c r="X810">
        <f t="shared" ca="1" si="312"/>
        <v>196.15384615384616</v>
      </c>
      <c r="Y810">
        <f t="shared" ca="1" si="313"/>
        <v>632.28199999999993</v>
      </c>
      <c r="Z810">
        <f t="shared" ca="1" si="314"/>
        <v>2593.359031648662</v>
      </c>
      <c r="AA810">
        <f t="shared" ca="1" si="315"/>
        <v>482.07306851378365</v>
      </c>
      <c r="AB810">
        <f t="shared" ca="1" si="316"/>
        <v>481.67874391170562</v>
      </c>
      <c r="AC810">
        <f t="shared" ca="1" si="317"/>
        <v>0</v>
      </c>
      <c r="AD810">
        <f ca="1">IF(V32="Supercritical",L810,U810)</f>
        <v>0.05</v>
      </c>
      <c r="AE810">
        <f t="shared" ca="1" si="318"/>
        <v>632.28199999999993</v>
      </c>
      <c r="AF810">
        <f t="shared" ca="1" si="319"/>
        <v>2593.359031648662</v>
      </c>
      <c r="AI810">
        <v>0</v>
      </c>
      <c r="AJ810">
        <v>0</v>
      </c>
      <c r="AK810">
        <f t="shared" si="320"/>
        <v>0</v>
      </c>
      <c r="AL810">
        <f t="shared" si="328"/>
        <v>0</v>
      </c>
      <c r="AM810">
        <f t="shared" ca="1" si="321"/>
        <v>280.07692026646265</v>
      </c>
      <c r="AN810" t="str">
        <f t="shared" ca="1" si="322"/>
        <v>Supercritical</v>
      </c>
      <c r="AO810">
        <f ca="1">IF(V32="Supercritical",R810,AA810)</f>
        <v>482.07306851378365</v>
      </c>
    </row>
    <row r="811" spans="1:41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174</v>
      </c>
      <c r="I811">
        <v>2.7E-2</v>
      </c>
      <c r="J811">
        <f t="shared" si="323"/>
        <v>0.99900000000002365</v>
      </c>
      <c r="K811">
        <f t="shared" si="324"/>
        <v>51</v>
      </c>
      <c r="L811">
        <f t="shared" ca="1" si="325"/>
        <v>38818.201868587596</v>
      </c>
      <c r="M811">
        <f t="shared" ca="1" si="303"/>
        <v>201854.64971665549</v>
      </c>
      <c r="N811">
        <f t="shared" ca="1" si="304"/>
        <v>2.5998258665541512</v>
      </c>
      <c r="O811">
        <f t="shared" ca="1" si="305"/>
        <v>2.5265704838401787E-4</v>
      </c>
      <c r="P811">
        <f t="shared" ca="1" si="306"/>
        <v>39450.433368587597</v>
      </c>
      <c r="Q811">
        <f t="shared" ca="1" si="307"/>
        <v>39450.43336859085</v>
      </c>
      <c r="R811">
        <f t="shared" ca="1" si="308"/>
        <v>4.0177817414993493E-12</v>
      </c>
      <c r="S811">
        <f t="shared" ca="1" si="326"/>
        <v>4.999999946448952E-4</v>
      </c>
      <c r="T811">
        <f t="shared" ca="1" si="327"/>
        <v>1</v>
      </c>
      <c r="U811">
        <f t="shared" ca="1" si="309"/>
        <v>0.05</v>
      </c>
      <c r="V811">
        <f t="shared" ca="1" si="310"/>
        <v>0.26</v>
      </c>
      <c r="W811">
        <f t="shared" ca="1" si="311"/>
        <v>4.9056603773584909E-2</v>
      </c>
      <c r="X811">
        <f t="shared" ca="1" si="312"/>
        <v>196.15384615384616</v>
      </c>
      <c r="Y811">
        <f t="shared" ca="1" si="313"/>
        <v>632.28149999999994</v>
      </c>
      <c r="Z811">
        <f t="shared" ca="1" si="314"/>
        <v>2593.3585316486619</v>
      </c>
      <c r="AA811">
        <f t="shared" ca="1" si="315"/>
        <v>482.07306851378365</v>
      </c>
      <c r="AB811">
        <f t="shared" ca="1" si="316"/>
        <v>482.32750852789832</v>
      </c>
      <c r="AC811">
        <f t="shared" ca="1" si="317"/>
        <v>0</v>
      </c>
      <c r="AD811">
        <f ca="1">IF(V32="Supercritical",L811,U811)</f>
        <v>0.05</v>
      </c>
      <c r="AE811">
        <f t="shared" ca="1" si="318"/>
        <v>632.28149999999994</v>
      </c>
      <c r="AF811">
        <f t="shared" ca="1" si="319"/>
        <v>2593.3585316486619</v>
      </c>
      <c r="AI811">
        <v>0</v>
      </c>
      <c r="AJ811">
        <v>0</v>
      </c>
      <c r="AK811">
        <f t="shared" si="320"/>
        <v>0</v>
      </c>
      <c r="AL811">
        <f t="shared" si="328"/>
        <v>0</v>
      </c>
      <c r="AM811">
        <f t="shared" ca="1" si="321"/>
        <v>280.07692026646265</v>
      </c>
      <c r="AN811" t="str">
        <f t="shared" ca="1" si="322"/>
        <v>Supercritical</v>
      </c>
      <c r="AO811">
        <f ca="1">IF(V32="Supercritical",R811,AA811)</f>
        <v>482.07306851378365</v>
      </c>
    </row>
    <row r="812" spans="1:41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174</v>
      </c>
      <c r="I812">
        <v>7.8E-2</v>
      </c>
      <c r="J812">
        <f t="shared" si="323"/>
        <v>1</v>
      </c>
      <c r="K812">
        <f t="shared" si="324"/>
        <v>51</v>
      </c>
      <c r="L812">
        <f t="shared" ca="1" si="325"/>
        <v>38818.199566471761</v>
      </c>
      <c r="M812">
        <f t="shared" ca="1" si="303"/>
        <v>201854.63774565316</v>
      </c>
      <c r="N812">
        <f t="shared" ca="1" si="304"/>
        <v>2.5998258665438247</v>
      </c>
      <c r="O812">
        <f t="shared" ca="1" si="305"/>
        <v>2.5265706336786043E-4</v>
      </c>
      <c r="P812">
        <f t="shared" ca="1" si="306"/>
        <v>39450.430566471761</v>
      </c>
      <c r="Q812">
        <f t="shared" ca="1" si="307"/>
        <v>39450.430566475014</v>
      </c>
      <c r="R812">
        <f t="shared" ca="1" si="308"/>
        <v>4.0177822180702536E-12</v>
      </c>
      <c r="S812">
        <f t="shared" ca="1" si="326"/>
        <v>2.8021158286719583E-3</v>
      </c>
      <c r="T812">
        <f t="shared" ca="1" si="327"/>
        <v>0</v>
      </c>
      <c r="U812">
        <f t="shared" ca="1" si="309"/>
        <v>0.05</v>
      </c>
      <c r="V812">
        <f t="shared" ca="1" si="310"/>
        <v>0.26</v>
      </c>
      <c r="W812">
        <f t="shared" ca="1" si="311"/>
        <v>4.9056603773584909E-2</v>
      </c>
      <c r="X812">
        <f t="shared" ca="1" si="312"/>
        <v>196.15384615384616</v>
      </c>
      <c r="Y812">
        <f t="shared" ca="1" si="313"/>
        <v>632.28099999999995</v>
      </c>
      <c r="Z812">
        <f t="shared" ca="1" si="314"/>
        <v>2593.3580316486623</v>
      </c>
      <c r="AA812">
        <f t="shared" ca="1" si="315"/>
        <v>482.07306851378365</v>
      </c>
      <c r="AB812">
        <f t="shared" ca="1" si="316"/>
        <v>482.23599159975447</v>
      </c>
      <c r="AC812">
        <f t="shared" ca="1" si="317"/>
        <v>0</v>
      </c>
      <c r="AD812">
        <f ca="1">IF(V32="Supercritical",L812,U812)</f>
        <v>0.05</v>
      </c>
      <c r="AE812">
        <f t="shared" ca="1" si="318"/>
        <v>632.28099999999995</v>
      </c>
      <c r="AF812">
        <f t="shared" ca="1" si="319"/>
        <v>2593.3580316486623</v>
      </c>
      <c r="AI812">
        <v>0</v>
      </c>
      <c r="AJ812">
        <v>0</v>
      </c>
      <c r="AK812">
        <f t="shared" si="320"/>
        <v>0</v>
      </c>
      <c r="AL812">
        <f t="shared" si="328"/>
        <v>0</v>
      </c>
      <c r="AM812">
        <f t="shared" ca="1" si="321"/>
        <v>280.07692026646265</v>
      </c>
      <c r="AN812" t="str">
        <f t="shared" ca="1" si="322"/>
        <v>Supercritical</v>
      </c>
      <c r="AO812">
        <f ca="1">IF(V32="Supercritical",R812,AA812)</f>
        <v>482.07306851378365</v>
      </c>
    </row>
    <row r="813" spans="1:41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174</v>
      </c>
      <c r="I813">
        <v>0.05</v>
      </c>
      <c r="J813">
        <f t="shared" si="323"/>
        <v>1</v>
      </c>
      <c r="K813">
        <f t="shared" si="324"/>
        <v>51</v>
      </c>
      <c r="L813">
        <f t="shared" ca="1" si="325"/>
        <v>38818.199566471761</v>
      </c>
      <c r="M813">
        <f t="shared" ca="1" si="303"/>
        <v>201854.63774565316</v>
      </c>
      <c r="N813">
        <f t="shared" ca="1" si="304"/>
        <v>2.5998258665438247</v>
      </c>
      <c r="O813">
        <f t="shared" ca="1" si="305"/>
        <v>2.5265706336786043E-4</v>
      </c>
      <c r="P813">
        <f t="shared" ca="1" si="306"/>
        <v>39450.430066471759</v>
      </c>
      <c r="Q813">
        <f t="shared" ca="1" si="307"/>
        <v>39450.430066475012</v>
      </c>
      <c r="R813">
        <f t="shared" ca="1" si="308"/>
        <v>4.0177822180702536E-12</v>
      </c>
      <c r="S813">
        <f t="shared" ca="1" si="326"/>
        <v>4.999999946448952E-4</v>
      </c>
      <c r="T813">
        <f t="shared" ca="1" si="327"/>
        <v>1</v>
      </c>
      <c r="U813">
        <f t="shared" ca="1" si="309"/>
        <v>0.05</v>
      </c>
      <c r="V813">
        <f t="shared" ca="1" si="310"/>
        <v>0.26</v>
      </c>
      <c r="W813">
        <f t="shared" ca="1" si="311"/>
        <v>4.9056603773584909E-2</v>
      </c>
      <c r="X813">
        <f t="shared" ca="1" si="312"/>
        <v>196.15384615384616</v>
      </c>
      <c r="Y813">
        <f t="shared" ca="1" si="313"/>
        <v>632.28049999999996</v>
      </c>
      <c r="Z813">
        <f t="shared" ca="1" si="314"/>
        <v>2593.3575316486622</v>
      </c>
      <c r="AA813">
        <f t="shared" ca="1" si="315"/>
        <v>482.07306851378365</v>
      </c>
      <c r="AB813">
        <f t="shared" ca="1" si="316"/>
        <v>482.16081698020798</v>
      </c>
      <c r="AC813">
        <f t="shared" ca="1" si="317"/>
        <v>0</v>
      </c>
      <c r="AD813">
        <f ca="1">IF(V32="Supercritical",L813,U813)</f>
        <v>0.05</v>
      </c>
      <c r="AE813">
        <f t="shared" ca="1" si="318"/>
        <v>632.28049999999996</v>
      </c>
      <c r="AF813">
        <f t="shared" ca="1" si="319"/>
        <v>2593.3575316486622</v>
      </c>
      <c r="AI813">
        <v>0</v>
      </c>
      <c r="AJ813">
        <v>0</v>
      </c>
      <c r="AK813">
        <f t="shared" si="320"/>
        <v>0</v>
      </c>
      <c r="AL813">
        <f t="shared" si="328"/>
        <v>0</v>
      </c>
      <c r="AM813">
        <f t="shared" ca="1" si="321"/>
        <v>280.07692026646265</v>
      </c>
      <c r="AN813" t="str">
        <f t="shared" ca="1" si="322"/>
        <v>Supercritical</v>
      </c>
      <c r="AO813">
        <f ca="1">IF(V32="Supercritical",R813,AA813)</f>
        <v>482.07306851378365</v>
      </c>
    </row>
    <row r="814" spans="1:41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174</v>
      </c>
      <c r="I814">
        <v>2.7E-2</v>
      </c>
      <c r="J814">
        <f t="shared" si="323"/>
        <v>1</v>
      </c>
      <c r="K814">
        <f t="shared" si="324"/>
        <v>51</v>
      </c>
      <c r="L814">
        <f t="shared" ca="1" si="325"/>
        <v>38818.197438403644</v>
      </c>
      <c r="M814">
        <f t="shared" ca="1" si="303"/>
        <v>201854.62667969897</v>
      </c>
      <c r="N814">
        <f t="shared" ca="1" si="304"/>
        <v>2.5998258665342795</v>
      </c>
      <c r="O814">
        <f t="shared" ca="1" si="305"/>
        <v>2.5265707721887554E-4</v>
      </c>
      <c r="P814">
        <f t="shared" ca="1" si="306"/>
        <v>39450.427438403647</v>
      </c>
      <c r="Q814">
        <f t="shared" ca="1" si="307"/>
        <v>39450.427438406899</v>
      </c>
      <c r="R814">
        <f t="shared" ca="1" si="308"/>
        <v>4.0177826586108643E-12</v>
      </c>
      <c r="S814">
        <f t="shared" ca="1" si="326"/>
        <v>2.6280681049684063E-3</v>
      </c>
      <c r="T814">
        <f t="shared" ca="1" si="327"/>
        <v>0</v>
      </c>
      <c r="U814">
        <f t="shared" ca="1" si="309"/>
        <v>0.05</v>
      </c>
      <c r="V814">
        <f t="shared" ca="1" si="310"/>
        <v>0.26</v>
      </c>
      <c r="W814">
        <f t="shared" ca="1" si="311"/>
        <v>4.9056603773584909E-2</v>
      </c>
      <c r="X814">
        <f t="shared" ca="1" si="312"/>
        <v>196.15384615384616</v>
      </c>
      <c r="Y814">
        <f t="shared" ca="1" si="313"/>
        <v>632.28</v>
      </c>
      <c r="Z814">
        <f t="shared" ca="1" si="314"/>
        <v>2593.3570316486621</v>
      </c>
      <c r="AA814">
        <f t="shared" ca="1" si="315"/>
        <v>482.07306851378365</v>
      </c>
      <c r="AB814">
        <f t="shared" ca="1" si="316"/>
        <v>482.16081698020798</v>
      </c>
      <c r="AC814">
        <f t="shared" ca="1" si="317"/>
        <v>0</v>
      </c>
      <c r="AD814">
        <f ca="1">IF(V32="Supercritical",L814,U814)</f>
        <v>0.05</v>
      </c>
      <c r="AE814">
        <f t="shared" ca="1" si="318"/>
        <v>632.28</v>
      </c>
      <c r="AF814">
        <f t="shared" ca="1" si="319"/>
        <v>2593.3570316486621</v>
      </c>
      <c r="AI814">
        <v>0</v>
      </c>
      <c r="AJ814">
        <v>0</v>
      </c>
      <c r="AK814">
        <f t="shared" si="320"/>
        <v>0</v>
      </c>
      <c r="AL814">
        <f t="shared" si="328"/>
        <v>0</v>
      </c>
      <c r="AM814">
        <f t="shared" ca="1" si="321"/>
        <v>280.07692026646265</v>
      </c>
      <c r="AN814" t="str">
        <f t="shared" ca="1" si="322"/>
        <v>Supercritical</v>
      </c>
      <c r="AO814">
        <f ca="1">IF(V32="Supercritical",R814,AA814)</f>
        <v>482.07306851378365</v>
      </c>
    </row>
    <row r="815" spans="1:41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174</v>
      </c>
      <c r="I815">
        <v>2.7E-2</v>
      </c>
      <c r="J815">
        <f t="shared" si="323"/>
        <v>1</v>
      </c>
      <c r="K815">
        <f t="shared" si="324"/>
        <v>51</v>
      </c>
      <c r="L815">
        <f t="shared" ca="1" si="325"/>
        <v>38818.197438403644</v>
      </c>
      <c r="M815">
        <f t="shared" ca="1" si="303"/>
        <v>201854.62667969897</v>
      </c>
      <c r="N815">
        <f t="shared" ca="1" si="304"/>
        <v>2.5998258665342795</v>
      </c>
      <c r="O815">
        <f t="shared" ca="1" si="305"/>
        <v>2.5265707721887554E-4</v>
      </c>
      <c r="P815">
        <f t="shared" ca="1" si="306"/>
        <v>39450.426938403645</v>
      </c>
      <c r="Q815">
        <f t="shared" ca="1" si="307"/>
        <v>39450.426938406898</v>
      </c>
      <c r="R815">
        <f t="shared" ca="1" si="308"/>
        <v>4.0177826586108643E-12</v>
      </c>
      <c r="S815">
        <f t="shared" ca="1" si="326"/>
        <v>4.999999946448952E-4</v>
      </c>
      <c r="T815">
        <f t="shared" ca="1" si="327"/>
        <v>1</v>
      </c>
      <c r="U815">
        <f t="shared" ca="1" si="309"/>
        <v>0.05</v>
      </c>
      <c r="V815">
        <f t="shared" ca="1" si="310"/>
        <v>0.26</v>
      </c>
      <c r="W815">
        <f t="shared" ca="1" si="311"/>
        <v>4.9056603773584909E-2</v>
      </c>
      <c r="X815">
        <f t="shared" ca="1" si="312"/>
        <v>196.15384615384616</v>
      </c>
      <c r="Y815">
        <f t="shared" ca="1" si="313"/>
        <v>632.27949999999998</v>
      </c>
      <c r="Z815">
        <f t="shared" ca="1" si="314"/>
        <v>2593.356531648662</v>
      </c>
      <c r="AA815">
        <f t="shared" ca="1" si="315"/>
        <v>482.07306851378365</v>
      </c>
      <c r="AB815">
        <f t="shared" ca="1" si="316"/>
        <v>482.16081698020798</v>
      </c>
      <c r="AC815">
        <f t="shared" ca="1" si="317"/>
        <v>0</v>
      </c>
      <c r="AD815">
        <f ca="1">IF(V32="Supercritical",L815,U815)</f>
        <v>0.05</v>
      </c>
      <c r="AE815">
        <f t="shared" ca="1" si="318"/>
        <v>632.27949999999998</v>
      </c>
      <c r="AF815">
        <f t="shared" ca="1" si="319"/>
        <v>2593.356531648662</v>
      </c>
      <c r="AI815">
        <v>0</v>
      </c>
      <c r="AJ815">
        <v>0</v>
      </c>
      <c r="AK815">
        <f t="shared" si="320"/>
        <v>0</v>
      </c>
      <c r="AL815">
        <f t="shared" si="328"/>
        <v>0</v>
      </c>
      <c r="AM815">
        <f t="shared" ca="1" si="321"/>
        <v>280.07692026646265</v>
      </c>
      <c r="AN815" t="str">
        <f t="shared" ca="1" si="322"/>
        <v>Supercritical</v>
      </c>
      <c r="AO815">
        <f ca="1">IF(V32="Supercritical",R815,AA815)</f>
        <v>482.07306851378365</v>
      </c>
    </row>
    <row r="816" spans="1:41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174</v>
      </c>
      <c r="I816">
        <v>2.7E-2</v>
      </c>
      <c r="J816">
        <f t="shared" si="323"/>
        <v>1</v>
      </c>
      <c r="K816">
        <f t="shared" si="324"/>
        <v>51</v>
      </c>
      <c r="L816">
        <f t="shared" ca="1" si="325"/>
        <v>38818.195471200008</v>
      </c>
      <c r="M816">
        <f t="shared" ca="1" si="303"/>
        <v>201854.61645024005</v>
      </c>
      <c r="N816">
        <f t="shared" ca="1" si="304"/>
        <v>2.5998258665254554</v>
      </c>
      <c r="O816">
        <f t="shared" ca="1" si="305"/>
        <v>2.5265709002286903E-4</v>
      </c>
      <c r="P816">
        <f t="shared" ca="1" si="306"/>
        <v>39450.424471200007</v>
      </c>
      <c r="Q816">
        <f t="shared" ca="1" si="307"/>
        <v>39450.42447120326</v>
      </c>
      <c r="R816">
        <f t="shared" ca="1" si="308"/>
        <v>4.0177830658502879E-12</v>
      </c>
      <c r="S816">
        <f t="shared" ca="1" si="326"/>
        <v>2.4672036306583323E-3</v>
      </c>
      <c r="T816">
        <f t="shared" ca="1" si="327"/>
        <v>0</v>
      </c>
      <c r="U816">
        <f t="shared" ca="1" si="309"/>
        <v>0.05</v>
      </c>
      <c r="V816">
        <f t="shared" ca="1" si="310"/>
        <v>0.26</v>
      </c>
      <c r="W816">
        <f t="shared" ca="1" si="311"/>
        <v>4.9056603773584909E-2</v>
      </c>
      <c r="X816">
        <f t="shared" ca="1" si="312"/>
        <v>196.15384615384616</v>
      </c>
      <c r="Y816">
        <f t="shared" ca="1" si="313"/>
        <v>632.279</v>
      </c>
      <c r="Z816">
        <f t="shared" ca="1" si="314"/>
        <v>2593.3560316486619</v>
      </c>
      <c r="AA816">
        <f t="shared" ca="1" si="315"/>
        <v>482.07306851378365</v>
      </c>
      <c r="AB816">
        <f t="shared" ca="1" si="316"/>
        <v>482.32750852789832</v>
      </c>
      <c r="AC816">
        <f t="shared" ca="1" si="317"/>
        <v>0</v>
      </c>
      <c r="AD816">
        <f ca="1">IF(V32="Supercritical",L816,U816)</f>
        <v>0.05</v>
      </c>
      <c r="AE816">
        <f t="shared" ca="1" si="318"/>
        <v>632.279</v>
      </c>
      <c r="AF816">
        <f t="shared" ca="1" si="319"/>
        <v>2593.3560316486619</v>
      </c>
      <c r="AI816">
        <v>0</v>
      </c>
      <c r="AJ816">
        <v>0</v>
      </c>
      <c r="AK816">
        <f t="shared" si="320"/>
        <v>0</v>
      </c>
      <c r="AL816">
        <f t="shared" si="328"/>
        <v>0</v>
      </c>
      <c r="AM816">
        <f t="shared" ca="1" si="321"/>
        <v>280.07692026646265</v>
      </c>
      <c r="AN816" t="str">
        <f t="shared" ca="1" si="322"/>
        <v>Supercritical</v>
      </c>
      <c r="AO816">
        <f ca="1">IF(V32="Supercritical",R816,AA816)</f>
        <v>482.07306851378365</v>
      </c>
    </row>
    <row r="817" spans="1:41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174</v>
      </c>
      <c r="I817">
        <v>7.8E-2</v>
      </c>
      <c r="J817">
        <f t="shared" si="323"/>
        <v>1</v>
      </c>
      <c r="K817">
        <f t="shared" si="324"/>
        <v>51</v>
      </c>
      <c r="L817">
        <f t="shared" ca="1" si="325"/>
        <v>38818.195471200008</v>
      </c>
      <c r="M817">
        <f t="shared" ca="1" si="303"/>
        <v>201854.61645024005</v>
      </c>
      <c r="N817">
        <f t="shared" ca="1" si="304"/>
        <v>2.5998258665254554</v>
      </c>
      <c r="O817">
        <f t="shared" ca="1" si="305"/>
        <v>2.5265709002286903E-4</v>
      </c>
      <c r="P817">
        <f t="shared" ca="1" si="306"/>
        <v>39450.423971200005</v>
      </c>
      <c r="Q817">
        <f t="shared" ca="1" si="307"/>
        <v>39450.423971203258</v>
      </c>
      <c r="R817">
        <f t="shared" ca="1" si="308"/>
        <v>4.0177830658502879E-12</v>
      </c>
      <c r="S817">
        <f t="shared" ca="1" si="326"/>
        <v>4.999999946448952E-4</v>
      </c>
      <c r="T817">
        <f t="shared" ca="1" si="327"/>
        <v>1</v>
      </c>
      <c r="U817">
        <f t="shared" ca="1" si="309"/>
        <v>0.05</v>
      </c>
      <c r="V817">
        <f t="shared" ca="1" si="310"/>
        <v>0.26</v>
      </c>
      <c r="W817">
        <f t="shared" ca="1" si="311"/>
        <v>4.9056603773584909E-2</v>
      </c>
      <c r="X817">
        <f t="shared" ca="1" si="312"/>
        <v>196.15384615384616</v>
      </c>
      <c r="Y817">
        <f t="shared" ca="1" si="313"/>
        <v>632.27850000000001</v>
      </c>
      <c r="Z817">
        <f t="shared" ca="1" si="314"/>
        <v>2593.3555316486622</v>
      </c>
      <c r="AA817">
        <f t="shared" ca="1" si="315"/>
        <v>482.07306851378365</v>
      </c>
      <c r="AB817">
        <f t="shared" ca="1" si="316"/>
        <v>482.23599159975447</v>
      </c>
      <c r="AC817">
        <f t="shared" ca="1" si="317"/>
        <v>0</v>
      </c>
      <c r="AD817">
        <f ca="1">IF(V32="Supercritical",L817,U817)</f>
        <v>0.05</v>
      </c>
      <c r="AE817">
        <f t="shared" ca="1" si="318"/>
        <v>632.27850000000001</v>
      </c>
      <c r="AF817">
        <f t="shared" ca="1" si="319"/>
        <v>2593.3555316486622</v>
      </c>
      <c r="AI817">
        <v>0</v>
      </c>
      <c r="AJ817">
        <v>0</v>
      </c>
      <c r="AK817">
        <f t="shared" si="320"/>
        <v>0</v>
      </c>
      <c r="AL817">
        <f t="shared" si="328"/>
        <v>0</v>
      </c>
      <c r="AM817">
        <f t="shared" ca="1" si="321"/>
        <v>280.07692026646265</v>
      </c>
      <c r="AN817" t="str">
        <f t="shared" ca="1" si="322"/>
        <v>Supercritical</v>
      </c>
      <c r="AO817">
        <f ca="1">IF(V32="Supercritical",R817,AA817)</f>
        <v>482.07306851378365</v>
      </c>
    </row>
    <row r="818" spans="1:41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174</v>
      </c>
      <c r="I818">
        <v>0.05</v>
      </c>
      <c r="J818">
        <f t="shared" si="323"/>
        <v>1</v>
      </c>
      <c r="K818">
        <f t="shared" si="324"/>
        <v>51</v>
      </c>
      <c r="L818">
        <f t="shared" ca="1" si="325"/>
        <v>38818.193652065565</v>
      </c>
      <c r="M818">
        <f t="shared" ca="1" si="303"/>
        <v>201854.60699074095</v>
      </c>
      <c r="N818">
        <f t="shared" ca="1" si="304"/>
        <v>2.5998258665172953</v>
      </c>
      <c r="O818">
        <f t="shared" ca="1" si="305"/>
        <v>2.5265710186312155E-4</v>
      </c>
      <c r="P818">
        <f t="shared" ca="1" si="306"/>
        <v>39450.421652065568</v>
      </c>
      <c r="Q818">
        <f t="shared" ca="1" si="307"/>
        <v>39450.421652068821</v>
      </c>
      <c r="R818">
        <f t="shared" ca="1" si="308"/>
        <v>4.0177834424373133E-12</v>
      </c>
      <c r="S818">
        <f t="shared" ca="1" si="326"/>
        <v>2.3191344298538752E-3</v>
      </c>
      <c r="T818">
        <f t="shared" ca="1" si="327"/>
        <v>0</v>
      </c>
      <c r="U818">
        <f t="shared" ca="1" si="309"/>
        <v>0.05</v>
      </c>
      <c r="V818">
        <f t="shared" ca="1" si="310"/>
        <v>0.26</v>
      </c>
      <c r="W818">
        <f t="shared" ca="1" si="311"/>
        <v>4.9056603773584909E-2</v>
      </c>
      <c r="X818">
        <f t="shared" ca="1" si="312"/>
        <v>196.15384615384616</v>
      </c>
      <c r="Y818">
        <f t="shared" ca="1" si="313"/>
        <v>632.27799999999991</v>
      </c>
      <c r="Z818">
        <f t="shared" ca="1" si="314"/>
        <v>2593.3550316486621</v>
      </c>
      <c r="AA818">
        <f t="shared" ca="1" si="315"/>
        <v>482.07306851378365</v>
      </c>
      <c r="AB818">
        <f t="shared" ca="1" si="316"/>
        <v>482.16081698020798</v>
      </c>
      <c r="AC818">
        <f t="shared" ca="1" si="317"/>
        <v>0</v>
      </c>
      <c r="AD818">
        <f ca="1">IF(V32="Supercritical",L818,U818)</f>
        <v>0.05</v>
      </c>
      <c r="AE818">
        <f t="shared" ca="1" si="318"/>
        <v>632.27799999999991</v>
      </c>
      <c r="AF818">
        <f t="shared" ca="1" si="319"/>
        <v>2593.3550316486621</v>
      </c>
      <c r="AI818">
        <v>0</v>
      </c>
      <c r="AJ818">
        <v>0</v>
      </c>
      <c r="AK818">
        <f t="shared" si="320"/>
        <v>0</v>
      </c>
      <c r="AL818">
        <f t="shared" si="328"/>
        <v>0</v>
      </c>
      <c r="AM818">
        <f t="shared" ca="1" si="321"/>
        <v>280.07692026646265</v>
      </c>
      <c r="AN818" t="str">
        <f t="shared" ca="1" si="322"/>
        <v>Supercritical</v>
      </c>
      <c r="AO818">
        <f ca="1">IF(V32="Supercritical",R818,AA818)</f>
        <v>482.07306851378365</v>
      </c>
    </row>
    <row r="819" spans="1:41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174</v>
      </c>
      <c r="I819">
        <v>2.7E-2</v>
      </c>
      <c r="J819">
        <f t="shared" si="323"/>
        <v>1</v>
      </c>
      <c r="K819">
        <f t="shared" si="324"/>
        <v>51</v>
      </c>
      <c r="L819">
        <f t="shared" ca="1" si="325"/>
        <v>38818.193652065565</v>
      </c>
      <c r="M819">
        <f t="shared" ca="1" si="303"/>
        <v>201854.60699074095</v>
      </c>
      <c r="N819">
        <f t="shared" ca="1" si="304"/>
        <v>2.5998258665172953</v>
      </c>
      <c r="O819">
        <f t="shared" ca="1" si="305"/>
        <v>2.5265710186312155E-4</v>
      </c>
      <c r="P819">
        <f t="shared" ca="1" si="306"/>
        <v>39450.421152065566</v>
      </c>
      <c r="Q819">
        <f t="shared" ca="1" si="307"/>
        <v>39450.421152068819</v>
      </c>
      <c r="R819">
        <f t="shared" ca="1" si="308"/>
        <v>4.0177834424373133E-12</v>
      </c>
      <c r="S819">
        <f t="shared" ca="1" si="326"/>
        <v>4.999999946448952E-4</v>
      </c>
      <c r="T819">
        <f t="shared" ca="1" si="327"/>
        <v>1</v>
      </c>
      <c r="U819">
        <f t="shared" ca="1" si="309"/>
        <v>0.05</v>
      </c>
      <c r="V819">
        <f t="shared" ca="1" si="310"/>
        <v>0.26</v>
      </c>
      <c r="W819">
        <f t="shared" ca="1" si="311"/>
        <v>4.9056603773584909E-2</v>
      </c>
      <c r="X819">
        <f t="shared" ca="1" si="312"/>
        <v>196.15384615384616</v>
      </c>
      <c r="Y819">
        <f t="shared" ca="1" si="313"/>
        <v>632.27749999999992</v>
      </c>
      <c r="Z819">
        <f t="shared" ca="1" si="314"/>
        <v>2593.354531648662</v>
      </c>
      <c r="AA819">
        <f t="shared" ca="1" si="315"/>
        <v>482.07306851378365</v>
      </c>
      <c r="AB819">
        <f t="shared" ca="1" si="316"/>
        <v>482.16081698020798</v>
      </c>
      <c r="AC819">
        <f t="shared" ca="1" si="317"/>
        <v>0</v>
      </c>
      <c r="AD819">
        <f ca="1">IF(V32="Supercritical",L819,U819)</f>
        <v>0.05</v>
      </c>
      <c r="AE819">
        <f t="shared" ca="1" si="318"/>
        <v>632.27749999999992</v>
      </c>
      <c r="AF819">
        <f t="shared" ca="1" si="319"/>
        <v>2593.354531648662</v>
      </c>
      <c r="AI819">
        <v>0</v>
      </c>
      <c r="AJ819">
        <v>0</v>
      </c>
      <c r="AK819">
        <f t="shared" si="320"/>
        <v>0</v>
      </c>
      <c r="AL819">
        <f t="shared" si="328"/>
        <v>0</v>
      </c>
      <c r="AM819">
        <f t="shared" ca="1" si="321"/>
        <v>280.07692026646265</v>
      </c>
      <c r="AN819" t="str">
        <f t="shared" ca="1" si="322"/>
        <v>Supercritical</v>
      </c>
      <c r="AO819">
        <f ca="1">IF(V32="Supercritical",R819,AA819)</f>
        <v>482.07306851378365</v>
      </c>
    </row>
    <row r="820" spans="1:41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174</v>
      </c>
      <c r="I820">
        <v>2.7E-2</v>
      </c>
      <c r="J820">
        <f t="shared" si="323"/>
        <v>1</v>
      </c>
      <c r="K820">
        <f t="shared" si="324"/>
        <v>51</v>
      </c>
      <c r="L820">
        <f t="shared" ca="1" si="325"/>
        <v>38818.191968667976</v>
      </c>
      <c r="M820">
        <f t="shared" ca="1" si="303"/>
        <v>201854.59823707349</v>
      </c>
      <c r="N820">
        <f t="shared" ca="1" si="304"/>
        <v>2.5998258665097445</v>
      </c>
      <c r="O820">
        <f t="shared" ca="1" si="305"/>
        <v>2.5265711281990066E-4</v>
      </c>
      <c r="P820">
        <f t="shared" ca="1" si="306"/>
        <v>39450.418968667975</v>
      </c>
      <c r="Q820">
        <f t="shared" ca="1" si="307"/>
        <v>39450.418968671227</v>
      </c>
      <c r="R820">
        <f t="shared" ca="1" si="308"/>
        <v>4.0177837909249042E-12</v>
      </c>
      <c r="S820">
        <f t="shared" ca="1" si="326"/>
        <v>2.1833975843037479E-3</v>
      </c>
      <c r="T820">
        <f t="shared" ca="1" si="327"/>
        <v>0</v>
      </c>
      <c r="U820">
        <f t="shared" ca="1" si="309"/>
        <v>0.05</v>
      </c>
      <c r="V820">
        <f t="shared" ca="1" si="310"/>
        <v>0.26</v>
      </c>
      <c r="W820">
        <f t="shared" ca="1" si="311"/>
        <v>4.9056603773584909E-2</v>
      </c>
      <c r="X820">
        <f t="shared" ca="1" si="312"/>
        <v>196.15384615384616</v>
      </c>
      <c r="Y820">
        <f t="shared" ca="1" si="313"/>
        <v>632.27699999999993</v>
      </c>
      <c r="Z820">
        <f t="shared" ca="1" si="314"/>
        <v>2593.3540316486619</v>
      </c>
      <c r="AA820">
        <f t="shared" ca="1" si="315"/>
        <v>482.07306851378365</v>
      </c>
      <c r="AB820">
        <f t="shared" ca="1" si="316"/>
        <v>482.14774313333055</v>
      </c>
      <c r="AC820">
        <f t="shared" ca="1" si="317"/>
        <v>0</v>
      </c>
      <c r="AD820">
        <f ca="1">IF(V32="Supercritical",L820,U820)</f>
        <v>0.05</v>
      </c>
      <c r="AE820">
        <f t="shared" ca="1" si="318"/>
        <v>632.27699999999993</v>
      </c>
      <c r="AF820">
        <f t="shared" ca="1" si="319"/>
        <v>2593.3540316486619</v>
      </c>
      <c r="AI820">
        <v>0</v>
      </c>
      <c r="AJ820">
        <v>0</v>
      </c>
      <c r="AK820">
        <f t="shared" si="320"/>
        <v>0</v>
      </c>
      <c r="AL820">
        <f t="shared" si="328"/>
        <v>0</v>
      </c>
      <c r="AM820">
        <f t="shared" ca="1" si="321"/>
        <v>280.07692026646265</v>
      </c>
      <c r="AN820" t="str">
        <f t="shared" ca="1" si="322"/>
        <v>Supercritical</v>
      </c>
      <c r="AO820">
        <f ca="1">IF(V32="Supercritical",R820,AA820)</f>
        <v>482.07306851378365</v>
      </c>
    </row>
    <row r="821" spans="1:41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174</v>
      </c>
      <c r="I821">
        <v>2.3E-2</v>
      </c>
      <c r="J821">
        <f t="shared" si="323"/>
        <v>1</v>
      </c>
      <c r="K821">
        <f t="shared" si="324"/>
        <v>51</v>
      </c>
      <c r="L821">
        <f t="shared" ca="1" si="325"/>
        <v>38818.191968667976</v>
      </c>
      <c r="M821">
        <f t="shared" ca="1" si="303"/>
        <v>201854.59823707349</v>
      </c>
      <c r="N821">
        <f t="shared" ca="1" si="304"/>
        <v>2.5998258665097445</v>
      </c>
      <c r="O821">
        <f t="shared" ca="1" si="305"/>
        <v>2.5265711281990066E-4</v>
      </c>
      <c r="P821">
        <f t="shared" ca="1" si="306"/>
        <v>39450.418468667973</v>
      </c>
      <c r="Q821">
        <f t="shared" ca="1" si="307"/>
        <v>39450.418468671225</v>
      </c>
      <c r="R821">
        <f t="shared" ca="1" si="308"/>
        <v>4.0177837909249042E-12</v>
      </c>
      <c r="S821">
        <f t="shared" ca="1" si="326"/>
        <v>4.999999946448952E-4</v>
      </c>
      <c r="T821">
        <f t="shared" ca="1" si="327"/>
        <v>1</v>
      </c>
      <c r="U821">
        <f t="shared" ca="1" si="309"/>
        <v>0.05</v>
      </c>
      <c r="V821">
        <f t="shared" ca="1" si="310"/>
        <v>0.26</v>
      </c>
      <c r="W821">
        <f t="shared" ca="1" si="311"/>
        <v>4.9056603773584909E-2</v>
      </c>
      <c r="X821">
        <f t="shared" ca="1" si="312"/>
        <v>196.15384615384616</v>
      </c>
      <c r="Y821">
        <f t="shared" ca="1" si="313"/>
        <v>632.27649999999994</v>
      </c>
      <c r="Z821">
        <f t="shared" ca="1" si="314"/>
        <v>2593.3535316486623</v>
      </c>
      <c r="AA821">
        <f t="shared" ca="1" si="315"/>
        <v>482.07306851378365</v>
      </c>
      <c r="AB821">
        <f t="shared" ca="1" si="316"/>
        <v>482.62981620183245</v>
      </c>
      <c r="AC821">
        <f t="shared" ca="1" si="317"/>
        <v>0</v>
      </c>
      <c r="AD821">
        <f ca="1">IF(V32="Supercritical",L821,U821)</f>
        <v>0.05</v>
      </c>
      <c r="AE821">
        <f t="shared" ca="1" si="318"/>
        <v>632.27649999999994</v>
      </c>
      <c r="AF821">
        <f t="shared" ca="1" si="319"/>
        <v>2593.3535316486623</v>
      </c>
      <c r="AI821">
        <v>0</v>
      </c>
      <c r="AJ821">
        <v>0</v>
      </c>
      <c r="AK821">
        <f t="shared" si="320"/>
        <v>0</v>
      </c>
      <c r="AL821">
        <f t="shared" si="328"/>
        <v>0</v>
      </c>
      <c r="AM821">
        <f t="shared" ca="1" si="321"/>
        <v>280.07692026646265</v>
      </c>
      <c r="AN821" t="str">
        <f t="shared" ca="1" si="322"/>
        <v>Supercritical</v>
      </c>
      <c r="AO821">
        <f ca="1">IF(V32="Supercritical",R821,AA821)</f>
        <v>482.07306851378365</v>
      </c>
    </row>
    <row r="822" spans="1:41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174</v>
      </c>
      <c r="I822">
        <v>2.3E-2</v>
      </c>
      <c r="J822">
        <f t="shared" si="323"/>
        <v>1.0009999999999764</v>
      </c>
      <c r="K822">
        <f t="shared" si="324"/>
        <v>51</v>
      </c>
      <c r="L822">
        <f t="shared" ca="1" si="325"/>
        <v>38818.190409199917</v>
      </c>
      <c r="M822">
        <f t="shared" ca="1" si="303"/>
        <v>201854.59012783956</v>
      </c>
      <c r="N822">
        <f t="shared" ca="1" si="304"/>
        <v>2.5998258665027492</v>
      </c>
      <c r="O822">
        <f t="shared" ca="1" si="305"/>
        <v>2.5265712297005692E-4</v>
      </c>
      <c r="P822">
        <f t="shared" ca="1" si="306"/>
        <v>39450.416409199919</v>
      </c>
      <c r="Q822">
        <f t="shared" ca="1" si="307"/>
        <v>39450.416409203171</v>
      </c>
      <c r="R822">
        <f t="shared" ca="1" si="308"/>
        <v>4.017784113757335E-12</v>
      </c>
      <c r="S822">
        <f t="shared" ca="1" si="326"/>
        <v>2.0594680463545956E-3</v>
      </c>
      <c r="T822">
        <f t="shared" ca="1" si="327"/>
        <v>0</v>
      </c>
      <c r="U822">
        <f t="shared" ca="1" si="309"/>
        <v>0.05</v>
      </c>
      <c r="V822">
        <f t="shared" ca="1" si="310"/>
        <v>0.26</v>
      </c>
      <c r="W822">
        <f t="shared" ca="1" si="311"/>
        <v>4.9056603773584909E-2</v>
      </c>
      <c r="X822">
        <f t="shared" ca="1" si="312"/>
        <v>196.15384615384616</v>
      </c>
      <c r="Y822">
        <f t="shared" ca="1" si="313"/>
        <v>632.27599999999995</v>
      </c>
      <c r="Z822">
        <f t="shared" ca="1" si="314"/>
        <v>2593.3530316486622</v>
      </c>
      <c r="AA822">
        <f t="shared" ca="1" si="315"/>
        <v>482.07306851378365</v>
      </c>
      <c r="AB822">
        <f t="shared" ca="1" si="316"/>
        <v>481.59049544528125</v>
      </c>
      <c r="AC822">
        <f t="shared" ca="1" si="317"/>
        <v>0</v>
      </c>
      <c r="AD822">
        <f ca="1">IF(V32="Supercritical",L822,U822)</f>
        <v>0.05</v>
      </c>
      <c r="AE822">
        <f t="shared" ca="1" si="318"/>
        <v>632.27599999999995</v>
      </c>
      <c r="AF822">
        <f t="shared" ca="1" si="319"/>
        <v>2593.3530316486622</v>
      </c>
      <c r="AI822">
        <v>0</v>
      </c>
      <c r="AJ822">
        <v>0</v>
      </c>
      <c r="AK822">
        <f t="shared" si="320"/>
        <v>0</v>
      </c>
      <c r="AL822">
        <f t="shared" si="328"/>
        <v>0</v>
      </c>
      <c r="AM822">
        <f t="shared" ca="1" si="321"/>
        <v>280.07692026646265</v>
      </c>
      <c r="AN822" t="str">
        <f t="shared" ca="1" si="322"/>
        <v>Supercritical</v>
      </c>
      <c r="AO822">
        <f ca="1">IF(V32="Supercritical",R822,AA822)</f>
        <v>482.07306851378365</v>
      </c>
    </row>
    <row r="823" spans="1:41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174</v>
      </c>
      <c r="I823">
        <v>0</v>
      </c>
      <c r="J823">
        <f t="shared" si="323"/>
        <v>0.99900000000002365</v>
      </c>
      <c r="K823">
        <f t="shared" si="324"/>
        <v>51</v>
      </c>
      <c r="L823">
        <f t="shared" ca="1" si="325"/>
        <v>38818.190409199917</v>
      </c>
      <c r="M823">
        <f t="shared" ca="1" si="303"/>
        <v>201854.59012783956</v>
      </c>
      <c r="N823">
        <f t="shared" ca="1" si="304"/>
        <v>2.5998258665027492</v>
      </c>
      <c r="O823">
        <f t="shared" ca="1" si="305"/>
        <v>2.5265712297005692E-4</v>
      </c>
      <c r="P823">
        <f t="shared" ca="1" si="306"/>
        <v>39450.415909199917</v>
      </c>
      <c r="Q823">
        <f t="shared" ca="1" si="307"/>
        <v>39450.41590920317</v>
      </c>
      <c r="R823">
        <f t="shared" ca="1" si="308"/>
        <v>4.017784113757335E-12</v>
      </c>
      <c r="S823">
        <f t="shared" ca="1" si="326"/>
        <v>4.999999946448952E-4</v>
      </c>
      <c r="T823">
        <f t="shared" ca="1" si="327"/>
        <v>1</v>
      </c>
      <c r="U823">
        <f t="shared" ca="1" si="309"/>
        <v>0.05</v>
      </c>
      <c r="V823">
        <f t="shared" ca="1" si="310"/>
        <v>0.26</v>
      </c>
      <c r="W823">
        <f t="shared" ca="1" si="311"/>
        <v>4.9056603773584909E-2</v>
      </c>
      <c r="X823">
        <f t="shared" ca="1" si="312"/>
        <v>196.15384615384616</v>
      </c>
      <c r="Y823">
        <f t="shared" ca="1" si="313"/>
        <v>632.27549999999997</v>
      </c>
      <c r="Z823">
        <f t="shared" ca="1" si="314"/>
        <v>2593.3525316486621</v>
      </c>
      <c r="AA823">
        <f t="shared" ca="1" si="315"/>
        <v>482.07306851378365</v>
      </c>
      <c r="AB823">
        <f t="shared" ca="1" si="316"/>
        <v>482.16081698020798</v>
      </c>
      <c r="AC823">
        <f t="shared" ca="1" si="317"/>
        <v>0</v>
      </c>
      <c r="AD823">
        <f ca="1">IF(V32="Supercritical",L823,U823)</f>
        <v>0.05</v>
      </c>
      <c r="AE823">
        <f t="shared" ca="1" si="318"/>
        <v>632.27549999999997</v>
      </c>
      <c r="AF823">
        <f t="shared" ca="1" si="319"/>
        <v>2593.3525316486621</v>
      </c>
      <c r="AI823">
        <v>0</v>
      </c>
      <c r="AJ823">
        <v>0</v>
      </c>
      <c r="AK823">
        <f t="shared" si="320"/>
        <v>0</v>
      </c>
      <c r="AL823">
        <f t="shared" si="328"/>
        <v>0</v>
      </c>
      <c r="AM823">
        <f t="shared" ca="1" si="321"/>
        <v>280.07692026646265</v>
      </c>
      <c r="AN823" t="str">
        <f t="shared" ca="1" si="322"/>
        <v>Supercritical</v>
      </c>
      <c r="AO823">
        <f ca="1">IF(V32="Supercritical",R823,AA823)</f>
        <v>482.07306851378365</v>
      </c>
    </row>
    <row r="824" spans="1:41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174</v>
      </c>
      <c r="I824">
        <v>2.7E-2</v>
      </c>
      <c r="J824">
        <f t="shared" si="323"/>
        <v>1</v>
      </c>
      <c r="K824">
        <f t="shared" si="324"/>
        <v>51</v>
      </c>
      <c r="L824">
        <f t="shared" ca="1" si="325"/>
        <v>38818.188962428729</v>
      </c>
      <c r="M824">
        <f t="shared" ca="1" si="303"/>
        <v>201854.5826046294</v>
      </c>
      <c r="N824">
        <f t="shared" ca="1" si="304"/>
        <v>2.5998258664962597</v>
      </c>
      <c r="O824">
        <f t="shared" ca="1" si="305"/>
        <v>2.5265713238670039E-4</v>
      </c>
      <c r="P824">
        <f t="shared" ca="1" si="306"/>
        <v>39450.413962428727</v>
      </c>
      <c r="Q824">
        <f t="shared" ca="1" si="307"/>
        <v>39450.41396243198</v>
      </c>
      <c r="R824">
        <f t="shared" ca="1" si="308"/>
        <v>4.0177844132599193E-12</v>
      </c>
      <c r="S824">
        <f t="shared" ca="1" si="326"/>
        <v>1.946771182701923E-3</v>
      </c>
      <c r="T824">
        <f t="shared" ca="1" si="327"/>
        <v>0</v>
      </c>
      <c r="U824">
        <f t="shared" ca="1" si="309"/>
        <v>0.05</v>
      </c>
      <c r="V824">
        <f t="shared" ca="1" si="310"/>
        <v>0.26</v>
      </c>
      <c r="W824">
        <f t="shared" ca="1" si="311"/>
        <v>4.9056603773584909E-2</v>
      </c>
      <c r="X824">
        <f t="shared" ca="1" si="312"/>
        <v>196.15384615384616</v>
      </c>
      <c r="Y824">
        <f t="shared" ca="1" si="313"/>
        <v>632.27499999999998</v>
      </c>
      <c r="Z824">
        <f t="shared" ca="1" si="314"/>
        <v>2593.352031648662</v>
      </c>
      <c r="AA824">
        <f t="shared" ca="1" si="315"/>
        <v>482.07306851378365</v>
      </c>
      <c r="AB824">
        <f t="shared" ca="1" si="316"/>
        <v>482.32750852789786</v>
      </c>
      <c r="AC824">
        <f t="shared" ca="1" si="317"/>
        <v>0</v>
      </c>
      <c r="AD824">
        <f ca="1">IF(V32="Supercritical",L824,U824)</f>
        <v>0.05</v>
      </c>
      <c r="AE824">
        <f t="shared" ca="1" si="318"/>
        <v>632.27499999999998</v>
      </c>
      <c r="AF824">
        <f t="shared" ca="1" si="319"/>
        <v>2593.352031648662</v>
      </c>
      <c r="AI824">
        <v>0</v>
      </c>
      <c r="AJ824">
        <v>0</v>
      </c>
      <c r="AK824">
        <f t="shared" si="320"/>
        <v>0</v>
      </c>
      <c r="AL824">
        <f t="shared" si="328"/>
        <v>0</v>
      </c>
      <c r="AM824">
        <f t="shared" ca="1" si="321"/>
        <v>280.07692026646265</v>
      </c>
      <c r="AN824" t="str">
        <f t="shared" ca="1" si="322"/>
        <v>Supercritical</v>
      </c>
      <c r="AO824">
        <f ca="1">IF(V32="Supercritical",R824,AA824)</f>
        <v>482.07306851378365</v>
      </c>
    </row>
    <row r="825" spans="1:41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174</v>
      </c>
      <c r="I825">
        <v>7.8E-2</v>
      </c>
      <c r="J825">
        <f t="shared" si="323"/>
        <v>1</v>
      </c>
      <c r="K825">
        <f t="shared" si="324"/>
        <v>51</v>
      </c>
      <c r="L825">
        <f t="shared" ca="1" si="325"/>
        <v>38818.188962428729</v>
      </c>
      <c r="M825">
        <f t="shared" ca="1" si="303"/>
        <v>201854.5826046294</v>
      </c>
      <c r="N825">
        <f t="shared" ca="1" si="304"/>
        <v>2.5998258664962597</v>
      </c>
      <c r="O825">
        <f t="shared" ca="1" si="305"/>
        <v>2.5265713238670039E-4</v>
      </c>
      <c r="P825">
        <f t="shared" ca="1" si="306"/>
        <v>39450.413462428725</v>
      </c>
      <c r="Q825">
        <f t="shared" ca="1" si="307"/>
        <v>39450.413462431978</v>
      </c>
      <c r="R825">
        <f t="shared" ca="1" si="308"/>
        <v>4.0177844132599193E-12</v>
      </c>
      <c r="S825">
        <f t="shared" ca="1" si="326"/>
        <v>4.999999946448952E-4</v>
      </c>
      <c r="T825">
        <f t="shared" ca="1" si="327"/>
        <v>1</v>
      </c>
      <c r="U825">
        <f t="shared" ca="1" si="309"/>
        <v>0.05</v>
      </c>
      <c r="V825">
        <f t="shared" ca="1" si="310"/>
        <v>0.26</v>
      </c>
      <c r="W825">
        <f t="shared" ca="1" si="311"/>
        <v>4.9056603773584909E-2</v>
      </c>
      <c r="X825">
        <f t="shared" ca="1" si="312"/>
        <v>196.15384615384616</v>
      </c>
      <c r="Y825">
        <f t="shared" ca="1" si="313"/>
        <v>632.27449999999999</v>
      </c>
      <c r="Z825">
        <f t="shared" ca="1" si="314"/>
        <v>2593.3515316486619</v>
      </c>
      <c r="AA825">
        <f t="shared" ca="1" si="315"/>
        <v>482.07306851378365</v>
      </c>
      <c r="AB825">
        <f t="shared" ca="1" si="316"/>
        <v>482.32750852789832</v>
      </c>
      <c r="AC825">
        <f t="shared" ca="1" si="317"/>
        <v>0</v>
      </c>
      <c r="AD825">
        <f ca="1">IF(V32="Supercritical",L825,U825)</f>
        <v>0.05</v>
      </c>
      <c r="AE825">
        <f t="shared" ca="1" si="318"/>
        <v>632.27449999999999</v>
      </c>
      <c r="AF825">
        <f t="shared" ca="1" si="319"/>
        <v>2593.3515316486619</v>
      </c>
      <c r="AI825">
        <v>0</v>
      </c>
      <c r="AJ825">
        <v>0</v>
      </c>
      <c r="AK825">
        <f t="shared" si="320"/>
        <v>0</v>
      </c>
      <c r="AL825">
        <f t="shared" si="328"/>
        <v>0</v>
      </c>
      <c r="AM825">
        <f t="shared" ca="1" si="321"/>
        <v>280.07692026646265</v>
      </c>
      <c r="AN825" t="str">
        <f t="shared" ca="1" si="322"/>
        <v>Supercritical</v>
      </c>
      <c r="AO825">
        <f ca="1">IF(V32="Supercritical",R825,AA825)</f>
        <v>482.07306851378365</v>
      </c>
    </row>
    <row r="826" spans="1:41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174</v>
      </c>
      <c r="I826">
        <v>7.8E-2</v>
      </c>
      <c r="J826">
        <f t="shared" si="323"/>
        <v>1</v>
      </c>
      <c r="K826">
        <f t="shared" si="324"/>
        <v>51</v>
      </c>
      <c r="L826">
        <f t="shared" ca="1" si="325"/>
        <v>38818.187617733725</v>
      </c>
      <c r="M826">
        <f t="shared" ca="1" si="303"/>
        <v>201854.57561221538</v>
      </c>
      <c r="N826">
        <f t="shared" ca="1" si="304"/>
        <v>2.5998258664902281</v>
      </c>
      <c r="O826">
        <f t="shared" ca="1" si="305"/>
        <v>2.5265714113895815E-4</v>
      </c>
      <c r="P826">
        <f t="shared" ca="1" si="306"/>
        <v>39450.411617733727</v>
      </c>
      <c r="Q826">
        <f t="shared" ca="1" si="307"/>
        <v>39450.41161773698</v>
      </c>
      <c r="R826">
        <f t="shared" ca="1" si="308"/>
        <v>4.0177846916312838E-12</v>
      </c>
      <c r="S826">
        <f t="shared" ca="1" si="326"/>
        <v>1.8446949907229282E-3</v>
      </c>
      <c r="T826">
        <f t="shared" ca="1" si="327"/>
        <v>0</v>
      </c>
      <c r="U826">
        <f t="shared" ca="1" si="309"/>
        <v>0.05</v>
      </c>
      <c r="V826">
        <f t="shared" ca="1" si="310"/>
        <v>0.26</v>
      </c>
      <c r="W826">
        <f t="shared" ca="1" si="311"/>
        <v>4.9056603773584909E-2</v>
      </c>
      <c r="X826">
        <f t="shared" ca="1" si="312"/>
        <v>196.15384615384616</v>
      </c>
      <c r="Y826">
        <f t="shared" ca="1" si="313"/>
        <v>632.274</v>
      </c>
      <c r="Z826">
        <f t="shared" ca="1" si="314"/>
        <v>2593.3510316486622</v>
      </c>
      <c r="AA826">
        <f t="shared" ca="1" si="315"/>
        <v>482.07306851378365</v>
      </c>
      <c r="AB826">
        <f t="shared" ca="1" si="316"/>
        <v>482.64289004871034</v>
      </c>
      <c r="AC826">
        <f t="shared" ca="1" si="317"/>
        <v>0</v>
      </c>
      <c r="AD826">
        <f ca="1">IF(V32="Supercritical",L826,U826)</f>
        <v>0.05</v>
      </c>
      <c r="AE826">
        <f t="shared" ca="1" si="318"/>
        <v>632.274</v>
      </c>
      <c r="AF826">
        <f t="shared" ca="1" si="319"/>
        <v>2593.3510316486622</v>
      </c>
      <c r="AI826">
        <v>0</v>
      </c>
      <c r="AJ826">
        <v>0</v>
      </c>
      <c r="AK826">
        <f t="shared" si="320"/>
        <v>0</v>
      </c>
      <c r="AL826">
        <f t="shared" si="328"/>
        <v>0</v>
      </c>
      <c r="AM826">
        <f t="shared" ca="1" si="321"/>
        <v>280.07692026646265</v>
      </c>
      <c r="AN826" t="str">
        <f t="shared" ca="1" si="322"/>
        <v>Supercritical</v>
      </c>
      <c r="AO826">
        <f ca="1">IF(V32="Supercritical",R826,AA826)</f>
        <v>482.07306851378365</v>
      </c>
    </row>
    <row r="827" spans="1:41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174</v>
      </c>
      <c r="I827">
        <v>2.7E-2</v>
      </c>
      <c r="J827">
        <f t="shared" si="323"/>
        <v>1.0009999999999764</v>
      </c>
      <c r="K827">
        <f t="shared" si="324"/>
        <v>51</v>
      </c>
      <c r="L827">
        <f t="shared" ca="1" si="325"/>
        <v>38818.187617733725</v>
      </c>
      <c r="M827">
        <f t="shared" ca="1" si="303"/>
        <v>201854.57561221538</v>
      </c>
      <c r="N827">
        <f t="shared" ca="1" si="304"/>
        <v>2.5998258664902281</v>
      </c>
      <c r="O827">
        <f t="shared" ca="1" si="305"/>
        <v>2.5265714113895815E-4</v>
      </c>
      <c r="P827">
        <f t="shared" ca="1" si="306"/>
        <v>39450.411117733725</v>
      </c>
      <c r="Q827">
        <f t="shared" ca="1" si="307"/>
        <v>39450.411117736978</v>
      </c>
      <c r="R827">
        <f t="shared" ca="1" si="308"/>
        <v>4.0177846916312838E-12</v>
      </c>
      <c r="S827">
        <f t="shared" ca="1" si="326"/>
        <v>4.999999946448952E-4</v>
      </c>
      <c r="T827">
        <f t="shared" ca="1" si="327"/>
        <v>1</v>
      </c>
      <c r="U827">
        <f t="shared" ca="1" si="309"/>
        <v>0.05</v>
      </c>
      <c r="V827">
        <f t="shared" ca="1" si="310"/>
        <v>0.26</v>
      </c>
      <c r="W827">
        <f t="shared" ca="1" si="311"/>
        <v>4.9056603773584909E-2</v>
      </c>
      <c r="X827">
        <f t="shared" ca="1" si="312"/>
        <v>196.15384615384616</v>
      </c>
      <c r="Y827">
        <f t="shared" ca="1" si="313"/>
        <v>632.2734999999999</v>
      </c>
      <c r="Z827">
        <f t="shared" ca="1" si="314"/>
        <v>2593.3505316486621</v>
      </c>
      <c r="AA827">
        <f t="shared" ca="1" si="315"/>
        <v>482.07306851378365</v>
      </c>
      <c r="AB827">
        <f t="shared" ca="1" si="316"/>
        <v>481.59049544528125</v>
      </c>
      <c r="AC827">
        <f t="shared" ca="1" si="317"/>
        <v>0</v>
      </c>
      <c r="AD827">
        <f ca="1">IF(V32="Supercritical",L827,U827)</f>
        <v>0.05</v>
      </c>
      <c r="AE827">
        <f t="shared" ca="1" si="318"/>
        <v>632.2734999999999</v>
      </c>
      <c r="AF827">
        <f t="shared" ca="1" si="319"/>
        <v>2593.3505316486621</v>
      </c>
      <c r="AI827">
        <v>0</v>
      </c>
      <c r="AJ827">
        <v>0</v>
      </c>
      <c r="AK827">
        <f t="shared" si="320"/>
        <v>0</v>
      </c>
      <c r="AL827">
        <f t="shared" si="328"/>
        <v>0</v>
      </c>
      <c r="AM827">
        <f t="shared" ca="1" si="321"/>
        <v>280.07692026646265</v>
      </c>
      <c r="AN827" t="str">
        <f t="shared" ca="1" si="322"/>
        <v>Supercritical</v>
      </c>
      <c r="AO827">
        <f ca="1">IF(V32="Supercritical",R827,AA827)</f>
        <v>482.07306851378365</v>
      </c>
    </row>
    <row r="828" spans="1:41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174</v>
      </c>
      <c r="I828">
        <v>0</v>
      </c>
      <c r="J828">
        <f t="shared" si="323"/>
        <v>0.99900000000002365</v>
      </c>
      <c r="K828">
        <f t="shared" si="324"/>
        <v>51</v>
      </c>
      <c r="L828">
        <f t="shared" ca="1" si="325"/>
        <v>38818.186365132235</v>
      </c>
      <c r="M828">
        <f t="shared" ca="1" si="303"/>
        <v>201854.56909868761</v>
      </c>
      <c r="N828">
        <f t="shared" ca="1" si="304"/>
        <v>2.599825866484609</v>
      </c>
      <c r="O828">
        <f t="shared" ca="1" si="305"/>
        <v>2.526571492918046E-4</v>
      </c>
      <c r="P828">
        <f t="shared" ca="1" si="306"/>
        <v>39450.409365132233</v>
      </c>
      <c r="Q828">
        <f t="shared" ca="1" si="307"/>
        <v>39450.409365135485</v>
      </c>
      <c r="R828">
        <f t="shared" ca="1" si="308"/>
        <v>4.0177849509379835E-12</v>
      </c>
      <c r="S828">
        <f t="shared" ca="1" si="326"/>
        <v>1.7526014853501692E-3</v>
      </c>
      <c r="T828">
        <f t="shared" ca="1" si="327"/>
        <v>0</v>
      </c>
      <c r="U828">
        <f t="shared" ca="1" si="309"/>
        <v>0.05</v>
      </c>
      <c r="V828">
        <f t="shared" ca="1" si="310"/>
        <v>0.26</v>
      </c>
      <c r="W828">
        <f t="shared" ca="1" si="311"/>
        <v>4.9056603773584909E-2</v>
      </c>
      <c r="X828">
        <f t="shared" ca="1" si="312"/>
        <v>196.15384615384616</v>
      </c>
      <c r="Y828">
        <f t="shared" ca="1" si="313"/>
        <v>632.27299999999991</v>
      </c>
      <c r="Z828">
        <f t="shared" ca="1" si="314"/>
        <v>2593.350031648662</v>
      </c>
      <c r="AA828">
        <f t="shared" ca="1" si="315"/>
        <v>482.07306851378365</v>
      </c>
      <c r="AB828">
        <f t="shared" ca="1" si="316"/>
        <v>482.16081698020798</v>
      </c>
      <c r="AC828">
        <f t="shared" ca="1" si="317"/>
        <v>0</v>
      </c>
      <c r="AD828">
        <f ca="1">IF(V32="Supercritical",L828,U828)</f>
        <v>0.05</v>
      </c>
      <c r="AE828">
        <f t="shared" ca="1" si="318"/>
        <v>632.27299999999991</v>
      </c>
      <c r="AF828">
        <f t="shared" ca="1" si="319"/>
        <v>2593.350031648662</v>
      </c>
      <c r="AI828">
        <v>0</v>
      </c>
      <c r="AJ828">
        <v>0</v>
      </c>
      <c r="AK828">
        <f t="shared" si="320"/>
        <v>0</v>
      </c>
      <c r="AL828">
        <f t="shared" si="328"/>
        <v>0</v>
      </c>
      <c r="AM828">
        <f t="shared" ca="1" si="321"/>
        <v>280.07692026646265</v>
      </c>
      <c r="AN828" t="str">
        <f t="shared" ca="1" si="322"/>
        <v>Supercritical</v>
      </c>
      <c r="AO828">
        <f ca="1">IF(V32="Supercritical",R828,AA828)</f>
        <v>482.07306851378365</v>
      </c>
    </row>
    <row r="829" spans="1:41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174</v>
      </c>
      <c r="I829">
        <v>2.7E-2</v>
      </c>
      <c r="J829">
        <f t="shared" si="323"/>
        <v>1</v>
      </c>
      <c r="K829">
        <f t="shared" si="324"/>
        <v>51</v>
      </c>
      <c r="L829">
        <f t="shared" ca="1" si="325"/>
        <v>38818.186365132235</v>
      </c>
      <c r="M829">
        <f t="shared" ca="1" si="303"/>
        <v>201854.56909868761</v>
      </c>
      <c r="N829">
        <f t="shared" ca="1" si="304"/>
        <v>2.599825866484609</v>
      </c>
      <c r="O829">
        <f t="shared" ca="1" si="305"/>
        <v>2.526571492918046E-4</v>
      </c>
      <c r="P829">
        <f t="shared" ca="1" si="306"/>
        <v>39450.408865132238</v>
      </c>
      <c r="Q829">
        <f t="shared" ca="1" si="307"/>
        <v>39450.40886513549</v>
      </c>
      <c r="R829">
        <f t="shared" ca="1" si="308"/>
        <v>4.0177849509379835E-12</v>
      </c>
      <c r="S829">
        <f t="shared" ca="1" si="326"/>
        <v>4.9999998736893758E-4</v>
      </c>
      <c r="T829">
        <f t="shared" ca="1" si="327"/>
        <v>1</v>
      </c>
      <c r="U829">
        <f t="shared" ca="1" si="309"/>
        <v>0.05</v>
      </c>
      <c r="V829">
        <f t="shared" ca="1" si="310"/>
        <v>0.26</v>
      </c>
      <c r="W829">
        <f t="shared" ca="1" si="311"/>
        <v>4.9056603773584909E-2</v>
      </c>
      <c r="X829">
        <f t="shared" ca="1" si="312"/>
        <v>196.15384615384616</v>
      </c>
      <c r="Y829">
        <f t="shared" ca="1" si="313"/>
        <v>632.27249999999992</v>
      </c>
      <c r="Z829">
        <f t="shared" ca="1" si="314"/>
        <v>2593.3495316486619</v>
      </c>
      <c r="AA829">
        <f t="shared" ca="1" si="315"/>
        <v>482.07306851378365</v>
      </c>
      <c r="AB829">
        <f t="shared" ca="1" si="316"/>
        <v>482.32750852789832</v>
      </c>
      <c r="AC829">
        <f t="shared" ca="1" si="317"/>
        <v>0</v>
      </c>
      <c r="AD829">
        <f ca="1">IF(V32="Supercritical",L829,U829)</f>
        <v>0.05</v>
      </c>
      <c r="AE829">
        <f t="shared" ca="1" si="318"/>
        <v>632.27249999999992</v>
      </c>
      <c r="AF829">
        <f t="shared" ca="1" si="319"/>
        <v>2593.3495316486619</v>
      </c>
      <c r="AI829">
        <v>0</v>
      </c>
      <c r="AJ829">
        <v>0</v>
      </c>
      <c r="AK829">
        <f t="shared" si="320"/>
        <v>0</v>
      </c>
      <c r="AL829">
        <f t="shared" si="328"/>
        <v>0</v>
      </c>
      <c r="AM829">
        <f t="shared" ca="1" si="321"/>
        <v>280.07692026646265</v>
      </c>
      <c r="AN829" t="str">
        <f t="shared" ca="1" si="322"/>
        <v>Supercritical</v>
      </c>
      <c r="AO829">
        <f ca="1">IF(V32="Supercritical",R829,AA829)</f>
        <v>482.07306851378365</v>
      </c>
    </row>
    <row r="830" spans="1:41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174</v>
      </c>
      <c r="I830">
        <v>7.8E-2</v>
      </c>
      <c r="J830">
        <f t="shared" si="323"/>
        <v>1</v>
      </c>
      <c r="K830">
        <f t="shared" si="324"/>
        <v>51</v>
      </c>
      <c r="L830">
        <f t="shared" ca="1" si="325"/>
        <v>38818.185195294725</v>
      </c>
      <c r="M830">
        <f t="shared" ca="1" si="303"/>
        <v>201854.56301553259</v>
      </c>
      <c r="N830">
        <f t="shared" ca="1" si="304"/>
        <v>2.5998258664793621</v>
      </c>
      <c r="O830">
        <f t="shared" ca="1" si="305"/>
        <v>2.5265715690596293E-4</v>
      </c>
      <c r="P830">
        <f t="shared" ca="1" si="306"/>
        <v>39450.407195294727</v>
      </c>
      <c r="Q830">
        <f t="shared" ca="1" si="307"/>
        <v>39450.407195297979</v>
      </c>
      <c r="R830">
        <f t="shared" ca="1" si="308"/>
        <v>4.0177851931113574E-12</v>
      </c>
      <c r="S830">
        <f t="shared" ca="1" si="326"/>
        <v>1.6698375038686208E-3</v>
      </c>
      <c r="T830">
        <f t="shared" ca="1" si="327"/>
        <v>0</v>
      </c>
      <c r="U830">
        <f t="shared" ca="1" si="309"/>
        <v>0.05</v>
      </c>
      <c r="V830">
        <f t="shared" ca="1" si="310"/>
        <v>0.26</v>
      </c>
      <c r="W830">
        <f t="shared" ca="1" si="311"/>
        <v>4.9056603773584909E-2</v>
      </c>
      <c r="X830">
        <f t="shared" ca="1" si="312"/>
        <v>196.15384615384616</v>
      </c>
      <c r="Y830">
        <f t="shared" ca="1" si="313"/>
        <v>632.27199999999993</v>
      </c>
      <c r="Z830">
        <f t="shared" ca="1" si="314"/>
        <v>2593.3490316486623</v>
      </c>
      <c r="AA830">
        <f t="shared" ca="1" si="315"/>
        <v>482.07306851378365</v>
      </c>
      <c r="AB830">
        <f t="shared" ca="1" si="316"/>
        <v>482.32750852789786</v>
      </c>
      <c r="AC830">
        <f t="shared" ca="1" si="317"/>
        <v>0</v>
      </c>
      <c r="AD830">
        <f ca="1">IF(V32="Supercritical",L830,U830)</f>
        <v>0.05</v>
      </c>
      <c r="AE830">
        <f t="shared" ca="1" si="318"/>
        <v>632.27199999999993</v>
      </c>
      <c r="AF830">
        <f t="shared" ca="1" si="319"/>
        <v>2593.3490316486623</v>
      </c>
      <c r="AI830">
        <v>0</v>
      </c>
      <c r="AJ830">
        <v>0</v>
      </c>
      <c r="AK830">
        <f t="shared" si="320"/>
        <v>0</v>
      </c>
      <c r="AL830">
        <f t="shared" si="328"/>
        <v>0</v>
      </c>
      <c r="AM830">
        <f t="shared" ca="1" si="321"/>
        <v>280.07692026646265</v>
      </c>
      <c r="AN830" t="str">
        <f t="shared" ca="1" si="322"/>
        <v>Supercritical</v>
      </c>
      <c r="AO830">
        <f ca="1">IF(V32="Supercritical",R830,AA830)</f>
        <v>482.07306851378365</v>
      </c>
    </row>
    <row r="831" spans="1:41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174</v>
      </c>
      <c r="I831">
        <v>7.8E-2</v>
      </c>
      <c r="J831">
        <f t="shared" si="323"/>
        <v>1</v>
      </c>
      <c r="K831">
        <f t="shared" si="324"/>
        <v>51</v>
      </c>
      <c r="L831">
        <f t="shared" ca="1" si="325"/>
        <v>38818.185195294725</v>
      </c>
      <c r="M831">
        <f t="shared" ca="1" si="303"/>
        <v>201854.56301553259</v>
      </c>
      <c r="N831">
        <f t="shared" ca="1" si="304"/>
        <v>2.5998258664793621</v>
      </c>
      <c r="O831">
        <f t="shared" ca="1" si="305"/>
        <v>2.5265715690596293E-4</v>
      </c>
      <c r="P831">
        <f t="shared" ca="1" si="306"/>
        <v>39450.406695294725</v>
      </c>
      <c r="Q831">
        <f t="shared" ca="1" si="307"/>
        <v>39450.406695297977</v>
      </c>
      <c r="R831">
        <f t="shared" ca="1" si="308"/>
        <v>4.0177851931113574E-12</v>
      </c>
      <c r="S831">
        <f t="shared" ca="1" si="326"/>
        <v>4.999999946448952E-4</v>
      </c>
      <c r="T831">
        <f t="shared" ca="1" si="327"/>
        <v>1</v>
      </c>
      <c r="U831">
        <f t="shared" ca="1" si="309"/>
        <v>0.05</v>
      </c>
      <c r="V831">
        <f t="shared" ca="1" si="310"/>
        <v>0.26</v>
      </c>
      <c r="W831">
        <f t="shared" ca="1" si="311"/>
        <v>4.9056603773584909E-2</v>
      </c>
      <c r="X831">
        <f t="shared" ca="1" si="312"/>
        <v>196.15384615384616</v>
      </c>
      <c r="Y831">
        <f t="shared" ca="1" si="313"/>
        <v>632.27149999999995</v>
      </c>
      <c r="Z831">
        <f t="shared" ca="1" si="314"/>
        <v>2593.3485316486622</v>
      </c>
      <c r="AA831">
        <f t="shared" ca="1" si="315"/>
        <v>482.07306851378365</v>
      </c>
      <c r="AB831">
        <f t="shared" ca="1" si="316"/>
        <v>482.64289004871034</v>
      </c>
      <c r="AC831">
        <f t="shared" ca="1" si="317"/>
        <v>0</v>
      </c>
      <c r="AD831">
        <f ca="1">IF(V32="Supercritical",L831,U831)</f>
        <v>0.05</v>
      </c>
      <c r="AE831">
        <f t="shared" ca="1" si="318"/>
        <v>632.27149999999995</v>
      </c>
      <c r="AF831">
        <f t="shared" ca="1" si="319"/>
        <v>2593.3485316486622</v>
      </c>
      <c r="AI831">
        <v>0</v>
      </c>
      <c r="AJ831">
        <v>0</v>
      </c>
      <c r="AK831">
        <f t="shared" si="320"/>
        <v>0</v>
      </c>
      <c r="AL831">
        <f t="shared" si="328"/>
        <v>0</v>
      </c>
      <c r="AM831">
        <f t="shared" ca="1" si="321"/>
        <v>280.07692026646265</v>
      </c>
      <c r="AN831" t="str">
        <f t="shared" ca="1" si="322"/>
        <v>Supercritical</v>
      </c>
      <c r="AO831">
        <f ca="1">IF(V32="Supercritical",R831,AA831)</f>
        <v>482.07306851378365</v>
      </c>
    </row>
    <row r="832" spans="1:41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174</v>
      </c>
      <c r="I832">
        <v>2.7E-2</v>
      </c>
      <c r="J832">
        <f t="shared" si="323"/>
        <v>1.0009999999999764</v>
      </c>
      <c r="K832">
        <f t="shared" si="324"/>
        <v>51</v>
      </c>
      <c r="L832">
        <f t="shared" ca="1" si="325"/>
        <v>38818.184099550315</v>
      </c>
      <c r="M832">
        <f t="shared" ca="1" si="303"/>
        <v>201854.55731766165</v>
      </c>
      <c r="N832">
        <f t="shared" ca="1" si="304"/>
        <v>2.5998258664744469</v>
      </c>
      <c r="O832">
        <f t="shared" ca="1" si="305"/>
        <v>2.5265716403786965E-4</v>
      </c>
      <c r="P832">
        <f t="shared" ca="1" si="306"/>
        <v>39450.405099550313</v>
      </c>
      <c r="Q832">
        <f t="shared" ca="1" si="307"/>
        <v>39450.405099553565</v>
      </c>
      <c r="R832">
        <f t="shared" ca="1" si="308"/>
        <v>4.0177854199464044E-12</v>
      </c>
      <c r="S832">
        <f t="shared" ca="1" si="326"/>
        <v>1.5957444047671743E-3</v>
      </c>
      <c r="T832">
        <f t="shared" ca="1" si="327"/>
        <v>0</v>
      </c>
      <c r="U832">
        <f t="shared" ca="1" si="309"/>
        <v>0.05</v>
      </c>
      <c r="V832">
        <f t="shared" ca="1" si="310"/>
        <v>0.26</v>
      </c>
      <c r="W832">
        <f t="shared" ca="1" si="311"/>
        <v>4.9056603773584909E-2</v>
      </c>
      <c r="X832">
        <f t="shared" ca="1" si="312"/>
        <v>196.15384615384616</v>
      </c>
      <c r="Y832">
        <f t="shared" ca="1" si="313"/>
        <v>632.27099999999996</v>
      </c>
      <c r="Z832">
        <f t="shared" ca="1" si="314"/>
        <v>2593.3480316486621</v>
      </c>
      <c r="AA832">
        <f t="shared" ca="1" si="315"/>
        <v>482.07306851378365</v>
      </c>
      <c r="AB832">
        <f t="shared" ca="1" si="316"/>
        <v>481.59049544528125</v>
      </c>
      <c r="AC832">
        <f t="shared" ca="1" si="317"/>
        <v>0</v>
      </c>
      <c r="AD832">
        <f ca="1">IF(V32="Supercritical",L832,U832)</f>
        <v>0.05</v>
      </c>
      <c r="AE832">
        <f t="shared" ca="1" si="318"/>
        <v>632.27099999999996</v>
      </c>
      <c r="AF832">
        <f t="shared" ca="1" si="319"/>
        <v>2593.3480316486621</v>
      </c>
      <c r="AI832">
        <v>0</v>
      </c>
      <c r="AJ832">
        <v>0</v>
      </c>
      <c r="AK832">
        <f t="shared" si="320"/>
        <v>0</v>
      </c>
      <c r="AL832">
        <f t="shared" si="328"/>
        <v>0</v>
      </c>
      <c r="AM832">
        <f t="shared" ca="1" si="321"/>
        <v>280.07692026646265</v>
      </c>
      <c r="AN832" t="str">
        <f t="shared" ca="1" si="322"/>
        <v>Supercritical</v>
      </c>
      <c r="AO832">
        <f ca="1">IF(V32="Supercritical",R832,AA832)</f>
        <v>482.07306851378365</v>
      </c>
    </row>
    <row r="833" spans="1:41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174</v>
      </c>
      <c r="I833">
        <v>0</v>
      </c>
      <c r="J833">
        <f t="shared" si="323"/>
        <v>0.99900000000002365</v>
      </c>
      <c r="K833">
        <f t="shared" si="324"/>
        <v>51</v>
      </c>
      <c r="L833">
        <f t="shared" ca="1" si="325"/>
        <v>38818.184099550315</v>
      </c>
      <c r="M833">
        <f t="shared" ca="1" si="303"/>
        <v>201854.55731766165</v>
      </c>
      <c r="N833">
        <f t="shared" ca="1" si="304"/>
        <v>2.5998258664744469</v>
      </c>
      <c r="O833">
        <f t="shared" ca="1" si="305"/>
        <v>2.5265716403786965E-4</v>
      </c>
      <c r="P833">
        <f t="shared" ca="1" si="306"/>
        <v>39450.404599550318</v>
      </c>
      <c r="Q833">
        <f t="shared" ca="1" si="307"/>
        <v>39450.404599553571</v>
      </c>
      <c r="R833">
        <f t="shared" ca="1" si="308"/>
        <v>4.0177854199464044E-12</v>
      </c>
      <c r="S833">
        <f t="shared" ca="1" si="326"/>
        <v>4.9999998736893758E-4</v>
      </c>
      <c r="T833">
        <f t="shared" ca="1" si="327"/>
        <v>1</v>
      </c>
      <c r="U833">
        <f t="shared" ca="1" si="309"/>
        <v>0.05</v>
      </c>
      <c r="V833">
        <f t="shared" ca="1" si="310"/>
        <v>0.26</v>
      </c>
      <c r="W833">
        <f t="shared" ca="1" si="311"/>
        <v>4.9056603773584909E-2</v>
      </c>
      <c r="X833">
        <f t="shared" ca="1" si="312"/>
        <v>196.15384615384616</v>
      </c>
      <c r="Y833">
        <f t="shared" ca="1" si="313"/>
        <v>632.27049999999997</v>
      </c>
      <c r="Z833">
        <f t="shared" ca="1" si="314"/>
        <v>2593.347531648662</v>
      </c>
      <c r="AA833">
        <f t="shared" ca="1" si="315"/>
        <v>482.07306851378365</v>
      </c>
      <c r="AB833">
        <f t="shared" ca="1" si="316"/>
        <v>482.1477431333301</v>
      </c>
      <c r="AC833">
        <f t="shared" ca="1" si="317"/>
        <v>0</v>
      </c>
      <c r="AD833">
        <f ca="1">IF(V32="Supercritical",L833,U833)</f>
        <v>0.05</v>
      </c>
      <c r="AE833">
        <f t="shared" ca="1" si="318"/>
        <v>632.27049999999997</v>
      </c>
      <c r="AF833">
        <f t="shared" ca="1" si="319"/>
        <v>2593.347531648662</v>
      </c>
      <c r="AI833">
        <v>0</v>
      </c>
      <c r="AJ833">
        <v>0</v>
      </c>
      <c r="AK833">
        <f t="shared" si="320"/>
        <v>0</v>
      </c>
      <c r="AL833">
        <f t="shared" si="328"/>
        <v>0</v>
      </c>
      <c r="AM833">
        <f t="shared" ca="1" si="321"/>
        <v>280.07692026646265</v>
      </c>
      <c r="AN833" t="str">
        <f t="shared" ca="1" si="322"/>
        <v>Supercritical</v>
      </c>
      <c r="AO833">
        <f ca="1">IF(V32="Supercritical",R833,AA833)</f>
        <v>482.07306851378365</v>
      </c>
    </row>
    <row r="834" spans="1:41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174</v>
      </c>
      <c r="I834">
        <v>2.3E-2</v>
      </c>
      <c r="J834">
        <f t="shared" si="323"/>
        <v>1</v>
      </c>
      <c r="K834">
        <f t="shared" si="324"/>
        <v>51</v>
      </c>
      <c r="L834">
        <f t="shared" ca="1" si="325"/>
        <v>38818.183069883598</v>
      </c>
      <c r="M834">
        <f t="shared" ca="1" si="303"/>
        <v>201854.55196339471</v>
      </c>
      <c r="N834">
        <f t="shared" ca="1" si="304"/>
        <v>2.5998258664698279</v>
      </c>
      <c r="O834">
        <f t="shared" ca="1" si="305"/>
        <v>2.5265717073969473E-4</v>
      </c>
      <c r="P834">
        <f t="shared" ca="1" si="306"/>
        <v>39450.4030698836</v>
      </c>
      <c r="Q834">
        <f t="shared" ca="1" si="307"/>
        <v>39450.403069886852</v>
      </c>
      <c r="R834">
        <f t="shared" ca="1" si="308"/>
        <v>4.017785633102427E-12</v>
      </c>
      <c r="S834">
        <f t="shared" ca="1" si="326"/>
        <v>1.529666711576283E-3</v>
      </c>
      <c r="T834">
        <f t="shared" ca="1" si="327"/>
        <v>0</v>
      </c>
      <c r="U834">
        <f t="shared" ca="1" si="309"/>
        <v>0.05</v>
      </c>
      <c r="V834">
        <f t="shared" ca="1" si="310"/>
        <v>0.26</v>
      </c>
      <c r="W834">
        <f t="shared" ca="1" si="311"/>
        <v>4.9056603773584909E-2</v>
      </c>
      <c r="X834">
        <f t="shared" ca="1" si="312"/>
        <v>196.15384615384616</v>
      </c>
      <c r="Y834">
        <f t="shared" ca="1" si="313"/>
        <v>632.27</v>
      </c>
      <c r="Z834">
        <f t="shared" ca="1" si="314"/>
        <v>2593.3470316486619</v>
      </c>
      <c r="AA834">
        <f t="shared" ca="1" si="315"/>
        <v>482.07306851378365</v>
      </c>
      <c r="AB834">
        <f t="shared" ca="1" si="316"/>
        <v>482.62981620183291</v>
      </c>
      <c r="AC834">
        <f t="shared" ca="1" si="317"/>
        <v>0</v>
      </c>
      <c r="AD834">
        <f ca="1">IF(V32="Supercritical",L834,U834)</f>
        <v>0.05</v>
      </c>
      <c r="AE834">
        <f t="shared" ca="1" si="318"/>
        <v>632.27</v>
      </c>
      <c r="AF834">
        <f t="shared" ca="1" si="319"/>
        <v>2593.3470316486619</v>
      </c>
      <c r="AI834">
        <v>0</v>
      </c>
      <c r="AJ834">
        <v>0</v>
      </c>
      <c r="AK834">
        <f t="shared" si="320"/>
        <v>0</v>
      </c>
      <c r="AL834">
        <f t="shared" si="328"/>
        <v>0</v>
      </c>
      <c r="AM834">
        <f t="shared" ca="1" si="321"/>
        <v>280.07692026646265</v>
      </c>
      <c r="AN834" t="str">
        <f t="shared" ca="1" si="322"/>
        <v>Supercritical</v>
      </c>
      <c r="AO834">
        <f ca="1">IF(V32="Supercritical",R834,AA834)</f>
        <v>482.07306851378365</v>
      </c>
    </row>
    <row r="835" spans="1:41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174</v>
      </c>
      <c r="I835">
        <v>2.3E-2</v>
      </c>
      <c r="J835">
        <f t="shared" si="323"/>
        <v>1.0009999999999764</v>
      </c>
      <c r="K835">
        <f t="shared" si="324"/>
        <v>51</v>
      </c>
      <c r="L835">
        <f t="shared" ca="1" si="325"/>
        <v>38818.183069883598</v>
      </c>
      <c r="M835">
        <f t="shared" ca="1" si="303"/>
        <v>201854.55196339471</v>
      </c>
      <c r="N835">
        <f t="shared" ca="1" si="304"/>
        <v>2.5998258664698279</v>
      </c>
      <c r="O835">
        <f t="shared" ca="1" si="305"/>
        <v>2.5265717073969473E-4</v>
      </c>
      <c r="P835">
        <f t="shared" ca="1" si="306"/>
        <v>39450.402569883598</v>
      </c>
      <c r="Q835">
        <f t="shared" ca="1" si="307"/>
        <v>39450.40256988685</v>
      </c>
      <c r="R835">
        <f t="shared" ca="1" si="308"/>
        <v>4.017785633102427E-12</v>
      </c>
      <c r="S835">
        <f t="shared" ca="1" si="326"/>
        <v>4.999999946448952E-4</v>
      </c>
      <c r="T835">
        <f t="shared" ca="1" si="327"/>
        <v>1</v>
      </c>
      <c r="U835">
        <f t="shared" ca="1" si="309"/>
        <v>0.05</v>
      </c>
      <c r="V835">
        <f t="shared" ca="1" si="310"/>
        <v>0.26</v>
      </c>
      <c r="W835">
        <f t="shared" ca="1" si="311"/>
        <v>4.9056603773584909E-2</v>
      </c>
      <c r="X835">
        <f t="shared" ca="1" si="312"/>
        <v>196.15384615384616</v>
      </c>
      <c r="Y835">
        <f t="shared" ca="1" si="313"/>
        <v>632.26949999999999</v>
      </c>
      <c r="Z835">
        <f t="shared" ca="1" si="314"/>
        <v>2593.3465316486622</v>
      </c>
      <c r="AA835">
        <f t="shared" ca="1" si="315"/>
        <v>482.07306851378365</v>
      </c>
      <c r="AB835">
        <f t="shared" ca="1" si="316"/>
        <v>481.67874391170562</v>
      </c>
      <c r="AC835">
        <f t="shared" ca="1" si="317"/>
        <v>0</v>
      </c>
      <c r="AD835">
        <f ca="1">IF(V32="Supercritical",L835,U835)</f>
        <v>0.05</v>
      </c>
      <c r="AE835">
        <f t="shared" ca="1" si="318"/>
        <v>632.26949999999999</v>
      </c>
      <c r="AF835">
        <f t="shared" ca="1" si="319"/>
        <v>2593.3465316486622</v>
      </c>
      <c r="AI835">
        <v>0</v>
      </c>
      <c r="AJ835">
        <v>0</v>
      </c>
      <c r="AK835">
        <f t="shared" si="320"/>
        <v>0</v>
      </c>
      <c r="AL835">
        <f t="shared" si="328"/>
        <v>0</v>
      </c>
      <c r="AM835">
        <f t="shared" ca="1" si="321"/>
        <v>280.07692026646265</v>
      </c>
      <c r="AN835" t="str">
        <f t="shared" ca="1" si="322"/>
        <v>Supercritical</v>
      </c>
      <c r="AO835">
        <f ca="1">IF(V32="Supercritical",R835,AA835)</f>
        <v>482.07306851378365</v>
      </c>
    </row>
    <row r="836" spans="1:41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174</v>
      </c>
      <c r="I836">
        <v>2.7E-2</v>
      </c>
      <c r="J836">
        <f t="shared" si="323"/>
        <v>0.99900000000002365</v>
      </c>
      <c r="K836">
        <f t="shared" si="324"/>
        <v>51</v>
      </c>
      <c r="L836">
        <f t="shared" ca="1" si="325"/>
        <v>38818.182098923782</v>
      </c>
      <c r="M836">
        <f t="shared" ca="1" si="303"/>
        <v>201854.54691440368</v>
      </c>
      <c r="N836">
        <f t="shared" ca="1" si="304"/>
        <v>2.5998258664654728</v>
      </c>
      <c r="O836">
        <f t="shared" ca="1" si="305"/>
        <v>2.5265717705941264E-4</v>
      </c>
      <c r="P836">
        <f t="shared" ca="1" si="306"/>
        <v>39450.40109892378</v>
      </c>
      <c r="Q836">
        <f t="shared" ca="1" si="307"/>
        <v>39450.401098927032</v>
      </c>
      <c r="R836">
        <f t="shared" ca="1" si="308"/>
        <v>4.0177858341052762E-12</v>
      </c>
      <c r="S836">
        <f t="shared" ca="1" si="326"/>
        <v>1.4709598108311184E-3</v>
      </c>
      <c r="T836">
        <f t="shared" ca="1" si="327"/>
        <v>0</v>
      </c>
      <c r="U836">
        <f t="shared" ca="1" si="309"/>
        <v>0.05</v>
      </c>
      <c r="V836">
        <f t="shared" ca="1" si="310"/>
        <v>0.26</v>
      </c>
      <c r="W836">
        <f t="shared" ca="1" si="311"/>
        <v>4.9056603773584909E-2</v>
      </c>
      <c r="X836">
        <f t="shared" ca="1" si="312"/>
        <v>196.15384615384616</v>
      </c>
      <c r="Y836">
        <f t="shared" ca="1" si="313"/>
        <v>632.26900000000001</v>
      </c>
      <c r="Z836">
        <f t="shared" ca="1" si="314"/>
        <v>2593.3460316486621</v>
      </c>
      <c r="AA836">
        <f t="shared" ca="1" si="315"/>
        <v>482.07306851378365</v>
      </c>
      <c r="AB836">
        <f t="shared" ca="1" si="316"/>
        <v>482.64289004871034</v>
      </c>
      <c r="AC836">
        <f t="shared" ca="1" si="317"/>
        <v>0</v>
      </c>
      <c r="AD836">
        <f ca="1">IF(V32="Supercritical",L836,U836)</f>
        <v>0.05</v>
      </c>
      <c r="AE836">
        <f t="shared" ca="1" si="318"/>
        <v>632.26900000000001</v>
      </c>
      <c r="AF836">
        <f t="shared" ca="1" si="319"/>
        <v>2593.3460316486621</v>
      </c>
      <c r="AI836">
        <v>0</v>
      </c>
      <c r="AJ836">
        <v>0</v>
      </c>
      <c r="AK836">
        <f t="shared" si="320"/>
        <v>0</v>
      </c>
      <c r="AL836">
        <f t="shared" si="328"/>
        <v>0</v>
      </c>
      <c r="AM836">
        <f t="shared" ca="1" si="321"/>
        <v>280.07692026646265</v>
      </c>
      <c r="AN836" t="str">
        <f t="shared" ca="1" si="322"/>
        <v>Supercritical</v>
      </c>
      <c r="AO836">
        <f ca="1">IF(V32="Supercritical",R836,AA836)</f>
        <v>482.07306851378365</v>
      </c>
    </row>
    <row r="837" spans="1:41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174</v>
      </c>
      <c r="I837">
        <v>2.7E-2</v>
      </c>
      <c r="J837">
        <f t="shared" si="323"/>
        <v>1.0009999999999764</v>
      </c>
      <c r="K837">
        <f t="shared" si="324"/>
        <v>51</v>
      </c>
      <c r="L837">
        <f t="shared" ca="1" si="325"/>
        <v>38818.182098923782</v>
      </c>
      <c r="M837">
        <f t="shared" ca="1" si="303"/>
        <v>201854.54691440368</v>
      </c>
      <c r="N837">
        <f t="shared" ca="1" si="304"/>
        <v>2.5998258664654728</v>
      </c>
      <c r="O837">
        <f t="shared" ca="1" si="305"/>
        <v>2.5265717705941264E-4</v>
      </c>
      <c r="P837">
        <f t="shared" ca="1" si="306"/>
        <v>39450.400598923785</v>
      </c>
      <c r="Q837">
        <f t="shared" ca="1" si="307"/>
        <v>39450.400598927037</v>
      </c>
      <c r="R837">
        <f t="shared" ca="1" si="308"/>
        <v>4.0177858341052762E-12</v>
      </c>
      <c r="S837">
        <f t="shared" ca="1" si="326"/>
        <v>4.9999998736893758E-4</v>
      </c>
      <c r="T837">
        <f t="shared" ca="1" si="327"/>
        <v>1</v>
      </c>
      <c r="U837">
        <f t="shared" ca="1" si="309"/>
        <v>0.05</v>
      </c>
      <c r="V837">
        <f t="shared" ca="1" si="310"/>
        <v>0.26</v>
      </c>
      <c r="W837">
        <f t="shared" ca="1" si="311"/>
        <v>4.9056603773584909E-2</v>
      </c>
      <c r="X837">
        <f t="shared" ca="1" si="312"/>
        <v>196.15384615384616</v>
      </c>
      <c r="Y837">
        <f t="shared" ca="1" si="313"/>
        <v>632.2684999999999</v>
      </c>
      <c r="Z837">
        <f t="shared" ca="1" si="314"/>
        <v>2593.345531648662</v>
      </c>
      <c r="AA837">
        <f t="shared" ca="1" si="315"/>
        <v>482.07306851378365</v>
      </c>
      <c r="AB837">
        <f t="shared" ca="1" si="316"/>
        <v>481.75391853125211</v>
      </c>
      <c r="AC837">
        <f t="shared" ca="1" si="317"/>
        <v>0</v>
      </c>
      <c r="AD837">
        <f ca="1">IF(V32="Supercritical",L837,U837)</f>
        <v>0.05</v>
      </c>
      <c r="AE837">
        <f t="shared" ca="1" si="318"/>
        <v>632.2684999999999</v>
      </c>
      <c r="AF837">
        <f t="shared" ca="1" si="319"/>
        <v>2593.345531648662</v>
      </c>
      <c r="AI837">
        <v>0</v>
      </c>
      <c r="AJ837">
        <v>0</v>
      </c>
      <c r="AK837">
        <f t="shared" si="320"/>
        <v>0</v>
      </c>
      <c r="AL837">
        <f t="shared" si="328"/>
        <v>0</v>
      </c>
      <c r="AM837">
        <f t="shared" ca="1" si="321"/>
        <v>280.07692026646265</v>
      </c>
      <c r="AN837" t="str">
        <f t="shared" ca="1" si="322"/>
        <v>Supercritical</v>
      </c>
      <c r="AO837">
        <f ca="1">IF(V32="Supercritical",R837,AA837)</f>
        <v>482.07306851378365</v>
      </c>
    </row>
    <row r="838" spans="1:41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174</v>
      </c>
      <c r="I838">
        <v>0.05</v>
      </c>
      <c r="J838">
        <f t="shared" si="323"/>
        <v>0.99900000000002365</v>
      </c>
      <c r="K838">
        <f t="shared" si="324"/>
        <v>51</v>
      </c>
      <c r="L838">
        <f t="shared" ca="1" si="325"/>
        <v>38818.18117992732</v>
      </c>
      <c r="M838">
        <f t="shared" ca="1" si="303"/>
        <v>201854.54213562206</v>
      </c>
      <c r="N838">
        <f t="shared" ca="1" si="304"/>
        <v>2.5998258664613507</v>
      </c>
      <c r="O838">
        <f t="shared" ca="1" si="305"/>
        <v>2.5265718304091526E-4</v>
      </c>
      <c r="P838">
        <f t="shared" ca="1" si="306"/>
        <v>39450.399179927321</v>
      </c>
      <c r="Q838">
        <f t="shared" ca="1" si="307"/>
        <v>39450.399179930573</v>
      </c>
      <c r="R838">
        <f t="shared" ca="1" si="308"/>
        <v>4.0177860243509687E-12</v>
      </c>
      <c r="S838">
        <f t="shared" ca="1" si="326"/>
        <v>1.4189964567776769E-3</v>
      </c>
      <c r="T838">
        <f t="shared" ca="1" si="327"/>
        <v>0</v>
      </c>
      <c r="U838">
        <f t="shared" ca="1" si="309"/>
        <v>0.05</v>
      </c>
      <c r="V838">
        <f t="shared" ca="1" si="310"/>
        <v>0.26</v>
      </c>
      <c r="W838">
        <f t="shared" ca="1" si="311"/>
        <v>4.9056603773584909E-2</v>
      </c>
      <c r="X838">
        <f t="shared" ca="1" si="312"/>
        <v>196.15384615384616</v>
      </c>
      <c r="Y838">
        <f t="shared" ca="1" si="313"/>
        <v>632.26799999999992</v>
      </c>
      <c r="Z838">
        <f t="shared" ca="1" si="314"/>
        <v>2593.3450316486619</v>
      </c>
      <c r="AA838">
        <f t="shared" ca="1" si="315"/>
        <v>482.07306851378365</v>
      </c>
      <c r="AB838">
        <f t="shared" ca="1" si="316"/>
        <v>482.32750852789832</v>
      </c>
      <c r="AC838">
        <f t="shared" ca="1" si="317"/>
        <v>0</v>
      </c>
      <c r="AD838">
        <f ca="1">IF(V32="Supercritical",L838,U838)</f>
        <v>0.05</v>
      </c>
      <c r="AE838">
        <f t="shared" ca="1" si="318"/>
        <v>632.26799999999992</v>
      </c>
      <c r="AF838">
        <f t="shared" ca="1" si="319"/>
        <v>2593.3450316486619</v>
      </c>
      <c r="AI838">
        <v>0</v>
      </c>
      <c r="AJ838">
        <v>0</v>
      </c>
      <c r="AK838">
        <f t="shared" si="320"/>
        <v>0</v>
      </c>
      <c r="AL838">
        <f t="shared" si="328"/>
        <v>0</v>
      </c>
      <c r="AM838">
        <f t="shared" ca="1" si="321"/>
        <v>280.07692026646265</v>
      </c>
      <c r="AN838" t="str">
        <f t="shared" ca="1" si="322"/>
        <v>Supercritical</v>
      </c>
      <c r="AO838">
        <f ca="1">IF(V32="Supercritical",R838,AA838)</f>
        <v>482.07306851378365</v>
      </c>
    </row>
    <row r="839" spans="1:41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174</v>
      </c>
      <c r="I839">
        <v>7.8E-2</v>
      </c>
      <c r="J839">
        <f t="shared" si="323"/>
        <v>1</v>
      </c>
      <c r="K839">
        <f t="shared" si="324"/>
        <v>51</v>
      </c>
      <c r="L839">
        <f t="shared" ca="1" si="325"/>
        <v>38818.18117992732</v>
      </c>
      <c r="M839">
        <f t="shared" ca="1" si="303"/>
        <v>201854.54213562206</v>
      </c>
      <c r="N839">
        <f t="shared" ca="1" si="304"/>
        <v>2.5998258664613507</v>
      </c>
      <c r="O839">
        <f t="shared" ca="1" si="305"/>
        <v>2.5265718304091526E-4</v>
      </c>
      <c r="P839">
        <f t="shared" ca="1" si="306"/>
        <v>39450.398679927319</v>
      </c>
      <c r="Q839">
        <f t="shared" ca="1" si="307"/>
        <v>39450.398679930571</v>
      </c>
      <c r="R839">
        <f t="shared" ca="1" si="308"/>
        <v>4.0177860243509687E-12</v>
      </c>
      <c r="S839">
        <f t="shared" ca="1" si="326"/>
        <v>4.999999946448952E-4</v>
      </c>
      <c r="T839">
        <f t="shared" ca="1" si="327"/>
        <v>1</v>
      </c>
      <c r="U839">
        <f t="shared" ca="1" si="309"/>
        <v>0.05</v>
      </c>
      <c r="V839">
        <f t="shared" ca="1" si="310"/>
        <v>0.26</v>
      </c>
      <c r="W839">
        <f t="shared" ca="1" si="311"/>
        <v>4.9056603773584909E-2</v>
      </c>
      <c r="X839">
        <f t="shared" ca="1" si="312"/>
        <v>196.15384615384616</v>
      </c>
      <c r="Y839">
        <f t="shared" ca="1" si="313"/>
        <v>632.26749999999993</v>
      </c>
      <c r="Z839">
        <f t="shared" ca="1" si="314"/>
        <v>2593.3445316486623</v>
      </c>
      <c r="AA839">
        <f t="shared" ca="1" si="315"/>
        <v>482.07306851378365</v>
      </c>
      <c r="AB839">
        <f t="shared" ca="1" si="316"/>
        <v>482.64289004871034</v>
      </c>
      <c r="AC839">
        <f t="shared" ca="1" si="317"/>
        <v>0</v>
      </c>
      <c r="AD839">
        <f ca="1">IF(V32="Supercritical",L839,U839)</f>
        <v>0.05</v>
      </c>
      <c r="AE839">
        <f t="shared" ca="1" si="318"/>
        <v>632.26749999999993</v>
      </c>
      <c r="AF839">
        <f t="shared" ca="1" si="319"/>
        <v>2593.3445316486623</v>
      </c>
      <c r="AI839">
        <v>0</v>
      </c>
      <c r="AJ839">
        <v>0</v>
      </c>
      <c r="AK839">
        <f t="shared" si="320"/>
        <v>0</v>
      </c>
      <c r="AL839">
        <f t="shared" si="328"/>
        <v>0</v>
      </c>
      <c r="AM839">
        <f t="shared" ca="1" si="321"/>
        <v>280.07692026646265</v>
      </c>
      <c r="AN839" t="str">
        <f t="shared" ca="1" si="322"/>
        <v>Supercritical</v>
      </c>
      <c r="AO839">
        <f ca="1">IF(V32="Supercritical",R839,AA839)</f>
        <v>482.07306851378365</v>
      </c>
    </row>
    <row r="840" spans="1:41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174</v>
      </c>
      <c r="I840">
        <v>2.7E-2</v>
      </c>
      <c r="J840">
        <f t="shared" si="323"/>
        <v>1.0009999999999764</v>
      </c>
      <c r="K840">
        <f t="shared" si="324"/>
        <v>51</v>
      </c>
      <c r="L840">
        <f t="shared" ca="1" si="325"/>
        <v>38818.180306755166</v>
      </c>
      <c r="M840">
        <f t="shared" ca="1" si="303"/>
        <v>201854.53759512687</v>
      </c>
      <c r="N840">
        <f t="shared" ca="1" si="304"/>
        <v>2.5998258664574339</v>
      </c>
      <c r="O840">
        <f t="shared" ca="1" si="305"/>
        <v>2.5265718872415993E-4</v>
      </c>
      <c r="P840">
        <f t="shared" ca="1" si="306"/>
        <v>39450.397306755163</v>
      </c>
      <c r="Q840">
        <f t="shared" ca="1" si="307"/>
        <v>39450.397306758416</v>
      </c>
      <c r="R840">
        <f t="shared" ca="1" si="308"/>
        <v>4.0177862051103721E-12</v>
      </c>
      <c r="S840">
        <f t="shared" ca="1" si="326"/>
        <v>1.3731721483054571E-3</v>
      </c>
      <c r="T840">
        <f t="shared" ca="1" si="327"/>
        <v>0</v>
      </c>
      <c r="U840">
        <f t="shared" ca="1" si="309"/>
        <v>0.05</v>
      </c>
      <c r="V840">
        <f t="shared" ca="1" si="310"/>
        <v>0.26</v>
      </c>
      <c r="W840">
        <f t="shared" ca="1" si="311"/>
        <v>4.9056603773584909E-2</v>
      </c>
      <c r="X840">
        <f t="shared" ca="1" si="312"/>
        <v>196.15384615384616</v>
      </c>
      <c r="Y840">
        <f t="shared" ca="1" si="313"/>
        <v>632.26699999999994</v>
      </c>
      <c r="Z840">
        <f t="shared" ca="1" si="314"/>
        <v>2593.3440316486622</v>
      </c>
      <c r="AA840">
        <f t="shared" ca="1" si="315"/>
        <v>482.07306851378365</v>
      </c>
      <c r="AB840">
        <f t="shared" ca="1" si="316"/>
        <v>481.67874391170562</v>
      </c>
      <c r="AC840">
        <f t="shared" ca="1" si="317"/>
        <v>0</v>
      </c>
      <c r="AD840">
        <f ca="1">IF(V32="Supercritical",L840,U840)</f>
        <v>0.05</v>
      </c>
      <c r="AE840">
        <f t="shared" ca="1" si="318"/>
        <v>632.26699999999994</v>
      </c>
      <c r="AF840">
        <f t="shared" ca="1" si="319"/>
        <v>2593.3440316486622</v>
      </c>
      <c r="AI840">
        <v>0</v>
      </c>
      <c r="AJ840">
        <v>0</v>
      </c>
      <c r="AK840">
        <f t="shared" si="320"/>
        <v>0</v>
      </c>
      <c r="AL840">
        <f t="shared" si="328"/>
        <v>0</v>
      </c>
      <c r="AM840">
        <f t="shared" ca="1" si="321"/>
        <v>280.07692026646265</v>
      </c>
      <c r="AN840" t="str">
        <f t="shared" ca="1" si="322"/>
        <v>Supercritical</v>
      </c>
      <c r="AO840">
        <f ca="1">IF(V32="Supercritical",R840,AA840)</f>
        <v>482.07306851378365</v>
      </c>
    </row>
    <row r="841" spans="1:41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174</v>
      </c>
      <c r="I841">
        <v>2.7E-2</v>
      </c>
      <c r="J841">
        <f t="shared" si="323"/>
        <v>0.99900000000002365</v>
      </c>
      <c r="K841">
        <f t="shared" si="324"/>
        <v>51</v>
      </c>
      <c r="L841">
        <f t="shared" ca="1" si="325"/>
        <v>38818.180306755166</v>
      </c>
      <c r="M841">
        <f t="shared" ca="1" si="303"/>
        <v>201854.53759512687</v>
      </c>
      <c r="N841">
        <f t="shared" ca="1" si="304"/>
        <v>2.5998258664574339</v>
      </c>
      <c r="O841">
        <f t="shared" ca="1" si="305"/>
        <v>2.5265718872415993E-4</v>
      </c>
      <c r="P841">
        <f t="shared" ca="1" si="306"/>
        <v>39450.396806755169</v>
      </c>
      <c r="Q841">
        <f t="shared" ca="1" si="307"/>
        <v>39450.396806758421</v>
      </c>
      <c r="R841">
        <f t="shared" ca="1" si="308"/>
        <v>4.0177862051103721E-12</v>
      </c>
      <c r="S841">
        <f t="shared" ca="1" si="326"/>
        <v>4.9999998736893758E-4</v>
      </c>
      <c r="T841">
        <f t="shared" ca="1" si="327"/>
        <v>1</v>
      </c>
      <c r="U841">
        <f t="shared" ca="1" si="309"/>
        <v>0.05</v>
      </c>
      <c r="V841">
        <f t="shared" ca="1" si="310"/>
        <v>0.26</v>
      </c>
      <c r="W841">
        <f t="shared" ca="1" si="311"/>
        <v>4.9056603773584909E-2</v>
      </c>
      <c r="X841">
        <f t="shared" ca="1" si="312"/>
        <v>196.15384615384616</v>
      </c>
      <c r="Y841">
        <f t="shared" ca="1" si="313"/>
        <v>632.26649999999995</v>
      </c>
      <c r="Z841">
        <f t="shared" ca="1" si="314"/>
        <v>2593.3435316486621</v>
      </c>
      <c r="AA841">
        <f t="shared" ca="1" si="315"/>
        <v>482.07306851378365</v>
      </c>
      <c r="AB841">
        <f t="shared" ca="1" si="316"/>
        <v>482.16081698020798</v>
      </c>
      <c r="AC841">
        <f t="shared" ca="1" si="317"/>
        <v>0</v>
      </c>
      <c r="AD841">
        <f ca="1">IF(V32="Supercritical",L841,U841)</f>
        <v>0.05</v>
      </c>
      <c r="AE841">
        <f t="shared" ca="1" si="318"/>
        <v>632.26649999999995</v>
      </c>
      <c r="AF841">
        <f t="shared" ca="1" si="319"/>
        <v>2593.3435316486621</v>
      </c>
      <c r="AI841">
        <v>0</v>
      </c>
      <c r="AJ841">
        <v>0</v>
      </c>
      <c r="AK841">
        <f t="shared" si="320"/>
        <v>0</v>
      </c>
      <c r="AL841">
        <f t="shared" si="328"/>
        <v>0</v>
      </c>
      <c r="AM841">
        <f t="shared" ca="1" si="321"/>
        <v>280.07692026646265</v>
      </c>
      <c r="AN841" t="str">
        <f t="shared" ca="1" si="322"/>
        <v>Supercritical</v>
      </c>
      <c r="AO841">
        <f ca="1">IF(V32="Supercritical",R841,AA841)</f>
        <v>482.07306851378365</v>
      </c>
    </row>
    <row r="842" spans="1:41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174</v>
      </c>
      <c r="I842">
        <v>2.7E-2</v>
      </c>
      <c r="J842">
        <f t="shared" si="323"/>
        <v>1</v>
      </c>
      <c r="K842">
        <f t="shared" si="324"/>
        <v>51</v>
      </c>
      <c r="L842">
        <f t="shared" ca="1" si="325"/>
        <v>38818.179473845667</v>
      </c>
      <c r="M842">
        <f t="shared" ca="1" si="303"/>
        <v>201854.53326399747</v>
      </c>
      <c r="N842">
        <f t="shared" ca="1" si="304"/>
        <v>2.5998258664536977</v>
      </c>
      <c r="O842">
        <f t="shared" ca="1" si="305"/>
        <v>2.5265719414534595E-4</v>
      </c>
      <c r="P842">
        <f t="shared" ca="1" si="306"/>
        <v>39450.395473845667</v>
      </c>
      <c r="Q842">
        <f t="shared" ca="1" si="307"/>
        <v>39450.395473848919</v>
      </c>
      <c r="R842">
        <f t="shared" ca="1" si="308"/>
        <v>4.0177863775348283E-12</v>
      </c>
      <c r="S842">
        <f t="shared" ca="1" si="326"/>
        <v>1.3329094945220277E-3</v>
      </c>
      <c r="T842">
        <f t="shared" ca="1" si="327"/>
        <v>0</v>
      </c>
      <c r="U842">
        <f t="shared" ca="1" si="309"/>
        <v>0.05</v>
      </c>
      <c r="V842">
        <f t="shared" ca="1" si="310"/>
        <v>0.26</v>
      </c>
      <c r="W842">
        <f t="shared" ca="1" si="311"/>
        <v>4.9056603773584909E-2</v>
      </c>
      <c r="X842">
        <f t="shared" ca="1" si="312"/>
        <v>196.15384615384616</v>
      </c>
      <c r="Y842">
        <f t="shared" ca="1" si="313"/>
        <v>632.26599999999996</v>
      </c>
      <c r="Z842">
        <f t="shared" ca="1" si="314"/>
        <v>2593.343031648662</v>
      </c>
      <c r="AA842">
        <f t="shared" ca="1" si="315"/>
        <v>482.07306851378365</v>
      </c>
      <c r="AB842">
        <f t="shared" ca="1" si="316"/>
        <v>482.23599159975447</v>
      </c>
      <c r="AC842">
        <f t="shared" ca="1" si="317"/>
        <v>0</v>
      </c>
      <c r="AD842">
        <f ca="1">IF(V32="Supercritical",L842,U842)</f>
        <v>0.05</v>
      </c>
      <c r="AE842">
        <f t="shared" ca="1" si="318"/>
        <v>632.26599999999996</v>
      </c>
      <c r="AF842">
        <f t="shared" ca="1" si="319"/>
        <v>2593.343031648662</v>
      </c>
      <c r="AI842">
        <v>0</v>
      </c>
      <c r="AJ842">
        <v>0</v>
      </c>
      <c r="AK842">
        <f t="shared" si="320"/>
        <v>0</v>
      </c>
      <c r="AL842">
        <f t="shared" si="328"/>
        <v>0</v>
      </c>
      <c r="AM842">
        <f t="shared" ca="1" si="321"/>
        <v>280.07692026646265</v>
      </c>
      <c r="AN842" t="str">
        <f t="shared" ca="1" si="322"/>
        <v>Supercritical</v>
      </c>
      <c r="AO842">
        <f ca="1">IF(V32="Supercritical",R842,AA842)</f>
        <v>482.07306851378365</v>
      </c>
    </row>
    <row r="843" spans="1:41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174</v>
      </c>
      <c r="I843">
        <v>0.05</v>
      </c>
      <c r="J843">
        <f t="shared" si="323"/>
        <v>1</v>
      </c>
      <c r="K843">
        <f t="shared" si="324"/>
        <v>51</v>
      </c>
      <c r="L843">
        <f t="shared" ca="1" si="325"/>
        <v>38818.179473845667</v>
      </c>
      <c r="M843">
        <f t="shared" ca="1" si="303"/>
        <v>201854.53326399747</v>
      </c>
      <c r="N843">
        <f t="shared" ca="1" si="304"/>
        <v>2.5998258664536977</v>
      </c>
      <c r="O843">
        <f t="shared" ca="1" si="305"/>
        <v>2.5265719414534595E-4</v>
      </c>
      <c r="P843">
        <f t="shared" ca="1" si="306"/>
        <v>39450.394973845665</v>
      </c>
      <c r="Q843">
        <f t="shared" ca="1" si="307"/>
        <v>39450.394973848917</v>
      </c>
      <c r="R843">
        <f t="shared" ca="1" si="308"/>
        <v>4.0177863775348283E-12</v>
      </c>
      <c r="S843">
        <f t="shared" ca="1" si="326"/>
        <v>4.999999946448952E-4</v>
      </c>
      <c r="T843">
        <f t="shared" ca="1" si="327"/>
        <v>1</v>
      </c>
      <c r="U843">
        <f t="shared" ca="1" si="309"/>
        <v>0.05</v>
      </c>
      <c r="V843">
        <f t="shared" ca="1" si="310"/>
        <v>0.26</v>
      </c>
      <c r="W843">
        <f t="shared" ca="1" si="311"/>
        <v>4.9056603773584909E-2</v>
      </c>
      <c r="X843">
        <f t="shared" ca="1" si="312"/>
        <v>196.15384615384616</v>
      </c>
      <c r="Y843">
        <f t="shared" ca="1" si="313"/>
        <v>632.26549999999997</v>
      </c>
      <c r="Z843">
        <f t="shared" ca="1" si="314"/>
        <v>2593.3425316486619</v>
      </c>
      <c r="AA843">
        <f t="shared" ca="1" si="315"/>
        <v>482.07306851378365</v>
      </c>
      <c r="AB843">
        <f t="shared" ca="1" si="316"/>
        <v>482.32750852789832</v>
      </c>
      <c r="AC843">
        <f t="shared" ca="1" si="317"/>
        <v>0</v>
      </c>
      <c r="AD843">
        <f ca="1">IF(V32="Supercritical",L843,U843)</f>
        <v>0.05</v>
      </c>
      <c r="AE843">
        <f t="shared" ca="1" si="318"/>
        <v>632.26549999999997</v>
      </c>
      <c r="AF843">
        <f t="shared" ca="1" si="319"/>
        <v>2593.3425316486619</v>
      </c>
      <c r="AI843">
        <v>0</v>
      </c>
      <c r="AJ843">
        <v>0</v>
      </c>
      <c r="AK843">
        <f t="shared" si="320"/>
        <v>0</v>
      </c>
      <c r="AL843">
        <f t="shared" si="328"/>
        <v>0</v>
      </c>
      <c r="AM843">
        <f t="shared" ca="1" si="321"/>
        <v>280.07692026646265</v>
      </c>
      <c r="AN843" t="str">
        <f t="shared" ca="1" si="322"/>
        <v>Supercritical</v>
      </c>
      <c r="AO843">
        <f ca="1">IF(V32="Supercritical",R843,AA843)</f>
        <v>482.07306851378365</v>
      </c>
    </row>
    <row r="844" spans="1:41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174</v>
      </c>
      <c r="I844">
        <v>7.8E-2</v>
      </c>
      <c r="J844">
        <f t="shared" si="323"/>
        <v>1</v>
      </c>
      <c r="K844">
        <f t="shared" si="324"/>
        <v>51</v>
      </c>
      <c r="L844">
        <f t="shared" ca="1" si="325"/>
        <v>38818.178676184049</v>
      </c>
      <c r="M844">
        <f t="shared" ca="1" si="303"/>
        <v>201854.52911615706</v>
      </c>
      <c r="N844">
        <f t="shared" ca="1" si="304"/>
        <v>2.5998258664501201</v>
      </c>
      <c r="O844">
        <f t="shared" ca="1" si="305"/>
        <v>2.526571993371131E-4</v>
      </c>
      <c r="P844">
        <f t="shared" ca="1" si="306"/>
        <v>39450.393676184045</v>
      </c>
      <c r="Q844">
        <f t="shared" ca="1" si="307"/>
        <v>39450.393676187297</v>
      </c>
      <c r="R844">
        <f t="shared" ca="1" si="308"/>
        <v>4.0177865426624649E-12</v>
      </c>
      <c r="S844">
        <f t="shared" ca="1" si="326"/>
        <v>1.2976616126252338E-3</v>
      </c>
      <c r="T844">
        <f t="shared" ca="1" si="327"/>
        <v>0</v>
      </c>
      <c r="U844">
        <f t="shared" ca="1" si="309"/>
        <v>0.05</v>
      </c>
      <c r="V844">
        <f t="shared" ca="1" si="310"/>
        <v>0.26</v>
      </c>
      <c r="W844">
        <f t="shared" ca="1" si="311"/>
        <v>4.9056603773584909E-2</v>
      </c>
      <c r="X844">
        <f t="shared" ca="1" si="312"/>
        <v>196.15384615384616</v>
      </c>
      <c r="Y844">
        <f t="shared" ca="1" si="313"/>
        <v>632.26499999999999</v>
      </c>
      <c r="Z844">
        <f t="shared" ca="1" si="314"/>
        <v>2593.3420316486622</v>
      </c>
      <c r="AA844">
        <f t="shared" ca="1" si="315"/>
        <v>482.07306851378365</v>
      </c>
      <c r="AB844">
        <f t="shared" ca="1" si="316"/>
        <v>482.16081698020798</v>
      </c>
      <c r="AC844">
        <f t="shared" ca="1" si="317"/>
        <v>0</v>
      </c>
      <c r="AD844">
        <f ca="1">IF(V32="Supercritical",L844,U844)</f>
        <v>0.05</v>
      </c>
      <c r="AE844">
        <f t="shared" ca="1" si="318"/>
        <v>632.26499999999999</v>
      </c>
      <c r="AF844">
        <f t="shared" ca="1" si="319"/>
        <v>2593.3420316486622</v>
      </c>
      <c r="AI844">
        <v>0</v>
      </c>
      <c r="AJ844">
        <v>0</v>
      </c>
      <c r="AK844">
        <f t="shared" si="320"/>
        <v>0</v>
      </c>
      <c r="AL844">
        <f t="shared" si="328"/>
        <v>0</v>
      </c>
      <c r="AM844">
        <f t="shared" ca="1" si="321"/>
        <v>280.07692026646265</v>
      </c>
      <c r="AN844" t="str">
        <f t="shared" ca="1" si="322"/>
        <v>Supercritical</v>
      </c>
      <c r="AO844">
        <f ca="1">IF(V32="Supercritical",R844,AA844)</f>
        <v>482.07306851378365</v>
      </c>
    </row>
    <row r="845" spans="1:41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174</v>
      </c>
      <c r="I845">
        <v>2.7E-2</v>
      </c>
      <c r="J845">
        <f t="shared" si="323"/>
        <v>1</v>
      </c>
      <c r="K845">
        <f t="shared" si="324"/>
        <v>51</v>
      </c>
      <c r="L845">
        <f t="shared" ca="1" si="325"/>
        <v>38818.178676184049</v>
      </c>
      <c r="M845">
        <f t="shared" ca="1" si="303"/>
        <v>201854.52911615706</v>
      </c>
      <c r="N845">
        <f t="shared" ca="1" si="304"/>
        <v>2.5998258664501201</v>
      </c>
      <c r="O845">
        <f t="shared" ca="1" si="305"/>
        <v>2.526571993371131E-4</v>
      </c>
      <c r="P845">
        <f t="shared" ca="1" si="306"/>
        <v>39450.39317618405</v>
      </c>
      <c r="Q845">
        <f t="shared" ca="1" si="307"/>
        <v>39450.393176187303</v>
      </c>
      <c r="R845">
        <f t="shared" ca="1" si="308"/>
        <v>4.0177865426624649E-12</v>
      </c>
      <c r="S845">
        <f t="shared" ca="1" si="326"/>
        <v>4.9999998736893758E-4</v>
      </c>
      <c r="T845">
        <f t="shared" ca="1" si="327"/>
        <v>1</v>
      </c>
      <c r="U845">
        <f t="shared" ca="1" si="309"/>
        <v>0.05</v>
      </c>
      <c r="V845">
        <f t="shared" ca="1" si="310"/>
        <v>0.26</v>
      </c>
      <c r="W845">
        <f t="shared" ca="1" si="311"/>
        <v>4.9056603773584909E-2</v>
      </c>
      <c r="X845">
        <f t="shared" ca="1" si="312"/>
        <v>196.15384615384616</v>
      </c>
      <c r="Y845">
        <f t="shared" ca="1" si="313"/>
        <v>632.2645</v>
      </c>
      <c r="Z845">
        <f t="shared" ca="1" si="314"/>
        <v>2593.3415316486621</v>
      </c>
      <c r="AA845">
        <f t="shared" ca="1" si="315"/>
        <v>482.07306851378365</v>
      </c>
      <c r="AB845">
        <f t="shared" ca="1" si="316"/>
        <v>482.16081698020798</v>
      </c>
      <c r="AC845">
        <f t="shared" ca="1" si="317"/>
        <v>0</v>
      </c>
      <c r="AD845">
        <f ca="1">IF(V32="Supercritical",L845,U845)</f>
        <v>0.05</v>
      </c>
      <c r="AE845">
        <f t="shared" ca="1" si="318"/>
        <v>632.2645</v>
      </c>
      <c r="AF845">
        <f t="shared" ca="1" si="319"/>
        <v>2593.3415316486621</v>
      </c>
      <c r="AI845">
        <v>0</v>
      </c>
      <c r="AJ845">
        <v>0</v>
      </c>
      <c r="AK845">
        <f t="shared" si="320"/>
        <v>0</v>
      </c>
      <c r="AL845">
        <f t="shared" si="328"/>
        <v>0</v>
      </c>
      <c r="AM845">
        <f t="shared" ca="1" si="321"/>
        <v>280.07692026646265</v>
      </c>
      <c r="AN845" t="str">
        <f t="shared" ca="1" si="322"/>
        <v>Supercritical</v>
      </c>
      <c r="AO845">
        <f ca="1">IF(V32="Supercritical",R845,AA845)</f>
        <v>482.07306851378365</v>
      </c>
    </row>
    <row r="846" spans="1:41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174</v>
      </c>
      <c r="I846">
        <v>2.7E-2</v>
      </c>
      <c r="J846">
        <f t="shared" si="323"/>
        <v>1</v>
      </c>
      <c r="K846">
        <f t="shared" si="324"/>
        <v>51</v>
      </c>
      <c r="L846">
        <f t="shared" ca="1" si="325"/>
        <v>38818.177909269652</v>
      </c>
      <c r="M846">
        <f t="shared" ca="1" si="303"/>
        <v>201854.52512820219</v>
      </c>
      <c r="N846">
        <f t="shared" ca="1" si="304"/>
        <v>2.5998258664466798</v>
      </c>
      <c r="O846">
        <f t="shared" ca="1" si="305"/>
        <v>2.5265720432875502E-4</v>
      </c>
      <c r="P846">
        <f t="shared" ca="1" si="306"/>
        <v>39450.391909269652</v>
      </c>
      <c r="Q846">
        <f t="shared" ca="1" si="307"/>
        <v>39450.391909272905</v>
      </c>
      <c r="R846">
        <f t="shared" ca="1" si="308"/>
        <v>4.0177867014249912E-12</v>
      </c>
      <c r="S846">
        <f t="shared" ca="1" si="326"/>
        <v>1.266914390726015E-3</v>
      </c>
      <c r="T846">
        <f t="shared" ca="1" si="327"/>
        <v>0</v>
      </c>
      <c r="U846">
        <f t="shared" ca="1" si="309"/>
        <v>0.05</v>
      </c>
      <c r="V846">
        <f t="shared" ca="1" si="310"/>
        <v>0.26</v>
      </c>
      <c r="W846">
        <f t="shared" ca="1" si="311"/>
        <v>4.9056603773584909E-2</v>
      </c>
      <c r="X846">
        <f t="shared" ca="1" si="312"/>
        <v>196.15384615384616</v>
      </c>
      <c r="Y846">
        <f t="shared" ca="1" si="313"/>
        <v>632.26400000000001</v>
      </c>
      <c r="Z846">
        <f t="shared" ca="1" si="314"/>
        <v>2593.341031648662</v>
      </c>
      <c r="AA846">
        <f t="shared" ca="1" si="315"/>
        <v>482.07306851378365</v>
      </c>
      <c r="AB846">
        <f t="shared" ca="1" si="316"/>
        <v>482.32750852789786</v>
      </c>
      <c r="AC846">
        <f t="shared" ca="1" si="317"/>
        <v>0</v>
      </c>
      <c r="AD846">
        <f ca="1">IF(V32="Supercritical",L846,U846)</f>
        <v>0.05</v>
      </c>
      <c r="AE846">
        <f t="shared" ca="1" si="318"/>
        <v>632.26400000000001</v>
      </c>
      <c r="AF846">
        <f t="shared" ca="1" si="319"/>
        <v>2593.341031648662</v>
      </c>
      <c r="AI846">
        <v>0</v>
      </c>
      <c r="AJ846">
        <v>0</v>
      </c>
      <c r="AK846">
        <f t="shared" si="320"/>
        <v>0</v>
      </c>
      <c r="AL846">
        <f t="shared" si="328"/>
        <v>0</v>
      </c>
      <c r="AM846">
        <f t="shared" ca="1" si="321"/>
        <v>280.07692026646265</v>
      </c>
      <c r="AN846" t="str">
        <f t="shared" ca="1" si="322"/>
        <v>Supercritical</v>
      </c>
      <c r="AO846">
        <f ca="1">IF(V32="Supercritical",R846,AA846)</f>
        <v>482.07306851378365</v>
      </c>
    </row>
    <row r="847" spans="1:41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174</v>
      </c>
      <c r="I847">
        <v>7.8E-2</v>
      </c>
      <c r="J847">
        <f t="shared" si="323"/>
        <v>1</v>
      </c>
      <c r="K847">
        <f t="shared" si="324"/>
        <v>51</v>
      </c>
      <c r="L847">
        <f t="shared" ca="1" si="325"/>
        <v>38818.177909269652</v>
      </c>
      <c r="M847">
        <f t="shared" ca="1" si="303"/>
        <v>201854.52512820219</v>
      </c>
      <c r="N847">
        <f t="shared" ca="1" si="304"/>
        <v>2.5998258664466798</v>
      </c>
      <c r="O847">
        <f t="shared" ca="1" si="305"/>
        <v>2.5265720432875502E-4</v>
      </c>
      <c r="P847">
        <f t="shared" ca="1" si="306"/>
        <v>39450.39140926965</v>
      </c>
      <c r="Q847">
        <f t="shared" ca="1" si="307"/>
        <v>39450.391409272903</v>
      </c>
      <c r="R847">
        <f t="shared" ca="1" si="308"/>
        <v>4.0177867014249912E-12</v>
      </c>
      <c r="S847">
        <f t="shared" ca="1" si="326"/>
        <v>4.999999946448952E-4</v>
      </c>
      <c r="T847">
        <f t="shared" ca="1" si="327"/>
        <v>1</v>
      </c>
      <c r="U847">
        <f t="shared" ca="1" si="309"/>
        <v>0.05</v>
      </c>
      <c r="V847">
        <f t="shared" ca="1" si="310"/>
        <v>0.26</v>
      </c>
      <c r="W847">
        <f t="shared" ca="1" si="311"/>
        <v>4.9056603773584909E-2</v>
      </c>
      <c r="X847">
        <f t="shared" ca="1" si="312"/>
        <v>196.15384615384616</v>
      </c>
      <c r="Y847">
        <f t="shared" ca="1" si="313"/>
        <v>632.26349999999991</v>
      </c>
      <c r="Z847">
        <f t="shared" ca="1" si="314"/>
        <v>2593.3405316486619</v>
      </c>
      <c r="AA847">
        <f t="shared" ca="1" si="315"/>
        <v>482.07306851378365</v>
      </c>
      <c r="AB847">
        <f t="shared" ca="1" si="316"/>
        <v>482.23599159975493</v>
      </c>
      <c r="AC847">
        <f t="shared" ca="1" si="317"/>
        <v>0</v>
      </c>
      <c r="AD847">
        <f ca="1">IF(V32="Supercritical",L847,U847)</f>
        <v>0.05</v>
      </c>
      <c r="AE847">
        <f t="shared" ca="1" si="318"/>
        <v>632.26349999999991</v>
      </c>
      <c r="AF847">
        <f t="shared" ca="1" si="319"/>
        <v>2593.3405316486619</v>
      </c>
      <c r="AI847">
        <v>0</v>
      </c>
      <c r="AJ847">
        <v>0</v>
      </c>
      <c r="AK847">
        <f t="shared" si="320"/>
        <v>0</v>
      </c>
      <c r="AL847">
        <f t="shared" si="328"/>
        <v>0</v>
      </c>
      <c r="AM847">
        <f t="shared" ca="1" si="321"/>
        <v>280.07692026646265</v>
      </c>
      <c r="AN847" t="str">
        <f t="shared" ca="1" si="322"/>
        <v>Supercritical</v>
      </c>
      <c r="AO847">
        <f ca="1">IF(V32="Supercritical",R847,AA847)</f>
        <v>482.07306851378365</v>
      </c>
    </row>
    <row r="848" spans="1:41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174</v>
      </c>
      <c r="I848">
        <v>0.05</v>
      </c>
      <c r="J848">
        <f t="shared" si="323"/>
        <v>1</v>
      </c>
      <c r="K848">
        <f t="shared" si="324"/>
        <v>51</v>
      </c>
      <c r="L848">
        <f t="shared" ca="1" si="325"/>
        <v>38818.177169081449</v>
      </c>
      <c r="M848">
        <f t="shared" ca="1" si="303"/>
        <v>201854.52127922355</v>
      </c>
      <c r="N848">
        <f t="shared" ca="1" si="304"/>
        <v>2.5998258664433598</v>
      </c>
      <c r="O848">
        <f t="shared" ca="1" si="305"/>
        <v>2.5265720914644343E-4</v>
      </c>
      <c r="P848">
        <f t="shared" ca="1" si="306"/>
        <v>39450.390169081453</v>
      </c>
      <c r="Q848">
        <f t="shared" ca="1" si="307"/>
        <v>39450.390169084705</v>
      </c>
      <c r="R848">
        <f t="shared" ca="1" si="308"/>
        <v>4.0177868546548109E-12</v>
      </c>
      <c r="S848">
        <f t="shared" ca="1" si="326"/>
        <v>1.2401881904224865E-3</v>
      </c>
      <c r="T848">
        <f t="shared" ca="1" si="327"/>
        <v>0</v>
      </c>
      <c r="U848">
        <f t="shared" ca="1" si="309"/>
        <v>0.05</v>
      </c>
      <c r="V848">
        <f t="shared" ca="1" si="310"/>
        <v>0.26</v>
      </c>
      <c r="W848">
        <f t="shared" ca="1" si="311"/>
        <v>4.9056603773584909E-2</v>
      </c>
      <c r="X848">
        <f t="shared" ca="1" si="312"/>
        <v>196.15384615384616</v>
      </c>
      <c r="Y848">
        <f t="shared" ca="1" si="313"/>
        <v>632.26299999999992</v>
      </c>
      <c r="Z848">
        <f t="shared" ca="1" si="314"/>
        <v>2593.3400316486623</v>
      </c>
      <c r="AA848">
        <f t="shared" ca="1" si="315"/>
        <v>482.07306851378365</v>
      </c>
      <c r="AB848">
        <f t="shared" ca="1" si="316"/>
        <v>482.16081698020798</v>
      </c>
      <c r="AC848">
        <f t="shared" ca="1" si="317"/>
        <v>0</v>
      </c>
      <c r="AD848">
        <f ca="1">IF(V32="Supercritical",L848,U848)</f>
        <v>0.05</v>
      </c>
      <c r="AE848">
        <f t="shared" ca="1" si="318"/>
        <v>632.26299999999992</v>
      </c>
      <c r="AF848">
        <f t="shared" ca="1" si="319"/>
        <v>2593.3400316486623</v>
      </c>
      <c r="AI848">
        <v>0</v>
      </c>
      <c r="AJ848">
        <v>0</v>
      </c>
      <c r="AK848">
        <f t="shared" si="320"/>
        <v>0</v>
      </c>
      <c r="AL848">
        <f t="shared" si="328"/>
        <v>0</v>
      </c>
      <c r="AM848">
        <f t="shared" ca="1" si="321"/>
        <v>280.07692026646265</v>
      </c>
      <c r="AN848" t="str">
        <f t="shared" ca="1" si="322"/>
        <v>Supercritical</v>
      </c>
      <c r="AO848">
        <f ca="1">IF(V32="Supercritical",R848,AA848)</f>
        <v>482.07306851378365</v>
      </c>
    </row>
    <row r="849" spans="1:41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174</v>
      </c>
      <c r="I849">
        <v>2.7E-2</v>
      </c>
      <c r="J849">
        <f t="shared" si="323"/>
        <v>1</v>
      </c>
      <c r="K849">
        <f t="shared" si="324"/>
        <v>51</v>
      </c>
      <c r="L849">
        <f t="shared" ca="1" si="325"/>
        <v>38818.177169081449</v>
      </c>
      <c r="M849">
        <f t="shared" ca="1" si="303"/>
        <v>201854.52127922355</v>
      </c>
      <c r="N849">
        <f t="shared" ca="1" si="304"/>
        <v>2.5998258664433598</v>
      </c>
      <c r="O849">
        <f t="shared" ca="1" si="305"/>
        <v>2.5265720914644343E-4</v>
      </c>
      <c r="P849">
        <f t="shared" ca="1" si="306"/>
        <v>39450.389669081451</v>
      </c>
      <c r="Q849">
        <f t="shared" ca="1" si="307"/>
        <v>39450.389669084703</v>
      </c>
      <c r="R849">
        <f t="shared" ca="1" si="308"/>
        <v>4.0177868546548109E-12</v>
      </c>
      <c r="S849">
        <f t="shared" ca="1" si="326"/>
        <v>4.999999946448952E-4</v>
      </c>
      <c r="T849">
        <f t="shared" ca="1" si="327"/>
        <v>1</v>
      </c>
      <c r="U849">
        <f t="shared" ca="1" si="309"/>
        <v>0.05</v>
      </c>
      <c r="V849">
        <f t="shared" ca="1" si="310"/>
        <v>0.26</v>
      </c>
      <c r="W849">
        <f t="shared" ca="1" si="311"/>
        <v>4.9056603773584909E-2</v>
      </c>
      <c r="X849">
        <f t="shared" ca="1" si="312"/>
        <v>196.15384615384616</v>
      </c>
      <c r="Y849">
        <f t="shared" ca="1" si="313"/>
        <v>632.26249999999993</v>
      </c>
      <c r="Z849">
        <f t="shared" ca="1" si="314"/>
        <v>2593.3395316486622</v>
      </c>
      <c r="AA849">
        <f t="shared" ca="1" si="315"/>
        <v>482.07306851378365</v>
      </c>
      <c r="AB849">
        <f t="shared" ca="1" si="316"/>
        <v>482.16081698020798</v>
      </c>
      <c r="AC849">
        <f t="shared" ca="1" si="317"/>
        <v>0</v>
      </c>
      <c r="AD849">
        <f ca="1">IF(V32="Supercritical",L849,U849)</f>
        <v>0.05</v>
      </c>
      <c r="AE849">
        <f t="shared" ca="1" si="318"/>
        <v>632.26249999999993</v>
      </c>
      <c r="AF849">
        <f t="shared" ca="1" si="319"/>
        <v>2593.3395316486622</v>
      </c>
      <c r="AI849">
        <v>0</v>
      </c>
      <c r="AJ849">
        <v>0</v>
      </c>
      <c r="AK849">
        <f t="shared" si="320"/>
        <v>0</v>
      </c>
      <c r="AL849">
        <f t="shared" si="328"/>
        <v>0</v>
      </c>
      <c r="AM849">
        <f t="shared" ca="1" si="321"/>
        <v>280.07692026646265</v>
      </c>
      <c r="AN849" t="str">
        <f t="shared" ca="1" si="322"/>
        <v>Supercritical</v>
      </c>
      <c r="AO849">
        <f ca="1">IF(V32="Supercritical",R849,AA849)</f>
        <v>482.07306851378365</v>
      </c>
    </row>
    <row r="850" spans="1:41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174</v>
      </c>
      <c r="I850">
        <v>2.7E-2</v>
      </c>
      <c r="J850">
        <f t="shared" si="323"/>
        <v>1</v>
      </c>
      <c r="K850">
        <f t="shared" si="324"/>
        <v>51</v>
      </c>
      <c r="L850">
        <f t="shared" ca="1" si="325"/>
        <v>38818.176452042921</v>
      </c>
      <c r="M850">
        <f t="shared" ca="1" si="303"/>
        <v>201854.51755062319</v>
      </c>
      <c r="N850">
        <f t="shared" ca="1" si="304"/>
        <v>2.5998258664401432</v>
      </c>
      <c r="O850">
        <f t="shared" ca="1" si="305"/>
        <v>2.5265721381345695E-4</v>
      </c>
      <c r="P850">
        <f t="shared" ca="1" si="306"/>
        <v>39450.38845204292</v>
      </c>
      <c r="Q850">
        <f t="shared" ca="1" si="307"/>
        <v>39450.388452046172</v>
      </c>
      <c r="R850">
        <f t="shared" ca="1" si="308"/>
        <v>4.0177870030923144E-12</v>
      </c>
      <c r="S850">
        <f t="shared" ca="1" si="326"/>
        <v>1.217038523463998E-3</v>
      </c>
      <c r="T850">
        <f t="shared" ca="1" si="327"/>
        <v>0</v>
      </c>
      <c r="U850">
        <f t="shared" ca="1" si="309"/>
        <v>0.05</v>
      </c>
      <c r="V850">
        <f t="shared" ca="1" si="310"/>
        <v>0.26</v>
      </c>
      <c r="W850">
        <f t="shared" ca="1" si="311"/>
        <v>4.9056603773584909E-2</v>
      </c>
      <c r="X850">
        <f t="shared" ca="1" si="312"/>
        <v>196.15384615384616</v>
      </c>
      <c r="Y850">
        <f t="shared" ca="1" si="313"/>
        <v>632.26199999999994</v>
      </c>
      <c r="Z850">
        <f t="shared" ca="1" si="314"/>
        <v>2593.3390316486621</v>
      </c>
      <c r="AA850">
        <f t="shared" ca="1" si="315"/>
        <v>482.07306851378365</v>
      </c>
      <c r="AB850">
        <f t="shared" ca="1" si="316"/>
        <v>482.1477431333301</v>
      </c>
      <c r="AC850">
        <f t="shared" ca="1" si="317"/>
        <v>0</v>
      </c>
      <c r="AD850">
        <f ca="1">IF(V32="Supercritical",L850,U850)</f>
        <v>0.05</v>
      </c>
      <c r="AE850">
        <f t="shared" ca="1" si="318"/>
        <v>632.26199999999994</v>
      </c>
      <c r="AF850">
        <f t="shared" ca="1" si="319"/>
        <v>2593.3390316486621</v>
      </c>
      <c r="AI850">
        <v>0</v>
      </c>
      <c r="AJ850">
        <v>0</v>
      </c>
      <c r="AK850">
        <f t="shared" si="320"/>
        <v>0</v>
      </c>
      <c r="AL850">
        <f t="shared" si="328"/>
        <v>0</v>
      </c>
      <c r="AM850">
        <f t="shared" ca="1" si="321"/>
        <v>280.07692026646265</v>
      </c>
      <c r="AN850" t="str">
        <f t="shared" ca="1" si="322"/>
        <v>Supercritical</v>
      </c>
      <c r="AO850">
        <f ca="1">IF(V32="Supercritical",R850,AA850)</f>
        <v>482.07306851378365</v>
      </c>
    </row>
    <row r="851" spans="1:41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174</v>
      </c>
      <c r="I851">
        <v>2.3E-2</v>
      </c>
      <c r="J851">
        <f t="shared" si="323"/>
        <v>1</v>
      </c>
      <c r="K851">
        <f t="shared" si="324"/>
        <v>51</v>
      </c>
      <c r="L851">
        <f t="shared" ca="1" si="325"/>
        <v>38818.176452042921</v>
      </c>
      <c r="M851">
        <f t="shared" ca="1" si="303"/>
        <v>201854.51755062319</v>
      </c>
      <c r="N851">
        <f t="shared" ca="1" si="304"/>
        <v>2.5998258664401432</v>
      </c>
      <c r="O851">
        <f t="shared" ca="1" si="305"/>
        <v>2.5265721381345695E-4</v>
      </c>
      <c r="P851">
        <f t="shared" ca="1" si="306"/>
        <v>39450.387952042918</v>
      </c>
      <c r="Q851">
        <f t="shared" ca="1" si="307"/>
        <v>39450.387952046171</v>
      </c>
      <c r="R851">
        <f t="shared" ca="1" si="308"/>
        <v>4.0177870030923144E-12</v>
      </c>
      <c r="S851">
        <f t="shared" ca="1" si="326"/>
        <v>4.999999946448952E-4</v>
      </c>
      <c r="T851">
        <f t="shared" ca="1" si="327"/>
        <v>1</v>
      </c>
      <c r="U851">
        <f t="shared" ca="1" si="309"/>
        <v>0.05</v>
      </c>
      <c r="V851">
        <f t="shared" ca="1" si="310"/>
        <v>0.26</v>
      </c>
      <c r="W851">
        <f t="shared" ca="1" si="311"/>
        <v>4.9056603773584909E-2</v>
      </c>
      <c r="X851">
        <f t="shared" ca="1" si="312"/>
        <v>196.15384615384616</v>
      </c>
      <c r="Y851">
        <f t="shared" ca="1" si="313"/>
        <v>632.26149999999996</v>
      </c>
      <c r="Z851">
        <f t="shared" ca="1" si="314"/>
        <v>2593.338531648662</v>
      </c>
      <c r="AA851">
        <f t="shared" ca="1" si="315"/>
        <v>482.07306851378365</v>
      </c>
      <c r="AB851">
        <f t="shared" ca="1" si="316"/>
        <v>482.62981620183245</v>
      </c>
      <c r="AC851">
        <f t="shared" ca="1" si="317"/>
        <v>0</v>
      </c>
      <c r="AD851">
        <f ca="1">IF(V32="Supercritical",L851,U851)</f>
        <v>0.05</v>
      </c>
      <c r="AE851">
        <f t="shared" ca="1" si="318"/>
        <v>632.26149999999996</v>
      </c>
      <c r="AF851">
        <f t="shared" ca="1" si="319"/>
        <v>2593.338531648662</v>
      </c>
      <c r="AI851">
        <v>0</v>
      </c>
      <c r="AJ851">
        <v>0</v>
      </c>
      <c r="AK851">
        <f t="shared" si="320"/>
        <v>0</v>
      </c>
      <c r="AL851">
        <f t="shared" si="328"/>
        <v>0</v>
      </c>
      <c r="AM851">
        <f t="shared" ca="1" si="321"/>
        <v>280.07692026646265</v>
      </c>
      <c r="AN851" t="str">
        <f t="shared" ca="1" si="322"/>
        <v>Supercritical</v>
      </c>
      <c r="AO851">
        <f ca="1">IF(V32="Supercritical",R851,AA851)</f>
        <v>482.07306851378365</v>
      </c>
    </row>
    <row r="852" spans="1:41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174</v>
      </c>
      <c r="I852">
        <v>2.3E-2</v>
      </c>
      <c r="J852">
        <f t="shared" si="323"/>
        <v>1.0009999999999764</v>
      </c>
      <c r="K852">
        <f t="shared" si="324"/>
        <v>51</v>
      </c>
      <c r="L852">
        <f t="shared" ca="1" si="325"/>
        <v>38818.175754986674</v>
      </c>
      <c r="M852">
        <f t="shared" ca="1" si="303"/>
        <v>201854.51392593072</v>
      </c>
      <c r="N852">
        <f t="shared" ca="1" si="304"/>
        <v>2.5998258664370169</v>
      </c>
      <c r="O852">
        <f t="shared" ca="1" si="305"/>
        <v>2.526572183504112E-4</v>
      </c>
      <c r="P852">
        <f t="shared" ca="1" si="306"/>
        <v>39450.386754986677</v>
      </c>
      <c r="Q852">
        <f t="shared" ca="1" si="307"/>
        <v>39450.38675498993</v>
      </c>
      <c r="R852">
        <f t="shared" ca="1" si="308"/>
        <v>4.0177871473932033E-12</v>
      </c>
      <c r="S852">
        <f t="shared" ca="1" si="326"/>
        <v>1.1970562336500734E-3</v>
      </c>
      <c r="T852">
        <f t="shared" ca="1" si="327"/>
        <v>0</v>
      </c>
      <c r="U852">
        <f t="shared" ca="1" si="309"/>
        <v>0.05</v>
      </c>
      <c r="V852">
        <f t="shared" ca="1" si="310"/>
        <v>0.26</v>
      </c>
      <c r="W852">
        <f t="shared" ca="1" si="311"/>
        <v>4.9056603773584909E-2</v>
      </c>
      <c r="X852">
        <f t="shared" ca="1" si="312"/>
        <v>196.15384615384616</v>
      </c>
      <c r="Y852">
        <f t="shared" ca="1" si="313"/>
        <v>632.26099999999997</v>
      </c>
      <c r="Z852">
        <f t="shared" ca="1" si="314"/>
        <v>2593.3380316486619</v>
      </c>
      <c r="AA852">
        <f t="shared" ca="1" si="315"/>
        <v>482.07306851378365</v>
      </c>
      <c r="AB852">
        <f t="shared" ca="1" si="316"/>
        <v>481.5904954452817</v>
      </c>
      <c r="AC852">
        <f t="shared" ca="1" si="317"/>
        <v>0</v>
      </c>
      <c r="AD852">
        <f ca="1">IF(V32="Supercritical",L852,U852)</f>
        <v>0.05</v>
      </c>
      <c r="AE852">
        <f t="shared" ca="1" si="318"/>
        <v>632.26099999999997</v>
      </c>
      <c r="AF852">
        <f t="shared" ca="1" si="319"/>
        <v>2593.3380316486619</v>
      </c>
      <c r="AI852">
        <v>0</v>
      </c>
      <c r="AJ852">
        <v>0</v>
      </c>
      <c r="AK852">
        <f t="shared" si="320"/>
        <v>0</v>
      </c>
      <c r="AL852">
        <f t="shared" si="328"/>
        <v>0</v>
      </c>
      <c r="AM852">
        <f t="shared" ca="1" si="321"/>
        <v>280.07692026646265</v>
      </c>
      <c r="AN852" t="str">
        <f t="shared" ca="1" si="322"/>
        <v>Supercritical</v>
      </c>
      <c r="AO852">
        <f ca="1">IF(V32="Supercritical",R852,AA852)</f>
        <v>482.07306851378365</v>
      </c>
    </row>
    <row r="853" spans="1:41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174</v>
      </c>
      <c r="I853">
        <v>0</v>
      </c>
      <c r="J853">
        <f t="shared" si="323"/>
        <v>0.99900000000002365</v>
      </c>
      <c r="K853">
        <f t="shared" si="324"/>
        <v>51</v>
      </c>
      <c r="L853">
        <f t="shared" ca="1" si="325"/>
        <v>38818.175754986674</v>
      </c>
      <c r="M853">
        <f t="shared" ca="1" si="303"/>
        <v>201854.51392593072</v>
      </c>
      <c r="N853">
        <f t="shared" ca="1" si="304"/>
        <v>2.5998258664370169</v>
      </c>
      <c r="O853">
        <f t="shared" ca="1" si="305"/>
        <v>2.526572183504112E-4</v>
      </c>
      <c r="P853">
        <f t="shared" ca="1" si="306"/>
        <v>39450.386254986675</v>
      </c>
      <c r="Q853">
        <f t="shared" ca="1" si="307"/>
        <v>39450.386254989928</v>
      </c>
      <c r="R853">
        <f t="shared" ca="1" si="308"/>
        <v>4.0177871473932033E-12</v>
      </c>
      <c r="S853">
        <f t="shared" ca="1" si="326"/>
        <v>4.999999946448952E-4</v>
      </c>
      <c r="T853">
        <f t="shared" ca="1" si="327"/>
        <v>1</v>
      </c>
      <c r="U853">
        <f t="shared" ca="1" si="309"/>
        <v>0.05</v>
      </c>
      <c r="V853">
        <f t="shared" ca="1" si="310"/>
        <v>0.26</v>
      </c>
      <c r="W853">
        <f t="shared" ca="1" si="311"/>
        <v>4.9056603773584909E-2</v>
      </c>
      <c r="X853">
        <f t="shared" ca="1" si="312"/>
        <v>196.15384615384616</v>
      </c>
      <c r="Y853">
        <f t="shared" ca="1" si="313"/>
        <v>632.26049999999998</v>
      </c>
      <c r="Z853">
        <f t="shared" ca="1" si="314"/>
        <v>2593.3375316486622</v>
      </c>
      <c r="AA853">
        <f t="shared" ca="1" si="315"/>
        <v>482.07306851378365</v>
      </c>
      <c r="AB853">
        <f t="shared" ca="1" si="316"/>
        <v>482.16081698020798</v>
      </c>
      <c r="AC853">
        <f t="shared" ca="1" si="317"/>
        <v>0</v>
      </c>
      <c r="AD853">
        <f ca="1">IF(V32="Supercritical",L853,U853)</f>
        <v>0.05</v>
      </c>
      <c r="AE853">
        <f t="shared" ca="1" si="318"/>
        <v>632.26049999999998</v>
      </c>
      <c r="AF853">
        <f t="shared" ca="1" si="319"/>
        <v>2593.3375316486622</v>
      </c>
      <c r="AI853">
        <v>0</v>
      </c>
      <c r="AJ853">
        <v>0</v>
      </c>
      <c r="AK853">
        <f t="shared" si="320"/>
        <v>0</v>
      </c>
      <c r="AL853">
        <f t="shared" si="328"/>
        <v>0</v>
      </c>
      <c r="AM853">
        <f t="shared" ca="1" si="321"/>
        <v>280.07692026646265</v>
      </c>
      <c r="AN853" t="str">
        <f t="shared" ca="1" si="322"/>
        <v>Supercritical</v>
      </c>
      <c r="AO853">
        <f ca="1">IF(V32="Supercritical",R853,AA853)</f>
        <v>482.07306851378365</v>
      </c>
    </row>
    <row r="854" spans="1:41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174</v>
      </c>
      <c r="I854">
        <v>2.7E-2</v>
      </c>
      <c r="J854">
        <f t="shared" si="323"/>
        <v>1</v>
      </c>
      <c r="K854">
        <f t="shared" si="324"/>
        <v>51</v>
      </c>
      <c r="L854">
        <f t="shared" ca="1" si="325"/>
        <v>38818.175075119645</v>
      </c>
      <c r="M854">
        <f t="shared" ref="M854:M917" ca="1" si="329">((F854)+(G854)*(L854))*(L854)</f>
        <v>201854.51039062216</v>
      </c>
      <c r="N854">
        <f t="shared" ref="N854:N917" ca="1" si="330">(((F854)+(G854)*(L854))*(L854))/MAX((F854)+2*(L854)*SQRT(1+(G854)^2),0.000001)</f>
        <v>2.5998258664339673</v>
      </c>
      <c r="O854">
        <f t="shared" ref="O854:O917" ca="1" si="331">ABS(K854)/MAX(((F854)+(G854)*(L854))*(L854),0.000001)</f>
        <v>2.526572227754856E-4</v>
      </c>
      <c r="P854">
        <f t="shared" ref="P854:P917" ca="1" si="332">E854+L854</f>
        <v>39450.385075119644</v>
      </c>
      <c r="Q854">
        <f t="shared" ref="Q854:Q917" ca="1" si="333">P854+((ABS(K854)/MAX(((F854)+(G854)*(L854))*(L854),0.000001))^2)/(2*$I$5)</f>
        <v>39450.385075122897</v>
      </c>
      <c r="R854">
        <f t="shared" ref="R854:R917" ca="1" si="334">((ABS(K854)*$D$6)/(MAX(((F854)+(G854)*(L854))*(L854),0.000001)*MAX(((((F854)+(G854)*(L854))*(L854))/MAX((F854)+2*(L854)*SQRT(1+(G854)^2),0.000001))^(2/3),0.000001)))^2</f>
        <v>4.0177872881356758E-12</v>
      </c>
      <c r="S854">
        <f t="shared" ca="1" si="326"/>
        <v>1.1798670238931663E-3</v>
      </c>
      <c r="T854">
        <f t="shared" ca="1" si="327"/>
        <v>0</v>
      </c>
      <c r="U854">
        <f t="shared" ref="U854:U917" ca="1" si="335">IF($D$20=0,U855,IF(AC855=0,U855,IF(U854=0,U855,IF(ABS(AB854)&gt;$D$19,MAX($D$16,U854+((AB854)*$D$18*IF((ABS(ABS(K854)/MAX(((F854)+(G854)*(U854))*(U854),0.000001))/SQRT($I$5*MAX((((F854)+(G854)*(U854))*(U854))/MAX((F854)+2*(G854)*(U854),0.000001),0.000001)))&lt;1,1,-1))),U854))))</f>
        <v>0.05</v>
      </c>
      <c r="V854">
        <f t="shared" ref="V854:V917" ca="1" si="336">((F854)+(G854)*(U854))*(U854)</f>
        <v>0.26</v>
      </c>
      <c r="W854">
        <f t="shared" ref="W854:W917" ca="1" si="337">(((F854)+(G854)*(U854))*(U854))/MAX((F854)+2*(U854)*SQRT(1+(G854)^2),0.000001)</f>
        <v>4.9056603773584909E-2</v>
      </c>
      <c r="X854">
        <f t="shared" ref="X854:X917" ca="1" si="338">ABS(K854)/MAX(((F854)+(G854)*(U854))*(U854),0.000001)</f>
        <v>196.15384615384616</v>
      </c>
      <c r="Y854">
        <f t="shared" ref="Y854:Y917" ca="1" si="339">E854+U854</f>
        <v>632.26</v>
      </c>
      <c r="Z854">
        <f t="shared" ref="Z854:Z917" ca="1" si="340">Y854+((ABS(K854)/MAX(((F854)+(G854)*(U854))*(U854),0.000001))^2)/(2*$I$5)</f>
        <v>2593.3370316486621</v>
      </c>
      <c r="AA854">
        <f t="shared" ref="AA854:AA917" ca="1" si="341">((ABS(K854)*$D$6)/(MAX(((F854)+(G854)*(U854))*(U854),0.000001)*MAX(((((F854)+(G854)*(U854))*(U854))/MAX((F854)+2*(U854)*SQRT(1+(G854)^2),0.000001))^(2/3),0.000001)))^2</f>
        <v>482.07306851378365</v>
      </c>
      <c r="AB854">
        <f t="shared" ref="AB854:AB917" ca="1" si="342">Z855+(((AA854+AA855)/2)*J855)+(IF(X854&gt;X855,$D$8*((X854^2-X855^2)/(2*$I$5)),$D$9*((X855^2-X854^2)/(2*$I$5)))+($D$10*(ABS(I855)/90)*(MAX(X854^2,X855^2)/(2*$I$5))))-Z854</f>
        <v>482.16081698020798</v>
      </c>
      <c r="AC854">
        <f t="shared" ref="AC854:AC917" ca="1" si="343">IF(ABS(AB854)&lt;$D$19,1,0)</f>
        <v>0</v>
      </c>
      <c r="AD854">
        <f ca="1">IF(V32="Supercritical",L854,U854)</f>
        <v>0.05</v>
      </c>
      <c r="AE854">
        <f t="shared" ref="AE854:AE917" ca="1" si="344">E854+AD854</f>
        <v>632.26</v>
      </c>
      <c r="AF854">
        <f t="shared" ref="AF854:AF917" ca="1" si="345">AE854+((ABS(K854)/MAX(((F854)+(G854)*(AD854))*(AD854),0.000001))^2)/(2*$I$5)</f>
        <v>2593.3370316486621</v>
      </c>
      <c r="AI854">
        <v>0</v>
      </c>
      <c r="AJ854">
        <v>0</v>
      </c>
      <c r="AK854">
        <f t="shared" ref="AK854:AK917" si="346">AI854+AJ854</f>
        <v>0</v>
      </c>
      <c r="AL854">
        <f t="shared" si="328"/>
        <v>0</v>
      </c>
      <c r="AM854">
        <f t="shared" ref="AM854:AM917" ca="1" si="347">ABS(ABS(K854)/MAX(((F854)+(G854)*(AD854))*(AD854),0.000001))/SQRT($I$5*MAX((((F854)+(G854)*(AD854))*(AD854))/MAX((F854)+2*(G854)*(AD854),0.000001),0.000001))</f>
        <v>280.07692026646265</v>
      </c>
      <c r="AN854" t="str">
        <f t="shared" ref="AN854:AN917" ca="1" si="348">IF(AM854&lt;1,"Subcritical","Supercritical")</f>
        <v>Supercritical</v>
      </c>
      <c r="AO854">
        <f ca="1">IF(V32="Supercritical",R854,AA854)</f>
        <v>482.07306851378365</v>
      </c>
    </row>
    <row r="855" spans="1:41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174</v>
      </c>
      <c r="I855">
        <v>2.7E-2</v>
      </c>
      <c r="J855">
        <f t="shared" ref="J855:J918" si="349">B855-B854</f>
        <v>1</v>
      </c>
      <c r="K855">
        <f t="shared" ref="K855:K918" si="350">MAX(0,K854-AK854)</f>
        <v>51</v>
      </c>
      <c r="L855">
        <f t="shared" ref="L855:L918" ca="1" si="351">IF($D$20=0,L854,IF(T854=0,L854,IF(L855=0,L854,IF(ABS(S855)&gt;$D$19,MAX($D$16,L855+((S855)*$D$18*IF((ABS(ABS(K855)/MAX(((F855)+(G855)*(L855))*(L855),0.000001))/SQRT($I$5*MAX((((F855)+(G855)*(L855))*(L855))/MAX((F855)+2*(G855)*(L855),0.000001),0.000001)))&lt;1,1,-1))),L855))))</f>
        <v>38818.175075119645</v>
      </c>
      <c r="M855">
        <f t="shared" ca="1" si="329"/>
        <v>201854.51039062216</v>
      </c>
      <c r="N855">
        <f t="shared" ca="1" si="330"/>
        <v>2.5998258664339673</v>
      </c>
      <c r="O855">
        <f t="shared" ca="1" si="331"/>
        <v>2.526572227754856E-4</v>
      </c>
      <c r="P855">
        <f t="shared" ca="1" si="332"/>
        <v>39450.384575119642</v>
      </c>
      <c r="Q855">
        <f t="shared" ca="1" si="333"/>
        <v>39450.384575122895</v>
      </c>
      <c r="R855">
        <f t="shared" ca="1" si="334"/>
        <v>4.0177872881356758E-12</v>
      </c>
      <c r="S855">
        <f t="shared" ref="S855:S918" ca="1" si="352">Q854-(((R854+R855)/2)*J855)-(IF(O854&gt;O855,$D$8*((O854^2-O855^2)/(2*$I$5)),$D$9*((O855^2-O854^2)/(2*$I$5)))+($D$10*(ABS(I855)/90)*(MAX(O854^2,O855^2)/(2*$I$5))))-Q855</f>
        <v>4.999999946448952E-4</v>
      </c>
      <c r="T855">
        <f t="shared" ref="T855:T918" ca="1" si="353">IF(ABS(S855)&lt;$D$19,1,0)</f>
        <v>1</v>
      </c>
      <c r="U855">
        <f t="shared" ca="1" si="335"/>
        <v>0.05</v>
      </c>
      <c r="V855">
        <f t="shared" ca="1" si="336"/>
        <v>0.26</v>
      </c>
      <c r="W855">
        <f t="shared" ca="1" si="337"/>
        <v>4.9056603773584909E-2</v>
      </c>
      <c r="X855">
        <f t="shared" ca="1" si="338"/>
        <v>196.15384615384616</v>
      </c>
      <c r="Y855">
        <f t="shared" ca="1" si="339"/>
        <v>632.2595</v>
      </c>
      <c r="Z855">
        <f t="shared" ca="1" si="340"/>
        <v>2593.336531648662</v>
      </c>
      <c r="AA855">
        <f t="shared" ca="1" si="341"/>
        <v>482.07306851378365</v>
      </c>
      <c r="AB855">
        <f t="shared" ca="1" si="342"/>
        <v>482.1477431333301</v>
      </c>
      <c r="AC855">
        <f t="shared" ca="1" si="343"/>
        <v>0</v>
      </c>
      <c r="AD855">
        <f ca="1">IF(V32="Supercritical",L855,U855)</f>
        <v>0.05</v>
      </c>
      <c r="AE855">
        <f t="shared" ca="1" si="344"/>
        <v>632.2595</v>
      </c>
      <c r="AF855">
        <f t="shared" ca="1" si="345"/>
        <v>2593.336531648662</v>
      </c>
      <c r="AI855">
        <v>0</v>
      </c>
      <c r="AJ855">
        <v>0</v>
      </c>
      <c r="AK855">
        <f t="shared" si="346"/>
        <v>0</v>
      </c>
      <c r="AL855">
        <f t="shared" ref="AL855:AL918" si="354">AL854+AK855</f>
        <v>0</v>
      </c>
      <c r="AM855">
        <f t="shared" ca="1" si="347"/>
        <v>280.07692026646265</v>
      </c>
      <c r="AN855" t="str">
        <f t="shared" ca="1" si="348"/>
        <v>Supercritical</v>
      </c>
      <c r="AO855">
        <f ca="1">IF(V32="Supercritical",R855,AA855)</f>
        <v>482.07306851378365</v>
      </c>
    </row>
    <row r="856" spans="1:41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174</v>
      </c>
      <c r="I856">
        <v>2.3E-2</v>
      </c>
      <c r="J856">
        <f t="shared" si="349"/>
        <v>1</v>
      </c>
      <c r="K856">
        <f t="shared" si="350"/>
        <v>51</v>
      </c>
      <c r="L856">
        <f t="shared" ca="1" si="351"/>
        <v>38818.174409989078</v>
      </c>
      <c r="M856">
        <f t="shared" ca="1" si="329"/>
        <v>201854.50693194321</v>
      </c>
      <c r="N856">
        <f t="shared" ca="1" si="330"/>
        <v>2.5998258664309835</v>
      </c>
      <c r="O856">
        <f t="shared" ca="1" si="331"/>
        <v>2.5265722710464443E-4</v>
      </c>
      <c r="P856">
        <f t="shared" ca="1" si="332"/>
        <v>39450.383409989081</v>
      </c>
      <c r="Q856">
        <f t="shared" ca="1" si="333"/>
        <v>39450.383409992333</v>
      </c>
      <c r="R856">
        <f t="shared" ca="1" si="334"/>
        <v>4.0177874258274942E-12</v>
      </c>
      <c r="S856">
        <f t="shared" ca="1" si="352"/>
        <v>1.1651305539999157E-3</v>
      </c>
      <c r="T856">
        <f t="shared" ca="1" si="353"/>
        <v>0</v>
      </c>
      <c r="U856">
        <f t="shared" ca="1" si="335"/>
        <v>0.05</v>
      </c>
      <c r="V856">
        <f t="shared" ca="1" si="336"/>
        <v>0.26</v>
      </c>
      <c r="W856">
        <f t="shared" ca="1" si="337"/>
        <v>4.9056603773584909E-2</v>
      </c>
      <c r="X856">
        <f t="shared" ca="1" si="338"/>
        <v>196.15384615384616</v>
      </c>
      <c r="Y856">
        <f t="shared" ca="1" si="339"/>
        <v>632.2589999999999</v>
      </c>
      <c r="Z856">
        <f t="shared" ca="1" si="340"/>
        <v>2593.3360316486619</v>
      </c>
      <c r="AA856">
        <f t="shared" ca="1" si="341"/>
        <v>482.07306851378365</v>
      </c>
      <c r="AB856">
        <f t="shared" ca="1" si="342"/>
        <v>482.62981620183291</v>
      </c>
      <c r="AC856">
        <f t="shared" ca="1" si="343"/>
        <v>0</v>
      </c>
      <c r="AD856">
        <f ca="1">IF(V32="Supercritical",L856,U856)</f>
        <v>0.05</v>
      </c>
      <c r="AE856">
        <f t="shared" ca="1" si="344"/>
        <v>632.2589999999999</v>
      </c>
      <c r="AF856">
        <f t="shared" ca="1" si="345"/>
        <v>2593.3360316486619</v>
      </c>
      <c r="AI856">
        <v>0</v>
      </c>
      <c r="AJ856">
        <v>0</v>
      </c>
      <c r="AK856">
        <f t="shared" si="346"/>
        <v>0</v>
      </c>
      <c r="AL856">
        <f t="shared" si="354"/>
        <v>0</v>
      </c>
      <c r="AM856">
        <f t="shared" ca="1" si="347"/>
        <v>280.07692026646265</v>
      </c>
      <c r="AN856" t="str">
        <f t="shared" ca="1" si="348"/>
        <v>Supercritical</v>
      </c>
      <c r="AO856">
        <f ca="1">IF(V32="Supercritical",R856,AA856)</f>
        <v>482.07306851378365</v>
      </c>
    </row>
    <row r="857" spans="1:41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174</v>
      </c>
      <c r="I857">
        <v>2.3E-2</v>
      </c>
      <c r="J857">
        <f t="shared" si="349"/>
        <v>1.0009999999999764</v>
      </c>
      <c r="K857">
        <f t="shared" si="350"/>
        <v>51</v>
      </c>
      <c r="L857">
        <f t="shared" ca="1" si="351"/>
        <v>38818.174409989078</v>
      </c>
      <c r="M857">
        <f t="shared" ca="1" si="329"/>
        <v>201854.50693194321</v>
      </c>
      <c r="N857">
        <f t="shared" ca="1" si="330"/>
        <v>2.5998258664309835</v>
      </c>
      <c r="O857">
        <f t="shared" ca="1" si="331"/>
        <v>2.5265722710464443E-4</v>
      </c>
      <c r="P857">
        <f t="shared" ca="1" si="332"/>
        <v>39450.382909989079</v>
      </c>
      <c r="Q857">
        <f t="shared" ca="1" si="333"/>
        <v>39450.382909992331</v>
      </c>
      <c r="R857">
        <f t="shared" ca="1" si="334"/>
        <v>4.0177874258274942E-12</v>
      </c>
      <c r="S857">
        <f t="shared" ca="1" si="352"/>
        <v>4.999999946448952E-4</v>
      </c>
      <c r="T857">
        <f t="shared" ca="1" si="353"/>
        <v>1</v>
      </c>
      <c r="U857">
        <f t="shared" ca="1" si="335"/>
        <v>0.05</v>
      </c>
      <c r="V857">
        <f t="shared" ca="1" si="336"/>
        <v>0.26</v>
      </c>
      <c r="W857">
        <f t="shared" ca="1" si="337"/>
        <v>4.9056603773584909E-2</v>
      </c>
      <c r="X857">
        <f t="shared" ca="1" si="338"/>
        <v>196.15384615384616</v>
      </c>
      <c r="Y857">
        <f t="shared" ca="1" si="339"/>
        <v>632.25849999999991</v>
      </c>
      <c r="Z857">
        <f t="shared" ca="1" si="340"/>
        <v>2593.3355316486623</v>
      </c>
      <c r="AA857">
        <f t="shared" ca="1" si="341"/>
        <v>482.07306851378365</v>
      </c>
      <c r="AB857">
        <f t="shared" ca="1" si="342"/>
        <v>481.59049544528125</v>
      </c>
      <c r="AC857">
        <f t="shared" ca="1" si="343"/>
        <v>0</v>
      </c>
      <c r="AD857">
        <f ca="1">IF(V32="Supercritical",L857,U857)</f>
        <v>0.05</v>
      </c>
      <c r="AE857">
        <f t="shared" ca="1" si="344"/>
        <v>632.25849999999991</v>
      </c>
      <c r="AF857">
        <f t="shared" ca="1" si="345"/>
        <v>2593.3355316486623</v>
      </c>
      <c r="AI857">
        <v>0</v>
      </c>
      <c r="AJ857">
        <v>0</v>
      </c>
      <c r="AK857">
        <f t="shared" si="346"/>
        <v>0</v>
      </c>
      <c r="AL857">
        <f t="shared" si="354"/>
        <v>0</v>
      </c>
      <c r="AM857">
        <f t="shared" ca="1" si="347"/>
        <v>280.07692026646265</v>
      </c>
      <c r="AN857" t="str">
        <f t="shared" ca="1" si="348"/>
        <v>Supercritical</v>
      </c>
      <c r="AO857">
        <f ca="1">IF(V32="Supercritical",R857,AA857)</f>
        <v>482.07306851378365</v>
      </c>
    </row>
    <row r="858" spans="1:41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174</v>
      </c>
      <c r="I858">
        <v>0</v>
      </c>
      <c r="J858">
        <f t="shared" si="349"/>
        <v>0.99900000000002365</v>
      </c>
      <c r="K858">
        <f t="shared" si="350"/>
        <v>51</v>
      </c>
      <c r="L858">
        <f t="shared" ca="1" si="351"/>
        <v>38818.173757449964</v>
      </c>
      <c r="M858">
        <f t="shared" ca="1" si="329"/>
        <v>201854.50353873981</v>
      </c>
      <c r="N858">
        <f t="shared" ca="1" si="330"/>
        <v>2.5998258664280565</v>
      </c>
      <c r="O858">
        <f t="shared" ca="1" si="331"/>
        <v>2.5265723135184896E-4</v>
      </c>
      <c r="P858">
        <f t="shared" ca="1" si="332"/>
        <v>39450.381757449963</v>
      </c>
      <c r="Q858">
        <f t="shared" ca="1" si="333"/>
        <v>39450.381757453215</v>
      </c>
      <c r="R858">
        <f t="shared" ca="1" si="334"/>
        <v>4.0177875609127024E-12</v>
      </c>
      <c r="S858">
        <f t="shared" ca="1" si="352"/>
        <v>1.1525391091709025E-3</v>
      </c>
      <c r="T858">
        <f t="shared" ca="1" si="353"/>
        <v>0</v>
      </c>
      <c r="U858">
        <f t="shared" ca="1" si="335"/>
        <v>0.05</v>
      </c>
      <c r="V858">
        <f t="shared" ca="1" si="336"/>
        <v>0.26</v>
      </c>
      <c r="W858">
        <f t="shared" ca="1" si="337"/>
        <v>4.9056603773584909E-2</v>
      </c>
      <c r="X858">
        <f t="shared" ca="1" si="338"/>
        <v>196.15384615384616</v>
      </c>
      <c r="Y858">
        <f t="shared" ca="1" si="339"/>
        <v>632.25799999999992</v>
      </c>
      <c r="Z858">
        <f t="shared" ca="1" si="340"/>
        <v>2593.3350316486622</v>
      </c>
      <c r="AA858">
        <f t="shared" ca="1" si="341"/>
        <v>482.07306851378365</v>
      </c>
      <c r="AB858">
        <f t="shared" ca="1" si="342"/>
        <v>482.16081698020798</v>
      </c>
      <c r="AC858">
        <f t="shared" ca="1" si="343"/>
        <v>0</v>
      </c>
      <c r="AD858">
        <f ca="1">IF(V32="Supercritical",L858,U858)</f>
        <v>0.05</v>
      </c>
      <c r="AE858">
        <f t="shared" ca="1" si="344"/>
        <v>632.25799999999992</v>
      </c>
      <c r="AF858">
        <f t="shared" ca="1" si="345"/>
        <v>2593.3350316486622</v>
      </c>
      <c r="AI858">
        <v>0</v>
      </c>
      <c r="AJ858">
        <v>0</v>
      </c>
      <c r="AK858">
        <f t="shared" si="346"/>
        <v>0</v>
      </c>
      <c r="AL858">
        <f t="shared" si="354"/>
        <v>0</v>
      </c>
      <c r="AM858">
        <f t="shared" ca="1" si="347"/>
        <v>280.07692026646265</v>
      </c>
      <c r="AN858" t="str">
        <f t="shared" ca="1" si="348"/>
        <v>Supercritical</v>
      </c>
      <c r="AO858">
        <f ca="1">IF(V32="Supercritical",R858,AA858)</f>
        <v>482.07306851378365</v>
      </c>
    </row>
    <row r="859" spans="1:41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174</v>
      </c>
      <c r="I859">
        <v>2.7E-2</v>
      </c>
      <c r="J859">
        <f t="shared" si="349"/>
        <v>1</v>
      </c>
      <c r="K859">
        <f t="shared" si="350"/>
        <v>51</v>
      </c>
      <c r="L859">
        <f t="shared" ca="1" si="351"/>
        <v>38818.173757449964</v>
      </c>
      <c r="M859">
        <f t="shared" ca="1" si="329"/>
        <v>201854.50353873981</v>
      </c>
      <c r="N859">
        <f t="shared" ca="1" si="330"/>
        <v>2.5998258664280565</v>
      </c>
      <c r="O859">
        <f t="shared" ca="1" si="331"/>
        <v>2.5265723135184896E-4</v>
      </c>
      <c r="P859">
        <f t="shared" ca="1" si="332"/>
        <v>39450.381257449961</v>
      </c>
      <c r="Q859">
        <f t="shared" ca="1" si="333"/>
        <v>39450.381257453213</v>
      </c>
      <c r="R859">
        <f t="shared" ca="1" si="334"/>
        <v>4.0177875609127024E-12</v>
      </c>
      <c r="S859">
        <f t="shared" ca="1" si="352"/>
        <v>4.999999946448952E-4</v>
      </c>
      <c r="T859">
        <f t="shared" ca="1" si="353"/>
        <v>1</v>
      </c>
      <c r="U859">
        <f t="shared" ca="1" si="335"/>
        <v>0.05</v>
      </c>
      <c r="V859">
        <f t="shared" ca="1" si="336"/>
        <v>0.26</v>
      </c>
      <c r="W859">
        <f t="shared" ca="1" si="337"/>
        <v>4.9056603773584909E-2</v>
      </c>
      <c r="X859">
        <f t="shared" ca="1" si="338"/>
        <v>196.15384615384616</v>
      </c>
      <c r="Y859">
        <f t="shared" ca="1" si="339"/>
        <v>632.25749999999994</v>
      </c>
      <c r="Z859">
        <f t="shared" ca="1" si="340"/>
        <v>2593.3345316486621</v>
      </c>
      <c r="AA859">
        <f t="shared" ca="1" si="341"/>
        <v>482.07306851378365</v>
      </c>
      <c r="AB859">
        <f t="shared" ca="1" si="342"/>
        <v>482.32750852789786</v>
      </c>
      <c r="AC859">
        <f t="shared" ca="1" si="343"/>
        <v>0</v>
      </c>
      <c r="AD859">
        <f ca="1">IF(V32="Supercritical",L859,U859)</f>
        <v>0.05</v>
      </c>
      <c r="AE859">
        <f t="shared" ca="1" si="344"/>
        <v>632.25749999999994</v>
      </c>
      <c r="AF859">
        <f t="shared" ca="1" si="345"/>
        <v>2593.3345316486621</v>
      </c>
      <c r="AI859">
        <v>0</v>
      </c>
      <c r="AJ859">
        <v>0</v>
      </c>
      <c r="AK859">
        <f t="shared" si="346"/>
        <v>0</v>
      </c>
      <c r="AL859">
        <f t="shared" si="354"/>
        <v>0</v>
      </c>
      <c r="AM859">
        <f t="shared" ca="1" si="347"/>
        <v>280.07692026646265</v>
      </c>
      <c r="AN859" t="str">
        <f t="shared" ca="1" si="348"/>
        <v>Supercritical</v>
      </c>
      <c r="AO859">
        <f ca="1">IF(V32="Supercritical",R859,AA859)</f>
        <v>482.07306851378365</v>
      </c>
    </row>
    <row r="860" spans="1:41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174</v>
      </c>
      <c r="I860">
        <v>7.8E-2</v>
      </c>
      <c r="J860">
        <f t="shared" si="349"/>
        <v>1</v>
      </c>
      <c r="K860">
        <f t="shared" si="350"/>
        <v>51</v>
      </c>
      <c r="L860">
        <f t="shared" ca="1" si="351"/>
        <v>38818.173115633857</v>
      </c>
      <c r="M860">
        <f t="shared" ca="1" si="329"/>
        <v>201854.50020129606</v>
      </c>
      <c r="N860">
        <f t="shared" ca="1" si="330"/>
        <v>2.5998258664251774</v>
      </c>
      <c r="O860">
        <f t="shared" ca="1" si="331"/>
        <v>2.5265723552926042E-4</v>
      </c>
      <c r="P860">
        <f t="shared" ca="1" si="332"/>
        <v>39450.38011563386</v>
      </c>
      <c r="Q860">
        <f t="shared" ca="1" si="333"/>
        <v>39450.380115637112</v>
      </c>
      <c r="R860">
        <f t="shared" ca="1" si="334"/>
        <v>4.0177876937780963E-12</v>
      </c>
      <c r="S860">
        <f t="shared" ca="1" si="352"/>
        <v>1.1418160938774236E-3</v>
      </c>
      <c r="T860">
        <f t="shared" ca="1" si="353"/>
        <v>0</v>
      </c>
      <c r="U860">
        <f t="shared" ca="1" si="335"/>
        <v>0.05</v>
      </c>
      <c r="V860">
        <f t="shared" ca="1" si="336"/>
        <v>0.26</v>
      </c>
      <c r="W860">
        <f t="shared" ca="1" si="337"/>
        <v>4.9056603773584909E-2</v>
      </c>
      <c r="X860">
        <f t="shared" ca="1" si="338"/>
        <v>196.15384615384616</v>
      </c>
      <c r="Y860">
        <f t="shared" ca="1" si="339"/>
        <v>632.25699999999995</v>
      </c>
      <c r="Z860">
        <f t="shared" ca="1" si="340"/>
        <v>2593.3340316486619</v>
      </c>
      <c r="AA860">
        <f t="shared" ca="1" si="341"/>
        <v>482.07306851378365</v>
      </c>
      <c r="AB860">
        <f t="shared" ca="1" si="342"/>
        <v>482.32750852789786</v>
      </c>
      <c r="AC860">
        <f t="shared" ca="1" si="343"/>
        <v>0</v>
      </c>
      <c r="AD860">
        <f ca="1">IF(V32="Supercritical",L860,U860)</f>
        <v>0.05</v>
      </c>
      <c r="AE860">
        <f t="shared" ca="1" si="344"/>
        <v>632.25699999999995</v>
      </c>
      <c r="AF860">
        <f t="shared" ca="1" si="345"/>
        <v>2593.3340316486619</v>
      </c>
      <c r="AI860">
        <v>0</v>
      </c>
      <c r="AJ860">
        <v>0</v>
      </c>
      <c r="AK860">
        <f t="shared" si="346"/>
        <v>0</v>
      </c>
      <c r="AL860">
        <f t="shared" si="354"/>
        <v>0</v>
      </c>
      <c r="AM860">
        <f t="shared" ca="1" si="347"/>
        <v>280.07692026646265</v>
      </c>
      <c r="AN860" t="str">
        <f t="shared" ca="1" si="348"/>
        <v>Supercritical</v>
      </c>
      <c r="AO860">
        <f ca="1">IF(V32="Supercritical",R860,AA860)</f>
        <v>482.07306851378365</v>
      </c>
    </row>
    <row r="861" spans="1:41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174</v>
      </c>
      <c r="I861">
        <v>7.8E-2</v>
      </c>
      <c r="J861">
        <f t="shared" si="349"/>
        <v>1</v>
      </c>
      <c r="K861">
        <f t="shared" si="350"/>
        <v>51</v>
      </c>
      <c r="L861">
        <f t="shared" ca="1" si="351"/>
        <v>38818.173115633857</v>
      </c>
      <c r="M861">
        <f t="shared" ca="1" si="329"/>
        <v>201854.50020129606</v>
      </c>
      <c r="N861">
        <f t="shared" ca="1" si="330"/>
        <v>2.5998258664251774</v>
      </c>
      <c r="O861">
        <f t="shared" ca="1" si="331"/>
        <v>2.5265723552926042E-4</v>
      </c>
      <c r="P861">
        <f t="shared" ca="1" si="332"/>
        <v>39450.379615633858</v>
      </c>
      <c r="Q861">
        <f t="shared" ca="1" si="333"/>
        <v>39450.37961563711</v>
      </c>
      <c r="R861">
        <f t="shared" ca="1" si="334"/>
        <v>4.0177876937780963E-12</v>
      </c>
      <c r="S861">
        <f t="shared" ca="1" si="352"/>
        <v>4.999999946448952E-4</v>
      </c>
      <c r="T861">
        <f t="shared" ca="1" si="353"/>
        <v>1</v>
      </c>
      <c r="U861">
        <f t="shared" ca="1" si="335"/>
        <v>0.05</v>
      </c>
      <c r="V861">
        <f t="shared" ca="1" si="336"/>
        <v>0.26</v>
      </c>
      <c r="W861">
        <f t="shared" ca="1" si="337"/>
        <v>4.9056603773584909E-2</v>
      </c>
      <c r="X861">
        <f t="shared" ca="1" si="338"/>
        <v>196.15384615384616</v>
      </c>
      <c r="Y861">
        <f t="shared" ca="1" si="339"/>
        <v>632.25649999999996</v>
      </c>
      <c r="Z861">
        <f t="shared" ca="1" si="340"/>
        <v>2593.3335316486618</v>
      </c>
      <c r="AA861">
        <f t="shared" ca="1" si="341"/>
        <v>482.07306851378365</v>
      </c>
      <c r="AB861">
        <f t="shared" ca="1" si="342"/>
        <v>482.6428900487108</v>
      </c>
      <c r="AC861">
        <f t="shared" ca="1" si="343"/>
        <v>0</v>
      </c>
      <c r="AD861">
        <f ca="1">IF(V32="Supercritical",L861,U861)</f>
        <v>0.05</v>
      </c>
      <c r="AE861">
        <f t="shared" ca="1" si="344"/>
        <v>632.25649999999996</v>
      </c>
      <c r="AF861">
        <f t="shared" ca="1" si="345"/>
        <v>2593.3335316486618</v>
      </c>
      <c r="AI861">
        <v>0</v>
      </c>
      <c r="AJ861">
        <v>0</v>
      </c>
      <c r="AK861">
        <f t="shared" si="346"/>
        <v>0</v>
      </c>
      <c r="AL861">
        <f t="shared" si="354"/>
        <v>0</v>
      </c>
      <c r="AM861">
        <f t="shared" ca="1" si="347"/>
        <v>280.07692026646265</v>
      </c>
      <c r="AN861" t="str">
        <f t="shared" ca="1" si="348"/>
        <v>Supercritical</v>
      </c>
      <c r="AO861">
        <f ca="1">IF(V32="Supercritical",R861,AA861)</f>
        <v>482.07306851378365</v>
      </c>
    </row>
    <row r="862" spans="1:41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174</v>
      </c>
      <c r="I862">
        <v>2.7E-2</v>
      </c>
      <c r="J862">
        <f t="shared" si="349"/>
        <v>1.0009999999999764</v>
      </c>
      <c r="K862">
        <f t="shared" si="350"/>
        <v>51</v>
      </c>
      <c r="L862">
        <f t="shared" ca="1" si="351"/>
        <v>38818.172482919777</v>
      </c>
      <c r="M862">
        <f t="shared" ca="1" si="329"/>
        <v>201854.49691118285</v>
      </c>
      <c r="N862">
        <f t="shared" ca="1" si="330"/>
        <v>2.5998258664223397</v>
      </c>
      <c r="O862">
        <f t="shared" ca="1" si="331"/>
        <v>2.5265723964742928E-4</v>
      </c>
      <c r="P862">
        <f t="shared" ca="1" si="332"/>
        <v>39450.378482919776</v>
      </c>
      <c r="Q862">
        <f t="shared" ca="1" si="333"/>
        <v>39450.378482923028</v>
      </c>
      <c r="R862">
        <f t="shared" ca="1" si="334"/>
        <v>4.0177878247592415E-12</v>
      </c>
      <c r="S862">
        <f t="shared" ca="1" si="352"/>
        <v>1.1327140746288933E-3</v>
      </c>
      <c r="T862">
        <f t="shared" ca="1" si="353"/>
        <v>0</v>
      </c>
      <c r="U862">
        <f t="shared" ca="1" si="335"/>
        <v>0.05</v>
      </c>
      <c r="V862">
        <f t="shared" ca="1" si="336"/>
        <v>0.26</v>
      </c>
      <c r="W862">
        <f t="shared" ca="1" si="337"/>
        <v>4.9056603773584909E-2</v>
      </c>
      <c r="X862">
        <f t="shared" ca="1" si="338"/>
        <v>196.15384615384616</v>
      </c>
      <c r="Y862">
        <f t="shared" ca="1" si="339"/>
        <v>632.25599999999997</v>
      </c>
      <c r="Z862">
        <f t="shared" ca="1" si="340"/>
        <v>2593.3330316486622</v>
      </c>
      <c r="AA862">
        <f t="shared" ca="1" si="341"/>
        <v>482.07306851378365</v>
      </c>
      <c r="AB862">
        <f t="shared" ca="1" si="342"/>
        <v>515.40926885606223</v>
      </c>
      <c r="AC862">
        <f t="shared" ca="1" si="343"/>
        <v>0</v>
      </c>
      <c r="AD862">
        <f ca="1">IF(V32="Supercritical",L862,U862)</f>
        <v>0.05</v>
      </c>
      <c r="AE862">
        <f t="shared" ca="1" si="344"/>
        <v>632.25599999999997</v>
      </c>
      <c r="AF862">
        <f t="shared" ca="1" si="345"/>
        <v>2593.3330316486622</v>
      </c>
      <c r="AI862">
        <v>0</v>
      </c>
      <c r="AJ862">
        <v>0</v>
      </c>
      <c r="AK862">
        <f t="shared" si="346"/>
        <v>0</v>
      </c>
      <c r="AL862">
        <f t="shared" si="354"/>
        <v>0</v>
      </c>
      <c r="AM862">
        <f t="shared" ca="1" si="347"/>
        <v>280.07692026646265</v>
      </c>
      <c r="AN862" t="str">
        <f t="shared" ca="1" si="348"/>
        <v>Supercritical</v>
      </c>
      <c r="AO862">
        <f ca="1">IF(V32="Supercritical",R862,AA862)</f>
        <v>482.07306851378365</v>
      </c>
    </row>
    <row r="863" spans="1:41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174</v>
      </c>
      <c r="I863">
        <v>10.347</v>
      </c>
      <c r="J863">
        <f t="shared" si="349"/>
        <v>0.99900000000002365</v>
      </c>
      <c r="K863">
        <f t="shared" si="350"/>
        <v>51</v>
      </c>
      <c r="L863">
        <f t="shared" ca="1" si="351"/>
        <v>38818.172482919777</v>
      </c>
      <c r="M863">
        <f t="shared" ca="1" si="329"/>
        <v>201854.49691118285</v>
      </c>
      <c r="N863">
        <f t="shared" ca="1" si="330"/>
        <v>2.5998258664223397</v>
      </c>
      <c r="O863">
        <f t="shared" ca="1" si="331"/>
        <v>2.5265723964742928E-4</v>
      </c>
      <c r="P863">
        <f t="shared" ca="1" si="332"/>
        <v>39450.377982919774</v>
      </c>
      <c r="Q863">
        <f t="shared" ca="1" si="333"/>
        <v>39450.377982923026</v>
      </c>
      <c r="R863">
        <f t="shared" ca="1" si="334"/>
        <v>4.0177878247592415E-12</v>
      </c>
      <c r="S863">
        <f t="shared" ca="1" si="352"/>
        <v>4.9999993643723428E-4</v>
      </c>
      <c r="T863">
        <f t="shared" ca="1" si="353"/>
        <v>1</v>
      </c>
      <c r="U863">
        <f t="shared" ca="1" si="335"/>
        <v>0.05</v>
      </c>
      <c r="V863">
        <f t="shared" ca="1" si="336"/>
        <v>0.26</v>
      </c>
      <c r="W863">
        <f t="shared" ca="1" si="337"/>
        <v>4.9056603773584909E-2</v>
      </c>
      <c r="X863">
        <f t="shared" ca="1" si="338"/>
        <v>196.15384615384616</v>
      </c>
      <c r="Y863">
        <f t="shared" ca="1" si="339"/>
        <v>632.25549999999998</v>
      </c>
      <c r="Z863">
        <f t="shared" ca="1" si="340"/>
        <v>2593.3325316486621</v>
      </c>
      <c r="AA863">
        <f t="shared" ca="1" si="341"/>
        <v>482.07306851378365</v>
      </c>
      <c r="AB863">
        <f t="shared" ca="1" si="342"/>
        <v>616.78123631428389</v>
      </c>
      <c r="AC863">
        <f t="shared" ca="1" si="343"/>
        <v>0</v>
      </c>
      <c r="AD863">
        <f ca="1">IF(V32="Supercritical",L863,U863)</f>
        <v>0.05</v>
      </c>
      <c r="AE863">
        <f t="shared" ca="1" si="344"/>
        <v>632.25549999999998</v>
      </c>
      <c r="AF863">
        <f t="shared" ca="1" si="345"/>
        <v>2593.3325316486621</v>
      </c>
      <c r="AI863">
        <v>0</v>
      </c>
      <c r="AJ863">
        <v>0</v>
      </c>
      <c r="AK863">
        <f t="shared" si="346"/>
        <v>0</v>
      </c>
      <c r="AL863">
        <f t="shared" si="354"/>
        <v>0</v>
      </c>
      <c r="AM863">
        <f t="shared" ca="1" si="347"/>
        <v>280.07692026646265</v>
      </c>
      <c r="AN863" t="str">
        <f t="shared" ca="1" si="348"/>
        <v>Supercritical</v>
      </c>
      <c r="AO863">
        <f ca="1">IF(V32="Supercritical",R863,AA863)</f>
        <v>482.07306851378365</v>
      </c>
    </row>
    <row r="864" spans="1:41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174</v>
      </c>
      <c r="I864">
        <v>2.6059999999999999</v>
      </c>
      <c r="J864">
        <f t="shared" si="349"/>
        <v>0.9959999999999809</v>
      </c>
      <c r="K864">
        <f t="shared" si="350"/>
        <v>51</v>
      </c>
      <c r="L864">
        <f t="shared" ca="1" si="351"/>
        <v>38818.171857906513</v>
      </c>
      <c r="M864">
        <f t="shared" ca="1" si="329"/>
        <v>196691.6768040123</v>
      </c>
      <c r="N864">
        <f t="shared" ca="1" si="330"/>
        <v>2.5333346598241628</v>
      </c>
      <c r="O864">
        <f t="shared" ca="1" si="331"/>
        <v>2.5928906005930015E-4</v>
      </c>
      <c r="P864">
        <f t="shared" ca="1" si="332"/>
        <v>39450.376857906514</v>
      </c>
      <c r="Q864">
        <f t="shared" ca="1" si="333"/>
        <v>39450.376857909941</v>
      </c>
      <c r="R864">
        <f t="shared" ca="1" si="334"/>
        <v>4.3802021253439834E-12</v>
      </c>
      <c r="S864">
        <f t="shared" ca="1" si="352"/>
        <v>1.1250130482949317E-3</v>
      </c>
      <c r="T864">
        <f t="shared" ca="1" si="353"/>
        <v>0</v>
      </c>
      <c r="U864">
        <f t="shared" ca="1" si="335"/>
        <v>0.05</v>
      </c>
      <c r="V864">
        <f t="shared" ca="1" si="336"/>
        <v>0.25335000000000002</v>
      </c>
      <c r="W864">
        <f t="shared" ca="1" si="337"/>
        <v>4.9032320495451913E-2</v>
      </c>
      <c r="X864">
        <f t="shared" ca="1" si="338"/>
        <v>201.30254588513912</v>
      </c>
      <c r="Y864">
        <f t="shared" ca="1" si="339"/>
        <v>632.255</v>
      </c>
      <c r="Z864">
        <f t="shared" ca="1" si="340"/>
        <v>2697.6329296553795</v>
      </c>
      <c r="AA864">
        <f t="shared" ca="1" si="341"/>
        <v>508.04766180569584</v>
      </c>
      <c r="AB864">
        <f t="shared" ca="1" si="342"/>
        <v>508.09879625393705</v>
      </c>
      <c r="AC864">
        <f t="shared" ca="1" si="343"/>
        <v>0</v>
      </c>
      <c r="AD864">
        <f ca="1">IF(V32="Supercritical",L864,U864)</f>
        <v>0.05</v>
      </c>
      <c r="AE864">
        <f t="shared" ca="1" si="344"/>
        <v>632.255</v>
      </c>
      <c r="AF864">
        <f t="shared" ca="1" si="345"/>
        <v>2697.6329296553795</v>
      </c>
      <c r="AI864">
        <v>0</v>
      </c>
      <c r="AJ864">
        <v>0</v>
      </c>
      <c r="AK864">
        <f t="shared" si="346"/>
        <v>0</v>
      </c>
      <c r="AL864">
        <f t="shared" si="354"/>
        <v>0</v>
      </c>
      <c r="AM864">
        <f t="shared" ca="1" si="347"/>
        <v>287.42845576980574</v>
      </c>
      <c r="AN864" t="str">
        <f t="shared" ca="1" si="348"/>
        <v>Supercritical</v>
      </c>
      <c r="AO864">
        <f ca="1">IF(V32="Supercritical",R864,AA864)</f>
        <v>508.04766180569584</v>
      </c>
    </row>
    <row r="865" spans="1:41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174</v>
      </c>
      <c r="I865">
        <v>1.4999999999999999E-2</v>
      </c>
      <c r="J865">
        <f t="shared" si="349"/>
        <v>1</v>
      </c>
      <c r="K865">
        <f t="shared" si="350"/>
        <v>51</v>
      </c>
      <c r="L865">
        <f t="shared" ca="1" si="351"/>
        <v>38818.171857906513</v>
      </c>
      <c r="M865">
        <f t="shared" ca="1" si="329"/>
        <v>196691.6768040123</v>
      </c>
      <c r="N865">
        <f t="shared" ca="1" si="330"/>
        <v>2.5333346598241628</v>
      </c>
      <c r="O865">
        <f t="shared" ca="1" si="331"/>
        <v>2.5928906005930015E-4</v>
      </c>
      <c r="P865">
        <f t="shared" ca="1" si="332"/>
        <v>39450.376357906513</v>
      </c>
      <c r="Q865">
        <f t="shared" ca="1" si="333"/>
        <v>39450.37635790994</v>
      </c>
      <c r="R865">
        <f t="shared" ca="1" si="334"/>
        <v>4.3802021253439834E-12</v>
      </c>
      <c r="S865">
        <f t="shared" ca="1" si="352"/>
        <v>4.999999946448952E-4</v>
      </c>
      <c r="T865">
        <f t="shared" ca="1" si="353"/>
        <v>1</v>
      </c>
      <c r="U865">
        <f t="shared" ca="1" si="335"/>
        <v>0.05</v>
      </c>
      <c r="V865">
        <f t="shared" ca="1" si="336"/>
        <v>0.25335000000000002</v>
      </c>
      <c r="W865">
        <f t="shared" ca="1" si="337"/>
        <v>4.9032320495451913E-2</v>
      </c>
      <c r="X865">
        <f t="shared" ca="1" si="338"/>
        <v>201.30254588513912</v>
      </c>
      <c r="Y865">
        <f t="shared" ca="1" si="339"/>
        <v>632.25450000000001</v>
      </c>
      <c r="Z865">
        <f t="shared" ca="1" si="340"/>
        <v>2697.6324296553794</v>
      </c>
      <c r="AA865">
        <f t="shared" ca="1" si="341"/>
        <v>508.04766180569584</v>
      </c>
      <c r="AB865">
        <f t="shared" ca="1" si="342"/>
        <v>508.2364881159142</v>
      </c>
      <c r="AC865">
        <f t="shared" ca="1" si="343"/>
        <v>0</v>
      </c>
      <c r="AD865">
        <f ca="1">IF(V32="Supercritical",L865,U865)</f>
        <v>0.05</v>
      </c>
      <c r="AE865">
        <f t="shared" ca="1" si="344"/>
        <v>632.25450000000001</v>
      </c>
      <c r="AF865">
        <f t="shared" ca="1" si="345"/>
        <v>2697.6324296553794</v>
      </c>
      <c r="AI865">
        <v>0</v>
      </c>
      <c r="AJ865">
        <v>0</v>
      </c>
      <c r="AK865">
        <f t="shared" si="346"/>
        <v>0</v>
      </c>
      <c r="AL865">
        <f t="shared" si="354"/>
        <v>0</v>
      </c>
      <c r="AM865">
        <f t="shared" ca="1" si="347"/>
        <v>287.42845576980574</v>
      </c>
      <c r="AN865" t="str">
        <f t="shared" ca="1" si="348"/>
        <v>Supercritical</v>
      </c>
      <c r="AO865">
        <f ca="1">IF(V32="Supercritical",R865,AA865)</f>
        <v>508.04766180569584</v>
      </c>
    </row>
    <row r="866" spans="1:41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174</v>
      </c>
      <c r="I866">
        <v>5.5E-2</v>
      </c>
      <c r="J866">
        <f t="shared" si="349"/>
        <v>1</v>
      </c>
      <c r="K866">
        <f t="shared" si="350"/>
        <v>51</v>
      </c>
      <c r="L866">
        <f t="shared" ca="1" si="351"/>
        <v>38818.171239388328</v>
      </c>
      <c r="M866">
        <f t="shared" ca="1" si="329"/>
        <v>196691.67366998066</v>
      </c>
      <c r="N866">
        <f t="shared" ca="1" si="330"/>
        <v>2.5333346598215285</v>
      </c>
      <c r="O866">
        <f t="shared" ca="1" si="331"/>
        <v>2.5928906419074154E-4</v>
      </c>
      <c r="P866">
        <f t="shared" ca="1" si="332"/>
        <v>39450.375239388326</v>
      </c>
      <c r="Q866">
        <f t="shared" ca="1" si="333"/>
        <v>39450.375239391753</v>
      </c>
      <c r="R866">
        <f t="shared" ca="1" si="334"/>
        <v>4.380202264935956E-12</v>
      </c>
      <c r="S866">
        <f t="shared" ca="1" si="352"/>
        <v>1.118518179282546E-3</v>
      </c>
      <c r="T866">
        <f t="shared" ca="1" si="353"/>
        <v>0</v>
      </c>
      <c r="U866">
        <f t="shared" ca="1" si="335"/>
        <v>0.05</v>
      </c>
      <c r="V866">
        <f t="shared" ca="1" si="336"/>
        <v>0.25335000000000002</v>
      </c>
      <c r="W866">
        <f t="shared" ca="1" si="337"/>
        <v>4.9032320495451913E-2</v>
      </c>
      <c r="X866">
        <f t="shared" ca="1" si="338"/>
        <v>201.30254588513912</v>
      </c>
      <c r="Y866">
        <f t="shared" ca="1" si="339"/>
        <v>632.25399999999991</v>
      </c>
      <c r="Z866">
        <f t="shared" ca="1" si="340"/>
        <v>2697.6319296553793</v>
      </c>
      <c r="AA866">
        <f t="shared" ca="1" si="341"/>
        <v>508.04766180569584</v>
      </c>
      <c r="AB866">
        <f t="shared" ca="1" si="342"/>
        <v>508.184853667673</v>
      </c>
      <c r="AC866">
        <f t="shared" ca="1" si="343"/>
        <v>0</v>
      </c>
      <c r="AD866">
        <f ca="1">IF(V32="Supercritical",L866,U866)</f>
        <v>0.05</v>
      </c>
      <c r="AE866">
        <f t="shared" ca="1" si="344"/>
        <v>632.25399999999991</v>
      </c>
      <c r="AF866">
        <f t="shared" ca="1" si="345"/>
        <v>2697.6319296553793</v>
      </c>
      <c r="AI866">
        <v>0</v>
      </c>
      <c r="AJ866">
        <v>0</v>
      </c>
      <c r="AK866">
        <f t="shared" si="346"/>
        <v>0</v>
      </c>
      <c r="AL866">
        <f t="shared" si="354"/>
        <v>0</v>
      </c>
      <c r="AM866">
        <f t="shared" ca="1" si="347"/>
        <v>287.42845576980574</v>
      </c>
      <c r="AN866" t="str">
        <f t="shared" ca="1" si="348"/>
        <v>Supercritical</v>
      </c>
      <c r="AO866">
        <f ca="1">IF(V32="Supercritical",R866,AA866)</f>
        <v>508.04766180569584</v>
      </c>
    </row>
    <row r="867" spans="1:41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174</v>
      </c>
      <c r="I867">
        <v>0.04</v>
      </c>
      <c r="J867">
        <f t="shared" si="349"/>
        <v>1</v>
      </c>
      <c r="K867">
        <f t="shared" si="350"/>
        <v>51</v>
      </c>
      <c r="L867">
        <f t="shared" ca="1" si="351"/>
        <v>38818.171239388328</v>
      </c>
      <c r="M867">
        <f t="shared" ca="1" si="329"/>
        <v>196691.67366998066</v>
      </c>
      <c r="N867">
        <f t="shared" ca="1" si="330"/>
        <v>2.5333346598215285</v>
      </c>
      <c r="O867">
        <f t="shared" ca="1" si="331"/>
        <v>2.5928906419074154E-4</v>
      </c>
      <c r="P867">
        <f t="shared" ca="1" si="332"/>
        <v>39450.374739388331</v>
      </c>
      <c r="Q867">
        <f t="shared" ca="1" si="333"/>
        <v>39450.374739391758</v>
      </c>
      <c r="R867">
        <f t="shared" ca="1" si="334"/>
        <v>4.380202264935956E-12</v>
      </c>
      <c r="S867">
        <f t="shared" ca="1" si="352"/>
        <v>4.9999998736893758E-4</v>
      </c>
      <c r="T867">
        <f t="shared" ca="1" si="353"/>
        <v>1</v>
      </c>
      <c r="U867">
        <f t="shared" ca="1" si="335"/>
        <v>0.05</v>
      </c>
      <c r="V867">
        <f t="shared" ca="1" si="336"/>
        <v>0.25335000000000002</v>
      </c>
      <c r="W867">
        <f t="shared" ca="1" si="337"/>
        <v>4.9032320495451913E-2</v>
      </c>
      <c r="X867">
        <f t="shared" ca="1" si="338"/>
        <v>201.30254588513912</v>
      </c>
      <c r="Y867">
        <f t="shared" ca="1" si="339"/>
        <v>632.25349999999992</v>
      </c>
      <c r="Z867">
        <f t="shared" ca="1" si="340"/>
        <v>2697.6314296553792</v>
      </c>
      <c r="AA867">
        <f t="shared" ca="1" si="341"/>
        <v>508.04766180569584</v>
      </c>
      <c r="AB867">
        <f t="shared" ca="1" si="342"/>
        <v>508.184853667673</v>
      </c>
      <c r="AC867">
        <f t="shared" ca="1" si="343"/>
        <v>0</v>
      </c>
      <c r="AD867">
        <f ca="1">IF(V32="Supercritical",L867,U867)</f>
        <v>0.05</v>
      </c>
      <c r="AE867">
        <f t="shared" ca="1" si="344"/>
        <v>632.25349999999992</v>
      </c>
      <c r="AF867">
        <f t="shared" ca="1" si="345"/>
        <v>2697.6314296553792</v>
      </c>
      <c r="AI867">
        <v>0</v>
      </c>
      <c r="AJ867">
        <v>0</v>
      </c>
      <c r="AK867">
        <f t="shared" si="346"/>
        <v>0</v>
      </c>
      <c r="AL867">
        <f t="shared" si="354"/>
        <v>0</v>
      </c>
      <c r="AM867">
        <f t="shared" ca="1" si="347"/>
        <v>287.42845576980574</v>
      </c>
      <c r="AN867" t="str">
        <f t="shared" ca="1" si="348"/>
        <v>Supercritical</v>
      </c>
      <c r="AO867">
        <f ca="1">IF(V32="Supercritical",R867,AA867)</f>
        <v>508.04766180569584</v>
      </c>
    </row>
    <row r="868" spans="1:41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174</v>
      </c>
      <c r="I868">
        <v>0.04</v>
      </c>
      <c r="J868">
        <f t="shared" si="349"/>
        <v>1</v>
      </c>
      <c r="K868">
        <f t="shared" si="350"/>
        <v>51</v>
      </c>
      <c r="L868">
        <f t="shared" ca="1" si="351"/>
        <v>38818.170626330437</v>
      </c>
      <c r="M868">
        <f t="shared" ca="1" si="329"/>
        <v>196691.67056361632</v>
      </c>
      <c r="N868">
        <f t="shared" ca="1" si="330"/>
        <v>2.5333346598189177</v>
      </c>
      <c r="O868">
        <f t="shared" ca="1" si="331"/>
        <v>2.5928906828571059E-4</v>
      </c>
      <c r="P868">
        <f t="shared" ca="1" si="332"/>
        <v>39450.373626330438</v>
      </c>
      <c r="Q868">
        <f t="shared" ca="1" si="333"/>
        <v>39450.373626333865</v>
      </c>
      <c r="R868">
        <f t="shared" ca="1" si="334"/>
        <v>4.3802024032956136E-12</v>
      </c>
      <c r="S868">
        <f t="shared" ca="1" si="352"/>
        <v>1.1130578859592788E-3</v>
      </c>
      <c r="T868">
        <f t="shared" ca="1" si="353"/>
        <v>0</v>
      </c>
      <c r="U868">
        <f t="shared" ca="1" si="335"/>
        <v>0.05</v>
      </c>
      <c r="V868">
        <f t="shared" ca="1" si="336"/>
        <v>0.25335000000000002</v>
      </c>
      <c r="W868">
        <f t="shared" ca="1" si="337"/>
        <v>4.9032320495451913E-2</v>
      </c>
      <c r="X868">
        <f t="shared" ca="1" si="338"/>
        <v>201.30254588513912</v>
      </c>
      <c r="Y868">
        <f t="shared" ca="1" si="339"/>
        <v>632.25299999999993</v>
      </c>
      <c r="Z868">
        <f t="shared" ca="1" si="340"/>
        <v>2697.6309296553791</v>
      </c>
      <c r="AA868">
        <f t="shared" ca="1" si="341"/>
        <v>508.04766180569584</v>
      </c>
      <c r="AB868">
        <f t="shared" ca="1" si="342"/>
        <v>508.18485366767345</v>
      </c>
      <c r="AC868">
        <f t="shared" ca="1" si="343"/>
        <v>0</v>
      </c>
      <c r="AD868">
        <f ca="1">IF(V32="Supercritical",L868,U868)</f>
        <v>0.05</v>
      </c>
      <c r="AE868">
        <f t="shared" ca="1" si="344"/>
        <v>632.25299999999993</v>
      </c>
      <c r="AF868">
        <f t="shared" ca="1" si="345"/>
        <v>2697.6309296553791</v>
      </c>
      <c r="AI868">
        <v>0</v>
      </c>
      <c r="AJ868">
        <v>0</v>
      </c>
      <c r="AK868">
        <f t="shared" si="346"/>
        <v>0</v>
      </c>
      <c r="AL868">
        <f t="shared" si="354"/>
        <v>0</v>
      </c>
      <c r="AM868">
        <f t="shared" ca="1" si="347"/>
        <v>287.42845576980574</v>
      </c>
      <c r="AN868" t="str">
        <f t="shared" ca="1" si="348"/>
        <v>Supercritical</v>
      </c>
      <c r="AO868">
        <f ca="1">IF(V32="Supercritical",R868,AA868)</f>
        <v>508.04766180569584</v>
      </c>
    </row>
    <row r="869" spans="1:41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174</v>
      </c>
      <c r="I869">
        <v>0.04</v>
      </c>
      <c r="J869">
        <f t="shared" si="349"/>
        <v>1</v>
      </c>
      <c r="K869">
        <f t="shared" si="350"/>
        <v>51</v>
      </c>
      <c r="L869">
        <f t="shared" ca="1" si="351"/>
        <v>38818.170626330437</v>
      </c>
      <c r="M869">
        <f t="shared" ca="1" si="329"/>
        <v>196691.67056361632</v>
      </c>
      <c r="N869">
        <f t="shared" ca="1" si="330"/>
        <v>2.5333346598189177</v>
      </c>
      <c r="O869">
        <f t="shared" ca="1" si="331"/>
        <v>2.5928906828571059E-4</v>
      </c>
      <c r="P869">
        <f t="shared" ca="1" si="332"/>
        <v>39450.373126330436</v>
      </c>
      <c r="Q869">
        <f t="shared" ca="1" si="333"/>
        <v>39450.373126333863</v>
      </c>
      <c r="R869">
        <f t="shared" ca="1" si="334"/>
        <v>4.3802024032956136E-12</v>
      </c>
      <c r="S869">
        <f t="shared" ca="1" si="352"/>
        <v>4.999999946448952E-4</v>
      </c>
      <c r="T869">
        <f t="shared" ca="1" si="353"/>
        <v>1</v>
      </c>
      <c r="U869">
        <f t="shared" ca="1" si="335"/>
        <v>0.05</v>
      </c>
      <c r="V869">
        <f t="shared" ca="1" si="336"/>
        <v>0.25335000000000002</v>
      </c>
      <c r="W869">
        <f t="shared" ca="1" si="337"/>
        <v>4.9032320495451913E-2</v>
      </c>
      <c r="X869">
        <f t="shared" ca="1" si="338"/>
        <v>201.30254588513912</v>
      </c>
      <c r="Y869">
        <f t="shared" ca="1" si="339"/>
        <v>632.25249999999994</v>
      </c>
      <c r="Z869">
        <f t="shared" ca="1" si="340"/>
        <v>2697.6304296553794</v>
      </c>
      <c r="AA869">
        <f t="shared" ca="1" si="341"/>
        <v>508.04766180569584</v>
      </c>
      <c r="AB869">
        <f t="shared" ca="1" si="342"/>
        <v>508.60684391578843</v>
      </c>
      <c r="AC869">
        <f t="shared" ca="1" si="343"/>
        <v>0</v>
      </c>
      <c r="AD869">
        <f ca="1">IF(V32="Supercritical",L869,U869)</f>
        <v>0.05</v>
      </c>
      <c r="AE869">
        <f t="shared" ca="1" si="344"/>
        <v>632.25249999999994</v>
      </c>
      <c r="AF869">
        <f t="shared" ca="1" si="345"/>
        <v>2697.6304296553794</v>
      </c>
      <c r="AI869">
        <v>0</v>
      </c>
      <c r="AJ869">
        <v>0</v>
      </c>
      <c r="AK869">
        <f t="shared" si="346"/>
        <v>0</v>
      </c>
      <c r="AL869">
        <f t="shared" si="354"/>
        <v>0</v>
      </c>
      <c r="AM869">
        <f t="shared" ca="1" si="347"/>
        <v>287.42845576980574</v>
      </c>
      <c r="AN869" t="str">
        <f t="shared" ca="1" si="348"/>
        <v>Supercritical</v>
      </c>
      <c r="AO869">
        <f ca="1">IF(V32="Supercritical",R869,AA869)</f>
        <v>508.04766180569584</v>
      </c>
    </row>
    <row r="870" spans="1:41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174</v>
      </c>
      <c r="I870">
        <v>1.4999999999999999E-2</v>
      </c>
      <c r="J870">
        <f t="shared" si="349"/>
        <v>1.00100000000009</v>
      </c>
      <c r="K870">
        <f t="shared" si="350"/>
        <v>51</v>
      </c>
      <c r="L870">
        <f t="shared" ca="1" si="351"/>
        <v>38818.170017848723</v>
      </c>
      <c r="M870">
        <f t="shared" ca="1" si="329"/>
        <v>196691.66748043947</v>
      </c>
      <c r="N870">
        <f t="shared" ca="1" si="330"/>
        <v>2.533334659816326</v>
      </c>
      <c r="O870">
        <f t="shared" ca="1" si="331"/>
        <v>2.5928907235011283E-4</v>
      </c>
      <c r="P870">
        <f t="shared" ca="1" si="332"/>
        <v>39450.37201784872</v>
      </c>
      <c r="Q870">
        <f t="shared" ca="1" si="333"/>
        <v>39450.372017852147</v>
      </c>
      <c r="R870">
        <f t="shared" ca="1" si="334"/>
        <v>4.3802025406224926E-12</v>
      </c>
      <c r="S870">
        <f t="shared" ca="1" si="352"/>
        <v>1.1084817087976262E-3</v>
      </c>
      <c r="T870">
        <f t="shared" ca="1" si="353"/>
        <v>0</v>
      </c>
      <c r="U870">
        <f t="shared" ca="1" si="335"/>
        <v>0.05</v>
      </c>
      <c r="V870">
        <f t="shared" ca="1" si="336"/>
        <v>0.25335000000000002</v>
      </c>
      <c r="W870">
        <f t="shared" ca="1" si="337"/>
        <v>4.9032320495451913E-2</v>
      </c>
      <c r="X870">
        <f t="shared" ca="1" si="338"/>
        <v>201.30254588513912</v>
      </c>
      <c r="Y870">
        <f t="shared" ca="1" si="339"/>
        <v>632.25199999999995</v>
      </c>
      <c r="Z870">
        <f t="shared" ca="1" si="340"/>
        <v>2697.6299296553793</v>
      </c>
      <c r="AA870">
        <f t="shared" ca="1" si="341"/>
        <v>508.04766180569584</v>
      </c>
      <c r="AB870">
        <f t="shared" ca="1" si="342"/>
        <v>507.72844045406282</v>
      </c>
      <c r="AC870">
        <f t="shared" ca="1" si="343"/>
        <v>0</v>
      </c>
      <c r="AD870">
        <f ca="1">IF(V32="Supercritical",L870,U870)</f>
        <v>0.05</v>
      </c>
      <c r="AE870">
        <f t="shared" ca="1" si="344"/>
        <v>632.25199999999995</v>
      </c>
      <c r="AF870">
        <f t="shared" ca="1" si="345"/>
        <v>2697.6299296553793</v>
      </c>
      <c r="AI870">
        <v>0</v>
      </c>
      <c r="AJ870">
        <v>0</v>
      </c>
      <c r="AK870">
        <f t="shared" si="346"/>
        <v>0</v>
      </c>
      <c r="AL870">
        <f t="shared" si="354"/>
        <v>0</v>
      </c>
      <c r="AM870">
        <f t="shared" ca="1" si="347"/>
        <v>287.42845576980574</v>
      </c>
      <c r="AN870" t="str">
        <f t="shared" ca="1" si="348"/>
        <v>Supercritical</v>
      </c>
      <c r="AO870">
        <f ca="1">IF(V32="Supercritical",R870,AA870)</f>
        <v>508.04766180569584</v>
      </c>
    </row>
    <row r="871" spans="1:41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174</v>
      </c>
      <c r="I871">
        <v>5.5E-2</v>
      </c>
      <c r="J871">
        <f t="shared" si="349"/>
        <v>0.99899999999990996</v>
      </c>
      <c r="K871">
        <f t="shared" si="350"/>
        <v>51</v>
      </c>
      <c r="L871">
        <f t="shared" ca="1" si="351"/>
        <v>38818.170017848723</v>
      </c>
      <c r="M871">
        <f t="shared" ca="1" si="329"/>
        <v>196691.66748043947</v>
      </c>
      <c r="N871">
        <f t="shared" ca="1" si="330"/>
        <v>2.533334659816326</v>
      </c>
      <c r="O871">
        <f t="shared" ca="1" si="331"/>
        <v>2.5928907235011283E-4</v>
      </c>
      <c r="P871">
        <f t="shared" ca="1" si="332"/>
        <v>39450.371517848725</v>
      </c>
      <c r="Q871">
        <f t="shared" ca="1" si="333"/>
        <v>39450.371517852152</v>
      </c>
      <c r="R871">
        <f t="shared" ca="1" si="334"/>
        <v>4.3802025406224926E-12</v>
      </c>
      <c r="S871">
        <f t="shared" ca="1" si="352"/>
        <v>4.9999998736893758E-4</v>
      </c>
      <c r="T871">
        <f t="shared" ca="1" si="353"/>
        <v>1</v>
      </c>
      <c r="U871">
        <f t="shared" ca="1" si="335"/>
        <v>0.05</v>
      </c>
      <c r="V871">
        <f t="shared" ca="1" si="336"/>
        <v>0.25335000000000002</v>
      </c>
      <c r="W871">
        <f t="shared" ca="1" si="337"/>
        <v>4.9032320495451913E-2</v>
      </c>
      <c r="X871">
        <f t="shared" ca="1" si="338"/>
        <v>201.30254588513912</v>
      </c>
      <c r="Y871">
        <f t="shared" ca="1" si="339"/>
        <v>632.25149999999996</v>
      </c>
      <c r="Z871">
        <f t="shared" ca="1" si="340"/>
        <v>2697.6294296553792</v>
      </c>
      <c r="AA871">
        <f t="shared" ca="1" si="341"/>
        <v>508.04766180569584</v>
      </c>
      <c r="AB871">
        <f t="shared" ca="1" si="342"/>
        <v>508.18485366767345</v>
      </c>
      <c r="AC871">
        <f t="shared" ca="1" si="343"/>
        <v>0</v>
      </c>
      <c r="AD871">
        <f ca="1">IF(V32="Supercritical",L871,U871)</f>
        <v>0.05</v>
      </c>
      <c r="AE871">
        <f t="shared" ca="1" si="344"/>
        <v>632.25149999999996</v>
      </c>
      <c r="AF871">
        <f t="shared" ca="1" si="345"/>
        <v>2697.6294296553792</v>
      </c>
      <c r="AI871">
        <v>0</v>
      </c>
      <c r="AJ871">
        <v>0</v>
      </c>
      <c r="AK871">
        <f t="shared" si="346"/>
        <v>0</v>
      </c>
      <c r="AL871">
        <f t="shared" si="354"/>
        <v>0</v>
      </c>
      <c r="AM871">
        <f t="shared" ca="1" si="347"/>
        <v>287.42845576980574</v>
      </c>
      <c r="AN871" t="str">
        <f t="shared" ca="1" si="348"/>
        <v>Supercritical</v>
      </c>
      <c r="AO871">
        <f ca="1">IF(V32="Supercritical",R871,AA871)</f>
        <v>508.04766180569584</v>
      </c>
    </row>
    <row r="872" spans="1:41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174</v>
      </c>
      <c r="I872">
        <v>0.04</v>
      </c>
      <c r="J872">
        <f t="shared" si="349"/>
        <v>1</v>
      </c>
      <c r="K872">
        <f t="shared" si="350"/>
        <v>51</v>
      </c>
      <c r="L872">
        <f t="shared" ca="1" si="351"/>
        <v>38818.169413190313</v>
      </c>
      <c r="M872">
        <f t="shared" ca="1" si="329"/>
        <v>196691.66441663532</v>
      </c>
      <c r="N872">
        <f t="shared" ca="1" si="330"/>
        <v>2.5333346598137507</v>
      </c>
      <c r="O872">
        <f t="shared" ca="1" si="331"/>
        <v>2.5928907638897707E-4</v>
      </c>
      <c r="P872">
        <f t="shared" ca="1" si="332"/>
        <v>39450.370413190314</v>
      </c>
      <c r="Q872">
        <f t="shared" ca="1" si="333"/>
        <v>39450.370413193741</v>
      </c>
      <c r="R872">
        <f t="shared" ca="1" si="334"/>
        <v>4.3802026770865027E-12</v>
      </c>
      <c r="S872">
        <f t="shared" ca="1" si="352"/>
        <v>1.1046584040741436E-3</v>
      </c>
      <c r="T872">
        <f t="shared" ca="1" si="353"/>
        <v>0</v>
      </c>
      <c r="U872">
        <f t="shared" ca="1" si="335"/>
        <v>0.05</v>
      </c>
      <c r="V872">
        <f t="shared" ca="1" si="336"/>
        <v>0.25335000000000002</v>
      </c>
      <c r="W872">
        <f t="shared" ca="1" si="337"/>
        <v>4.9032320495451913E-2</v>
      </c>
      <c r="X872">
        <f t="shared" ca="1" si="338"/>
        <v>201.30254588513912</v>
      </c>
      <c r="Y872">
        <f t="shared" ca="1" si="339"/>
        <v>632.25099999999998</v>
      </c>
      <c r="Z872">
        <f t="shared" ca="1" si="340"/>
        <v>2697.6289296553796</v>
      </c>
      <c r="AA872">
        <f t="shared" ca="1" si="341"/>
        <v>508.04766180569584</v>
      </c>
      <c r="AB872">
        <f t="shared" ca="1" si="342"/>
        <v>508.69290132952437</v>
      </c>
      <c r="AC872">
        <f t="shared" ca="1" si="343"/>
        <v>0</v>
      </c>
      <c r="AD872">
        <f ca="1">IF(V32="Supercritical",L872,U872)</f>
        <v>0.05</v>
      </c>
      <c r="AE872">
        <f t="shared" ca="1" si="344"/>
        <v>632.25099999999998</v>
      </c>
      <c r="AF872">
        <f t="shared" ca="1" si="345"/>
        <v>2697.6289296553796</v>
      </c>
      <c r="AI872">
        <v>0</v>
      </c>
      <c r="AJ872">
        <v>0</v>
      </c>
      <c r="AK872">
        <f t="shared" si="346"/>
        <v>0</v>
      </c>
      <c r="AL872">
        <f t="shared" si="354"/>
        <v>0</v>
      </c>
      <c r="AM872">
        <f t="shared" ca="1" si="347"/>
        <v>287.42845576980574</v>
      </c>
      <c r="AN872" t="str">
        <f t="shared" ca="1" si="348"/>
        <v>Supercritical</v>
      </c>
      <c r="AO872">
        <f ca="1">IF(V32="Supercritical",R872,AA872)</f>
        <v>508.04766180569584</v>
      </c>
    </row>
    <row r="873" spans="1:41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174</v>
      </c>
      <c r="I873">
        <v>0.04</v>
      </c>
      <c r="J873">
        <f t="shared" si="349"/>
        <v>1.00100000000009</v>
      </c>
      <c r="K873">
        <f t="shared" si="350"/>
        <v>51</v>
      </c>
      <c r="L873">
        <f t="shared" ca="1" si="351"/>
        <v>38818.169413190313</v>
      </c>
      <c r="M873">
        <f t="shared" ca="1" si="329"/>
        <v>196691.66441663532</v>
      </c>
      <c r="N873">
        <f t="shared" ca="1" si="330"/>
        <v>2.5333346598137507</v>
      </c>
      <c r="O873">
        <f t="shared" ca="1" si="331"/>
        <v>2.5928907638897707E-4</v>
      </c>
      <c r="P873">
        <f t="shared" ca="1" si="332"/>
        <v>39450.369913190312</v>
      </c>
      <c r="Q873">
        <f t="shared" ca="1" si="333"/>
        <v>39450.369913193739</v>
      </c>
      <c r="R873">
        <f t="shared" ca="1" si="334"/>
        <v>4.3802026770865027E-12</v>
      </c>
      <c r="S873">
        <f t="shared" ca="1" si="352"/>
        <v>4.999999946448952E-4</v>
      </c>
      <c r="T873">
        <f t="shared" ca="1" si="353"/>
        <v>1</v>
      </c>
      <c r="U873">
        <f t="shared" ca="1" si="335"/>
        <v>0.05</v>
      </c>
      <c r="V873">
        <f t="shared" ca="1" si="336"/>
        <v>0.25335000000000002</v>
      </c>
      <c r="W873">
        <f t="shared" ca="1" si="337"/>
        <v>4.9032320495451913E-2</v>
      </c>
      <c r="X873">
        <f t="shared" ca="1" si="338"/>
        <v>201.30254588513912</v>
      </c>
      <c r="Y873">
        <f t="shared" ca="1" si="339"/>
        <v>632.25049999999999</v>
      </c>
      <c r="Z873">
        <f t="shared" ca="1" si="340"/>
        <v>2697.6284296553795</v>
      </c>
      <c r="AA873">
        <f t="shared" ca="1" si="341"/>
        <v>508.04766180569584</v>
      </c>
      <c r="AB873">
        <f t="shared" ca="1" si="342"/>
        <v>507.72844045406282</v>
      </c>
      <c r="AC873">
        <f t="shared" ca="1" si="343"/>
        <v>0</v>
      </c>
      <c r="AD873">
        <f ca="1">IF(V32="Supercritical",L873,U873)</f>
        <v>0.05</v>
      </c>
      <c r="AE873">
        <f t="shared" ca="1" si="344"/>
        <v>632.25049999999999</v>
      </c>
      <c r="AF873">
        <f t="shared" ca="1" si="345"/>
        <v>2697.6284296553795</v>
      </c>
      <c r="AI873">
        <v>0</v>
      </c>
      <c r="AJ873">
        <v>0</v>
      </c>
      <c r="AK873">
        <f t="shared" si="346"/>
        <v>0</v>
      </c>
      <c r="AL873">
        <f t="shared" si="354"/>
        <v>0</v>
      </c>
      <c r="AM873">
        <f t="shared" ca="1" si="347"/>
        <v>287.42845576980574</v>
      </c>
      <c r="AN873" t="str">
        <f t="shared" ca="1" si="348"/>
        <v>Supercritical</v>
      </c>
      <c r="AO873">
        <f ca="1">IF(V32="Supercritical",R873,AA873)</f>
        <v>508.04766180569584</v>
      </c>
    </row>
    <row r="874" spans="1:41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174</v>
      </c>
      <c r="I874">
        <v>5.5E-2</v>
      </c>
      <c r="J874">
        <f t="shared" si="349"/>
        <v>0.99899999999990996</v>
      </c>
      <c r="K874">
        <f t="shared" si="350"/>
        <v>51</v>
      </c>
      <c r="L874">
        <f t="shared" ca="1" si="351"/>
        <v>38818.168811716459</v>
      </c>
      <c r="M874">
        <f t="shared" ca="1" si="329"/>
        <v>196691.6613689673</v>
      </c>
      <c r="N874">
        <f t="shared" ca="1" si="330"/>
        <v>2.5333346598111888</v>
      </c>
      <c r="O874">
        <f t="shared" ca="1" si="331"/>
        <v>2.5928908040657002E-4</v>
      </c>
      <c r="P874">
        <f t="shared" ca="1" si="332"/>
        <v>39450.368811716457</v>
      </c>
      <c r="Q874">
        <f t="shared" ca="1" si="333"/>
        <v>39450.368811719884</v>
      </c>
      <c r="R874">
        <f t="shared" ca="1" si="334"/>
        <v>4.3802028128318067E-12</v>
      </c>
      <c r="S874">
        <f t="shared" ca="1" si="352"/>
        <v>1.1014738483936526E-3</v>
      </c>
      <c r="T874">
        <f t="shared" ca="1" si="353"/>
        <v>0</v>
      </c>
      <c r="U874">
        <f t="shared" ca="1" si="335"/>
        <v>0.05</v>
      </c>
      <c r="V874">
        <f t="shared" ca="1" si="336"/>
        <v>0.25335000000000002</v>
      </c>
      <c r="W874">
        <f t="shared" ca="1" si="337"/>
        <v>4.9032320495451913E-2</v>
      </c>
      <c r="X874">
        <f t="shared" ca="1" si="338"/>
        <v>201.30254588513912</v>
      </c>
      <c r="Y874">
        <f t="shared" ca="1" si="339"/>
        <v>632.25</v>
      </c>
      <c r="Z874">
        <f t="shared" ca="1" si="340"/>
        <v>2697.6279296553794</v>
      </c>
      <c r="AA874">
        <f t="shared" ca="1" si="341"/>
        <v>508.04766180569584</v>
      </c>
      <c r="AB874">
        <f t="shared" ca="1" si="342"/>
        <v>508.28812256415586</v>
      </c>
      <c r="AC874">
        <f t="shared" ca="1" si="343"/>
        <v>0</v>
      </c>
      <c r="AD874">
        <f ca="1">IF(V32="Supercritical",L874,U874)</f>
        <v>0.05</v>
      </c>
      <c r="AE874">
        <f t="shared" ca="1" si="344"/>
        <v>632.25</v>
      </c>
      <c r="AF874">
        <f t="shared" ca="1" si="345"/>
        <v>2697.6279296553794</v>
      </c>
      <c r="AI874">
        <v>0</v>
      </c>
      <c r="AJ874">
        <v>0</v>
      </c>
      <c r="AK874">
        <f t="shared" si="346"/>
        <v>0</v>
      </c>
      <c r="AL874">
        <f t="shared" si="354"/>
        <v>0</v>
      </c>
      <c r="AM874">
        <f t="shared" ca="1" si="347"/>
        <v>287.42845576980574</v>
      </c>
      <c r="AN874" t="str">
        <f t="shared" ca="1" si="348"/>
        <v>Supercritical</v>
      </c>
      <c r="AO874">
        <f ca="1">IF(V32="Supercritical",R874,AA874)</f>
        <v>508.04766180569584</v>
      </c>
    </row>
    <row r="875" spans="1:41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174</v>
      </c>
      <c r="I875">
        <v>7.0000000000000007E-2</v>
      </c>
      <c r="J875">
        <f t="shared" si="349"/>
        <v>1</v>
      </c>
      <c r="K875">
        <f t="shared" si="350"/>
        <v>51</v>
      </c>
      <c r="L875">
        <f t="shared" ca="1" si="351"/>
        <v>38818.168811716459</v>
      </c>
      <c r="M875">
        <f t="shared" ca="1" si="329"/>
        <v>196691.6613689673</v>
      </c>
      <c r="N875">
        <f t="shared" ca="1" si="330"/>
        <v>2.5333346598111888</v>
      </c>
      <c r="O875">
        <f t="shared" ca="1" si="331"/>
        <v>2.5928908040657002E-4</v>
      </c>
      <c r="P875">
        <f t="shared" ca="1" si="332"/>
        <v>39450.368311716462</v>
      </c>
      <c r="Q875">
        <f t="shared" ca="1" si="333"/>
        <v>39450.368311719889</v>
      </c>
      <c r="R875">
        <f t="shared" ca="1" si="334"/>
        <v>4.3802028128318067E-12</v>
      </c>
      <c r="S875">
        <f t="shared" ca="1" si="352"/>
        <v>4.9999998736893758E-4</v>
      </c>
      <c r="T875">
        <f t="shared" ca="1" si="353"/>
        <v>1</v>
      </c>
      <c r="U875">
        <f t="shared" ca="1" si="335"/>
        <v>0.05</v>
      </c>
      <c r="V875">
        <f t="shared" ca="1" si="336"/>
        <v>0.25335000000000002</v>
      </c>
      <c r="W875">
        <f t="shared" ca="1" si="337"/>
        <v>4.9032320495451913E-2</v>
      </c>
      <c r="X875">
        <f t="shared" ca="1" si="338"/>
        <v>201.30254588513912</v>
      </c>
      <c r="Y875">
        <f t="shared" ca="1" si="339"/>
        <v>632.2494999999999</v>
      </c>
      <c r="Z875">
        <f t="shared" ca="1" si="340"/>
        <v>2697.6274296553793</v>
      </c>
      <c r="AA875">
        <f t="shared" ca="1" si="341"/>
        <v>508.04766180569584</v>
      </c>
      <c r="AB875">
        <f t="shared" ca="1" si="342"/>
        <v>508.28812256415586</v>
      </c>
      <c r="AC875">
        <f t="shared" ca="1" si="343"/>
        <v>0</v>
      </c>
      <c r="AD875">
        <f ca="1">IF(V32="Supercritical",L875,U875)</f>
        <v>0.05</v>
      </c>
      <c r="AE875">
        <f t="shared" ca="1" si="344"/>
        <v>632.2494999999999</v>
      </c>
      <c r="AF875">
        <f t="shared" ca="1" si="345"/>
        <v>2697.6274296553793</v>
      </c>
      <c r="AI875">
        <v>0</v>
      </c>
      <c r="AJ875">
        <v>0</v>
      </c>
      <c r="AK875">
        <f t="shared" si="346"/>
        <v>0</v>
      </c>
      <c r="AL875">
        <f t="shared" si="354"/>
        <v>0</v>
      </c>
      <c r="AM875">
        <f t="shared" ca="1" si="347"/>
        <v>287.42845576980574</v>
      </c>
      <c r="AN875" t="str">
        <f t="shared" ca="1" si="348"/>
        <v>Supercritical</v>
      </c>
      <c r="AO875">
        <f ca="1">IF(V32="Supercritical",R875,AA875)</f>
        <v>508.04766180569584</v>
      </c>
    </row>
    <row r="876" spans="1:41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174</v>
      </c>
      <c r="I876">
        <v>7.0000000000000007E-2</v>
      </c>
      <c r="J876">
        <f t="shared" si="349"/>
        <v>1</v>
      </c>
      <c r="K876">
        <f t="shared" si="350"/>
        <v>51</v>
      </c>
      <c r="L876">
        <f t="shared" ca="1" si="351"/>
        <v>38818.168212887053</v>
      </c>
      <c r="M876">
        <f t="shared" ca="1" si="329"/>
        <v>196691.6583346987</v>
      </c>
      <c r="N876">
        <f t="shared" ca="1" si="330"/>
        <v>2.5333346598086388</v>
      </c>
      <c r="O876">
        <f t="shared" ca="1" si="331"/>
        <v>2.5928908440649921E-4</v>
      </c>
      <c r="P876">
        <f t="shared" ca="1" si="332"/>
        <v>39450.367212887053</v>
      </c>
      <c r="Q876">
        <f t="shared" ca="1" si="333"/>
        <v>39450.36721289048</v>
      </c>
      <c r="R876">
        <f t="shared" ca="1" si="334"/>
        <v>4.3802029479802951E-12</v>
      </c>
      <c r="S876">
        <f t="shared" ca="1" si="352"/>
        <v>1.0988294015987776E-3</v>
      </c>
      <c r="T876">
        <f t="shared" ca="1" si="353"/>
        <v>0</v>
      </c>
      <c r="U876">
        <f t="shared" ca="1" si="335"/>
        <v>0.05</v>
      </c>
      <c r="V876">
        <f t="shared" ca="1" si="336"/>
        <v>0.25335000000000002</v>
      </c>
      <c r="W876">
        <f t="shared" ca="1" si="337"/>
        <v>4.9032320495451913E-2</v>
      </c>
      <c r="X876">
        <f t="shared" ca="1" si="338"/>
        <v>201.30254588513912</v>
      </c>
      <c r="Y876">
        <f t="shared" ca="1" si="339"/>
        <v>632.24899999999991</v>
      </c>
      <c r="Z876">
        <f t="shared" ca="1" si="340"/>
        <v>2697.6269296553792</v>
      </c>
      <c r="AA876">
        <f t="shared" ca="1" si="341"/>
        <v>508.04766180569584</v>
      </c>
      <c r="AB876">
        <f t="shared" ca="1" si="342"/>
        <v>508.04716180569585</v>
      </c>
      <c r="AC876">
        <f t="shared" ca="1" si="343"/>
        <v>0</v>
      </c>
      <c r="AD876">
        <f ca="1">IF(V32="Supercritical",L876,U876)</f>
        <v>0.05</v>
      </c>
      <c r="AE876">
        <f t="shared" ca="1" si="344"/>
        <v>632.24899999999991</v>
      </c>
      <c r="AF876">
        <f t="shared" ca="1" si="345"/>
        <v>2697.6269296553792</v>
      </c>
      <c r="AI876">
        <v>0</v>
      </c>
      <c r="AJ876">
        <v>0</v>
      </c>
      <c r="AK876">
        <f t="shared" si="346"/>
        <v>0</v>
      </c>
      <c r="AL876">
        <f t="shared" si="354"/>
        <v>0</v>
      </c>
      <c r="AM876">
        <f t="shared" ca="1" si="347"/>
        <v>287.42845576980574</v>
      </c>
      <c r="AN876" t="str">
        <f t="shared" ca="1" si="348"/>
        <v>Supercritical</v>
      </c>
      <c r="AO876">
        <f ca="1">IF(V32="Supercritical",R876,AA876)</f>
        <v>508.04766180569584</v>
      </c>
    </row>
    <row r="877" spans="1:41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174</v>
      </c>
      <c r="I877">
        <v>0</v>
      </c>
      <c r="J877">
        <f t="shared" si="349"/>
        <v>1</v>
      </c>
      <c r="K877">
        <f t="shared" si="350"/>
        <v>51</v>
      </c>
      <c r="L877">
        <f t="shared" ca="1" si="351"/>
        <v>38818.168212887053</v>
      </c>
      <c r="M877">
        <f t="shared" ca="1" si="329"/>
        <v>196691.6583346987</v>
      </c>
      <c r="N877">
        <f t="shared" ca="1" si="330"/>
        <v>2.5333346598086388</v>
      </c>
      <c r="O877">
        <f t="shared" ca="1" si="331"/>
        <v>2.5928908440649921E-4</v>
      </c>
      <c r="P877">
        <f t="shared" ca="1" si="332"/>
        <v>39450.366712887051</v>
      </c>
      <c r="Q877">
        <f t="shared" ca="1" si="333"/>
        <v>39450.366712890478</v>
      </c>
      <c r="R877">
        <f t="shared" ca="1" si="334"/>
        <v>4.3802029479802951E-12</v>
      </c>
      <c r="S877">
        <f t="shared" ca="1" si="352"/>
        <v>4.999999946448952E-4</v>
      </c>
      <c r="T877">
        <f t="shared" ca="1" si="353"/>
        <v>1</v>
      </c>
      <c r="U877">
        <f t="shared" ca="1" si="335"/>
        <v>0.05</v>
      </c>
      <c r="V877">
        <f t="shared" ca="1" si="336"/>
        <v>0.25335000000000002</v>
      </c>
      <c r="W877">
        <f t="shared" ca="1" si="337"/>
        <v>4.9032320495451913E-2</v>
      </c>
      <c r="X877">
        <f t="shared" ca="1" si="338"/>
        <v>201.30254588513912</v>
      </c>
      <c r="Y877">
        <f t="shared" ca="1" si="339"/>
        <v>632.24849999999992</v>
      </c>
      <c r="Z877">
        <f t="shared" ca="1" si="340"/>
        <v>2697.6264296553791</v>
      </c>
      <c r="AA877">
        <f t="shared" ca="1" si="341"/>
        <v>508.04766180569584</v>
      </c>
      <c r="AB877">
        <f t="shared" ca="1" si="342"/>
        <v>508.28812256415631</v>
      </c>
      <c r="AC877">
        <f t="shared" ca="1" si="343"/>
        <v>0</v>
      </c>
      <c r="AD877">
        <f ca="1">IF(V32="Supercritical",L877,U877)</f>
        <v>0.05</v>
      </c>
      <c r="AE877">
        <f t="shared" ca="1" si="344"/>
        <v>632.24849999999992</v>
      </c>
      <c r="AF877">
        <f t="shared" ca="1" si="345"/>
        <v>2697.6264296553791</v>
      </c>
      <c r="AI877">
        <v>0</v>
      </c>
      <c r="AJ877">
        <v>0</v>
      </c>
      <c r="AK877">
        <f t="shared" si="346"/>
        <v>0</v>
      </c>
      <c r="AL877">
        <f t="shared" si="354"/>
        <v>0</v>
      </c>
      <c r="AM877">
        <f t="shared" ca="1" si="347"/>
        <v>287.42845576980574</v>
      </c>
      <c r="AN877" t="str">
        <f t="shared" ca="1" si="348"/>
        <v>Supercritical</v>
      </c>
      <c r="AO877">
        <f ca="1">IF(V32="Supercritical",R877,AA877)</f>
        <v>508.04766180569584</v>
      </c>
    </row>
    <row r="878" spans="1:41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174</v>
      </c>
      <c r="I878">
        <v>7.0000000000000007E-2</v>
      </c>
      <c r="J878">
        <f t="shared" si="349"/>
        <v>1</v>
      </c>
      <c r="K878">
        <f t="shared" si="350"/>
        <v>51</v>
      </c>
      <c r="L878">
        <f t="shared" ca="1" si="351"/>
        <v>38818.167616247003</v>
      </c>
      <c r="M878">
        <f t="shared" ca="1" si="329"/>
        <v>196691.65531152356</v>
      </c>
      <c r="N878">
        <f t="shared" ca="1" si="330"/>
        <v>2.5333346598060973</v>
      </c>
      <c r="O878">
        <f t="shared" ca="1" si="331"/>
        <v>2.5928908839180462E-4</v>
      </c>
      <c r="P878">
        <f t="shared" ca="1" si="332"/>
        <v>39450.365616247</v>
      </c>
      <c r="Q878">
        <f t="shared" ca="1" si="333"/>
        <v>39450.365616250427</v>
      </c>
      <c r="R878">
        <f t="shared" ca="1" si="334"/>
        <v>4.3802030826346812E-12</v>
      </c>
      <c r="S878">
        <f t="shared" ca="1" si="352"/>
        <v>1.096640044124797E-3</v>
      </c>
      <c r="T878">
        <f t="shared" ca="1" si="353"/>
        <v>0</v>
      </c>
      <c r="U878">
        <f t="shared" ca="1" si="335"/>
        <v>0.05</v>
      </c>
      <c r="V878">
        <f t="shared" ca="1" si="336"/>
        <v>0.25335000000000002</v>
      </c>
      <c r="W878">
        <f t="shared" ca="1" si="337"/>
        <v>4.9032320495451913E-2</v>
      </c>
      <c r="X878">
        <f t="shared" ca="1" si="338"/>
        <v>201.30254588513912</v>
      </c>
      <c r="Y878">
        <f t="shared" ca="1" si="339"/>
        <v>632.24799999999993</v>
      </c>
      <c r="Z878">
        <f t="shared" ca="1" si="340"/>
        <v>2697.6259296553794</v>
      </c>
      <c r="AA878">
        <f t="shared" ca="1" si="341"/>
        <v>508.04766180569584</v>
      </c>
      <c r="AB878">
        <f t="shared" ca="1" si="342"/>
        <v>508.28812256415586</v>
      </c>
      <c r="AC878">
        <f t="shared" ca="1" si="343"/>
        <v>0</v>
      </c>
      <c r="AD878">
        <f ca="1">IF(V32="Supercritical",L878,U878)</f>
        <v>0.05</v>
      </c>
      <c r="AE878">
        <f t="shared" ca="1" si="344"/>
        <v>632.24799999999993</v>
      </c>
      <c r="AF878">
        <f t="shared" ca="1" si="345"/>
        <v>2697.6259296553794</v>
      </c>
      <c r="AI878">
        <v>0</v>
      </c>
      <c r="AJ878">
        <v>0</v>
      </c>
      <c r="AK878">
        <f t="shared" si="346"/>
        <v>0</v>
      </c>
      <c r="AL878">
        <f t="shared" si="354"/>
        <v>0</v>
      </c>
      <c r="AM878">
        <f t="shared" ca="1" si="347"/>
        <v>287.42845576980574</v>
      </c>
      <c r="AN878" t="str">
        <f t="shared" ca="1" si="348"/>
        <v>Supercritical</v>
      </c>
      <c r="AO878">
        <f ca="1">IF(V32="Supercritical",R878,AA878)</f>
        <v>508.04766180569584</v>
      </c>
    </row>
    <row r="879" spans="1:41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174</v>
      </c>
      <c r="I879">
        <v>7.0000000000000007E-2</v>
      </c>
      <c r="J879">
        <f t="shared" si="349"/>
        <v>1</v>
      </c>
      <c r="K879">
        <f t="shared" si="350"/>
        <v>51</v>
      </c>
      <c r="L879">
        <f t="shared" ca="1" si="351"/>
        <v>38818.167616247003</v>
      </c>
      <c r="M879">
        <f t="shared" ca="1" si="329"/>
        <v>196691.65531152356</v>
      </c>
      <c r="N879">
        <f t="shared" ca="1" si="330"/>
        <v>2.5333346598060973</v>
      </c>
      <c r="O879">
        <f t="shared" ca="1" si="331"/>
        <v>2.5928908839180462E-4</v>
      </c>
      <c r="P879">
        <f t="shared" ca="1" si="332"/>
        <v>39450.365116247005</v>
      </c>
      <c r="Q879">
        <f t="shared" ca="1" si="333"/>
        <v>39450.365116250432</v>
      </c>
      <c r="R879">
        <f t="shared" ca="1" si="334"/>
        <v>4.3802030826346812E-12</v>
      </c>
      <c r="S879">
        <f t="shared" ca="1" si="352"/>
        <v>4.9999998736893758E-4</v>
      </c>
      <c r="T879">
        <f t="shared" ca="1" si="353"/>
        <v>1</v>
      </c>
      <c r="U879">
        <f t="shared" ca="1" si="335"/>
        <v>0.05</v>
      </c>
      <c r="V879">
        <f t="shared" ca="1" si="336"/>
        <v>0.25335000000000002</v>
      </c>
      <c r="W879">
        <f t="shared" ca="1" si="337"/>
        <v>4.9032320495451913E-2</v>
      </c>
      <c r="X879">
        <f t="shared" ca="1" si="338"/>
        <v>201.30254588513912</v>
      </c>
      <c r="Y879">
        <f t="shared" ca="1" si="339"/>
        <v>632.24749999999995</v>
      </c>
      <c r="Z879">
        <f t="shared" ca="1" si="340"/>
        <v>2697.6254296553793</v>
      </c>
      <c r="AA879">
        <f t="shared" ca="1" si="341"/>
        <v>508.04766180569584</v>
      </c>
      <c r="AB879">
        <f t="shared" ca="1" si="342"/>
        <v>508.2364881159142</v>
      </c>
      <c r="AC879">
        <f t="shared" ca="1" si="343"/>
        <v>0</v>
      </c>
      <c r="AD879">
        <f ca="1">IF(V32="Supercritical",L879,U879)</f>
        <v>0.05</v>
      </c>
      <c r="AE879">
        <f t="shared" ca="1" si="344"/>
        <v>632.24749999999995</v>
      </c>
      <c r="AF879">
        <f t="shared" ca="1" si="345"/>
        <v>2697.6254296553793</v>
      </c>
      <c r="AI879">
        <v>0</v>
      </c>
      <c r="AJ879">
        <v>0</v>
      </c>
      <c r="AK879">
        <f t="shared" si="346"/>
        <v>0</v>
      </c>
      <c r="AL879">
        <f t="shared" si="354"/>
        <v>0</v>
      </c>
      <c r="AM879">
        <f t="shared" ca="1" si="347"/>
        <v>287.42845576980574</v>
      </c>
      <c r="AN879" t="str">
        <f t="shared" ca="1" si="348"/>
        <v>Supercritical</v>
      </c>
      <c r="AO879">
        <f ca="1">IF(V32="Supercritical",R879,AA879)</f>
        <v>508.04766180569584</v>
      </c>
    </row>
    <row r="880" spans="1:41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174</v>
      </c>
      <c r="I880">
        <v>5.5E-2</v>
      </c>
      <c r="J880">
        <f t="shared" si="349"/>
        <v>1</v>
      </c>
      <c r="K880">
        <f t="shared" si="350"/>
        <v>51</v>
      </c>
      <c r="L880">
        <f t="shared" ca="1" si="351"/>
        <v>38818.167021414141</v>
      </c>
      <c r="M880">
        <f t="shared" ca="1" si="329"/>
        <v>196691.65229750547</v>
      </c>
      <c r="N880">
        <f t="shared" ca="1" si="330"/>
        <v>2.5333346598035642</v>
      </c>
      <c r="O880">
        <f t="shared" ca="1" si="331"/>
        <v>2.5928909236503885E-4</v>
      </c>
      <c r="P880">
        <f t="shared" ca="1" si="332"/>
        <v>39450.364021414141</v>
      </c>
      <c r="Q880">
        <f t="shared" ca="1" si="333"/>
        <v>39450.364021417568</v>
      </c>
      <c r="R880">
        <f t="shared" ca="1" si="334"/>
        <v>4.3802032168812091E-12</v>
      </c>
      <c r="S880">
        <f t="shared" ca="1" si="352"/>
        <v>1.0948328563245013E-3</v>
      </c>
      <c r="T880">
        <f t="shared" ca="1" si="353"/>
        <v>0</v>
      </c>
      <c r="U880">
        <f t="shared" ca="1" si="335"/>
        <v>0.05</v>
      </c>
      <c r="V880">
        <f t="shared" ca="1" si="336"/>
        <v>0.25335000000000002</v>
      </c>
      <c r="W880">
        <f t="shared" ca="1" si="337"/>
        <v>4.9032320495451913E-2</v>
      </c>
      <c r="X880">
        <f t="shared" ca="1" si="338"/>
        <v>201.30254588513912</v>
      </c>
      <c r="Y880">
        <f t="shared" ca="1" si="339"/>
        <v>632.24699999999996</v>
      </c>
      <c r="Z880">
        <f t="shared" ca="1" si="340"/>
        <v>2697.6249296553792</v>
      </c>
      <c r="AA880">
        <f t="shared" ca="1" si="341"/>
        <v>508.04766180569584</v>
      </c>
      <c r="AB880">
        <f t="shared" ca="1" si="342"/>
        <v>508.18485366767345</v>
      </c>
      <c r="AC880">
        <f t="shared" ca="1" si="343"/>
        <v>0</v>
      </c>
      <c r="AD880">
        <f ca="1">IF(V32="Supercritical",L880,U880)</f>
        <v>0.05</v>
      </c>
      <c r="AE880">
        <f t="shared" ca="1" si="344"/>
        <v>632.24699999999996</v>
      </c>
      <c r="AF880">
        <f t="shared" ca="1" si="345"/>
        <v>2697.6249296553792</v>
      </c>
      <c r="AI880">
        <v>0</v>
      </c>
      <c r="AJ880">
        <v>0</v>
      </c>
      <c r="AK880">
        <f t="shared" si="346"/>
        <v>0</v>
      </c>
      <c r="AL880">
        <f t="shared" si="354"/>
        <v>0</v>
      </c>
      <c r="AM880">
        <f t="shared" ca="1" si="347"/>
        <v>287.42845576980574</v>
      </c>
      <c r="AN880" t="str">
        <f t="shared" ca="1" si="348"/>
        <v>Supercritical</v>
      </c>
      <c r="AO880">
        <f ca="1">IF(V32="Supercritical",R880,AA880)</f>
        <v>508.04766180569584</v>
      </c>
    </row>
    <row r="881" spans="1:41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174</v>
      </c>
      <c r="I881">
        <v>0.04</v>
      </c>
      <c r="J881">
        <f t="shared" si="349"/>
        <v>1</v>
      </c>
      <c r="K881">
        <f t="shared" si="350"/>
        <v>51</v>
      </c>
      <c r="L881">
        <f t="shared" ca="1" si="351"/>
        <v>38818.167021414141</v>
      </c>
      <c r="M881">
        <f t="shared" ca="1" si="329"/>
        <v>196691.65229750547</v>
      </c>
      <c r="N881">
        <f t="shared" ca="1" si="330"/>
        <v>2.5333346598035642</v>
      </c>
      <c r="O881">
        <f t="shared" ca="1" si="331"/>
        <v>2.5928909236503885E-4</v>
      </c>
      <c r="P881">
        <f t="shared" ca="1" si="332"/>
        <v>39450.36352141414</v>
      </c>
      <c r="Q881">
        <f t="shared" ca="1" si="333"/>
        <v>39450.363521417567</v>
      </c>
      <c r="R881">
        <f t="shared" ca="1" si="334"/>
        <v>4.3802032168812091E-12</v>
      </c>
      <c r="S881">
        <f t="shared" ca="1" si="352"/>
        <v>4.999999946448952E-4</v>
      </c>
      <c r="T881">
        <f t="shared" ca="1" si="353"/>
        <v>1</v>
      </c>
      <c r="U881">
        <f t="shared" ca="1" si="335"/>
        <v>0.05</v>
      </c>
      <c r="V881">
        <f t="shared" ca="1" si="336"/>
        <v>0.25335000000000002</v>
      </c>
      <c r="W881">
        <f t="shared" ca="1" si="337"/>
        <v>4.9032320495451913E-2</v>
      </c>
      <c r="X881">
        <f t="shared" ca="1" si="338"/>
        <v>201.30254588513912</v>
      </c>
      <c r="Y881">
        <f t="shared" ca="1" si="339"/>
        <v>632.24649999999997</v>
      </c>
      <c r="Z881">
        <f t="shared" ca="1" si="340"/>
        <v>2697.6244296553796</v>
      </c>
      <c r="AA881">
        <f t="shared" ca="1" si="341"/>
        <v>508.04766180569584</v>
      </c>
      <c r="AB881">
        <f t="shared" ca="1" si="342"/>
        <v>508.09879625393705</v>
      </c>
      <c r="AC881">
        <f t="shared" ca="1" si="343"/>
        <v>0</v>
      </c>
      <c r="AD881">
        <f ca="1">IF(V32="Supercritical",L881,U881)</f>
        <v>0.05</v>
      </c>
      <c r="AE881">
        <f t="shared" ca="1" si="344"/>
        <v>632.24649999999997</v>
      </c>
      <c r="AF881">
        <f t="shared" ca="1" si="345"/>
        <v>2697.6244296553796</v>
      </c>
      <c r="AI881">
        <v>0</v>
      </c>
      <c r="AJ881">
        <v>0</v>
      </c>
      <c r="AK881">
        <f t="shared" si="346"/>
        <v>0</v>
      </c>
      <c r="AL881">
        <f t="shared" si="354"/>
        <v>0</v>
      </c>
      <c r="AM881">
        <f t="shared" ca="1" si="347"/>
        <v>287.42845576980574</v>
      </c>
      <c r="AN881" t="str">
        <f t="shared" ca="1" si="348"/>
        <v>Supercritical</v>
      </c>
      <c r="AO881">
        <f ca="1">IF(V32="Supercritical",R881,AA881)</f>
        <v>508.04766180569584</v>
      </c>
    </row>
    <row r="882" spans="1:41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174</v>
      </c>
      <c r="I882">
        <v>1.4999999999999999E-2</v>
      </c>
      <c r="J882">
        <f t="shared" si="349"/>
        <v>1</v>
      </c>
      <c r="K882">
        <f t="shared" si="350"/>
        <v>51</v>
      </c>
      <c r="L882">
        <f t="shared" ca="1" si="351"/>
        <v>38818.166428068616</v>
      </c>
      <c r="M882">
        <f t="shared" ca="1" si="329"/>
        <v>196691.6492910237</v>
      </c>
      <c r="N882">
        <f t="shared" ca="1" si="330"/>
        <v>2.5333346598010373</v>
      </c>
      <c r="O882">
        <f t="shared" ca="1" si="331"/>
        <v>2.5928909632833843E-4</v>
      </c>
      <c r="P882">
        <f t="shared" ca="1" si="332"/>
        <v>39450.36242806862</v>
      </c>
      <c r="Q882">
        <f t="shared" ca="1" si="333"/>
        <v>39450.362428072047</v>
      </c>
      <c r="R882">
        <f t="shared" ca="1" si="334"/>
        <v>4.3802033507920704E-12</v>
      </c>
      <c r="S882">
        <f t="shared" ca="1" si="352"/>
        <v>1.0933455123449676E-3</v>
      </c>
      <c r="T882">
        <f t="shared" ca="1" si="353"/>
        <v>0</v>
      </c>
      <c r="U882">
        <f t="shared" ca="1" si="335"/>
        <v>0.05</v>
      </c>
      <c r="V882">
        <f t="shared" ca="1" si="336"/>
        <v>0.25335000000000002</v>
      </c>
      <c r="W882">
        <f t="shared" ca="1" si="337"/>
        <v>4.9032320495451913E-2</v>
      </c>
      <c r="X882">
        <f t="shared" ca="1" si="338"/>
        <v>201.30254588513912</v>
      </c>
      <c r="Y882">
        <f t="shared" ca="1" si="339"/>
        <v>632.24599999999998</v>
      </c>
      <c r="Z882">
        <f t="shared" ca="1" si="340"/>
        <v>2697.6239296553795</v>
      </c>
      <c r="AA882">
        <f t="shared" ca="1" si="341"/>
        <v>508.04766180569584</v>
      </c>
      <c r="AB882">
        <f t="shared" ca="1" si="342"/>
        <v>508.28812256415586</v>
      </c>
      <c r="AC882">
        <f t="shared" ca="1" si="343"/>
        <v>0</v>
      </c>
      <c r="AD882">
        <f ca="1">IF(V32="Supercritical",L882,U882)</f>
        <v>0.05</v>
      </c>
      <c r="AE882">
        <f t="shared" ca="1" si="344"/>
        <v>632.24599999999998</v>
      </c>
      <c r="AF882">
        <f t="shared" ca="1" si="345"/>
        <v>2697.6239296553795</v>
      </c>
      <c r="AI882">
        <v>0</v>
      </c>
      <c r="AJ882">
        <v>0</v>
      </c>
      <c r="AK882">
        <f t="shared" si="346"/>
        <v>0</v>
      </c>
      <c r="AL882">
        <f t="shared" si="354"/>
        <v>0</v>
      </c>
      <c r="AM882">
        <f t="shared" ca="1" si="347"/>
        <v>287.42845576980574</v>
      </c>
      <c r="AN882" t="str">
        <f t="shared" ca="1" si="348"/>
        <v>Supercritical</v>
      </c>
      <c r="AO882">
        <f ca="1">IF(V32="Supercritical",R882,AA882)</f>
        <v>508.04766180569584</v>
      </c>
    </row>
    <row r="883" spans="1:41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174</v>
      </c>
      <c r="I883">
        <v>7.0000000000000007E-2</v>
      </c>
      <c r="J883">
        <f t="shared" si="349"/>
        <v>1</v>
      </c>
      <c r="K883">
        <f t="shared" si="350"/>
        <v>51</v>
      </c>
      <c r="L883">
        <f t="shared" ca="1" si="351"/>
        <v>38818.166428068616</v>
      </c>
      <c r="M883">
        <f t="shared" ca="1" si="329"/>
        <v>196691.6492910237</v>
      </c>
      <c r="N883">
        <f t="shared" ca="1" si="330"/>
        <v>2.5333346598010373</v>
      </c>
      <c r="O883">
        <f t="shared" ca="1" si="331"/>
        <v>2.5928909632833843E-4</v>
      </c>
      <c r="P883">
        <f t="shared" ca="1" si="332"/>
        <v>39450.361928068618</v>
      </c>
      <c r="Q883">
        <f t="shared" ca="1" si="333"/>
        <v>39450.361928072045</v>
      </c>
      <c r="R883">
        <f t="shared" ca="1" si="334"/>
        <v>4.3802033507920704E-12</v>
      </c>
      <c r="S883">
        <f t="shared" ca="1" si="352"/>
        <v>4.999999946448952E-4</v>
      </c>
      <c r="T883">
        <f t="shared" ca="1" si="353"/>
        <v>1</v>
      </c>
      <c r="U883">
        <f t="shared" ca="1" si="335"/>
        <v>0.05</v>
      </c>
      <c r="V883">
        <f t="shared" ca="1" si="336"/>
        <v>0.25335000000000002</v>
      </c>
      <c r="W883">
        <f t="shared" ca="1" si="337"/>
        <v>4.9032320495451913E-2</v>
      </c>
      <c r="X883">
        <f t="shared" ca="1" si="338"/>
        <v>201.30254588513912</v>
      </c>
      <c r="Y883">
        <f t="shared" ca="1" si="339"/>
        <v>632.24549999999999</v>
      </c>
      <c r="Z883">
        <f t="shared" ca="1" si="340"/>
        <v>2697.6234296553794</v>
      </c>
      <c r="AA883">
        <f t="shared" ca="1" si="341"/>
        <v>508.04766180569584</v>
      </c>
      <c r="AB883">
        <f t="shared" ca="1" si="342"/>
        <v>508.79617022600723</v>
      </c>
      <c r="AC883">
        <f t="shared" ca="1" si="343"/>
        <v>0</v>
      </c>
      <c r="AD883">
        <f ca="1">IF(V32="Supercritical",L883,U883)</f>
        <v>0.05</v>
      </c>
      <c r="AE883">
        <f t="shared" ca="1" si="344"/>
        <v>632.24549999999999</v>
      </c>
      <c r="AF883">
        <f t="shared" ca="1" si="345"/>
        <v>2697.6234296553794</v>
      </c>
      <c r="AI883">
        <v>0</v>
      </c>
      <c r="AJ883">
        <v>0</v>
      </c>
      <c r="AK883">
        <f t="shared" si="346"/>
        <v>0</v>
      </c>
      <c r="AL883">
        <f t="shared" si="354"/>
        <v>0</v>
      </c>
      <c r="AM883">
        <f t="shared" ca="1" si="347"/>
        <v>287.42845576980574</v>
      </c>
      <c r="AN883" t="str">
        <f t="shared" ca="1" si="348"/>
        <v>Supercritical</v>
      </c>
      <c r="AO883">
        <f ca="1">IF(V32="Supercritical",R883,AA883)</f>
        <v>508.04766180569584</v>
      </c>
    </row>
    <row r="884" spans="1:41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174</v>
      </c>
      <c r="I884">
        <v>7.0000000000000007E-2</v>
      </c>
      <c r="J884">
        <f t="shared" si="349"/>
        <v>1.00100000000009</v>
      </c>
      <c r="K884">
        <f t="shared" si="350"/>
        <v>51</v>
      </c>
      <c r="L884">
        <f t="shared" ca="1" si="351"/>
        <v>38818.165835943611</v>
      </c>
      <c r="M884">
        <f t="shared" ca="1" si="329"/>
        <v>196691.64629072629</v>
      </c>
      <c r="N884">
        <f t="shared" ca="1" si="330"/>
        <v>2.5333346597985149</v>
      </c>
      <c r="O884">
        <f t="shared" ca="1" si="331"/>
        <v>2.5928910028348557E-4</v>
      </c>
      <c r="P884">
        <f t="shared" ca="1" si="332"/>
        <v>39450.360835943611</v>
      </c>
      <c r="Q884">
        <f t="shared" ca="1" si="333"/>
        <v>39450.360835947038</v>
      </c>
      <c r="R884">
        <f t="shared" ca="1" si="334"/>
        <v>4.3802034844274831E-12</v>
      </c>
      <c r="S884">
        <f t="shared" ca="1" si="352"/>
        <v>1.0921249995590188E-3</v>
      </c>
      <c r="T884">
        <f t="shared" ca="1" si="353"/>
        <v>0</v>
      </c>
      <c r="U884">
        <f t="shared" ca="1" si="335"/>
        <v>0.05</v>
      </c>
      <c r="V884">
        <f t="shared" ca="1" si="336"/>
        <v>0.25335000000000002</v>
      </c>
      <c r="W884">
        <f t="shared" ca="1" si="337"/>
        <v>4.9032320495451913E-2</v>
      </c>
      <c r="X884">
        <f t="shared" ca="1" si="338"/>
        <v>201.30254588513912</v>
      </c>
      <c r="Y884">
        <f t="shared" ca="1" si="339"/>
        <v>632.245</v>
      </c>
      <c r="Z884">
        <f t="shared" ca="1" si="340"/>
        <v>2697.6229296553793</v>
      </c>
      <c r="AA884">
        <f t="shared" ca="1" si="341"/>
        <v>508.04766180569584</v>
      </c>
      <c r="AB884">
        <f t="shared" ca="1" si="342"/>
        <v>507.72844045406282</v>
      </c>
      <c r="AC884">
        <f t="shared" ca="1" si="343"/>
        <v>0</v>
      </c>
      <c r="AD884">
        <f ca="1">IF(V32="Supercritical",L884,U884)</f>
        <v>0.05</v>
      </c>
      <c r="AE884">
        <f t="shared" ca="1" si="344"/>
        <v>632.245</v>
      </c>
      <c r="AF884">
        <f t="shared" ca="1" si="345"/>
        <v>2697.6229296553793</v>
      </c>
      <c r="AI884">
        <v>0</v>
      </c>
      <c r="AJ884">
        <v>0</v>
      </c>
      <c r="AK884">
        <f t="shared" si="346"/>
        <v>0</v>
      </c>
      <c r="AL884">
        <f t="shared" si="354"/>
        <v>0</v>
      </c>
      <c r="AM884">
        <f t="shared" ca="1" si="347"/>
        <v>287.42845576980574</v>
      </c>
      <c r="AN884" t="str">
        <f t="shared" ca="1" si="348"/>
        <v>Supercritical</v>
      </c>
      <c r="AO884">
        <f ca="1">IF(V32="Supercritical",R884,AA884)</f>
        <v>508.04766180569584</v>
      </c>
    </row>
    <row r="885" spans="1:41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174</v>
      </c>
      <c r="I885">
        <v>5.5E-2</v>
      </c>
      <c r="J885">
        <f t="shared" si="349"/>
        <v>0.99899999999990996</v>
      </c>
      <c r="K885">
        <f t="shared" si="350"/>
        <v>51</v>
      </c>
      <c r="L885">
        <f t="shared" ca="1" si="351"/>
        <v>38818.165835943611</v>
      </c>
      <c r="M885">
        <f t="shared" ca="1" si="329"/>
        <v>196691.64629072629</v>
      </c>
      <c r="N885">
        <f t="shared" ca="1" si="330"/>
        <v>2.5333346597985149</v>
      </c>
      <c r="O885">
        <f t="shared" ca="1" si="331"/>
        <v>2.5928910028348557E-4</v>
      </c>
      <c r="P885">
        <f t="shared" ca="1" si="332"/>
        <v>39450.360335943609</v>
      </c>
      <c r="Q885">
        <f t="shared" ca="1" si="333"/>
        <v>39450.360335947036</v>
      </c>
      <c r="R885">
        <f t="shared" ca="1" si="334"/>
        <v>4.3802034844274831E-12</v>
      </c>
      <c r="S885">
        <f t="shared" ca="1" si="352"/>
        <v>4.999999946448952E-4</v>
      </c>
      <c r="T885">
        <f t="shared" ca="1" si="353"/>
        <v>1</v>
      </c>
      <c r="U885">
        <f t="shared" ca="1" si="335"/>
        <v>0.05</v>
      </c>
      <c r="V885">
        <f t="shared" ca="1" si="336"/>
        <v>0.25335000000000002</v>
      </c>
      <c r="W885">
        <f t="shared" ca="1" si="337"/>
        <v>4.9032320495451913E-2</v>
      </c>
      <c r="X885">
        <f t="shared" ca="1" si="338"/>
        <v>201.30254588513912</v>
      </c>
      <c r="Y885">
        <f t="shared" ca="1" si="339"/>
        <v>632.2444999999999</v>
      </c>
      <c r="Z885">
        <f t="shared" ca="1" si="340"/>
        <v>2697.6224296553792</v>
      </c>
      <c r="AA885">
        <f t="shared" ca="1" si="341"/>
        <v>508.04766180569584</v>
      </c>
      <c r="AB885">
        <f t="shared" ca="1" si="342"/>
        <v>508.184853667673</v>
      </c>
      <c r="AC885">
        <f t="shared" ca="1" si="343"/>
        <v>0</v>
      </c>
      <c r="AD885">
        <f ca="1">IF(V32="Supercritical",L885,U885)</f>
        <v>0.05</v>
      </c>
      <c r="AE885">
        <f t="shared" ca="1" si="344"/>
        <v>632.2444999999999</v>
      </c>
      <c r="AF885">
        <f t="shared" ca="1" si="345"/>
        <v>2697.6224296553792</v>
      </c>
      <c r="AI885">
        <v>0</v>
      </c>
      <c r="AJ885">
        <v>0</v>
      </c>
      <c r="AK885">
        <f t="shared" si="346"/>
        <v>0</v>
      </c>
      <c r="AL885">
        <f t="shared" si="354"/>
        <v>0</v>
      </c>
      <c r="AM885">
        <f t="shared" ca="1" si="347"/>
        <v>287.42845576980574</v>
      </c>
      <c r="AN885" t="str">
        <f t="shared" ca="1" si="348"/>
        <v>Supercritical</v>
      </c>
      <c r="AO885">
        <f ca="1">IF(V32="Supercritical",R885,AA885)</f>
        <v>508.04766180569584</v>
      </c>
    </row>
    <row r="886" spans="1:41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174</v>
      </c>
      <c r="I886">
        <v>0.04</v>
      </c>
      <c r="J886">
        <f t="shared" si="349"/>
        <v>1</v>
      </c>
      <c r="K886">
        <f t="shared" si="350"/>
        <v>51</v>
      </c>
      <c r="L886">
        <f t="shared" ca="1" si="351"/>
        <v>38818.165244817232</v>
      </c>
      <c r="M886">
        <f t="shared" ca="1" si="329"/>
        <v>196691.64329548893</v>
      </c>
      <c r="N886">
        <f t="shared" ca="1" si="330"/>
        <v>2.5333346597959974</v>
      </c>
      <c r="O886">
        <f t="shared" ca="1" si="331"/>
        <v>2.5928910423196242E-4</v>
      </c>
      <c r="P886">
        <f t="shared" ca="1" si="332"/>
        <v>39450.359244817235</v>
      </c>
      <c r="Q886">
        <f t="shared" ca="1" si="333"/>
        <v>39450.359244820662</v>
      </c>
      <c r="R886">
        <f t="shared" ca="1" si="334"/>
        <v>4.3802036178375238E-12</v>
      </c>
      <c r="S886">
        <f t="shared" ca="1" si="352"/>
        <v>1.0911263671005145E-3</v>
      </c>
      <c r="T886">
        <f t="shared" ca="1" si="353"/>
        <v>0</v>
      </c>
      <c r="U886">
        <f t="shared" ca="1" si="335"/>
        <v>0.05</v>
      </c>
      <c r="V886">
        <f t="shared" ca="1" si="336"/>
        <v>0.25335000000000002</v>
      </c>
      <c r="W886">
        <f t="shared" ca="1" si="337"/>
        <v>4.9032320495451913E-2</v>
      </c>
      <c r="X886">
        <f t="shared" ca="1" si="338"/>
        <v>201.30254588513912</v>
      </c>
      <c r="Y886">
        <f t="shared" ca="1" si="339"/>
        <v>632.24399999999991</v>
      </c>
      <c r="Z886">
        <f t="shared" ca="1" si="340"/>
        <v>2697.6219296553791</v>
      </c>
      <c r="AA886">
        <f t="shared" ca="1" si="341"/>
        <v>508.04766180569584</v>
      </c>
      <c r="AB886">
        <f t="shared" ca="1" si="342"/>
        <v>508.60684391578889</v>
      </c>
      <c r="AC886">
        <f t="shared" ca="1" si="343"/>
        <v>0</v>
      </c>
      <c r="AD886">
        <f ca="1">IF(V32="Supercritical",L886,U886)</f>
        <v>0.05</v>
      </c>
      <c r="AE886">
        <f t="shared" ca="1" si="344"/>
        <v>632.24399999999991</v>
      </c>
      <c r="AF886">
        <f t="shared" ca="1" si="345"/>
        <v>2697.6219296553791</v>
      </c>
      <c r="AI886">
        <v>0</v>
      </c>
      <c r="AJ886">
        <v>0</v>
      </c>
      <c r="AK886">
        <f t="shared" si="346"/>
        <v>0</v>
      </c>
      <c r="AL886">
        <f t="shared" si="354"/>
        <v>0</v>
      </c>
      <c r="AM886">
        <f t="shared" ca="1" si="347"/>
        <v>287.42845576980574</v>
      </c>
      <c r="AN886" t="str">
        <f t="shared" ca="1" si="348"/>
        <v>Supercritical</v>
      </c>
      <c r="AO886">
        <f ca="1">IF(V32="Supercritical",R886,AA886)</f>
        <v>508.04766180569584</v>
      </c>
    </row>
    <row r="887" spans="1:41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174</v>
      </c>
      <c r="I887">
        <v>1.4999999999999999E-2</v>
      </c>
      <c r="J887">
        <f t="shared" si="349"/>
        <v>1.00100000000009</v>
      </c>
      <c r="K887">
        <f t="shared" si="350"/>
        <v>51</v>
      </c>
      <c r="L887">
        <f t="shared" ca="1" si="351"/>
        <v>38818.165244817232</v>
      </c>
      <c r="M887">
        <f t="shared" ca="1" si="329"/>
        <v>196691.64329548893</v>
      </c>
      <c r="N887">
        <f t="shared" ca="1" si="330"/>
        <v>2.5333346597959974</v>
      </c>
      <c r="O887">
        <f t="shared" ca="1" si="331"/>
        <v>2.5928910423196242E-4</v>
      </c>
      <c r="P887">
        <f t="shared" ca="1" si="332"/>
        <v>39450.358744817233</v>
      </c>
      <c r="Q887">
        <f t="shared" ca="1" si="333"/>
        <v>39450.35874482066</v>
      </c>
      <c r="R887">
        <f t="shared" ca="1" si="334"/>
        <v>4.3802036178375238E-12</v>
      </c>
      <c r="S887">
        <f t="shared" ca="1" si="352"/>
        <v>4.999999946448952E-4</v>
      </c>
      <c r="T887">
        <f t="shared" ca="1" si="353"/>
        <v>1</v>
      </c>
      <c r="U887">
        <f t="shared" ca="1" si="335"/>
        <v>0.05</v>
      </c>
      <c r="V887">
        <f t="shared" ca="1" si="336"/>
        <v>0.25335000000000002</v>
      </c>
      <c r="W887">
        <f t="shared" ca="1" si="337"/>
        <v>4.9032320495451913E-2</v>
      </c>
      <c r="X887">
        <f t="shared" ca="1" si="338"/>
        <v>201.30254588513912</v>
      </c>
      <c r="Y887">
        <f t="shared" ca="1" si="339"/>
        <v>632.24349999999993</v>
      </c>
      <c r="Z887">
        <f t="shared" ca="1" si="340"/>
        <v>2697.6214296553794</v>
      </c>
      <c r="AA887">
        <f t="shared" ca="1" si="341"/>
        <v>508.04766180569584</v>
      </c>
      <c r="AB887">
        <f t="shared" ca="1" si="342"/>
        <v>507.72844045406282</v>
      </c>
      <c r="AC887">
        <f t="shared" ca="1" si="343"/>
        <v>0</v>
      </c>
      <c r="AD887">
        <f ca="1">IF(V32="Supercritical",L887,U887)</f>
        <v>0.05</v>
      </c>
      <c r="AE887">
        <f t="shared" ca="1" si="344"/>
        <v>632.24349999999993</v>
      </c>
      <c r="AF887">
        <f t="shared" ca="1" si="345"/>
        <v>2697.6214296553794</v>
      </c>
      <c r="AI887">
        <v>0</v>
      </c>
      <c r="AJ887">
        <v>0</v>
      </c>
      <c r="AK887">
        <f t="shared" si="346"/>
        <v>0</v>
      </c>
      <c r="AL887">
        <f t="shared" si="354"/>
        <v>0</v>
      </c>
      <c r="AM887">
        <f t="shared" ca="1" si="347"/>
        <v>287.42845576980574</v>
      </c>
      <c r="AN887" t="str">
        <f t="shared" ca="1" si="348"/>
        <v>Supercritical</v>
      </c>
      <c r="AO887">
        <f ca="1">IF(V32="Supercritical",R887,AA887)</f>
        <v>508.04766180569584</v>
      </c>
    </row>
    <row r="888" spans="1:41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174</v>
      </c>
      <c r="I888">
        <v>5.5E-2</v>
      </c>
      <c r="J888">
        <f t="shared" si="349"/>
        <v>0.99899999999990996</v>
      </c>
      <c r="K888">
        <f t="shared" si="350"/>
        <v>51</v>
      </c>
      <c r="L888">
        <f t="shared" ca="1" si="351"/>
        <v>38818.164654505614</v>
      </c>
      <c r="M888">
        <f t="shared" ca="1" si="329"/>
        <v>196691.64030437995</v>
      </c>
      <c r="N888">
        <f t="shared" ca="1" si="330"/>
        <v>2.5333346597934834</v>
      </c>
      <c r="O888">
        <f t="shared" ca="1" si="331"/>
        <v>2.5928910817499712E-4</v>
      </c>
      <c r="P888">
        <f t="shared" ca="1" si="332"/>
        <v>39450.357654505613</v>
      </c>
      <c r="Q888">
        <f t="shared" ca="1" si="333"/>
        <v>39450.35765450904</v>
      </c>
      <c r="R888">
        <f t="shared" ca="1" si="334"/>
        <v>4.3802037510636888E-12</v>
      </c>
      <c r="S888">
        <f t="shared" ca="1" si="352"/>
        <v>1.0903116126428358E-3</v>
      </c>
      <c r="T888">
        <f t="shared" ca="1" si="353"/>
        <v>0</v>
      </c>
      <c r="U888">
        <f t="shared" ca="1" si="335"/>
        <v>0.05</v>
      </c>
      <c r="V888">
        <f t="shared" ca="1" si="336"/>
        <v>0.25335000000000002</v>
      </c>
      <c r="W888">
        <f t="shared" ca="1" si="337"/>
        <v>4.9032320495451913E-2</v>
      </c>
      <c r="X888">
        <f t="shared" ca="1" si="338"/>
        <v>201.30254588513912</v>
      </c>
      <c r="Y888">
        <f t="shared" ca="1" si="339"/>
        <v>632.24299999999994</v>
      </c>
      <c r="Z888">
        <f t="shared" ca="1" si="340"/>
        <v>2697.6209296553793</v>
      </c>
      <c r="AA888">
        <f t="shared" ca="1" si="341"/>
        <v>508.04766180569584</v>
      </c>
      <c r="AB888">
        <f t="shared" ca="1" si="342"/>
        <v>508.184853667673</v>
      </c>
      <c r="AC888">
        <f t="shared" ca="1" si="343"/>
        <v>0</v>
      </c>
      <c r="AD888">
        <f ca="1">IF(V32="Supercritical",L888,U888)</f>
        <v>0.05</v>
      </c>
      <c r="AE888">
        <f t="shared" ca="1" si="344"/>
        <v>632.24299999999994</v>
      </c>
      <c r="AF888">
        <f t="shared" ca="1" si="345"/>
        <v>2697.6209296553793</v>
      </c>
      <c r="AI888">
        <v>0</v>
      </c>
      <c r="AJ888">
        <v>0</v>
      </c>
      <c r="AK888">
        <f t="shared" si="346"/>
        <v>0</v>
      </c>
      <c r="AL888">
        <f t="shared" si="354"/>
        <v>0</v>
      </c>
      <c r="AM888">
        <f t="shared" ca="1" si="347"/>
        <v>287.42845576980574</v>
      </c>
      <c r="AN888" t="str">
        <f t="shared" ca="1" si="348"/>
        <v>Supercritical</v>
      </c>
      <c r="AO888">
        <f ca="1">IF(V32="Supercritical",R888,AA888)</f>
        <v>508.04766180569584</v>
      </c>
    </row>
    <row r="889" spans="1:41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174</v>
      </c>
      <c r="I889">
        <v>0.04</v>
      </c>
      <c r="J889">
        <f t="shared" si="349"/>
        <v>1</v>
      </c>
      <c r="K889">
        <f t="shared" si="350"/>
        <v>51</v>
      </c>
      <c r="L889">
        <f t="shared" ca="1" si="351"/>
        <v>38818.164654505614</v>
      </c>
      <c r="M889">
        <f t="shared" ca="1" si="329"/>
        <v>196691.64030437995</v>
      </c>
      <c r="N889">
        <f t="shared" ca="1" si="330"/>
        <v>2.5333346597934834</v>
      </c>
      <c r="O889">
        <f t="shared" ca="1" si="331"/>
        <v>2.5928910817499712E-4</v>
      </c>
      <c r="P889">
        <f t="shared" ca="1" si="332"/>
        <v>39450.357154505611</v>
      </c>
      <c r="Q889">
        <f t="shared" ca="1" si="333"/>
        <v>39450.357154509038</v>
      </c>
      <c r="R889">
        <f t="shared" ca="1" si="334"/>
        <v>4.3802037510636888E-12</v>
      </c>
      <c r="S889">
        <f t="shared" ca="1" si="352"/>
        <v>4.999999946448952E-4</v>
      </c>
      <c r="T889">
        <f t="shared" ca="1" si="353"/>
        <v>1</v>
      </c>
      <c r="U889">
        <f t="shared" ca="1" si="335"/>
        <v>0.05</v>
      </c>
      <c r="V889">
        <f t="shared" ca="1" si="336"/>
        <v>0.25335000000000002</v>
      </c>
      <c r="W889">
        <f t="shared" ca="1" si="337"/>
        <v>4.9032320495451913E-2</v>
      </c>
      <c r="X889">
        <f t="shared" ca="1" si="338"/>
        <v>201.30254588513912</v>
      </c>
      <c r="Y889">
        <f t="shared" ca="1" si="339"/>
        <v>632.24249999999995</v>
      </c>
      <c r="Z889">
        <f t="shared" ca="1" si="340"/>
        <v>2697.6204296553792</v>
      </c>
      <c r="AA889">
        <f t="shared" ca="1" si="341"/>
        <v>508.04766180569584</v>
      </c>
      <c r="AB889">
        <f t="shared" ca="1" si="342"/>
        <v>508.18485366767345</v>
      </c>
      <c r="AC889">
        <f t="shared" ca="1" si="343"/>
        <v>0</v>
      </c>
      <c r="AD889">
        <f ca="1">IF(V32="Supercritical",L889,U889)</f>
        <v>0.05</v>
      </c>
      <c r="AE889">
        <f t="shared" ca="1" si="344"/>
        <v>632.24249999999995</v>
      </c>
      <c r="AF889">
        <f t="shared" ca="1" si="345"/>
        <v>2697.6204296553792</v>
      </c>
      <c r="AI889">
        <v>0</v>
      </c>
      <c r="AJ889">
        <v>0</v>
      </c>
      <c r="AK889">
        <f t="shared" si="346"/>
        <v>0</v>
      </c>
      <c r="AL889">
        <f t="shared" si="354"/>
        <v>0</v>
      </c>
      <c r="AM889">
        <f t="shared" ca="1" si="347"/>
        <v>287.42845576980574</v>
      </c>
      <c r="AN889" t="str">
        <f t="shared" ca="1" si="348"/>
        <v>Supercritical</v>
      </c>
      <c r="AO889">
        <f ca="1">IF(V32="Supercritical",R889,AA889)</f>
        <v>508.04766180569584</v>
      </c>
    </row>
    <row r="890" spans="1:41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174</v>
      </c>
      <c r="I890">
        <v>0.04</v>
      </c>
      <c r="J890">
        <f t="shared" si="349"/>
        <v>1</v>
      </c>
      <c r="K890">
        <f t="shared" si="350"/>
        <v>51</v>
      </c>
      <c r="L890">
        <f t="shared" ca="1" si="351"/>
        <v>38818.164064856799</v>
      </c>
      <c r="M890">
        <f t="shared" ca="1" si="329"/>
        <v>196691.63731662941</v>
      </c>
      <c r="N890">
        <f t="shared" ca="1" si="330"/>
        <v>2.5333346597909721</v>
      </c>
      <c r="O890">
        <f t="shared" ca="1" si="331"/>
        <v>2.592891121136047E-4</v>
      </c>
      <c r="P890">
        <f t="shared" ca="1" si="332"/>
        <v>39450.356064856802</v>
      </c>
      <c r="Q890">
        <f t="shared" ca="1" si="333"/>
        <v>39450.356064860229</v>
      </c>
      <c r="R890">
        <f t="shared" ca="1" si="334"/>
        <v>4.3802038841402723E-12</v>
      </c>
      <c r="S890">
        <f t="shared" ca="1" si="352"/>
        <v>1.0896488020080142E-3</v>
      </c>
      <c r="T890">
        <f t="shared" ca="1" si="353"/>
        <v>0</v>
      </c>
      <c r="U890">
        <f t="shared" ca="1" si="335"/>
        <v>0.05</v>
      </c>
      <c r="V890">
        <f t="shared" ca="1" si="336"/>
        <v>0.25335000000000002</v>
      </c>
      <c r="W890">
        <f t="shared" ca="1" si="337"/>
        <v>4.9032320495451913E-2</v>
      </c>
      <c r="X890">
        <f t="shared" ca="1" si="338"/>
        <v>201.30254588513912</v>
      </c>
      <c r="Y890">
        <f t="shared" ca="1" si="339"/>
        <v>632.24199999999996</v>
      </c>
      <c r="Z890">
        <f t="shared" ca="1" si="340"/>
        <v>2697.6199296553796</v>
      </c>
      <c r="AA890">
        <f t="shared" ca="1" si="341"/>
        <v>508.04766180569584</v>
      </c>
      <c r="AB890">
        <f t="shared" ca="1" si="342"/>
        <v>508.2364881159142</v>
      </c>
      <c r="AC890">
        <f t="shared" ca="1" si="343"/>
        <v>0</v>
      </c>
      <c r="AD890">
        <f ca="1">IF(V32="Supercritical",L890,U890)</f>
        <v>0.05</v>
      </c>
      <c r="AE890">
        <f t="shared" ca="1" si="344"/>
        <v>632.24199999999996</v>
      </c>
      <c r="AF890">
        <f t="shared" ca="1" si="345"/>
        <v>2697.6199296553796</v>
      </c>
      <c r="AI890">
        <v>0</v>
      </c>
      <c r="AJ890">
        <v>0</v>
      </c>
      <c r="AK890">
        <f t="shared" si="346"/>
        <v>0</v>
      </c>
      <c r="AL890">
        <f t="shared" si="354"/>
        <v>0</v>
      </c>
      <c r="AM890">
        <f t="shared" ca="1" si="347"/>
        <v>287.42845576980574</v>
      </c>
      <c r="AN890" t="str">
        <f t="shared" ca="1" si="348"/>
        <v>Supercritical</v>
      </c>
      <c r="AO890">
        <f ca="1">IF(V32="Supercritical",R890,AA890)</f>
        <v>508.04766180569584</v>
      </c>
    </row>
    <row r="891" spans="1:41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174</v>
      </c>
      <c r="I891">
        <v>5.5E-2</v>
      </c>
      <c r="J891">
        <f t="shared" si="349"/>
        <v>1</v>
      </c>
      <c r="K891">
        <f t="shared" si="350"/>
        <v>51</v>
      </c>
      <c r="L891">
        <f t="shared" ca="1" si="351"/>
        <v>38818.164064856799</v>
      </c>
      <c r="M891">
        <f t="shared" ca="1" si="329"/>
        <v>196691.63731662941</v>
      </c>
      <c r="N891">
        <f t="shared" ca="1" si="330"/>
        <v>2.5333346597909721</v>
      </c>
      <c r="O891">
        <f t="shared" ca="1" si="331"/>
        <v>2.592891121136047E-4</v>
      </c>
      <c r="P891">
        <f t="shared" ca="1" si="332"/>
        <v>39450.3555648568</v>
      </c>
      <c r="Q891">
        <f t="shared" ca="1" si="333"/>
        <v>39450.355564860227</v>
      </c>
      <c r="R891">
        <f t="shared" ca="1" si="334"/>
        <v>4.3802038841402723E-12</v>
      </c>
      <c r="S891">
        <f t="shared" ca="1" si="352"/>
        <v>4.999999946448952E-4</v>
      </c>
      <c r="T891">
        <f t="shared" ca="1" si="353"/>
        <v>1</v>
      </c>
      <c r="U891">
        <f t="shared" ca="1" si="335"/>
        <v>0.05</v>
      </c>
      <c r="V891">
        <f t="shared" ca="1" si="336"/>
        <v>0.25335000000000002</v>
      </c>
      <c r="W891">
        <f t="shared" ca="1" si="337"/>
        <v>4.9032320495451913E-2</v>
      </c>
      <c r="X891">
        <f t="shared" ca="1" si="338"/>
        <v>201.30254588513912</v>
      </c>
      <c r="Y891">
        <f t="shared" ca="1" si="339"/>
        <v>632.24149999999997</v>
      </c>
      <c r="Z891">
        <f t="shared" ca="1" si="340"/>
        <v>2697.6194296553795</v>
      </c>
      <c r="AA891">
        <f t="shared" ca="1" si="341"/>
        <v>508.04766180569584</v>
      </c>
      <c r="AB891">
        <f t="shared" ca="1" si="342"/>
        <v>508.09879625393705</v>
      </c>
      <c r="AC891">
        <f t="shared" ca="1" si="343"/>
        <v>0</v>
      </c>
      <c r="AD891">
        <f ca="1">IF(V32="Supercritical",L891,U891)</f>
        <v>0.05</v>
      </c>
      <c r="AE891">
        <f t="shared" ca="1" si="344"/>
        <v>632.24149999999997</v>
      </c>
      <c r="AF891">
        <f t="shared" ca="1" si="345"/>
        <v>2697.6194296553795</v>
      </c>
      <c r="AI891">
        <v>0</v>
      </c>
      <c r="AJ891">
        <v>0</v>
      </c>
      <c r="AK891">
        <f t="shared" si="346"/>
        <v>0</v>
      </c>
      <c r="AL891">
        <f t="shared" si="354"/>
        <v>0</v>
      </c>
      <c r="AM891">
        <f t="shared" ca="1" si="347"/>
        <v>287.42845576980574</v>
      </c>
      <c r="AN891" t="str">
        <f t="shared" ca="1" si="348"/>
        <v>Supercritical</v>
      </c>
      <c r="AO891">
        <f ca="1">IF(V32="Supercritical",R891,AA891)</f>
        <v>508.04766180569584</v>
      </c>
    </row>
    <row r="892" spans="1:41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174</v>
      </c>
      <c r="I892">
        <v>1.4999999999999999E-2</v>
      </c>
      <c r="J892">
        <f t="shared" si="349"/>
        <v>1</v>
      </c>
      <c r="K892">
        <f t="shared" si="350"/>
        <v>51</v>
      </c>
      <c r="L892">
        <f t="shared" ca="1" si="351"/>
        <v>38818.16347574567</v>
      </c>
      <c r="M892">
        <f t="shared" ca="1" si="329"/>
        <v>196691.63433160333</v>
      </c>
      <c r="N892">
        <f t="shared" ca="1" si="330"/>
        <v>2.533334659788463</v>
      </c>
      <c r="O892">
        <f t="shared" ca="1" si="331"/>
        <v>2.5928911604862091E-4</v>
      </c>
      <c r="P892">
        <f t="shared" ca="1" si="332"/>
        <v>39450.354475745669</v>
      </c>
      <c r="Q892">
        <f t="shared" ca="1" si="333"/>
        <v>39450.354475749096</v>
      </c>
      <c r="R892">
        <f t="shared" ca="1" si="334"/>
        <v>4.3802040170955131E-12</v>
      </c>
      <c r="S892">
        <f t="shared" ca="1" si="352"/>
        <v>1.0891111232922412E-3</v>
      </c>
      <c r="T892">
        <f t="shared" ca="1" si="353"/>
        <v>0</v>
      </c>
      <c r="U892">
        <f t="shared" ca="1" si="335"/>
        <v>0.05</v>
      </c>
      <c r="V892">
        <f t="shared" ca="1" si="336"/>
        <v>0.25335000000000002</v>
      </c>
      <c r="W892">
        <f t="shared" ca="1" si="337"/>
        <v>4.9032320495451913E-2</v>
      </c>
      <c r="X892">
        <f t="shared" ca="1" si="338"/>
        <v>201.30254588513912</v>
      </c>
      <c r="Y892">
        <f t="shared" ca="1" si="339"/>
        <v>632.24099999999999</v>
      </c>
      <c r="Z892">
        <f t="shared" ca="1" si="340"/>
        <v>2697.6189296553794</v>
      </c>
      <c r="AA892">
        <f t="shared" ca="1" si="341"/>
        <v>508.04766180569584</v>
      </c>
      <c r="AB892">
        <f t="shared" ca="1" si="342"/>
        <v>508.184853667673</v>
      </c>
      <c r="AC892">
        <f t="shared" ca="1" si="343"/>
        <v>0</v>
      </c>
      <c r="AD892">
        <f ca="1">IF(V32="Supercritical",L892,U892)</f>
        <v>0.05</v>
      </c>
      <c r="AE892">
        <f t="shared" ca="1" si="344"/>
        <v>632.24099999999999</v>
      </c>
      <c r="AF892">
        <f t="shared" ca="1" si="345"/>
        <v>2697.6189296553794</v>
      </c>
      <c r="AI892">
        <v>0</v>
      </c>
      <c r="AJ892">
        <v>0</v>
      </c>
      <c r="AK892">
        <f t="shared" si="346"/>
        <v>0</v>
      </c>
      <c r="AL892">
        <f t="shared" si="354"/>
        <v>0</v>
      </c>
      <c r="AM892">
        <f t="shared" ca="1" si="347"/>
        <v>287.42845576980574</v>
      </c>
      <c r="AN892" t="str">
        <f t="shared" ca="1" si="348"/>
        <v>Supercritical</v>
      </c>
      <c r="AO892">
        <f ca="1">IF(V32="Supercritical",R892,AA892)</f>
        <v>508.04766180569584</v>
      </c>
    </row>
    <row r="893" spans="1:41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174</v>
      </c>
      <c r="I893">
        <v>0.04</v>
      </c>
      <c r="J893">
        <f t="shared" si="349"/>
        <v>1</v>
      </c>
      <c r="K893">
        <f t="shared" si="350"/>
        <v>51</v>
      </c>
      <c r="L893">
        <f t="shared" ca="1" si="351"/>
        <v>38818.16347574567</v>
      </c>
      <c r="M893">
        <f t="shared" ca="1" si="329"/>
        <v>196691.63433160333</v>
      </c>
      <c r="N893">
        <f t="shared" ca="1" si="330"/>
        <v>2.533334659788463</v>
      </c>
      <c r="O893">
        <f t="shared" ca="1" si="331"/>
        <v>2.5928911604862091E-4</v>
      </c>
      <c r="P893">
        <f t="shared" ca="1" si="332"/>
        <v>39450.353975745667</v>
      </c>
      <c r="Q893">
        <f t="shared" ca="1" si="333"/>
        <v>39450.353975749094</v>
      </c>
      <c r="R893">
        <f t="shared" ca="1" si="334"/>
        <v>4.3802040170955131E-12</v>
      </c>
      <c r="S893">
        <f t="shared" ca="1" si="352"/>
        <v>4.999999946448952E-4</v>
      </c>
      <c r="T893">
        <f t="shared" ca="1" si="353"/>
        <v>1</v>
      </c>
      <c r="U893">
        <f t="shared" ca="1" si="335"/>
        <v>0.05</v>
      </c>
      <c r="V893">
        <f t="shared" ca="1" si="336"/>
        <v>0.25335000000000002</v>
      </c>
      <c r="W893">
        <f t="shared" ca="1" si="337"/>
        <v>4.9032320495451913E-2</v>
      </c>
      <c r="X893">
        <f t="shared" ca="1" si="338"/>
        <v>201.30254588513912</v>
      </c>
      <c r="Y893">
        <f t="shared" ca="1" si="339"/>
        <v>632.2405</v>
      </c>
      <c r="Z893">
        <f t="shared" ca="1" si="340"/>
        <v>2697.6184296553793</v>
      </c>
      <c r="AA893">
        <f t="shared" ca="1" si="341"/>
        <v>508.04766180569584</v>
      </c>
      <c r="AB893">
        <f t="shared" ca="1" si="342"/>
        <v>508.184853667673</v>
      </c>
      <c r="AC893">
        <f t="shared" ca="1" si="343"/>
        <v>0</v>
      </c>
      <c r="AD893">
        <f ca="1">IF(V32="Supercritical",L893,U893)</f>
        <v>0.05</v>
      </c>
      <c r="AE893">
        <f t="shared" ca="1" si="344"/>
        <v>632.2405</v>
      </c>
      <c r="AF893">
        <f t="shared" ca="1" si="345"/>
        <v>2697.6184296553793</v>
      </c>
      <c r="AI893">
        <v>0</v>
      </c>
      <c r="AJ893">
        <v>0</v>
      </c>
      <c r="AK893">
        <f t="shared" si="346"/>
        <v>0</v>
      </c>
      <c r="AL893">
        <f t="shared" si="354"/>
        <v>0</v>
      </c>
      <c r="AM893">
        <f t="shared" ca="1" si="347"/>
        <v>287.42845576980574</v>
      </c>
      <c r="AN893" t="str">
        <f t="shared" ca="1" si="348"/>
        <v>Supercritical</v>
      </c>
      <c r="AO893">
        <f ca="1">IF(V32="Supercritical",R893,AA893)</f>
        <v>508.04766180569584</v>
      </c>
    </row>
    <row r="894" spans="1:41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174</v>
      </c>
      <c r="I894">
        <v>0.04</v>
      </c>
      <c r="J894">
        <f t="shared" si="349"/>
        <v>1</v>
      </c>
      <c r="K894">
        <f t="shared" si="350"/>
        <v>51</v>
      </c>
      <c r="L894">
        <f t="shared" ca="1" si="351"/>
        <v>38818.162887069462</v>
      </c>
      <c r="M894">
        <f t="shared" ca="1" si="329"/>
        <v>196691.63134878097</v>
      </c>
      <c r="N894">
        <f t="shared" ca="1" si="330"/>
        <v>2.5333346597859556</v>
      </c>
      <c r="O894">
        <f t="shared" ca="1" si="331"/>
        <v>2.5928911998073211E-4</v>
      </c>
      <c r="P894">
        <f t="shared" ca="1" si="332"/>
        <v>39450.352887069464</v>
      </c>
      <c r="Q894">
        <f t="shared" ca="1" si="333"/>
        <v>39450.352887072891</v>
      </c>
      <c r="R894">
        <f t="shared" ca="1" si="334"/>
        <v>4.3802041499526062E-12</v>
      </c>
      <c r="S894">
        <f t="shared" ca="1" si="352"/>
        <v>1.0886761956498958E-3</v>
      </c>
      <c r="T894">
        <f t="shared" ca="1" si="353"/>
        <v>0</v>
      </c>
      <c r="U894">
        <f t="shared" ca="1" si="335"/>
        <v>0.05</v>
      </c>
      <c r="V894">
        <f t="shared" ca="1" si="336"/>
        <v>0.25335000000000002</v>
      </c>
      <c r="W894">
        <f t="shared" ca="1" si="337"/>
        <v>4.9032320495451913E-2</v>
      </c>
      <c r="X894">
        <f t="shared" ca="1" si="338"/>
        <v>201.30254588513912</v>
      </c>
      <c r="Y894">
        <f t="shared" ca="1" si="339"/>
        <v>632.24</v>
      </c>
      <c r="Z894">
        <f t="shared" ca="1" si="340"/>
        <v>2697.6179296553792</v>
      </c>
      <c r="AA894">
        <f t="shared" ca="1" si="341"/>
        <v>508.04766180569584</v>
      </c>
      <c r="AB894">
        <f t="shared" ca="1" si="342"/>
        <v>508.69290132952437</v>
      </c>
      <c r="AC894">
        <f t="shared" ca="1" si="343"/>
        <v>0</v>
      </c>
      <c r="AD894">
        <f ca="1">IF(V32="Supercritical",L894,U894)</f>
        <v>0.05</v>
      </c>
      <c r="AE894">
        <f t="shared" ca="1" si="344"/>
        <v>632.24</v>
      </c>
      <c r="AF894">
        <f t="shared" ca="1" si="345"/>
        <v>2697.6179296553792</v>
      </c>
      <c r="AI894">
        <v>0</v>
      </c>
      <c r="AJ894">
        <v>0</v>
      </c>
      <c r="AK894">
        <f t="shared" si="346"/>
        <v>0</v>
      </c>
      <c r="AL894">
        <f t="shared" si="354"/>
        <v>0</v>
      </c>
      <c r="AM894">
        <f t="shared" ca="1" si="347"/>
        <v>287.42845576980574</v>
      </c>
      <c r="AN894" t="str">
        <f t="shared" ca="1" si="348"/>
        <v>Supercritical</v>
      </c>
      <c r="AO894">
        <f ca="1">IF(V32="Supercritical",R894,AA894)</f>
        <v>508.04766180569584</v>
      </c>
    </row>
    <row r="895" spans="1:41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174</v>
      </c>
      <c r="I895">
        <v>0.04</v>
      </c>
      <c r="J895">
        <f t="shared" si="349"/>
        <v>1.00100000000009</v>
      </c>
      <c r="K895">
        <f t="shared" si="350"/>
        <v>51</v>
      </c>
      <c r="L895">
        <f t="shared" ca="1" si="351"/>
        <v>38818.162887069462</v>
      </c>
      <c r="M895">
        <f t="shared" ca="1" si="329"/>
        <v>196691.63134878097</v>
      </c>
      <c r="N895">
        <f t="shared" ca="1" si="330"/>
        <v>2.5333346597859556</v>
      </c>
      <c r="O895">
        <f t="shared" ca="1" si="331"/>
        <v>2.5928911998073211E-4</v>
      </c>
      <c r="P895">
        <f t="shared" ca="1" si="332"/>
        <v>39450.352387069463</v>
      </c>
      <c r="Q895">
        <f t="shared" ca="1" si="333"/>
        <v>39450.35238707289</v>
      </c>
      <c r="R895">
        <f t="shared" ca="1" si="334"/>
        <v>4.3802041499526062E-12</v>
      </c>
      <c r="S895">
        <f t="shared" ca="1" si="352"/>
        <v>4.999999946448952E-4</v>
      </c>
      <c r="T895">
        <f t="shared" ca="1" si="353"/>
        <v>1</v>
      </c>
      <c r="U895">
        <f t="shared" ca="1" si="335"/>
        <v>0.05</v>
      </c>
      <c r="V895">
        <f t="shared" ca="1" si="336"/>
        <v>0.25335000000000002</v>
      </c>
      <c r="W895">
        <f t="shared" ca="1" si="337"/>
        <v>4.9032320495451913E-2</v>
      </c>
      <c r="X895">
        <f t="shared" ca="1" si="338"/>
        <v>201.30254588513912</v>
      </c>
      <c r="Y895">
        <f t="shared" ca="1" si="339"/>
        <v>632.23949999999991</v>
      </c>
      <c r="Z895">
        <f t="shared" ca="1" si="340"/>
        <v>2697.6174296553791</v>
      </c>
      <c r="AA895">
        <f t="shared" ca="1" si="341"/>
        <v>508.04766180569584</v>
      </c>
      <c r="AB895">
        <f t="shared" ca="1" si="342"/>
        <v>507.72844045406327</v>
      </c>
      <c r="AC895">
        <f t="shared" ca="1" si="343"/>
        <v>0</v>
      </c>
      <c r="AD895">
        <f ca="1">IF(V32="Supercritical",L895,U895)</f>
        <v>0.05</v>
      </c>
      <c r="AE895">
        <f t="shared" ca="1" si="344"/>
        <v>632.23949999999991</v>
      </c>
      <c r="AF895">
        <f t="shared" ca="1" si="345"/>
        <v>2697.6174296553791</v>
      </c>
      <c r="AI895">
        <v>0</v>
      </c>
      <c r="AJ895">
        <v>0</v>
      </c>
      <c r="AK895">
        <f t="shared" si="346"/>
        <v>0</v>
      </c>
      <c r="AL895">
        <f t="shared" si="354"/>
        <v>0</v>
      </c>
      <c r="AM895">
        <f t="shared" ca="1" si="347"/>
        <v>287.42845576980574</v>
      </c>
      <c r="AN895" t="str">
        <f t="shared" ca="1" si="348"/>
        <v>Supercritical</v>
      </c>
      <c r="AO895">
        <f ca="1">IF(V32="Supercritical",R895,AA895)</f>
        <v>508.04766180569584</v>
      </c>
    </row>
    <row r="896" spans="1:41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174</v>
      </c>
      <c r="I896">
        <v>5.5E-2</v>
      </c>
      <c r="J896">
        <f t="shared" si="349"/>
        <v>0.99899999999990996</v>
      </c>
      <c r="K896">
        <f t="shared" si="350"/>
        <v>51</v>
      </c>
      <c r="L896">
        <f t="shared" ca="1" si="351"/>
        <v>38818.162298744064</v>
      </c>
      <c r="M896">
        <f t="shared" ca="1" si="329"/>
        <v>196691.62836773618</v>
      </c>
      <c r="N896">
        <f t="shared" ca="1" si="330"/>
        <v>2.5333346597834501</v>
      </c>
      <c r="O896">
        <f t="shared" ca="1" si="331"/>
        <v>2.5928912391050019E-4</v>
      </c>
      <c r="P896">
        <f t="shared" ca="1" si="332"/>
        <v>39450.351298744063</v>
      </c>
      <c r="Q896">
        <f t="shared" ca="1" si="333"/>
        <v>39450.35129874749</v>
      </c>
      <c r="R896">
        <f t="shared" ca="1" si="334"/>
        <v>4.3802042827305282E-12</v>
      </c>
      <c r="S896">
        <f t="shared" ca="1" si="352"/>
        <v>1.0883253926294856E-3</v>
      </c>
      <c r="T896">
        <f t="shared" ca="1" si="353"/>
        <v>0</v>
      </c>
      <c r="U896">
        <f t="shared" ca="1" si="335"/>
        <v>0.05</v>
      </c>
      <c r="V896">
        <f t="shared" ca="1" si="336"/>
        <v>0.25335000000000002</v>
      </c>
      <c r="W896">
        <f t="shared" ca="1" si="337"/>
        <v>4.9032320495451913E-2</v>
      </c>
      <c r="X896">
        <f t="shared" ca="1" si="338"/>
        <v>201.30254588513912</v>
      </c>
      <c r="Y896">
        <f t="shared" ca="1" si="339"/>
        <v>632.23899999999992</v>
      </c>
      <c r="Z896">
        <f t="shared" ca="1" si="340"/>
        <v>2697.6169296553794</v>
      </c>
      <c r="AA896">
        <f t="shared" ca="1" si="341"/>
        <v>508.04766180569584</v>
      </c>
      <c r="AB896">
        <f t="shared" ca="1" si="342"/>
        <v>508.28812256415586</v>
      </c>
      <c r="AC896">
        <f t="shared" ca="1" si="343"/>
        <v>0</v>
      </c>
      <c r="AD896">
        <f ca="1">IF(V32="Supercritical",L896,U896)</f>
        <v>0.05</v>
      </c>
      <c r="AE896">
        <f t="shared" ca="1" si="344"/>
        <v>632.23899999999992</v>
      </c>
      <c r="AF896">
        <f t="shared" ca="1" si="345"/>
        <v>2697.6169296553794</v>
      </c>
      <c r="AI896">
        <v>0</v>
      </c>
      <c r="AJ896">
        <v>0</v>
      </c>
      <c r="AK896">
        <f t="shared" si="346"/>
        <v>0</v>
      </c>
      <c r="AL896">
        <f t="shared" si="354"/>
        <v>0</v>
      </c>
      <c r="AM896">
        <f t="shared" ca="1" si="347"/>
        <v>287.42845576980574</v>
      </c>
      <c r="AN896" t="str">
        <f t="shared" ca="1" si="348"/>
        <v>Supercritical</v>
      </c>
      <c r="AO896">
        <f ca="1">IF(V32="Supercritical",R896,AA896)</f>
        <v>508.04766180569584</v>
      </c>
    </row>
    <row r="897" spans="1:41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174</v>
      </c>
      <c r="I897">
        <v>7.0000000000000007E-2</v>
      </c>
      <c r="J897">
        <f t="shared" si="349"/>
        <v>1</v>
      </c>
      <c r="K897">
        <f t="shared" si="350"/>
        <v>51</v>
      </c>
      <c r="L897">
        <f t="shared" ca="1" si="351"/>
        <v>38818.162298744064</v>
      </c>
      <c r="M897">
        <f t="shared" ca="1" si="329"/>
        <v>196691.62836773618</v>
      </c>
      <c r="N897">
        <f t="shared" ca="1" si="330"/>
        <v>2.5333346597834501</v>
      </c>
      <c r="O897">
        <f t="shared" ca="1" si="331"/>
        <v>2.5928912391050019E-4</v>
      </c>
      <c r="P897">
        <f t="shared" ca="1" si="332"/>
        <v>39450.350798744061</v>
      </c>
      <c r="Q897">
        <f t="shared" ca="1" si="333"/>
        <v>39450.350798747488</v>
      </c>
      <c r="R897">
        <f t="shared" ca="1" si="334"/>
        <v>4.3802042827305282E-12</v>
      </c>
      <c r="S897">
        <f t="shared" ca="1" si="352"/>
        <v>4.999999946448952E-4</v>
      </c>
      <c r="T897">
        <f t="shared" ca="1" si="353"/>
        <v>1</v>
      </c>
      <c r="U897">
        <f t="shared" ca="1" si="335"/>
        <v>0.05</v>
      </c>
      <c r="V897">
        <f t="shared" ca="1" si="336"/>
        <v>0.25335000000000002</v>
      </c>
      <c r="W897">
        <f t="shared" ca="1" si="337"/>
        <v>4.9032320495451913E-2</v>
      </c>
      <c r="X897">
        <f t="shared" ca="1" si="338"/>
        <v>201.30254588513912</v>
      </c>
      <c r="Y897">
        <f t="shared" ca="1" si="339"/>
        <v>632.23849999999993</v>
      </c>
      <c r="Z897">
        <f t="shared" ca="1" si="340"/>
        <v>2697.6164296553793</v>
      </c>
      <c r="AA897">
        <f t="shared" ca="1" si="341"/>
        <v>508.04766180569584</v>
      </c>
      <c r="AB897">
        <f t="shared" ca="1" si="342"/>
        <v>508.28812256415586</v>
      </c>
      <c r="AC897">
        <f t="shared" ca="1" si="343"/>
        <v>0</v>
      </c>
      <c r="AD897">
        <f ca="1">IF(V32="Supercritical",L897,U897)</f>
        <v>0.05</v>
      </c>
      <c r="AE897">
        <f t="shared" ca="1" si="344"/>
        <v>632.23849999999993</v>
      </c>
      <c r="AF897">
        <f t="shared" ca="1" si="345"/>
        <v>2697.6164296553793</v>
      </c>
      <c r="AI897">
        <v>0</v>
      </c>
      <c r="AJ897">
        <v>0</v>
      </c>
      <c r="AK897">
        <f t="shared" si="346"/>
        <v>0</v>
      </c>
      <c r="AL897">
        <f t="shared" si="354"/>
        <v>0</v>
      </c>
      <c r="AM897">
        <f t="shared" ca="1" si="347"/>
        <v>287.42845576980574</v>
      </c>
      <c r="AN897" t="str">
        <f t="shared" ca="1" si="348"/>
        <v>Supercritical</v>
      </c>
      <c r="AO897">
        <f ca="1">IF(V32="Supercritical",R897,AA897)</f>
        <v>508.04766180569584</v>
      </c>
    </row>
    <row r="898" spans="1:41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174</v>
      </c>
      <c r="I898">
        <v>7.0000000000000007E-2</v>
      </c>
      <c r="J898">
        <f t="shared" si="349"/>
        <v>1</v>
      </c>
      <c r="K898">
        <f t="shared" si="350"/>
        <v>51</v>
      </c>
      <c r="L898">
        <f t="shared" ca="1" si="351"/>
        <v>38818.16171070085</v>
      </c>
      <c r="M898">
        <f t="shared" ca="1" si="329"/>
        <v>196691.6253881212</v>
      </c>
      <c r="N898">
        <f t="shared" ca="1" si="330"/>
        <v>2.5333346597809454</v>
      </c>
      <c r="O898">
        <f t="shared" ca="1" si="331"/>
        <v>2.5928912783838349E-4</v>
      </c>
      <c r="P898">
        <f t="shared" ca="1" si="332"/>
        <v>39450.349710700852</v>
      </c>
      <c r="Q898">
        <f t="shared" ca="1" si="333"/>
        <v>39450.349710704279</v>
      </c>
      <c r="R898">
        <f t="shared" ca="1" si="334"/>
        <v>4.3802044154447735E-12</v>
      </c>
      <c r="S898">
        <f t="shared" ca="1" si="352"/>
        <v>1.0880432018893771E-3</v>
      </c>
      <c r="T898">
        <f t="shared" ca="1" si="353"/>
        <v>0</v>
      </c>
      <c r="U898">
        <f t="shared" ca="1" si="335"/>
        <v>0.05</v>
      </c>
      <c r="V898">
        <f t="shared" ca="1" si="336"/>
        <v>0.25335000000000002</v>
      </c>
      <c r="W898">
        <f t="shared" ca="1" si="337"/>
        <v>4.9032320495451913E-2</v>
      </c>
      <c r="X898">
        <f t="shared" ca="1" si="338"/>
        <v>201.30254588513912</v>
      </c>
      <c r="Y898">
        <f t="shared" ca="1" si="339"/>
        <v>632.23799999999994</v>
      </c>
      <c r="Z898">
        <f t="shared" ca="1" si="340"/>
        <v>2697.6159296553792</v>
      </c>
      <c r="AA898">
        <f t="shared" ca="1" si="341"/>
        <v>508.04766180569584</v>
      </c>
      <c r="AB898">
        <f t="shared" ca="1" si="342"/>
        <v>508.04716180569631</v>
      </c>
      <c r="AC898">
        <f t="shared" ca="1" si="343"/>
        <v>0</v>
      </c>
      <c r="AD898">
        <f ca="1">IF(V32="Supercritical",L898,U898)</f>
        <v>0.05</v>
      </c>
      <c r="AE898">
        <f t="shared" ca="1" si="344"/>
        <v>632.23799999999994</v>
      </c>
      <c r="AF898">
        <f t="shared" ca="1" si="345"/>
        <v>2697.6159296553792</v>
      </c>
      <c r="AI898">
        <v>0</v>
      </c>
      <c r="AJ898">
        <v>0</v>
      </c>
      <c r="AK898">
        <f t="shared" si="346"/>
        <v>0</v>
      </c>
      <c r="AL898">
        <f t="shared" si="354"/>
        <v>0</v>
      </c>
      <c r="AM898">
        <f t="shared" ca="1" si="347"/>
        <v>287.42845576980574</v>
      </c>
      <c r="AN898" t="str">
        <f t="shared" ca="1" si="348"/>
        <v>Supercritical</v>
      </c>
      <c r="AO898">
        <f ca="1">IF(V32="Supercritical",R898,AA898)</f>
        <v>508.04766180569584</v>
      </c>
    </row>
    <row r="899" spans="1:41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174</v>
      </c>
      <c r="I899">
        <v>0</v>
      </c>
      <c r="J899">
        <f t="shared" si="349"/>
        <v>1</v>
      </c>
      <c r="K899">
        <f t="shared" si="350"/>
        <v>51</v>
      </c>
      <c r="L899">
        <f t="shared" ca="1" si="351"/>
        <v>38818.16171070085</v>
      </c>
      <c r="M899">
        <f t="shared" ca="1" si="329"/>
        <v>196691.6253881212</v>
      </c>
      <c r="N899">
        <f t="shared" ca="1" si="330"/>
        <v>2.5333346597809454</v>
      </c>
      <c r="O899">
        <f t="shared" ca="1" si="331"/>
        <v>2.5928912783838349E-4</v>
      </c>
      <c r="P899">
        <f t="shared" ca="1" si="332"/>
        <v>39450.34921070085</v>
      </c>
      <c r="Q899">
        <f t="shared" ca="1" si="333"/>
        <v>39450.349210704277</v>
      </c>
      <c r="R899">
        <f t="shared" ca="1" si="334"/>
        <v>4.3802044154447735E-12</v>
      </c>
      <c r="S899">
        <f t="shared" ca="1" si="352"/>
        <v>4.999999946448952E-4</v>
      </c>
      <c r="T899">
        <f t="shared" ca="1" si="353"/>
        <v>1</v>
      </c>
      <c r="U899">
        <f t="shared" ca="1" si="335"/>
        <v>0.05</v>
      </c>
      <c r="V899">
        <f t="shared" ca="1" si="336"/>
        <v>0.25335000000000002</v>
      </c>
      <c r="W899">
        <f t="shared" ca="1" si="337"/>
        <v>4.9032320495451913E-2</v>
      </c>
      <c r="X899">
        <f t="shared" ca="1" si="338"/>
        <v>201.30254588513912</v>
      </c>
      <c r="Y899">
        <f t="shared" ca="1" si="339"/>
        <v>632.23749999999995</v>
      </c>
      <c r="Z899">
        <f t="shared" ca="1" si="340"/>
        <v>2697.6154296553796</v>
      </c>
      <c r="AA899">
        <f t="shared" ca="1" si="341"/>
        <v>508.04766180569584</v>
      </c>
      <c r="AB899">
        <f t="shared" ca="1" si="342"/>
        <v>508.28812256415586</v>
      </c>
      <c r="AC899">
        <f t="shared" ca="1" si="343"/>
        <v>0</v>
      </c>
      <c r="AD899">
        <f ca="1">IF(V32="Supercritical",L899,U899)</f>
        <v>0.05</v>
      </c>
      <c r="AE899">
        <f t="shared" ca="1" si="344"/>
        <v>632.23749999999995</v>
      </c>
      <c r="AF899">
        <f t="shared" ca="1" si="345"/>
        <v>2697.6154296553796</v>
      </c>
      <c r="AI899">
        <v>0</v>
      </c>
      <c r="AJ899">
        <v>0</v>
      </c>
      <c r="AK899">
        <f t="shared" si="346"/>
        <v>0</v>
      </c>
      <c r="AL899">
        <f t="shared" si="354"/>
        <v>0</v>
      </c>
      <c r="AM899">
        <f t="shared" ca="1" si="347"/>
        <v>287.42845576980574</v>
      </c>
      <c r="AN899" t="str">
        <f t="shared" ca="1" si="348"/>
        <v>Supercritical</v>
      </c>
      <c r="AO899">
        <f ca="1">IF(V32="Supercritical",R899,AA899)</f>
        <v>508.04766180569584</v>
      </c>
    </row>
    <row r="900" spans="1:41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174</v>
      </c>
      <c r="I900">
        <v>7.0000000000000007E-2</v>
      </c>
      <c r="J900">
        <f t="shared" si="349"/>
        <v>1</v>
      </c>
      <c r="K900">
        <f t="shared" si="350"/>
        <v>51</v>
      </c>
      <c r="L900">
        <f t="shared" ca="1" si="351"/>
        <v>38818.161122883968</v>
      </c>
      <c r="M900">
        <f t="shared" ca="1" si="329"/>
        <v>196691.62240965306</v>
      </c>
      <c r="N900">
        <f t="shared" ca="1" si="330"/>
        <v>2.5333346597784416</v>
      </c>
      <c r="O900">
        <f t="shared" ca="1" si="331"/>
        <v>2.5928913176475514E-4</v>
      </c>
      <c r="P900">
        <f t="shared" ca="1" si="332"/>
        <v>39450.348122883966</v>
      </c>
      <c r="Q900">
        <f t="shared" ca="1" si="333"/>
        <v>39450.348122887393</v>
      </c>
      <c r="R900">
        <f t="shared" ca="1" si="334"/>
        <v>4.3802045481079427E-12</v>
      </c>
      <c r="S900">
        <f t="shared" ca="1" si="352"/>
        <v>1.0878168759518303E-3</v>
      </c>
      <c r="T900">
        <f t="shared" ca="1" si="353"/>
        <v>0</v>
      </c>
      <c r="U900">
        <f t="shared" ca="1" si="335"/>
        <v>0.05</v>
      </c>
      <c r="V900">
        <f t="shared" ca="1" si="336"/>
        <v>0.25335000000000002</v>
      </c>
      <c r="W900">
        <f t="shared" ca="1" si="337"/>
        <v>4.9032320495451913E-2</v>
      </c>
      <c r="X900">
        <f t="shared" ca="1" si="338"/>
        <v>201.30254588513912</v>
      </c>
      <c r="Y900">
        <f t="shared" ca="1" si="339"/>
        <v>632.23699999999997</v>
      </c>
      <c r="Z900">
        <f t="shared" ca="1" si="340"/>
        <v>2697.6149296553795</v>
      </c>
      <c r="AA900">
        <f t="shared" ca="1" si="341"/>
        <v>508.04766180569584</v>
      </c>
      <c r="AB900">
        <f t="shared" ca="1" si="342"/>
        <v>508.28812256415586</v>
      </c>
      <c r="AC900">
        <f t="shared" ca="1" si="343"/>
        <v>0</v>
      </c>
      <c r="AD900">
        <f ca="1">IF(V32="Supercritical",L900,U900)</f>
        <v>0.05</v>
      </c>
      <c r="AE900">
        <f t="shared" ca="1" si="344"/>
        <v>632.23699999999997</v>
      </c>
      <c r="AF900">
        <f t="shared" ca="1" si="345"/>
        <v>2697.6149296553795</v>
      </c>
      <c r="AI900">
        <v>0</v>
      </c>
      <c r="AJ900">
        <v>0</v>
      </c>
      <c r="AK900">
        <f t="shared" si="346"/>
        <v>0</v>
      </c>
      <c r="AL900">
        <f t="shared" si="354"/>
        <v>0</v>
      </c>
      <c r="AM900">
        <f t="shared" ca="1" si="347"/>
        <v>287.42845576980574</v>
      </c>
      <c r="AN900" t="str">
        <f t="shared" ca="1" si="348"/>
        <v>Supercritical</v>
      </c>
      <c r="AO900">
        <f ca="1">IF(V32="Supercritical",R900,AA900)</f>
        <v>508.04766180569584</v>
      </c>
    </row>
    <row r="901" spans="1:41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174</v>
      </c>
      <c r="I901">
        <v>7.0000000000000007E-2</v>
      </c>
      <c r="J901">
        <f t="shared" si="349"/>
        <v>1</v>
      </c>
      <c r="K901">
        <f t="shared" si="350"/>
        <v>51</v>
      </c>
      <c r="L901">
        <f t="shared" ca="1" si="351"/>
        <v>38818.161122883968</v>
      </c>
      <c r="M901">
        <f t="shared" ca="1" si="329"/>
        <v>196691.62240965306</v>
      </c>
      <c r="N901">
        <f t="shared" ca="1" si="330"/>
        <v>2.5333346597784416</v>
      </c>
      <c r="O901">
        <f t="shared" ca="1" si="331"/>
        <v>2.5928913176475514E-4</v>
      </c>
      <c r="P901">
        <f t="shared" ca="1" si="332"/>
        <v>39450.347622883972</v>
      </c>
      <c r="Q901">
        <f t="shared" ca="1" si="333"/>
        <v>39450.347622887399</v>
      </c>
      <c r="R901">
        <f t="shared" ca="1" si="334"/>
        <v>4.3802045481079427E-12</v>
      </c>
      <c r="S901">
        <f t="shared" ca="1" si="352"/>
        <v>4.9999998736893758E-4</v>
      </c>
      <c r="T901">
        <f t="shared" ca="1" si="353"/>
        <v>1</v>
      </c>
      <c r="U901">
        <f t="shared" ca="1" si="335"/>
        <v>0.05</v>
      </c>
      <c r="V901">
        <f t="shared" ca="1" si="336"/>
        <v>0.25335000000000002</v>
      </c>
      <c r="W901">
        <f t="shared" ca="1" si="337"/>
        <v>4.9032320495451913E-2</v>
      </c>
      <c r="X901">
        <f t="shared" ca="1" si="338"/>
        <v>201.30254588513912</v>
      </c>
      <c r="Y901">
        <f t="shared" ca="1" si="339"/>
        <v>632.23649999999998</v>
      </c>
      <c r="Z901">
        <f t="shared" ca="1" si="340"/>
        <v>2697.6144296553794</v>
      </c>
      <c r="AA901">
        <f t="shared" ca="1" si="341"/>
        <v>508.04766180569584</v>
      </c>
      <c r="AB901">
        <f t="shared" ca="1" si="342"/>
        <v>508.2364881159142</v>
      </c>
      <c r="AC901">
        <f t="shared" ca="1" si="343"/>
        <v>0</v>
      </c>
      <c r="AD901">
        <f ca="1">IF(V32="Supercritical",L901,U901)</f>
        <v>0.05</v>
      </c>
      <c r="AE901">
        <f t="shared" ca="1" si="344"/>
        <v>632.23649999999998</v>
      </c>
      <c r="AF901">
        <f t="shared" ca="1" si="345"/>
        <v>2697.6144296553794</v>
      </c>
      <c r="AI901">
        <v>0</v>
      </c>
      <c r="AJ901">
        <v>0</v>
      </c>
      <c r="AK901">
        <f t="shared" si="346"/>
        <v>0</v>
      </c>
      <c r="AL901">
        <f t="shared" si="354"/>
        <v>0</v>
      </c>
      <c r="AM901">
        <f t="shared" ca="1" si="347"/>
        <v>287.42845576980574</v>
      </c>
      <c r="AN901" t="str">
        <f t="shared" ca="1" si="348"/>
        <v>Supercritical</v>
      </c>
      <c r="AO901">
        <f ca="1">IF(V32="Supercritical",R901,AA901)</f>
        <v>508.04766180569584</v>
      </c>
    </row>
    <row r="902" spans="1:41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174</v>
      </c>
      <c r="I902">
        <v>5.5E-2</v>
      </c>
      <c r="J902">
        <f t="shared" si="349"/>
        <v>1</v>
      </c>
      <c r="K902">
        <f t="shared" si="350"/>
        <v>51</v>
      </c>
      <c r="L902">
        <f t="shared" ca="1" si="351"/>
        <v>38818.160535248113</v>
      </c>
      <c r="M902">
        <f t="shared" ca="1" si="329"/>
        <v>196691.61943210219</v>
      </c>
      <c r="N902">
        <f t="shared" ca="1" si="330"/>
        <v>2.5333346597759387</v>
      </c>
      <c r="O902">
        <f t="shared" ca="1" si="331"/>
        <v>2.5928913568991769E-4</v>
      </c>
      <c r="P902">
        <f t="shared" ca="1" si="332"/>
        <v>39450.346535248114</v>
      </c>
      <c r="Q902">
        <f t="shared" ca="1" si="333"/>
        <v>39450.346535251541</v>
      </c>
      <c r="R902">
        <f t="shared" ca="1" si="334"/>
        <v>4.3802046807302619E-12</v>
      </c>
      <c r="S902">
        <f t="shared" ca="1" si="352"/>
        <v>1.0876358501263894E-3</v>
      </c>
      <c r="T902">
        <f t="shared" ca="1" si="353"/>
        <v>0</v>
      </c>
      <c r="U902">
        <f t="shared" ca="1" si="335"/>
        <v>0.05</v>
      </c>
      <c r="V902">
        <f t="shared" ca="1" si="336"/>
        <v>0.25335000000000002</v>
      </c>
      <c r="W902">
        <f t="shared" ca="1" si="337"/>
        <v>4.9032320495451913E-2</v>
      </c>
      <c r="X902">
        <f t="shared" ca="1" si="338"/>
        <v>201.30254588513912</v>
      </c>
      <c r="Y902">
        <f t="shared" ca="1" si="339"/>
        <v>632.23599999999999</v>
      </c>
      <c r="Z902">
        <f t="shared" ca="1" si="340"/>
        <v>2697.6139296553793</v>
      </c>
      <c r="AA902">
        <f t="shared" ca="1" si="341"/>
        <v>508.04766180569584</v>
      </c>
      <c r="AB902">
        <f t="shared" ca="1" si="342"/>
        <v>508.184853667673</v>
      </c>
      <c r="AC902">
        <f t="shared" ca="1" si="343"/>
        <v>0</v>
      </c>
      <c r="AD902">
        <f ca="1">IF(V32="Supercritical",L902,U902)</f>
        <v>0.05</v>
      </c>
      <c r="AE902">
        <f t="shared" ca="1" si="344"/>
        <v>632.23599999999999</v>
      </c>
      <c r="AF902">
        <f t="shared" ca="1" si="345"/>
        <v>2697.6139296553793</v>
      </c>
      <c r="AI902">
        <v>0</v>
      </c>
      <c r="AJ902">
        <v>0</v>
      </c>
      <c r="AK902">
        <f t="shared" si="346"/>
        <v>0</v>
      </c>
      <c r="AL902">
        <f t="shared" si="354"/>
        <v>0</v>
      </c>
      <c r="AM902">
        <f t="shared" ca="1" si="347"/>
        <v>287.42845576980574</v>
      </c>
      <c r="AN902" t="str">
        <f t="shared" ca="1" si="348"/>
        <v>Supercritical</v>
      </c>
      <c r="AO902">
        <f ca="1">IF(V32="Supercritical",R902,AA902)</f>
        <v>508.04766180569584</v>
      </c>
    </row>
    <row r="903" spans="1:41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174</v>
      </c>
      <c r="I903">
        <v>0.04</v>
      </c>
      <c r="J903">
        <f t="shared" si="349"/>
        <v>1</v>
      </c>
      <c r="K903">
        <f t="shared" si="350"/>
        <v>51</v>
      </c>
      <c r="L903">
        <f t="shared" ca="1" si="351"/>
        <v>38818.160535248113</v>
      </c>
      <c r="M903">
        <f t="shared" ca="1" si="329"/>
        <v>196691.61943210219</v>
      </c>
      <c r="N903">
        <f t="shared" ca="1" si="330"/>
        <v>2.5333346597759387</v>
      </c>
      <c r="O903">
        <f t="shared" ca="1" si="331"/>
        <v>2.5928913568991769E-4</v>
      </c>
      <c r="P903">
        <f t="shared" ca="1" si="332"/>
        <v>39450.346035248112</v>
      </c>
      <c r="Q903">
        <f t="shared" ca="1" si="333"/>
        <v>39450.346035251539</v>
      </c>
      <c r="R903">
        <f t="shared" ca="1" si="334"/>
        <v>4.3802046807302619E-12</v>
      </c>
      <c r="S903">
        <f t="shared" ca="1" si="352"/>
        <v>4.999999946448952E-4</v>
      </c>
      <c r="T903">
        <f t="shared" ca="1" si="353"/>
        <v>1</v>
      </c>
      <c r="U903">
        <f t="shared" ca="1" si="335"/>
        <v>0.05</v>
      </c>
      <c r="V903">
        <f t="shared" ca="1" si="336"/>
        <v>0.25335000000000002</v>
      </c>
      <c r="W903">
        <f t="shared" ca="1" si="337"/>
        <v>4.9032320495451913E-2</v>
      </c>
      <c r="X903">
        <f t="shared" ca="1" si="338"/>
        <v>201.30254588513912</v>
      </c>
      <c r="Y903">
        <f t="shared" ca="1" si="339"/>
        <v>632.2355</v>
      </c>
      <c r="Z903">
        <f t="shared" ca="1" si="340"/>
        <v>2697.6134296553792</v>
      </c>
      <c r="AA903">
        <f t="shared" ca="1" si="341"/>
        <v>508.04766180569584</v>
      </c>
      <c r="AB903">
        <f t="shared" ca="1" si="342"/>
        <v>508.09879625393705</v>
      </c>
      <c r="AC903">
        <f t="shared" ca="1" si="343"/>
        <v>0</v>
      </c>
      <c r="AD903">
        <f ca="1">IF(V32="Supercritical",L903,U903)</f>
        <v>0.05</v>
      </c>
      <c r="AE903">
        <f t="shared" ca="1" si="344"/>
        <v>632.2355</v>
      </c>
      <c r="AF903">
        <f t="shared" ca="1" si="345"/>
        <v>2697.6134296553792</v>
      </c>
      <c r="AI903">
        <v>0</v>
      </c>
      <c r="AJ903">
        <v>0</v>
      </c>
      <c r="AK903">
        <f t="shared" si="346"/>
        <v>0</v>
      </c>
      <c r="AL903">
        <f t="shared" si="354"/>
        <v>0</v>
      </c>
      <c r="AM903">
        <f t="shared" ca="1" si="347"/>
        <v>287.42845576980574</v>
      </c>
      <c r="AN903" t="str">
        <f t="shared" ca="1" si="348"/>
        <v>Supercritical</v>
      </c>
      <c r="AO903">
        <f ca="1">IF(V32="Supercritical",R903,AA903)</f>
        <v>508.04766180569584</v>
      </c>
    </row>
    <row r="904" spans="1:41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174</v>
      </c>
      <c r="I904">
        <v>1.4999999999999999E-2</v>
      </c>
      <c r="J904">
        <f t="shared" si="349"/>
        <v>1</v>
      </c>
      <c r="K904">
        <f t="shared" si="350"/>
        <v>51</v>
      </c>
      <c r="L904">
        <f t="shared" ca="1" si="351"/>
        <v>38818.159947756656</v>
      </c>
      <c r="M904">
        <f t="shared" ca="1" si="329"/>
        <v>196691.61645528299</v>
      </c>
      <c r="N904">
        <f t="shared" ca="1" si="330"/>
        <v>2.5333346597734367</v>
      </c>
      <c r="O904">
        <f t="shared" ca="1" si="331"/>
        <v>2.5928913961411585E-4</v>
      </c>
      <c r="P904">
        <f t="shared" ca="1" si="332"/>
        <v>39450.344947756654</v>
      </c>
      <c r="Q904">
        <f t="shared" ca="1" si="333"/>
        <v>39450.344947760081</v>
      </c>
      <c r="R904">
        <f t="shared" ca="1" si="334"/>
        <v>4.3802048133199987E-12</v>
      </c>
      <c r="S904">
        <f t="shared" ca="1" si="352"/>
        <v>1.0874914514715783E-3</v>
      </c>
      <c r="T904">
        <f t="shared" ca="1" si="353"/>
        <v>0</v>
      </c>
      <c r="U904">
        <f t="shared" ca="1" si="335"/>
        <v>0.05</v>
      </c>
      <c r="V904">
        <f t="shared" ca="1" si="336"/>
        <v>0.25335000000000002</v>
      </c>
      <c r="W904">
        <f t="shared" ca="1" si="337"/>
        <v>4.9032320495451913E-2</v>
      </c>
      <c r="X904">
        <f t="shared" ca="1" si="338"/>
        <v>201.30254588513912</v>
      </c>
      <c r="Y904">
        <f t="shared" ca="1" si="339"/>
        <v>632.2349999999999</v>
      </c>
      <c r="Z904">
        <f t="shared" ca="1" si="340"/>
        <v>2697.612929655379</v>
      </c>
      <c r="AA904">
        <f t="shared" ca="1" si="341"/>
        <v>508.04766180569584</v>
      </c>
      <c r="AB904">
        <f t="shared" ca="1" si="342"/>
        <v>508.28812256415631</v>
      </c>
      <c r="AC904">
        <f t="shared" ca="1" si="343"/>
        <v>0</v>
      </c>
      <c r="AD904">
        <f ca="1">IF(V32="Supercritical",L904,U904)</f>
        <v>0.05</v>
      </c>
      <c r="AE904">
        <f t="shared" ca="1" si="344"/>
        <v>632.2349999999999</v>
      </c>
      <c r="AF904">
        <f t="shared" ca="1" si="345"/>
        <v>2697.612929655379</v>
      </c>
      <c r="AI904">
        <v>0</v>
      </c>
      <c r="AJ904">
        <v>0</v>
      </c>
      <c r="AK904">
        <f t="shared" si="346"/>
        <v>0</v>
      </c>
      <c r="AL904">
        <f t="shared" si="354"/>
        <v>0</v>
      </c>
      <c r="AM904">
        <f t="shared" ca="1" si="347"/>
        <v>287.42845576980574</v>
      </c>
      <c r="AN904" t="str">
        <f t="shared" ca="1" si="348"/>
        <v>Supercritical</v>
      </c>
      <c r="AO904">
        <f ca="1">IF(V32="Supercritical",R904,AA904)</f>
        <v>508.04766180569584</v>
      </c>
    </row>
    <row r="905" spans="1:41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174</v>
      </c>
      <c r="I905">
        <v>7.0000000000000007E-2</v>
      </c>
      <c r="J905">
        <f t="shared" si="349"/>
        <v>1</v>
      </c>
      <c r="K905">
        <f t="shared" si="350"/>
        <v>51</v>
      </c>
      <c r="L905">
        <f t="shared" ca="1" si="351"/>
        <v>38818.159947756656</v>
      </c>
      <c r="M905">
        <f t="shared" ca="1" si="329"/>
        <v>196691.61645528299</v>
      </c>
      <c r="N905">
        <f t="shared" ca="1" si="330"/>
        <v>2.5333346597734367</v>
      </c>
      <c r="O905">
        <f t="shared" ca="1" si="331"/>
        <v>2.5928913961411585E-4</v>
      </c>
      <c r="P905">
        <f t="shared" ca="1" si="332"/>
        <v>39450.344447756659</v>
      </c>
      <c r="Q905">
        <f t="shared" ca="1" si="333"/>
        <v>39450.344447760086</v>
      </c>
      <c r="R905">
        <f t="shared" ca="1" si="334"/>
        <v>4.3802048133199987E-12</v>
      </c>
      <c r="S905">
        <f t="shared" ca="1" si="352"/>
        <v>4.9999998736893758E-4</v>
      </c>
      <c r="T905">
        <f t="shared" ca="1" si="353"/>
        <v>1</v>
      </c>
      <c r="U905">
        <f t="shared" ca="1" si="335"/>
        <v>0.05</v>
      </c>
      <c r="V905">
        <f t="shared" ca="1" si="336"/>
        <v>0.25335000000000002</v>
      </c>
      <c r="W905">
        <f t="shared" ca="1" si="337"/>
        <v>4.9032320495451913E-2</v>
      </c>
      <c r="X905">
        <f t="shared" ca="1" si="338"/>
        <v>201.30254588513912</v>
      </c>
      <c r="Y905">
        <f t="shared" ca="1" si="339"/>
        <v>632.23449999999991</v>
      </c>
      <c r="Z905">
        <f t="shared" ca="1" si="340"/>
        <v>2697.6124296553794</v>
      </c>
      <c r="AA905">
        <f t="shared" ca="1" si="341"/>
        <v>508.04766180569584</v>
      </c>
      <c r="AB905">
        <f t="shared" ca="1" si="342"/>
        <v>508.79617022600723</v>
      </c>
      <c r="AC905">
        <f t="shared" ca="1" si="343"/>
        <v>0</v>
      </c>
      <c r="AD905">
        <f ca="1">IF(V32="Supercritical",L905,U905)</f>
        <v>0.05</v>
      </c>
      <c r="AE905">
        <f t="shared" ca="1" si="344"/>
        <v>632.23449999999991</v>
      </c>
      <c r="AF905">
        <f t="shared" ca="1" si="345"/>
        <v>2697.6124296553794</v>
      </c>
      <c r="AI905">
        <v>0</v>
      </c>
      <c r="AJ905">
        <v>0</v>
      </c>
      <c r="AK905">
        <f t="shared" si="346"/>
        <v>0</v>
      </c>
      <c r="AL905">
        <f t="shared" si="354"/>
        <v>0</v>
      </c>
      <c r="AM905">
        <f t="shared" ca="1" si="347"/>
        <v>287.42845576980574</v>
      </c>
      <c r="AN905" t="str">
        <f t="shared" ca="1" si="348"/>
        <v>Supercritical</v>
      </c>
      <c r="AO905">
        <f ca="1">IF(V32="Supercritical",R905,AA905)</f>
        <v>508.04766180569584</v>
      </c>
    </row>
    <row r="906" spans="1:41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174</v>
      </c>
      <c r="I906">
        <v>7.0000000000000007E-2</v>
      </c>
      <c r="J906">
        <f t="shared" si="349"/>
        <v>1.00100000000009</v>
      </c>
      <c r="K906">
        <f t="shared" si="350"/>
        <v>51</v>
      </c>
      <c r="L906">
        <f t="shared" ca="1" si="351"/>
        <v>38818.159360380036</v>
      </c>
      <c r="M906">
        <f t="shared" ca="1" si="329"/>
        <v>196691.61347904566</v>
      </c>
      <c r="N906">
        <f t="shared" ca="1" si="330"/>
        <v>2.5333346597709352</v>
      </c>
      <c r="O906">
        <f t="shared" ca="1" si="331"/>
        <v>2.5928914353754709E-4</v>
      </c>
      <c r="P906">
        <f t="shared" ca="1" si="332"/>
        <v>39450.343360380037</v>
      </c>
      <c r="Q906">
        <f t="shared" ca="1" si="333"/>
        <v>39450.343360383464</v>
      </c>
      <c r="R906">
        <f t="shared" ca="1" si="334"/>
        <v>4.3802049458838239E-12</v>
      </c>
      <c r="S906">
        <f t="shared" ca="1" si="352"/>
        <v>1.0873766150325537E-3</v>
      </c>
      <c r="T906">
        <f t="shared" ca="1" si="353"/>
        <v>0</v>
      </c>
      <c r="U906">
        <f t="shared" ca="1" si="335"/>
        <v>0.05</v>
      </c>
      <c r="V906">
        <f t="shared" ca="1" si="336"/>
        <v>0.25335000000000002</v>
      </c>
      <c r="W906">
        <f t="shared" ca="1" si="337"/>
        <v>4.9032320495451913E-2</v>
      </c>
      <c r="X906">
        <f t="shared" ca="1" si="338"/>
        <v>201.30254588513912</v>
      </c>
      <c r="Y906">
        <f t="shared" ca="1" si="339"/>
        <v>632.23399999999992</v>
      </c>
      <c r="Z906">
        <f t="shared" ca="1" si="340"/>
        <v>2697.6119296553793</v>
      </c>
      <c r="AA906">
        <f t="shared" ca="1" si="341"/>
        <v>508.04766180569584</v>
      </c>
      <c r="AB906">
        <f t="shared" ca="1" si="342"/>
        <v>507.72844045406282</v>
      </c>
      <c r="AC906">
        <f t="shared" ca="1" si="343"/>
        <v>0</v>
      </c>
      <c r="AD906">
        <f ca="1">IF(V32="Supercritical",L906,U906)</f>
        <v>0.05</v>
      </c>
      <c r="AE906">
        <f t="shared" ca="1" si="344"/>
        <v>632.23399999999992</v>
      </c>
      <c r="AF906">
        <f t="shared" ca="1" si="345"/>
        <v>2697.6119296553793</v>
      </c>
      <c r="AI906">
        <v>0</v>
      </c>
      <c r="AJ906">
        <v>0</v>
      </c>
      <c r="AK906">
        <f t="shared" si="346"/>
        <v>0</v>
      </c>
      <c r="AL906">
        <f t="shared" si="354"/>
        <v>0</v>
      </c>
      <c r="AM906">
        <f t="shared" ca="1" si="347"/>
        <v>287.42845576980574</v>
      </c>
      <c r="AN906" t="str">
        <f t="shared" ca="1" si="348"/>
        <v>Supercritical</v>
      </c>
      <c r="AO906">
        <f ca="1">IF(V32="Supercritical",R906,AA906)</f>
        <v>508.04766180569584</v>
      </c>
    </row>
    <row r="907" spans="1:41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174</v>
      </c>
      <c r="I907">
        <v>5.5E-2</v>
      </c>
      <c r="J907">
        <f t="shared" si="349"/>
        <v>0.99899999999990996</v>
      </c>
      <c r="K907">
        <f t="shared" si="350"/>
        <v>51</v>
      </c>
      <c r="L907">
        <f t="shared" ca="1" si="351"/>
        <v>38818.159360380036</v>
      </c>
      <c r="M907">
        <f t="shared" ca="1" si="329"/>
        <v>196691.61347904566</v>
      </c>
      <c r="N907">
        <f t="shared" ca="1" si="330"/>
        <v>2.5333346597709352</v>
      </c>
      <c r="O907">
        <f t="shared" ca="1" si="331"/>
        <v>2.5928914353754709E-4</v>
      </c>
      <c r="P907">
        <f t="shared" ca="1" si="332"/>
        <v>39450.342860380035</v>
      </c>
      <c r="Q907">
        <f t="shared" ca="1" si="333"/>
        <v>39450.342860383462</v>
      </c>
      <c r="R907">
        <f t="shared" ca="1" si="334"/>
        <v>4.3802049458838239E-12</v>
      </c>
      <c r="S907">
        <f t="shared" ca="1" si="352"/>
        <v>4.999999946448952E-4</v>
      </c>
      <c r="T907">
        <f t="shared" ca="1" si="353"/>
        <v>1</v>
      </c>
      <c r="U907">
        <f t="shared" ca="1" si="335"/>
        <v>0.05</v>
      </c>
      <c r="V907">
        <f t="shared" ca="1" si="336"/>
        <v>0.25335000000000002</v>
      </c>
      <c r="W907">
        <f t="shared" ca="1" si="337"/>
        <v>4.9032320495451913E-2</v>
      </c>
      <c r="X907">
        <f t="shared" ca="1" si="338"/>
        <v>201.30254588513912</v>
      </c>
      <c r="Y907">
        <f t="shared" ca="1" si="339"/>
        <v>632.23349999999994</v>
      </c>
      <c r="Z907">
        <f t="shared" ca="1" si="340"/>
        <v>2697.6114296553792</v>
      </c>
      <c r="AA907">
        <f t="shared" ca="1" si="341"/>
        <v>508.04766180569584</v>
      </c>
      <c r="AB907">
        <f t="shared" ca="1" si="342"/>
        <v>473.3402251569546</v>
      </c>
      <c r="AC907">
        <f t="shared" ca="1" si="343"/>
        <v>0</v>
      </c>
      <c r="AD907">
        <f ca="1">IF(V32="Supercritical",L907,U907)</f>
        <v>0.05</v>
      </c>
      <c r="AE907">
        <f t="shared" ca="1" si="344"/>
        <v>632.23349999999994</v>
      </c>
      <c r="AF907">
        <f t="shared" ca="1" si="345"/>
        <v>2697.6114296553792</v>
      </c>
      <c r="AI907">
        <v>0</v>
      </c>
      <c r="AJ907">
        <v>0</v>
      </c>
      <c r="AK907">
        <f t="shared" si="346"/>
        <v>0</v>
      </c>
      <c r="AL907">
        <f t="shared" si="354"/>
        <v>0</v>
      </c>
      <c r="AM907">
        <f t="shared" ca="1" si="347"/>
        <v>287.42845576980574</v>
      </c>
      <c r="AN907" t="str">
        <f t="shared" ca="1" si="348"/>
        <v>Supercritical</v>
      </c>
      <c r="AO907">
        <f ca="1">IF(V32="Supercritical",R907,AA907)</f>
        <v>508.04766180569584</v>
      </c>
    </row>
    <row r="908" spans="1:41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174</v>
      </c>
      <c r="I908">
        <v>11.814</v>
      </c>
      <c r="J908">
        <f t="shared" si="349"/>
        <v>1</v>
      </c>
      <c r="K908">
        <f t="shared" si="350"/>
        <v>51</v>
      </c>
      <c r="L908">
        <f t="shared" ca="1" si="351"/>
        <v>38818.158773094532</v>
      </c>
      <c r="M908">
        <f t="shared" ca="1" si="329"/>
        <v>201194.51692094895</v>
      </c>
      <c r="N908">
        <f t="shared" ca="1" si="330"/>
        <v>2.5913270030279487</v>
      </c>
      <c r="O908">
        <f t="shared" ca="1" si="331"/>
        <v>2.5348603322046959E-4</v>
      </c>
      <c r="P908">
        <f t="shared" ca="1" si="332"/>
        <v>39450.341773094529</v>
      </c>
      <c r="Q908">
        <f t="shared" ca="1" si="333"/>
        <v>39450.341773097804</v>
      </c>
      <c r="R908">
        <f t="shared" ca="1" si="334"/>
        <v>4.0618850390790584E-12</v>
      </c>
      <c r="S908">
        <f t="shared" ca="1" si="352"/>
        <v>1.0872855345951393E-3</v>
      </c>
      <c r="T908">
        <f t="shared" ca="1" si="353"/>
        <v>0</v>
      </c>
      <c r="U908">
        <f t="shared" ca="1" si="335"/>
        <v>0.05</v>
      </c>
      <c r="V908">
        <f t="shared" ca="1" si="336"/>
        <v>0.25914999999999999</v>
      </c>
      <c r="W908">
        <f t="shared" ca="1" si="337"/>
        <v>4.905356804845732E-2</v>
      </c>
      <c r="X908">
        <f t="shared" ca="1" si="338"/>
        <v>196.79722168628209</v>
      </c>
      <c r="Y908">
        <f t="shared" ca="1" si="339"/>
        <v>632.23299999999995</v>
      </c>
      <c r="Z908">
        <f t="shared" ca="1" si="340"/>
        <v>2606.1956128154766</v>
      </c>
      <c r="AA908">
        <f t="shared" ca="1" si="341"/>
        <v>485.28064921424749</v>
      </c>
      <c r="AB908">
        <f t="shared" ca="1" si="342"/>
        <v>477.77196701909315</v>
      </c>
      <c r="AC908">
        <f t="shared" ca="1" si="343"/>
        <v>0</v>
      </c>
      <c r="AD908">
        <f ca="1">IF(V32="Supercritical",L908,U908)</f>
        <v>0.05</v>
      </c>
      <c r="AE908">
        <f t="shared" ca="1" si="344"/>
        <v>632.23299999999995</v>
      </c>
      <c r="AF908">
        <f t="shared" ca="1" si="345"/>
        <v>2606.1956128154766</v>
      </c>
      <c r="AI908">
        <v>0</v>
      </c>
      <c r="AJ908">
        <v>0</v>
      </c>
      <c r="AK908">
        <f t="shared" si="346"/>
        <v>0</v>
      </c>
      <c r="AL908">
        <f t="shared" si="354"/>
        <v>0</v>
      </c>
      <c r="AM908">
        <f t="shared" ca="1" si="347"/>
        <v>280.99555959591083</v>
      </c>
      <c r="AN908" t="str">
        <f t="shared" ca="1" si="348"/>
        <v>Supercritical</v>
      </c>
      <c r="AO908">
        <f ca="1">IF(V32="Supercritical",R908,AA908)</f>
        <v>485.28064921424749</v>
      </c>
    </row>
    <row r="909" spans="1:41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174</v>
      </c>
      <c r="I909">
        <v>1.0940000000000001</v>
      </c>
      <c r="J909">
        <f t="shared" si="349"/>
        <v>0.99900000000002365</v>
      </c>
      <c r="K909">
        <f t="shared" si="350"/>
        <v>51</v>
      </c>
      <c r="L909">
        <f t="shared" ca="1" si="351"/>
        <v>38818.158773094532</v>
      </c>
      <c r="M909">
        <f t="shared" ca="1" si="329"/>
        <v>201854.42562009158</v>
      </c>
      <c r="N909">
        <f t="shared" ca="1" si="330"/>
        <v>2.5998258663608431</v>
      </c>
      <c r="O909">
        <f t="shared" ca="1" si="331"/>
        <v>2.5265732888109498E-4</v>
      </c>
      <c r="P909">
        <f t="shared" ca="1" si="332"/>
        <v>39450.341273094535</v>
      </c>
      <c r="Q909">
        <f t="shared" ca="1" si="333"/>
        <v>39450.341273097787</v>
      </c>
      <c r="R909">
        <f t="shared" ca="1" si="334"/>
        <v>4.0177906628968471E-12</v>
      </c>
      <c r="S909">
        <f t="shared" ca="1" si="352"/>
        <v>4.999999946448952E-4</v>
      </c>
      <c r="T909">
        <f t="shared" ca="1" si="353"/>
        <v>1</v>
      </c>
      <c r="U909">
        <f t="shared" ca="1" si="335"/>
        <v>0.05</v>
      </c>
      <c r="V909">
        <f t="shared" ca="1" si="336"/>
        <v>0.26</v>
      </c>
      <c r="W909">
        <f t="shared" ca="1" si="337"/>
        <v>4.9056603773584909E-2</v>
      </c>
      <c r="X909">
        <f t="shared" ca="1" si="338"/>
        <v>196.15384615384616</v>
      </c>
      <c r="Y909">
        <f t="shared" ca="1" si="339"/>
        <v>632.23249999999996</v>
      </c>
      <c r="Z909">
        <f t="shared" ca="1" si="340"/>
        <v>2593.309531648662</v>
      </c>
      <c r="AA909">
        <f t="shared" ca="1" si="341"/>
        <v>482.07306851378365</v>
      </c>
      <c r="AB909">
        <f t="shared" ca="1" si="342"/>
        <v>482.07256851378406</v>
      </c>
      <c r="AC909">
        <f t="shared" ca="1" si="343"/>
        <v>0</v>
      </c>
      <c r="AD909">
        <f ca="1">IF(V32="Supercritical",L909,U909)</f>
        <v>0.05</v>
      </c>
      <c r="AE909">
        <f t="shared" ca="1" si="344"/>
        <v>632.23249999999996</v>
      </c>
      <c r="AF909">
        <f t="shared" ca="1" si="345"/>
        <v>2593.309531648662</v>
      </c>
      <c r="AI909">
        <v>0</v>
      </c>
      <c r="AJ909">
        <v>0</v>
      </c>
      <c r="AK909">
        <f t="shared" si="346"/>
        <v>0</v>
      </c>
      <c r="AL909">
        <f t="shared" si="354"/>
        <v>0</v>
      </c>
      <c r="AM909">
        <f t="shared" ca="1" si="347"/>
        <v>280.07692026646265</v>
      </c>
      <c r="AN909" t="str">
        <f t="shared" ca="1" si="348"/>
        <v>Supercritical</v>
      </c>
      <c r="AO909">
        <f ca="1">IF(V32="Supercritical",R909,AA909)</f>
        <v>482.07306851378365</v>
      </c>
    </row>
    <row r="910" spans="1:41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174</v>
      </c>
      <c r="I910">
        <v>0</v>
      </c>
      <c r="J910">
        <f t="shared" si="349"/>
        <v>1</v>
      </c>
      <c r="K910">
        <f t="shared" si="350"/>
        <v>51</v>
      </c>
      <c r="L910">
        <f t="shared" ca="1" si="351"/>
        <v>38818.158185881031</v>
      </c>
      <c r="M910">
        <f t="shared" ca="1" si="329"/>
        <v>201854.42256658137</v>
      </c>
      <c r="N910">
        <f t="shared" ca="1" si="330"/>
        <v>2.5998258663582092</v>
      </c>
      <c r="O910">
        <f t="shared" ca="1" si="331"/>
        <v>2.5265733270311543E-4</v>
      </c>
      <c r="P910">
        <f t="shared" ca="1" si="332"/>
        <v>39450.340185881032</v>
      </c>
      <c r="Q910">
        <f t="shared" ca="1" si="333"/>
        <v>39450.340185884284</v>
      </c>
      <c r="R910">
        <f t="shared" ca="1" si="334"/>
        <v>4.0177907844588374E-12</v>
      </c>
      <c r="S910">
        <f t="shared" ca="1" si="352"/>
        <v>1.0872134953388013E-3</v>
      </c>
      <c r="T910">
        <f t="shared" ca="1" si="353"/>
        <v>0</v>
      </c>
      <c r="U910">
        <f t="shared" ca="1" si="335"/>
        <v>0.05</v>
      </c>
      <c r="V910">
        <f t="shared" ca="1" si="336"/>
        <v>0.26</v>
      </c>
      <c r="W910">
        <f t="shared" ca="1" si="337"/>
        <v>4.9056603773584909E-2</v>
      </c>
      <c r="X910">
        <f t="shared" ca="1" si="338"/>
        <v>196.15384615384616</v>
      </c>
      <c r="Y910">
        <f t="shared" ca="1" si="339"/>
        <v>632.23199999999997</v>
      </c>
      <c r="Z910">
        <f t="shared" ca="1" si="340"/>
        <v>2593.3090316486623</v>
      </c>
      <c r="AA910">
        <f t="shared" ca="1" si="341"/>
        <v>482.07306851378365</v>
      </c>
      <c r="AB910">
        <f t="shared" ca="1" si="342"/>
        <v>481.59049544528125</v>
      </c>
      <c r="AC910">
        <f t="shared" ca="1" si="343"/>
        <v>0</v>
      </c>
      <c r="AD910">
        <f ca="1">IF(V32="Supercritical",L910,U910)</f>
        <v>0.05</v>
      </c>
      <c r="AE910">
        <f t="shared" ca="1" si="344"/>
        <v>632.23199999999997</v>
      </c>
      <c r="AF910">
        <f t="shared" ca="1" si="345"/>
        <v>2593.3090316486623</v>
      </c>
      <c r="AI910">
        <v>0</v>
      </c>
      <c r="AJ910">
        <v>0</v>
      </c>
      <c r="AK910">
        <f t="shared" si="346"/>
        <v>0</v>
      </c>
      <c r="AL910">
        <f t="shared" si="354"/>
        <v>0</v>
      </c>
      <c r="AM910">
        <f t="shared" ca="1" si="347"/>
        <v>280.07692026646265</v>
      </c>
      <c r="AN910" t="str">
        <f t="shared" ca="1" si="348"/>
        <v>Supercritical</v>
      </c>
      <c r="AO910">
        <f ca="1">IF(V32="Supercritical",R910,AA910)</f>
        <v>482.07306851378365</v>
      </c>
    </row>
    <row r="911" spans="1:41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174</v>
      </c>
      <c r="I911">
        <v>0</v>
      </c>
      <c r="J911">
        <f t="shared" si="349"/>
        <v>0.99900000000002365</v>
      </c>
      <c r="K911">
        <f t="shared" si="350"/>
        <v>51</v>
      </c>
      <c r="L911">
        <f t="shared" ca="1" si="351"/>
        <v>38818.158185881031</v>
      </c>
      <c r="M911">
        <f t="shared" ca="1" si="329"/>
        <v>201854.42256658137</v>
      </c>
      <c r="N911">
        <f t="shared" ca="1" si="330"/>
        <v>2.5998258663582092</v>
      </c>
      <c r="O911">
        <f t="shared" ca="1" si="331"/>
        <v>2.5265733270311543E-4</v>
      </c>
      <c r="P911">
        <f t="shared" ca="1" si="332"/>
        <v>39450.33968588103</v>
      </c>
      <c r="Q911">
        <f t="shared" ca="1" si="333"/>
        <v>39450.339685884283</v>
      </c>
      <c r="R911">
        <f t="shared" ca="1" si="334"/>
        <v>4.0177907844588374E-12</v>
      </c>
      <c r="S911">
        <f t="shared" ca="1" si="352"/>
        <v>4.999999946448952E-4</v>
      </c>
      <c r="T911">
        <f t="shared" ca="1" si="353"/>
        <v>1</v>
      </c>
      <c r="U911">
        <f t="shared" ca="1" si="335"/>
        <v>0.05</v>
      </c>
      <c r="V911">
        <f t="shared" ca="1" si="336"/>
        <v>0.26</v>
      </c>
      <c r="W911">
        <f t="shared" ca="1" si="337"/>
        <v>4.9056603773584909E-2</v>
      </c>
      <c r="X911">
        <f t="shared" ca="1" si="338"/>
        <v>196.15384615384616</v>
      </c>
      <c r="Y911">
        <f t="shared" ca="1" si="339"/>
        <v>632.23149999999998</v>
      </c>
      <c r="Z911">
        <f t="shared" ca="1" si="340"/>
        <v>2593.3085316486622</v>
      </c>
      <c r="AA911">
        <f t="shared" ca="1" si="341"/>
        <v>482.07306851378365</v>
      </c>
      <c r="AB911">
        <f t="shared" ca="1" si="342"/>
        <v>482.25887083179032</v>
      </c>
      <c r="AC911">
        <f t="shared" ca="1" si="343"/>
        <v>0</v>
      </c>
      <c r="AD911">
        <f ca="1">IF(V32="Supercritical",L911,U911)</f>
        <v>0.05</v>
      </c>
      <c r="AE911">
        <f t="shared" ca="1" si="344"/>
        <v>632.23149999999998</v>
      </c>
      <c r="AF911">
        <f t="shared" ca="1" si="345"/>
        <v>2593.3085316486622</v>
      </c>
      <c r="AI911">
        <v>0</v>
      </c>
      <c r="AJ911">
        <v>0</v>
      </c>
      <c r="AK911">
        <f t="shared" si="346"/>
        <v>0</v>
      </c>
      <c r="AL911">
        <f t="shared" si="354"/>
        <v>0</v>
      </c>
      <c r="AM911">
        <f t="shared" ca="1" si="347"/>
        <v>280.07692026646265</v>
      </c>
      <c r="AN911" t="str">
        <f t="shared" ca="1" si="348"/>
        <v>Supercritical</v>
      </c>
      <c r="AO911">
        <f ca="1">IF(V32="Supercritical",R911,AA911)</f>
        <v>482.07306851378365</v>
      </c>
    </row>
    <row r="912" spans="1:41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174</v>
      </c>
      <c r="I912">
        <v>5.7000000000000002E-2</v>
      </c>
      <c r="J912">
        <f t="shared" si="349"/>
        <v>1</v>
      </c>
      <c r="K912">
        <f t="shared" si="350"/>
        <v>51</v>
      </c>
      <c r="L912">
        <f t="shared" ca="1" si="351"/>
        <v>38818.157598724363</v>
      </c>
      <c r="M912">
        <f t="shared" ca="1" si="329"/>
        <v>201854.41951336671</v>
      </c>
      <c r="N912">
        <f t="shared" ca="1" si="330"/>
        <v>2.5998258663555753</v>
      </c>
      <c r="O912">
        <f t="shared" ca="1" si="331"/>
        <v>2.5265733652476605E-4</v>
      </c>
      <c r="P912">
        <f t="shared" ca="1" si="332"/>
        <v>39450.33859872436</v>
      </c>
      <c r="Q912">
        <f t="shared" ca="1" si="333"/>
        <v>39450.338598727612</v>
      </c>
      <c r="R912">
        <f t="shared" ca="1" si="334"/>
        <v>4.0177909060090678E-12</v>
      </c>
      <c r="S912">
        <f t="shared" ca="1" si="352"/>
        <v>1.0871566628338769E-3</v>
      </c>
      <c r="T912">
        <f t="shared" ca="1" si="353"/>
        <v>0</v>
      </c>
      <c r="U912">
        <f t="shared" ca="1" si="335"/>
        <v>0.05</v>
      </c>
      <c r="V912">
        <f t="shared" ca="1" si="336"/>
        <v>0.26</v>
      </c>
      <c r="W912">
        <f t="shared" ca="1" si="337"/>
        <v>4.9056603773584909E-2</v>
      </c>
      <c r="X912">
        <f t="shared" ca="1" si="338"/>
        <v>196.15384615384616</v>
      </c>
      <c r="Y912">
        <f t="shared" ca="1" si="339"/>
        <v>632.23099999999999</v>
      </c>
      <c r="Z912">
        <f t="shared" ca="1" si="340"/>
        <v>2593.3080316486621</v>
      </c>
      <c r="AA912">
        <f t="shared" ca="1" si="341"/>
        <v>482.07306851378365</v>
      </c>
      <c r="AB912">
        <f t="shared" ca="1" si="342"/>
        <v>482.25887083179032</v>
      </c>
      <c r="AC912">
        <f t="shared" ca="1" si="343"/>
        <v>0</v>
      </c>
      <c r="AD912">
        <f ca="1">IF(V32="Supercritical",L912,U912)</f>
        <v>0.05</v>
      </c>
      <c r="AE912">
        <f t="shared" ca="1" si="344"/>
        <v>632.23099999999999</v>
      </c>
      <c r="AF912">
        <f t="shared" ca="1" si="345"/>
        <v>2593.3080316486621</v>
      </c>
      <c r="AI912">
        <v>0</v>
      </c>
      <c r="AJ912">
        <v>0</v>
      </c>
      <c r="AK912">
        <f t="shared" si="346"/>
        <v>0</v>
      </c>
      <c r="AL912">
        <f t="shared" si="354"/>
        <v>0</v>
      </c>
      <c r="AM912">
        <f t="shared" ca="1" si="347"/>
        <v>280.07692026646265</v>
      </c>
      <c r="AN912" t="str">
        <f t="shared" ca="1" si="348"/>
        <v>Supercritical</v>
      </c>
      <c r="AO912">
        <f ca="1">IF(V32="Supercritical",R912,AA912)</f>
        <v>482.07306851378365</v>
      </c>
    </row>
    <row r="913" spans="1:41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174</v>
      </c>
      <c r="I913">
        <v>5.7000000000000002E-2</v>
      </c>
      <c r="J913">
        <f t="shared" si="349"/>
        <v>1</v>
      </c>
      <c r="K913">
        <f t="shared" si="350"/>
        <v>51</v>
      </c>
      <c r="L913">
        <f t="shared" ca="1" si="351"/>
        <v>38818.157598724363</v>
      </c>
      <c r="M913">
        <f t="shared" ca="1" si="329"/>
        <v>201854.41951336671</v>
      </c>
      <c r="N913">
        <f t="shared" ca="1" si="330"/>
        <v>2.5998258663555753</v>
      </c>
      <c r="O913">
        <f t="shared" ca="1" si="331"/>
        <v>2.5265733652476605E-4</v>
      </c>
      <c r="P913">
        <f t="shared" ca="1" si="332"/>
        <v>39450.338098724365</v>
      </c>
      <c r="Q913">
        <f t="shared" ca="1" si="333"/>
        <v>39450.338098727618</v>
      </c>
      <c r="R913">
        <f t="shared" ca="1" si="334"/>
        <v>4.0177909060090678E-12</v>
      </c>
      <c r="S913">
        <f t="shared" ca="1" si="352"/>
        <v>4.9999998736893758E-4</v>
      </c>
      <c r="T913">
        <f t="shared" ca="1" si="353"/>
        <v>1</v>
      </c>
      <c r="U913">
        <f t="shared" ca="1" si="335"/>
        <v>0.05</v>
      </c>
      <c r="V913">
        <f t="shared" ca="1" si="336"/>
        <v>0.26</v>
      </c>
      <c r="W913">
        <f t="shared" ca="1" si="337"/>
        <v>4.9056603773584909E-2</v>
      </c>
      <c r="X913">
        <f t="shared" ca="1" si="338"/>
        <v>196.15384615384616</v>
      </c>
      <c r="Y913">
        <f t="shared" ca="1" si="339"/>
        <v>632.23050000000001</v>
      </c>
      <c r="Z913">
        <f t="shared" ca="1" si="340"/>
        <v>2593.307531648662</v>
      </c>
      <c r="AA913">
        <f t="shared" ca="1" si="341"/>
        <v>482.07306851378365</v>
      </c>
      <c r="AB913">
        <f t="shared" ca="1" si="342"/>
        <v>482.07256851378361</v>
      </c>
      <c r="AC913">
        <f t="shared" ca="1" si="343"/>
        <v>0</v>
      </c>
      <c r="AD913">
        <f ca="1">IF(V32="Supercritical",L913,U913)</f>
        <v>0.05</v>
      </c>
      <c r="AE913">
        <f t="shared" ca="1" si="344"/>
        <v>632.23050000000001</v>
      </c>
      <c r="AF913">
        <f t="shared" ca="1" si="345"/>
        <v>2593.307531648662</v>
      </c>
      <c r="AI913">
        <v>0</v>
      </c>
      <c r="AJ913">
        <v>0</v>
      </c>
      <c r="AK913">
        <f t="shared" si="346"/>
        <v>0</v>
      </c>
      <c r="AL913">
        <f t="shared" si="354"/>
        <v>0</v>
      </c>
      <c r="AM913">
        <f t="shared" ca="1" si="347"/>
        <v>280.07692026646265</v>
      </c>
      <c r="AN913" t="str">
        <f t="shared" ca="1" si="348"/>
        <v>Supercritical</v>
      </c>
      <c r="AO913">
        <f ca="1">IF(V32="Supercritical",R913,AA913)</f>
        <v>482.07306851378365</v>
      </c>
    </row>
    <row r="914" spans="1:41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174</v>
      </c>
      <c r="I914">
        <v>0</v>
      </c>
      <c r="J914">
        <f t="shared" si="349"/>
        <v>1</v>
      </c>
      <c r="K914">
        <f t="shared" si="350"/>
        <v>51</v>
      </c>
      <c r="L914">
        <f t="shared" ca="1" si="351"/>
        <v>38818.157011612384</v>
      </c>
      <c r="M914">
        <f t="shared" ca="1" si="329"/>
        <v>201854.41646038441</v>
      </c>
      <c r="N914">
        <f t="shared" ca="1" si="330"/>
        <v>2.5998258663529419</v>
      </c>
      <c r="O914">
        <f t="shared" ca="1" si="331"/>
        <v>2.52657340346126E-4</v>
      </c>
      <c r="P914">
        <f t="shared" ca="1" si="332"/>
        <v>39450.337011612384</v>
      </c>
      <c r="Q914">
        <f t="shared" ca="1" si="333"/>
        <v>39450.337011615637</v>
      </c>
      <c r="R914">
        <f t="shared" ca="1" si="334"/>
        <v>4.0177910275500538E-12</v>
      </c>
      <c r="S914">
        <f t="shared" ca="1" si="352"/>
        <v>1.0871119739022106E-3</v>
      </c>
      <c r="T914">
        <f t="shared" ca="1" si="353"/>
        <v>0</v>
      </c>
      <c r="U914">
        <f t="shared" ca="1" si="335"/>
        <v>0.05</v>
      </c>
      <c r="V914">
        <f t="shared" ca="1" si="336"/>
        <v>0.26</v>
      </c>
      <c r="W914">
        <f t="shared" ca="1" si="337"/>
        <v>4.9056603773584909E-2</v>
      </c>
      <c r="X914">
        <f t="shared" ca="1" si="338"/>
        <v>196.15384615384616</v>
      </c>
      <c r="Y914">
        <f t="shared" ca="1" si="339"/>
        <v>632.2299999999999</v>
      </c>
      <c r="Z914">
        <f t="shared" ca="1" si="340"/>
        <v>2593.3070316486619</v>
      </c>
      <c r="AA914">
        <f t="shared" ca="1" si="341"/>
        <v>482.07306851378365</v>
      </c>
      <c r="AB914">
        <f t="shared" ca="1" si="342"/>
        <v>482.07256851378361</v>
      </c>
      <c r="AC914">
        <f t="shared" ca="1" si="343"/>
        <v>0</v>
      </c>
      <c r="AD914">
        <f ca="1">IF(V32="Supercritical",L914,U914)</f>
        <v>0.05</v>
      </c>
      <c r="AE914">
        <f t="shared" ca="1" si="344"/>
        <v>632.2299999999999</v>
      </c>
      <c r="AF914">
        <f t="shared" ca="1" si="345"/>
        <v>2593.3070316486619</v>
      </c>
      <c r="AI914">
        <v>0</v>
      </c>
      <c r="AJ914">
        <v>0</v>
      </c>
      <c r="AK914">
        <f t="shared" si="346"/>
        <v>0</v>
      </c>
      <c r="AL914">
        <f t="shared" si="354"/>
        <v>0</v>
      </c>
      <c r="AM914">
        <f t="shared" ca="1" si="347"/>
        <v>280.07692026646265</v>
      </c>
      <c r="AN914" t="str">
        <f t="shared" ca="1" si="348"/>
        <v>Supercritical</v>
      </c>
      <c r="AO914">
        <f ca="1">IF(V32="Supercritical",R914,AA914)</f>
        <v>482.07306851378365</v>
      </c>
    </row>
    <row r="915" spans="1:41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174</v>
      </c>
      <c r="I915">
        <v>0</v>
      </c>
      <c r="J915">
        <f t="shared" si="349"/>
        <v>1</v>
      </c>
      <c r="K915">
        <f t="shared" si="350"/>
        <v>51</v>
      </c>
      <c r="L915">
        <f t="shared" ca="1" si="351"/>
        <v>38818.157011612384</v>
      </c>
      <c r="M915">
        <f t="shared" ca="1" si="329"/>
        <v>201854.41646038441</v>
      </c>
      <c r="N915">
        <f t="shared" ca="1" si="330"/>
        <v>2.5998258663529419</v>
      </c>
      <c r="O915">
        <f t="shared" ca="1" si="331"/>
        <v>2.52657340346126E-4</v>
      </c>
      <c r="P915">
        <f t="shared" ca="1" si="332"/>
        <v>39450.336511612382</v>
      </c>
      <c r="Q915">
        <f t="shared" ca="1" si="333"/>
        <v>39450.336511615635</v>
      </c>
      <c r="R915">
        <f t="shared" ca="1" si="334"/>
        <v>4.0177910275500538E-12</v>
      </c>
      <c r="S915">
        <f t="shared" ca="1" si="352"/>
        <v>4.999999946448952E-4</v>
      </c>
      <c r="T915">
        <f t="shared" ca="1" si="353"/>
        <v>1</v>
      </c>
      <c r="U915">
        <f t="shared" ca="1" si="335"/>
        <v>0.05</v>
      </c>
      <c r="V915">
        <f t="shared" ca="1" si="336"/>
        <v>0.26</v>
      </c>
      <c r="W915">
        <f t="shared" ca="1" si="337"/>
        <v>4.9056603773584909E-2</v>
      </c>
      <c r="X915">
        <f t="shared" ca="1" si="338"/>
        <v>196.15384615384616</v>
      </c>
      <c r="Y915">
        <f t="shared" ca="1" si="339"/>
        <v>632.22949999999992</v>
      </c>
      <c r="Z915">
        <f t="shared" ca="1" si="340"/>
        <v>2593.3065316486618</v>
      </c>
      <c r="AA915">
        <f t="shared" ca="1" si="341"/>
        <v>482.07306851378365</v>
      </c>
      <c r="AB915">
        <f t="shared" ca="1" si="342"/>
        <v>482.25887083179077</v>
      </c>
      <c r="AC915">
        <f t="shared" ca="1" si="343"/>
        <v>0</v>
      </c>
      <c r="AD915">
        <f ca="1">IF(V32="Supercritical",L915,U915)</f>
        <v>0.05</v>
      </c>
      <c r="AE915">
        <f t="shared" ca="1" si="344"/>
        <v>632.22949999999992</v>
      </c>
      <c r="AF915">
        <f t="shared" ca="1" si="345"/>
        <v>2593.3065316486618</v>
      </c>
      <c r="AI915">
        <v>0</v>
      </c>
      <c r="AJ915">
        <v>0</v>
      </c>
      <c r="AK915">
        <f t="shared" si="346"/>
        <v>0</v>
      </c>
      <c r="AL915">
        <f t="shared" si="354"/>
        <v>0</v>
      </c>
      <c r="AM915">
        <f t="shared" ca="1" si="347"/>
        <v>280.07692026646265</v>
      </c>
      <c r="AN915" t="str">
        <f t="shared" ca="1" si="348"/>
        <v>Supercritical</v>
      </c>
      <c r="AO915">
        <f ca="1">IF(V32="Supercritical",R915,AA915)</f>
        <v>482.07306851378365</v>
      </c>
    </row>
    <row r="916" spans="1:41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174</v>
      </c>
      <c r="I916">
        <v>5.7000000000000002E-2</v>
      </c>
      <c r="J916">
        <f t="shared" si="349"/>
        <v>1</v>
      </c>
      <c r="K916">
        <f t="shared" si="350"/>
        <v>51</v>
      </c>
      <c r="L916">
        <f t="shared" ca="1" si="351"/>
        <v>38818.156424535446</v>
      </c>
      <c r="M916">
        <f t="shared" ca="1" si="329"/>
        <v>201854.41340758433</v>
      </c>
      <c r="N916">
        <f t="shared" ca="1" si="330"/>
        <v>2.5998258663503084</v>
      </c>
      <c r="O916">
        <f t="shared" ca="1" si="331"/>
        <v>2.5265734416725794E-4</v>
      </c>
      <c r="P916">
        <f t="shared" ca="1" si="332"/>
        <v>39450.335424535442</v>
      </c>
      <c r="Q916">
        <f t="shared" ca="1" si="333"/>
        <v>39450.335424538694</v>
      </c>
      <c r="R916">
        <f t="shared" ca="1" si="334"/>
        <v>4.0177911490837899E-12</v>
      </c>
      <c r="S916">
        <f t="shared" ca="1" si="352"/>
        <v>1.0870769328903407E-3</v>
      </c>
      <c r="T916">
        <f t="shared" ca="1" si="353"/>
        <v>0</v>
      </c>
      <c r="U916">
        <f t="shared" ca="1" si="335"/>
        <v>0.05</v>
      </c>
      <c r="V916">
        <f t="shared" ca="1" si="336"/>
        <v>0.26</v>
      </c>
      <c r="W916">
        <f t="shared" ca="1" si="337"/>
        <v>4.9056603773584909E-2</v>
      </c>
      <c r="X916">
        <f t="shared" ca="1" si="338"/>
        <v>196.15384615384616</v>
      </c>
      <c r="Y916">
        <f t="shared" ca="1" si="339"/>
        <v>632.22899999999993</v>
      </c>
      <c r="Z916">
        <f t="shared" ca="1" si="340"/>
        <v>2593.3060316486622</v>
      </c>
      <c r="AA916">
        <f t="shared" ca="1" si="341"/>
        <v>482.07306851378365</v>
      </c>
      <c r="AB916">
        <f t="shared" ca="1" si="342"/>
        <v>482.25887083179032</v>
      </c>
      <c r="AC916">
        <f t="shared" ca="1" si="343"/>
        <v>0</v>
      </c>
      <c r="AD916">
        <f ca="1">IF(V32="Supercritical",L916,U916)</f>
        <v>0.05</v>
      </c>
      <c r="AE916">
        <f t="shared" ca="1" si="344"/>
        <v>632.22899999999993</v>
      </c>
      <c r="AF916">
        <f t="shared" ca="1" si="345"/>
        <v>2593.3060316486622</v>
      </c>
      <c r="AI916">
        <v>0</v>
      </c>
      <c r="AJ916">
        <v>0</v>
      </c>
      <c r="AK916">
        <f t="shared" si="346"/>
        <v>0</v>
      </c>
      <c r="AL916">
        <f t="shared" si="354"/>
        <v>0</v>
      </c>
      <c r="AM916">
        <f t="shared" ca="1" si="347"/>
        <v>280.07692026646265</v>
      </c>
      <c r="AN916" t="str">
        <f t="shared" ca="1" si="348"/>
        <v>Supercritical</v>
      </c>
      <c r="AO916">
        <f ca="1">IF(V32="Supercritical",R916,AA916)</f>
        <v>482.07306851378365</v>
      </c>
    </row>
    <row r="917" spans="1:41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174</v>
      </c>
      <c r="I917">
        <v>5.7000000000000002E-2</v>
      </c>
      <c r="J917">
        <f t="shared" si="349"/>
        <v>1</v>
      </c>
      <c r="K917">
        <f t="shared" si="350"/>
        <v>51</v>
      </c>
      <c r="L917">
        <f t="shared" ca="1" si="351"/>
        <v>38818.156424535446</v>
      </c>
      <c r="M917">
        <f t="shared" ca="1" si="329"/>
        <v>201854.41340758433</v>
      </c>
      <c r="N917">
        <f t="shared" ca="1" si="330"/>
        <v>2.5998258663503084</v>
      </c>
      <c r="O917">
        <f t="shared" ca="1" si="331"/>
        <v>2.5265734416725794E-4</v>
      </c>
      <c r="P917">
        <f t="shared" ca="1" si="332"/>
        <v>39450.334924535447</v>
      </c>
      <c r="Q917">
        <f t="shared" ca="1" si="333"/>
        <v>39450.3349245387</v>
      </c>
      <c r="R917">
        <f t="shared" ca="1" si="334"/>
        <v>4.0177911490837899E-12</v>
      </c>
      <c r="S917">
        <f t="shared" ca="1" si="352"/>
        <v>4.9999998736893758E-4</v>
      </c>
      <c r="T917">
        <f t="shared" ca="1" si="353"/>
        <v>1</v>
      </c>
      <c r="U917">
        <f t="shared" ca="1" si="335"/>
        <v>0.05</v>
      </c>
      <c r="V917">
        <f t="shared" ca="1" si="336"/>
        <v>0.26</v>
      </c>
      <c r="W917">
        <f t="shared" ca="1" si="337"/>
        <v>4.9056603773584909E-2</v>
      </c>
      <c r="X917">
        <f t="shared" ca="1" si="338"/>
        <v>196.15384615384616</v>
      </c>
      <c r="Y917">
        <f t="shared" ca="1" si="339"/>
        <v>632.22849999999994</v>
      </c>
      <c r="Z917">
        <f t="shared" ca="1" si="340"/>
        <v>2593.3055316486621</v>
      </c>
      <c r="AA917">
        <f t="shared" ca="1" si="341"/>
        <v>482.07306851378365</v>
      </c>
      <c r="AB917">
        <f t="shared" ca="1" si="342"/>
        <v>482.07910543722255</v>
      </c>
      <c r="AC917">
        <f t="shared" ca="1" si="343"/>
        <v>0</v>
      </c>
      <c r="AD917">
        <f ca="1">IF(V32="Supercritical",L917,U917)</f>
        <v>0.05</v>
      </c>
      <c r="AE917">
        <f t="shared" ca="1" si="344"/>
        <v>632.22849999999994</v>
      </c>
      <c r="AF917">
        <f t="shared" ca="1" si="345"/>
        <v>2593.3055316486621</v>
      </c>
      <c r="AI917">
        <v>0</v>
      </c>
      <c r="AJ917">
        <v>0</v>
      </c>
      <c r="AK917">
        <f t="shared" si="346"/>
        <v>0</v>
      </c>
      <c r="AL917">
        <f t="shared" si="354"/>
        <v>0</v>
      </c>
      <c r="AM917">
        <f t="shared" ca="1" si="347"/>
        <v>280.07692026646265</v>
      </c>
      <c r="AN917" t="str">
        <f t="shared" ca="1" si="348"/>
        <v>Supercritical</v>
      </c>
      <c r="AO917">
        <f ca="1">IF(V32="Supercritical",R917,AA917)</f>
        <v>482.07306851378365</v>
      </c>
    </row>
    <row r="918" spans="1:41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174</v>
      </c>
      <c r="I918">
        <v>2E-3</v>
      </c>
      <c r="J918">
        <f t="shared" si="349"/>
        <v>1</v>
      </c>
      <c r="K918">
        <f t="shared" si="350"/>
        <v>51</v>
      </c>
      <c r="L918">
        <f t="shared" ca="1" si="351"/>
        <v>38818.155837485923</v>
      </c>
      <c r="M918">
        <f t="shared" ref="M918:M981" ca="1" si="355">((F918)+(G918)*(L918))*(L918)</f>
        <v>201854.4103549268</v>
      </c>
      <c r="N918">
        <f t="shared" ref="N918:N981" ca="1" si="356">(((F918)+(G918)*(L918))*(L918))/MAX((F918)+2*(L918)*SQRT(1+(G918)^2),0.000001)</f>
        <v>2.599825866347675</v>
      </c>
      <c r="O918">
        <f t="shared" ref="O918:O981" ca="1" si="357">ABS(K918)/MAX(((F918)+(G918)*(L918))*(L918),0.000001)</f>
        <v>2.5265734798821159E-4</v>
      </c>
      <c r="P918">
        <f t="shared" ref="P918:P981" ca="1" si="358">E918+L918</f>
        <v>39450.333837485923</v>
      </c>
      <c r="Q918">
        <f t="shared" ref="Q918:Q981" ca="1" si="359">P918+((ABS(K918)/MAX(((F918)+(G918)*(L918))*(L918),0.000001))^2)/(2*$I$5)</f>
        <v>39450.333837489175</v>
      </c>
      <c r="R918">
        <f t="shared" ref="R918:R981" ca="1" si="360">((ABS(K918)*$D$6)/(MAX(((F918)+(G918)*(L918))*(L918),0.000001)*MAX(((((F918)+(G918)*(L918))*(L918))/MAX((F918)+2*(L918)*SQRT(1+(G918)^2),0.000001))^(2/3),0.000001)))^2</f>
        <v>4.0177912706118568E-12</v>
      </c>
      <c r="S918">
        <f t="shared" ca="1" si="352"/>
        <v>1.0870495170820504E-3</v>
      </c>
      <c r="T918">
        <f t="shared" ca="1" si="353"/>
        <v>0</v>
      </c>
      <c r="U918">
        <f t="shared" ref="U918:U981" ca="1" si="361">IF($D$20=0,U919,IF(AC919=0,U919,IF(U918=0,U919,IF(ABS(AB918)&gt;$D$19,MAX($D$16,U918+((AB918)*$D$18*IF((ABS(ABS(K918)/MAX(((F918)+(G918)*(U918))*(U918),0.000001))/SQRT($I$5*MAX((((F918)+(G918)*(U918))*(U918))/MAX((F918)+2*(G918)*(U918),0.000001),0.000001)))&lt;1,1,-1))),U918))))</f>
        <v>0.05</v>
      </c>
      <c r="V918">
        <f t="shared" ref="V918:V981" ca="1" si="362">((F918)+(G918)*(U918))*(U918)</f>
        <v>0.26</v>
      </c>
      <c r="W918">
        <f t="shared" ref="W918:W981" ca="1" si="363">(((F918)+(G918)*(U918))*(U918))/MAX((F918)+2*(U918)*SQRT(1+(G918)^2),0.000001)</f>
        <v>4.9056603773584909E-2</v>
      </c>
      <c r="X918">
        <f t="shared" ref="X918:X981" ca="1" si="364">ABS(K918)/MAX(((F918)+(G918)*(U918))*(U918),0.000001)</f>
        <v>196.15384615384616</v>
      </c>
      <c r="Y918">
        <f t="shared" ref="Y918:Y981" ca="1" si="365">E918+U918</f>
        <v>632.22799999999995</v>
      </c>
      <c r="Z918">
        <f t="shared" ref="Z918:Z981" ca="1" si="366">Y918+((ABS(K918)/MAX(((F918)+(G918)*(U918))*(U918),0.000001))^2)/(2*$I$5)</f>
        <v>2593.305031648662</v>
      </c>
      <c r="AA918">
        <f t="shared" ref="AA918:AA981" ca="1" si="367">((ABS(K918)*$D$6)/(MAX(((F918)+(G918)*(U918))*(U918),0.000001)*MAX(((((F918)+(G918)*(U918))*(U918))/MAX((F918)+2*(U918)*SQRT(1+(G918)^2),0.000001))^(2/3),0.000001)))^2</f>
        <v>482.07306851378365</v>
      </c>
      <c r="AB918">
        <f t="shared" ref="AB918:AB981" ca="1" si="368">Z919+(((AA918+AA919)/2)*J919)+(IF(X918&gt;X919,$D$8*((X918^2-X919^2)/(2*$I$5)),$D$9*((X919^2-X918^2)/(2*$I$5)))+($D$10*(ABS(I919)/90)*(MAX(X918^2,X919^2)/(2*$I$5))))-Z918</f>
        <v>482.56117850572537</v>
      </c>
      <c r="AC918">
        <f t="shared" ref="AC918:AC981" ca="1" si="369">IF(ABS(AB918)&lt;$D$19,1,0)</f>
        <v>0</v>
      </c>
      <c r="AD918">
        <f ca="1">IF(V32="Supercritical",L918,U918)</f>
        <v>0.05</v>
      </c>
      <c r="AE918">
        <f t="shared" ref="AE918:AE981" ca="1" si="370">E918+AD918</f>
        <v>632.22799999999995</v>
      </c>
      <c r="AF918">
        <f t="shared" ref="AF918:AF981" ca="1" si="371">AE918+((ABS(K918)/MAX(((F918)+(G918)*(AD918))*(AD918),0.000001))^2)/(2*$I$5)</f>
        <v>2593.305031648662</v>
      </c>
      <c r="AI918">
        <v>0</v>
      </c>
      <c r="AJ918">
        <v>0</v>
      </c>
      <c r="AK918">
        <f t="shared" ref="AK918:AK981" si="372">AI918+AJ918</f>
        <v>0</v>
      </c>
      <c r="AL918">
        <f t="shared" si="354"/>
        <v>0</v>
      </c>
      <c r="AM918">
        <f t="shared" ref="AM918:AM981" ca="1" si="373">ABS(ABS(K918)/MAX(((F918)+(G918)*(AD918))*(AD918),0.000001))/SQRT($I$5*MAX((((F918)+(G918)*(AD918))*(AD918))/MAX((F918)+2*(G918)*(AD918),0.000001),0.000001))</f>
        <v>280.07692026646265</v>
      </c>
      <c r="AN918" t="str">
        <f t="shared" ref="AN918:AN981" ca="1" si="374">IF(AM918&lt;1,"Subcritical","Supercritical")</f>
        <v>Supercritical</v>
      </c>
      <c r="AO918">
        <f ca="1">IF(V32="Supercritical",R918,AA918)</f>
        <v>482.07306851378365</v>
      </c>
    </row>
    <row r="919" spans="1:41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174</v>
      </c>
      <c r="I919">
        <v>2E-3</v>
      </c>
      <c r="J919">
        <f t="shared" ref="J919:J982" si="375">B919-B918</f>
        <v>1.0009999999999764</v>
      </c>
      <c r="K919">
        <f t="shared" ref="K919:K982" si="376">MAX(0,K918-AK918)</f>
        <v>51</v>
      </c>
      <c r="L919">
        <f t="shared" ref="L919:L982" ca="1" si="377">IF($D$20=0,L918,IF(T918=0,L918,IF(L919=0,L918,IF(ABS(S919)&gt;$D$19,MAX($D$16,L919+((S919)*$D$18*IF((ABS(ABS(K919)/MAX(((F919)+(G919)*(L919))*(L919),0.000001))/SQRT($I$5*MAX((((F919)+(G919)*(L919))*(L919))/MAX((F919)+2*(G919)*(L919),0.000001),0.000001)))&lt;1,1,-1))),L919))))</f>
        <v>38818.155837485923</v>
      </c>
      <c r="M919">
        <f t="shared" ca="1" si="355"/>
        <v>201854.4103549268</v>
      </c>
      <c r="N919">
        <f t="shared" ca="1" si="356"/>
        <v>2.599825866347675</v>
      </c>
      <c r="O919">
        <f t="shared" ca="1" si="357"/>
        <v>2.5265734798821159E-4</v>
      </c>
      <c r="P919">
        <f t="shared" ca="1" si="358"/>
        <v>39450.333337485921</v>
      </c>
      <c r="Q919">
        <f t="shared" ca="1" si="359"/>
        <v>39450.333337489174</v>
      </c>
      <c r="R919">
        <f t="shared" ca="1" si="360"/>
        <v>4.0177912706118568E-12</v>
      </c>
      <c r="S919">
        <f t="shared" ref="S919:S982" ca="1" si="378">Q918-(((R918+R919)/2)*J919)-(IF(O918&gt;O919,$D$8*((O918^2-O919^2)/(2*$I$5)),$D$9*((O919^2-O918^2)/(2*$I$5)))+($D$10*(ABS(I919)/90)*(MAX(O918^2,O919^2)/(2*$I$5))))-Q919</f>
        <v>4.999999946448952E-4</v>
      </c>
      <c r="T919">
        <f t="shared" ref="T919:T982" ca="1" si="379">IF(ABS(S919)&lt;$D$19,1,0)</f>
        <v>1</v>
      </c>
      <c r="U919">
        <f t="shared" ca="1" si="361"/>
        <v>0.05</v>
      </c>
      <c r="V919">
        <f t="shared" ca="1" si="362"/>
        <v>0.26</v>
      </c>
      <c r="W919">
        <f t="shared" ca="1" si="363"/>
        <v>4.9056603773584909E-2</v>
      </c>
      <c r="X919">
        <f t="shared" ca="1" si="364"/>
        <v>196.15384615384616</v>
      </c>
      <c r="Y919">
        <f t="shared" ca="1" si="365"/>
        <v>632.22749999999996</v>
      </c>
      <c r="Z919">
        <f t="shared" ca="1" si="366"/>
        <v>2593.3045316486623</v>
      </c>
      <c r="AA919">
        <f t="shared" ca="1" si="367"/>
        <v>482.07306851378365</v>
      </c>
      <c r="AB919">
        <f t="shared" ca="1" si="368"/>
        <v>482.25887083179032</v>
      </c>
      <c r="AC919">
        <f t="shared" ca="1" si="369"/>
        <v>0</v>
      </c>
      <c r="AD919">
        <f ca="1">IF(V32="Supercritical",L919,U919)</f>
        <v>0.05</v>
      </c>
      <c r="AE919">
        <f t="shared" ca="1" si="370"/>
        <v>632.22749999999996</v>
      </c>
      <c r="AF919">
        <f t="shared" ca="1" si="371"/>
        <v>2593.3045316486623</v>
      </c>
      <c r="AI919">
        <v>0</v>
      </c>
      <c r="AJ919">
        <v>0</v>
      </c>
      <c r="AK919">
        <f t="shared" si="372"/>
        <v>0</v>
      </c>
      <c r="AL919">
        <f t="shared" ref="AL919:AL982" si="380">AL918+AK919</f>
        <v>0</v>
      </c>
      <c r="AM919">
        <f t="shared" ca="1" si="373"/>
        <v>280.07692026646265</v>
      </c>
      <c r="AN919" t="str">
        <f t="shared" ca="1" si="374"/>
        <v>Supercritical</v>
      </c>
      <c r="AO919">
        <f ca="1">IF(V32="Supercritical",R919,AA919)</f>
        <v>482.07306851378365</v>
      </c>
    </row>
    <row r="920" spans="1:41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174</v>
      </c>
      <c r="I920">
        <v>5.7000000000000002E-2</v>
      </c>
      <c r="J920">
        <f t="shared" si="375"/>
        <v>1</v>
      </c>
      <c r="K920">
        <f t="shared" si="376"/>
        <v>51</v>
      </c>
      <c r="L920">
        <f t="shared" ca="1" si="377"/>
        <v>38818.155250457756</v>
      </c>
      <c r="M920">
        <f t="shared" ca="1" si="355"/>
        <v>201854.40730238034</v>
      </c>
      <c r="N920">
        <f t="shared" ca="1" si="356"/>
        <v>2.599825866345042</v>
      </c>
      <c r="O920">
        <f t="shared" ca="1" si="357"/>
        <v>2.5265735180902635E-4</v>
      </c>
      <c r="P920">
        <f t="shared" ca="1" si="358"/>
        <v>39450.332250457759</v>
      </c>
      <c r="Q920">
        <f t="shared" ca="1" si="359"/>
        <v>39450.332250461011</v>
      </c>
      <c r="R920">
        <f t="shared" ca="1" si="360"/>
        <v>4.0177913921355068E-12</v>
      </c>
      <c r="S920">
        <f t="shared" ca="1" si="378"/>
        <v>1.0870281548704952E-3</v>
      </c>
      <c r="T920">
        <f t="shared" ca="1" si="379"/>
        <v>0</v>
      </c>
      <c r="U920">
        <f t="shared" ca="1" si="361"/>
        <v>0.05</v>
      </c>
      <c r="V920">
        <f t="shared" ca="1" si="362"/>
        <v>0.26</v>
      </c>
      <c r="W920">
        <f t="shared" ca="1" si="363"/>
        <v>4.9056603773584909E-2</v>
      </c>
      <c r="X920">
        <f t="shared" ca="1" si="364"/>
        <v>196.15384615384616</v>
      </c>
      <c r="Y920">
        <f t="shared" ca="1" si="365"/>
        <v>632.22699999999998</v>
      </c>
      <c r="Z920">
        <f t="shared" ca="1" si="366"/>
        <v>2593.3040316486622</v>
      </c>
      <c r="AA920">
        <f t="shared" ca="1" si="367"/>
        <v>482.07306851378365</v>
      </c>
      <c r="AB920">
        <f t="shared" ca="1" si="368"/>
        <v>481.77679776328796</v>
      </c>
      <c r="AC920">
        <f t="shared" ca="1" si="369"/>
        <v>0</v>
      </c>
      <c r="AD920">
        <f ca="1">IF(V32="Supercritical",L920,U920)</f>
        <v>0.05</v>
      </c>
      <c r="AE920">
        <f t="shared" ca="1" si="370"/>
        <v>632.22699999999998</v>
      </c>
      <c r="AF920">
        <f t="shared" ca="1" si="371"/>
        <v>2593.3040316486622</v>
      </c>
      <c r="AI920">
        <v>0</v>
      </c>
      <c r="AJ920">
        <v>0</v>
      </c>
      <c r="AK920">
        <f t="shared" si="372"/>
        <v>0</v>
      </c>
      <c r="AL920">
        <f t="shared" si="380"/>
        <v>0</v>
      </c>
      <c r="AM920">
        <f t="shared" ca="1" si="373"/>
        <v>280.07692026646265</v>
      </c>
      <c r="AN920" t="str">
        <f t="shared" ca="1" si="374"/>
        <v>Supercritical</v>
      </c>
      <c r="AO920">
        <f ca="1">IF(V32="Supercritical",R920,AA920)</f>
        <v>482.07306851378365</v>
      </c>
    </row>
    <row r="921" spans="1:41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174</v>
      </c>
      <c r="I921">
        <v>5.7000000000000002E-2</v>
      </c>
      <c r="J921">
        <f t="shared" si="375"/>
        <v>0.99900000000002365</v>
      </c>
      <c r="K921">
        <f t="shared" si="376"/>
        <v>51</v>
      </c>
      <c r="L921">
        <f t="shared" ca="1" si="377"/>
        <v>38818.155250457756</v>
      </c>
      <c r="M921">
        <f t="shared" ca="1" si="355"/>
        <v>201854.40730238034</v>
      </c>
      <c r="N921">
        <f t="shared" ca="1" si="356"/>
        <v>2.599825866345042</v>
      </c>
      <c r="O921">
        <f t="shared" ca="1" si="357"/>
        <v>2.5265735180902635E-4</v>
      </c>
      <c r="P921">
        <f t="shared" ca="1" si="358"/>
        <v>39450.331750457757</v>
      </c>
      <c r="Q921">
        <f t="shared" ca="1" si="359"/>
        <v>39450.33175046101</v>
      </c>
      <c r="R921">
        <f t="shared" ca="1" si="360"/>
        <v>4.0177913921355068E-12</v>
      </c>
      <c r="S921">
        <f t="shared" ca="1" si="378"/>
        <v>4.999999946448952E-4</v>
      </c>
      <c r="T921">
        <f t="shared" ca="1" si="379"/>
        <v>1</v>
      </c>
      <c r="U921">
        <f t="shared" ca="1" si="361"/>
        <v>0.05</v>
      </c>
      <c r="V921">
        <f t="shared" ca="1" si="362"/>
        <v>0.26</v>
      </c>
      <c r="W921">
        <f t="shared" ca="1" si="363"/>
        <v>4.9056603773584909E-2</v>
      </c>
      <c r="X921">
        <f t="shared" ca="1" si="364"/>
        <v>196.15384615384616</v>
      </c>
      <c r="Y921">
        <f t="shared" ca="1" si="365"/>
        <v>632.22649999999999</v>
      </c>
      <c r="Z921">
        <f t="shared" ca="1" si="366"/>
        <v>2593.3035316486621</v>
      </c>
      <c r="AA921">
        <f t="shared" ca="1" si="367"/>
        <v>482.07306851378365</v>
      </c>
      <c r="AB921">
        <f t="shared" ca="1" si="368"/>
        <v>482.07256851378361</v>
      </c>
      <c r="AC921">
        <f t="shared" ca="1" si="369"/>
        <v>0</v>
      </c>
      <c r="AD921">
        <f ca="1">IF(V32="Supercritical",L921,U921)</f>
        <v>0.05</v>
      </c>
      <c r="AE921">
        <f t="shared" ca="1" si="370"/>
        <v>632.22649999999999</v>
      </c>
      <c r="AF921">
        <f t="shared" ca="1" si="371"/>
        <v>2593.3035316486621</v>
      </c>
      <c r="AI921">
        <v>0</v>
      </c>
      <c r="AJ921">
        <v>0</v>
      </c>
      <c r="AK921">
        <f t="shared" si="372"/>
        <v>0</v>
      </c>
      <c r="AL921">
        <f t="shared" si="380"/>
        <v>0</v>
      </c>
      <c r="AM921">
        <f t="shared" ca="1" si="373"/>
        <v>280.07692026646265</v>
      </c>
      <c r="AN921" t="str">
        <f t="shared" ca="1" si="374"/>
        <v>Supercritical</v>
      </c>
      <c r="AO921">
        <f ca="1">IF(V32="Supercritical",R921,AA921)</f>
        <v>482.07306851378365</v>
      </c>
    </row>
    <row r="922" spans="1:41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174</v>
      </c>
      <c r="I922">
        <v>0</v>
      </c>
      <c r="J922">
        <f t="shared" si="375"/>
        <v>1</v>
      </c>
      <c r="K922">
        <f t="shared" si="376"/>
        <v>51</v>
      </c>
      <c r="L922">
        <f t="shared" ca="1" si="377"/>
        <v>38818.154663446228</v>
      </c>
      <c r="M922">
        <f t="shared" ca="1" si="355"/>
        <v>201854.40424992039</v>
      </c>
      <c r="N922">
        <f t="shared" ca="1" si="356"/>
        <v>2.599825866342409</v>
      </c>
      <c r="O922">
        <f t="shared" ca="1" si="357"/>
        <v>2.526573556297329E-4</v>
      </c>
      <c r="P922">
        <f t="shared" ca="1" si="358"/>
        <v>39450.330663446228</v>
      </c>
      <c r="Q922">
        <f t="shared" ca="1" si="359"/>
        <v>39450.33066344948</v>
      </c>
      <c r="R922">
        <f t="shared" ca="1" si="360"/>
        <v>4.017791513655718E-12</v>
      </c>
      <c r="S922">
        <f t="shared" ca="1" si="378"/>
        <v>1.0870115220313892E-3</v>
      </c>
      <c r="T922">
        <f t="shared" ca="1" si="379"/>
        <v>0</v>
      </c>
      <c r="U922">
        <f t="shared" ca="1" si="361"/>
        <v>0.05</v>
      </c>
      <c r="V922">
        <f t="shared" ca="1" si="362"/>
        <v>0.26</v>
      </c>
      <c r="W922">
        <f t="shared" ca="1" si="363"/>
        <v>4.9056603773584909E-2</v>
      </c>
      <c r="X922">
        <f t="shared" ca="1" si="364"/>
        <v>196.15384615384616</v>
      </c>
      <c r="Y922">
        <f t="shared" ca="1" si="365"/>
        <v>632.226</v>
      </c>
      <c r="Z922">
        <f t="shared" ca="1" si="366"/>
        <v>2593.303031648662</v>
      </c>
      <c r="AA922">
        <f t="shared" ca="1" si="367"/>
        <v>482.07306851378365</v>
      </c>
      <c r="AB922">
        <f t="shared" ca="1" si="368"/>
        <v>482.07256851378361</v>
      </c>
      <c r="AC922">
        <f t="shared" ca="1" si="369"/>
        <v>0</v>
      </c>
      <c r="AD922">
        <f ca="1">IF(V32="Supercritical",L922,U922)</f>
        <v>0.05</v>
      </c>
      <c r="AE922">
        <f t="shared" ca="1" si="370"/>
        <v>632.226</v>
      </c>
      <c r="AF922">
        <f t="shared" ca="1" si="371"/>
        <v>2593.303031648662</v>
      </c>
      <c r="AI922">
        <v>0</v>
      </c>
      <c r="AJ922">
        <v>0</v>
      </c>
      <c r="AK922">
        <f t="shared" si="372"/>
        <v>0</v>
      </c>
      <c r="AL922">
        <f t="shared" si="380"/>
        <v>0</v>
      </c>
      <c r="AM922">
        <f t="shared" ca="1" si="373"/>
        <v>280.07692026646265</v>
      </c>
      <c r="AN922" t="str">
        <f t="shared" ca="1" si="374"/>
        <v>Supercritical</v>
      </c>
      <c r="AO922">
        <f ca="1">IF(V32="Supercritical",R922,AA922)</f>
        <v>482.07306851378365</v>
      </c>
    </row>
    <row r="923" spans="1:41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174</v>
      </c>
      <c r="I923">
        <v>0</v>
      </c>
      <c r="J923">
        <f t="shared" si="375"/>
        <v>1</v>
      </c>
      <c r="K923">
        <f t="shared" si="376"/>
        <v>51</v>
      </c>
      <c r="L923">
        <f t="shared" ca="1" si="377"/>
        <v>38818.154663446228</v>
      </c>
      <c r="M923">
        <f t="shared" ca="1" si="355"/>
        <v>201854.40424992039</v>
      </c>
      <c r="N923">
        <f t="shared" ca="1" si="356"/>
        <v>2.599825866342409</v>
      </c>
      <c r="O923">
        <f t="shared" ca="1" si="357"/>
        <v>2.526573556297329E-4</v>
      </c>
      <c r="P923">
        <f t="shared" ca="1" si="358"/>
        <v>39450.330163446226</v>
      </c>
      <c r="Q923">
        <f t="shared" ca="1" si="359"/>
        <v>39450.330163449478</v>
      </c>
      <c r="R923">
        <f t="shared" ca="1" si="360"/>
        <v>4.017791513655718E-12</v>
      </c>
      <c r="S923">
        <f t="shared" ca="1" si="378"/>
        <v>4.999999946448952E-4</v>
      </c>
      <c r="T923">
        <f t="shared" ca="1" si="379"/>
        <v>1</v>
      </c>
      <c r="U923">
        <f t="shared" ca="1" si="361"/>
        <v>0.05</v>
      </c>
      <c r="V923">
        <f t="shared" ca="1" si="362"/>
        <v>0.26</v>
      </c>
      <c r="W923">
        <f t="shared" ca="1" si="363"/>
        <v>4.9056603773584909E-2</v>
      </c>
      <c r="X923">
        <f t="shared" ca="1" si="364"/>
        <v>196.15384615384616</v>
      </c>
      <c r="Y923">
        <f t="shared" ca="1" si="365"/>
        <v>632.22550000000001</v>
      </c>
      <c r="Z923">
        <f t="shared" ca="1" si="366"/>
        <v>2593.3025316486619</v>
      </c>
      <c r="AA923">
        <f t="shared" ca="1" si="367"/>
        <v>482.07306851378365</v>
      </c>
      <c r="AB923">
        <f t="shared" ca="1" si="368"/>
        <v>482.25887083179032</v>
      </c>
      <c r="AC923">
        <f t="shared" ca="1" si="369"/>
        <v>0</v>
      </c>
      <c r="AD923">
        <f ca="1">IF(V32="Supercritical",L923,U923)</f>
        <v>0.05</v>
      </c>
      <c r="AE923">
        <f t="shared" ca="1" si="370"/>
        <v>632.22550000000001</v>
      </c>
      <c r="AF923">
        <f t="shared" ca="1" si="371"/>
        <v>2593.3025316486619</v>
      </c>
      <c r="AI923">
        <v>0</v>
      </c>
      <c r="AJ923">
        <v>0</v>
      </c>
      <c r="AK923">
        <f t="shared" si="372"/>
        <v>0</v>
      </c>
      <c r="AL923">
        <f t="shared" si="380"/>
        <v>0</v>
      </c>
      <c r="AM923">
        <f t="shared" ca="1" si="373"/>
        <v>280.07692026646265</v>
      </c>
      <c r="AN923" t="str">
        <f t="shared" ca="1" si="374"/>
        <v>Supercritical</v>
      </c>
      <c r="AO923">
        <f ca="1">IF(V32="Supercritical",R923,AA923)</f>
        <v>482.07306851378365</v>
      </c>
    </row>
    <row r="924" spans="1:41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174</v>
      </c>
      <c r="I924">
        <v>5.7000000000000002E-2</v>
      </c>
      <c r="J924">
        <f t="shared" si="375"/>
        <v>1</v>
      </c>
      <c r="K924">
        <f t="shared" si="376"/>
        <v>51</v>
      </c>
      <c r="L924">
        <f t="shared" ca="1" si="377"/>
        <v>38818.154076447579</v>
      </c>
      <c r="M924">
        <f t="shared" ca="1" si="355"/>
        <v>201854.40119752742</v>
      </c>
      <c r="N924">
        <f t="shared" ca="1" si="356"/>
        <v>2.599825866339776</v>
      </c>
      <c r="O924">
        <f t="shared" ca="1" si="357"/>
        <v>2.526573594503557E-4</v>
      </c>
      <c r="P924">
        <f t="shared" ca="1" si="358"/>
        <v>39450.329076447582</v>
      </c>
      <c r="Q924">
        <f t="shared" ca="1" si="359"/>
        <v>39450.329076450835</v>
      </c>
      <c r="R924">
        <f t="shared" ca="1" si="360"/>
        <v>4.0177916351732691E-12</v>
      </c>
      <c r="S924">
        <f t="shared" ca="1" si="378"/>
        <v>1.0869986363104545E-3</v>
      </c>
      <c r="T924">
        <f t="shared" ca="1" si="379"/>
        <v>0</v>
      </c>
      <c r="U924">
        <f t="shared" ca="1" si="361"/>
        <v>0.05</v>
      </c>
      <c r="V924">
        <f t="shared" ca="1" si="362"/>
        <v>0.26</v>
      </c>
      <c r="W924">
        <f t="shared" ca="1" si="363"/>
        <v>4.9056603773584909E-2</v>
      </c>
      <c r="X924">
        <f t="shared" ca="1" si="364"/>
        <v>196.15384615384616</v>
      </c>
      <c r="Y924">
        <f t="shared" ca="1" si="365"/>
        <v>632.22499999999991</v>
      </c>
      <c r="Z924">
        <f t="shared" ca="1" si="366"/>
        <v>2593.3020316486618</v>
      </c>
      <c r="AA924">
        <f t="shared" ca="1" si="367"/>
        <v>482.07306851378365</v>
      </c>
      <c r="AB924">
        <f t="shared" ca="1" si="368"/>
        <v>482.25887083179077</v>
      </c>
      <c r="AC924">
        <f t="shared" ca="1" si="369"/>
        <v>0</v>
      </c>
      <c r="AD924">
        <f ca="1">IF(V32="Supercritical",L924,U924)</f>
        <v>0.05</v>
      </c>
      <c r="AE924">
        <f t="shared" ca="1" si="370"/>
        <v>632.22499999999991</v>
      </c>
      <c r="AF924">
        <f t="shared" ca="1" si="371"/>
        <v>2593.3020316486618</v>
      </c>
      <c r="AI924">
        <v>0</v>
      </c>
      <c r="AJ924">
        <v>0</v>
      </c>
      <c r="AK924">
        <f t="shared" si="372"/>
        <v>0</v>
      </c>
      <c r="AL924">
        <f t="shared" si="380"/>
        <v>0</v>
      </c>
      <c r="AM924">
        <f t="shared" ca="1" si="373"/>
        <v>280.07692026646265</v>
      </c>
      <c r="AN924" t="str">
        <f t="shared" ca="1" si="374"/>
        <v>Supercritical</v>
      </c>
      <c r="AO924">
        <f ca="1">IF(V32="Supercritical",R924,AA924)</f>
        <v>482.07306851378365</v>
      </c>
    </row>
    <row r="925" spans="1:41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174</v>
      </c>
      <c r="I925">
        <v>5.7000000000000002E-2</v>
      </c>
      <c r="J925">
        <f t="shared" si="375"/>
        <v>1</v>
      </c>
      <c r="K925">
        <f t="shared" si="376"/>
        <v>51</v>
      </c>
      <c r="L925">
        <f t="shared" ca="1" si="377"/>
        <v>38818.154076447579</v>
      </c>
      <c r="M925">
        <f t="shared" ca="1" si="355"/>
        <v>201854.40119752742</v>
      </c>
      <c r="N925">
        <f t="shared" ca="1" si="356"/>
        <v>2.599825866339776</v>
      </c>
      <c r="O925">
        <f t="shared" ca="1" si="357"/>
        <v>2.526573594503557E-4</v>
      </c>
      <c r="P925">
        <f t="shared" ca="1" si="358"/>
        <v>39450.32857644758</v>
      </c>
      <c r="Q925">
        <f t="shared" ca="1" si="359"/>
        <v>39450.328576450833</v>
      </c>
      <c r="R925">
        <f t="shared" ca="1" si="360"/>
        <v>4.0177916351732691E-12</v>
      </c>
      <c r="S925">
        <f t="shared" ca="1" si="378"/>
        <v>4.999999946448952E-4</v>
      </c>
      <c r="T925">
        <f t="shared" ca="1" si="379"/>
        <v>1</v>
      </c>
      <c r="U925">
        <f t="shared" ca="1" si="361"/>
        <v>0.05</v>
      </c>
      <c r="V925">
        <f t="shared" ca="1" si="362"/>
        <v>0.26</v>
      </c>
      <c r="W925">
        <f t="shared" ca="1" si="363"/>
        <v>4.9056603773584909E-2</v>
      </c>
      <c r="X925">
        <f t="shared" ca="1" si="364"/>
        <v>196.15384615384616</v>
      </c>
      <c r="Y925">
        <f t="shared" ca="1" si="365"/>
        <v>632.22449999999992</v>
      </c>
      <c r="Z925">
        <f t="shared" ca="1" si="366"/>
        <v>2593.3015316486621</v>
      </c>
      <c r="AA925">
        <f t="shared" ca="1" si="367"/>
        <v>482.07306851378365</v>
      </c>
      <c r="AB925">
        <f t="shared" ca="1" si="368"/>
        <v>482.07256851378361</v>
      </c>
      <c r="AC925">
        <f t="shared" ca="1" si="369"/>
        <v>0</v>
      </c>
      <c r="AD925">
        <f ca="1">IF(V32="Supercritical",L925,U925)</f>
        <v>0.05</v>
      </c>
      <c r="AE925">
        <f t="shared" ca="1" si="370"/>
        <v>632.22449999999992</v>
      </c>
      <c r="AF925">
        <f t="shared" ca="1" si="371"/>
        <v>2593.3015316486621</v>
      </c>
      <c r="AI925">
        <v>0</v>
      </c>
      <c r="AJ925">
        <v>0</v>
      </c>
      <c r="AK925">
        <f t="shared" si="372"/>
        <v>0</v>
      </c>
      <c r="AL925">
        <f t="shared" si="380"/>
        <v>0</v>
      </c>
      <c r="AM925">
        <f t="shared" ca="1" si="373"/>
        <v>280.07692026646265</v>
      </c>
      <c r="AN925" t="str">
        <f t="shared" ca="1" si="374"/>
        <v>Supercritical</v>
      </c>
      <c r="AO925">
        <f ca="1">IF(V32="Supercritical",R925,AA925)</f>
        <v>482.07306851378365</v>
      </c>
    </row>
    <row r="926" spans="1:41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174</v>
      </c>
      <c r="I926">
        <v>0</v>
      </c>
      <c r="J926">
        <f t="shared" si="375"/>
        <v>1</v>
      </c>
      <c r="K926">
        <f t="shared" si="376"/>
        <v>51</v>
      </c>
      <c r="L926">
        <f t="shared" ca="1" si="377"/>
        <v>38818.153489458899</v>
      </c>
      <c r="M926">
        <f t="shared" ca="1" si="355"/>
        <v>201854.39814518628</v>
      </c>
      <c r="N926">
        <f t="shared" ca="1" si="356"/>
        <v>2.599825866337143</v>
      </c>
      <c r="O926">
        <f t="shared" ca="1" si="357"/>
        <v>2.5265736327091383E-4</v>
      </c>
      <c r="P926">
        <f t="shared" ca="1" si="358"/>
        <v>39450.327489458898</v>
      </c>
      <c r="Q926">
        <f t="shared" ca="1" si="359"/>
        <v>39450.32748946215</v>
      </c>
      <c r="R926">
        <f t="shared" ca="1" si="360"/>
        <v>4.0177917566887628E-12</v>
      </c>
      <c r="S926">
        <f t="shared" ca="1" si="378"/>
        <v>1.0869886755244806E-3</v>
      </c>
      <c r="T926">
        <f t="shared" ca="1" si="379"/>
        <v>0</v>
      </c>
      <c r="U926">
        <f t="shared" ca="1" si="361"/>
        <v>0.05</v>
      </c>
      <c r="V926">
        <f t="shared" ca="1" si="362"/>
        <v>0.26</v>
      </c>
      <c r="W926">
        <f t="shared" ca="1" si="363"/>
        <v>4.9056603773584909E-2</v>
      </c>
      <c r="X926">
        <f t="shared" ca="1" si="364"/>
        <v>196.15384615384616</v>
      </c>
      <c r="Y926">
        <f t="shared" ca="1" si="365"/>
        <v>632.22399999999993</v>
      </c>
      <c r="Z926">
        <f t="shared" ca="1" si="366"/>
        <v>2593.301031648662</v>
      </c>
      <c r="AA926">
        <f t="shared" ca="1" si="367"/>
        <v>482.07306851378365</v>
      </c>
      <c r="AB926">
        <f t="shared" ca="1" si="368"/>
        <v>482.07910543722255</v>
      </c>
      <c r="AC926">
        <f t="shared" ca="1" si="369"/>
        <v>0</v>
      </c>
      <c r="AD926">
        <f ca="1">IF(V32="Supercritical",L926,U926)</f>
        <v>0.05</v>
      </c>
      <c r="AE926">
        <f t="shared" ca="1" si="370"/>
        <v>632.22399999999993</v>
      </c>
      <c r="AF926">
        <f t="shared" ca="1" si="371"/>
        <v>2593.301031648662</v>
      </c>
      <c r="AI926">
        <v>0</v>
      </c>
      <c r="AJ926">
        <v>0</v>
      </c>
      <c r="AK926">
        <f t="shared" si="372"/>
        <v>0</v>
      </c>
      <c r="AL926">
        <f t="shared" si="380"/>
        <v>0</v>
      </c>
      <c r="AM926">
        <f t="shared" ca="1" si="373"/>
        <v>280.07692026646265</v>
      </c>
      <c r="AN926" t="str">
        <f t="shared" ca="1" si="374"/>
        <v>Supercritical</v>
      </c>
      <c r="AO926">
        <f ca="1">IF(V32="Supercritical",R926,AA926)</f>
        <v>482.07306851378365</v>
      </c>
    </row>
    <row r="927" spans="1:41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174</v>
      </c>
      <c r="I927">
        <v>2E-3</v>
      </c>
      <c r="J927">
        <f t="shared" si="375"/>
        <v>1</v>
      </c>
      <c r="K927">
        <f t="shared" si="376"/>
        <v>51</v>
      </c>
      <c r="L927">
        <f t="shared" ca="1" si="377"/>
        <v>38818.153489458899</v>
      </c>
      <c r="M927">
        <f t="shared" ca="1" si="355"/>
        <v>201854.39814518628</v>
      </c>
      <c r="N927">
        <f t="shared" ca="1" si="356"/>
        <v>2.599825866337143</v>
      </c>
      <c r="O927">
        <f t="shared" ca="1" si="357"/>
        <v>2.5265736327091383E-4</v>
      </c>
      <c r="P927">
        <f t="shared" ca="1" si="358"/>
        <v>39450.326989458896</v>
      </c>
      <c r="Q927">
        <f t="shared" ca="1" si="359"/>
        <v>39450.326989462148</v>
      </c>
      <c r="R927">
        <f t="shared" ca="1" si="360"/>
        <v>4.0177917566887628E-12</v>
      </c>
      <c r="S927">
        <f t="shared" ca="1" si="378"/>
        <v>4.999999946448952E-4</v>
      </c>
      <c r="T927">
        <f t="shared" ca="1" si="379"/>
        <v>1</v>
      </c>
      <c r="U927">
        <f t="shared" ca="1" si="361"/>
        <v>0.05</v>
      </c>
      <c r="V927">
        <f t="shared" ca="1" si="362"/>
        <v>0.26</v>
      </c>
      <c r="W927">
        <f t="shared" ca="1" si="363"/>
        <v>4.9056603773584909E-2</v>
      </c>
      <c r="X927">
        <f t="shared" ca="1" si="364"/>
        <v>196.15384615384616</v>
      </c>
      <c r="Y927">
        <f t="shared" ca="1" si="365"/>
        <v>632.22349999999994</v>
      </c>
      <c r="Z927">
        <f t="shared" ca="1" si="366"/>
        <v>2593.3005316486619</v>
      </c>
      <c r="AA927">
        <f t="shared" ca="1" si="367"/>
        <v>482.07306851378365</v>
      </c>
      <c r="AB927">
        <f t="shared" ca="1" si="368"/>
        <v>482.75074928545109</v>
      </c>
      <c r="AC927">
        <f t="shared" ca="1" si="369"/>
        <v>0</v>
      </c>
      <c r="AD927">
        <f ca="1">IF(V32="Supercritical",L927,U927)</f>
        <v>0.05</v>
      </c>
      <c r="AE927">
        <f t="shared" ca="1" si="370"/>
        <v>632.22349999999994</v>
      </c>
      <c r="AF927">
        <f t="shared" ca="1" si="371"/>
        <v>2593.3005316486619</v>
      </c>
      <c r="AI927">
        <v>0</v>
      </c>
      <c r="AJ927">
        <v>0</v>
      </c>
      <c r="AK927">
        <f t="shared" si="372"/>
        <v>0</v>
      </c>
      <c r="AL927">
        <f t="shared" si="380"/>
        <v>0</v>
      </c>
      <c r="AM927">
        <f t="shared" ca="1" si="373"/>
        <v>280.07692026646265</v>
      </c>
      <c r="AN927" t="str">
        <f t="shared" ca="1" si="374"/>
        <v>Supercritical</v>
      </c>
      <c r="AO927">
        <f ca="1">IF(V32="Supercritical",R927,AA927)</f>
        <v>482.07306851378365</v>
      </c>
    </row>
    <row r="928" spans="1:41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174</v>
      </c>
      <c r="I928">
        <v>0.06</v>
      </c>
      <c r="J928">
        <f t="shared" si="375"/>
        <v>1.0009999999999764</v>
      </c>
      <c r="K928">
        <f t="shared" si="376"/>
        <v>51</v>
      </c>
      <c r="L928">
        <f t="shared" ca="1" si="377"/>
        <v>38818.152902477908</v>
      </c>
      <c r="M928">
        <f t="shared" ca="1" si="355"/>
        <v>201854.39509288513</v>
      </c>
      <c r="N928">
        <f t="shared" ca="1" si="356"/>
        <v>2.59982586633451</v>
      </c>
      <c r="O928">
        <f t="shared" ca="1" si="357"/>
        <v>2.5265736709142197E-4</v>
      </c>
      <c r="P928">
        <f t="shared" ca="1" si="358"/>
        <v>39450.325902477911</v>
      </c>
      <c r="Q928">
        <f t="shared" ca="1" si="359"/>
        <v>39450.325902481163</v>
      </c>
      <c r="R928">
        <f t="shared" ca="1" si="360"/>
        <v>4.0177918782026675E-12</v>
      </c>
      <c r="S928">
        <f t="shared" ca="1" si="378"/>
        <v>1.0869809775613248E-3</v>
      </c>
      <c r="T928">
        <f t="shared" ca="1" si="379"/>
        <v>0</v>
      </c>
      <c r="U928">
        <f t="shared" ca="1" si="361"/>
        <v>0.05</v>
      </c>
      <c r="V928">
        <f t="shared" ca="1" si="362"/>
        <v>0.26</v>
      </c>
      <c r="W928">
        <f t="shared" ca="1" si="363"/>
        <v>4.9056603773584909E-2</v>
      </c>
      <c r="X928">
        <f t="shared" ca="1" si="364"/>
        <v>196.15384615384616</v>
      </c>
      <c r="Y928">
        <f t="shared" ca="1" si="365"/>
        <v>632.22299999999996</v>
      </c>
      <c r="Z928">
        <f t="shared" ca="1" si="366"/>
        <v>2593.3000316486623</v>
      </c>
      <c r="AA928">
        <f t="shared" ca="1" si="367"/>
        <v>482.07306851378365</v>
      </c>
      <c r="AB928">
        <f t="shared" ca="1" si="368"/>
        <v>482.25887083179032</v>
      </c>
      <c r="AC928">
        <f t="shared" ca="1" si="369"/>
        <v>0</v>
      </c>
      <c r="AD928">
        <f ca="1">IF(V32="Supercritical",L928,U928)</f>
        <v>0.05</v>
      </c>
      <c r="AE928">
        <f t="shared" ca="1" si="370"/>
        <v>632.22299999999996</v>
      </c>
      <c r="AF928">
        <f t="shared" ca="1" si="371"/>
        <v>2593.3000316486623</v>
      </c>
      <c r="AI928">
        <v>0</v>
      </c>
      <c r="AJ928">
        <v>0</v>
      </c>
      <c r="AK928">
        <f t="shared" si="372"/>
        <v>0</v>
      </c>
      <c r="AL928">
        <f t="shared" si="380"/>
        <v>0</v>
      </c>
      <c r="AM928">
        <f t="shared" ca="1" si="373"/>
        <v>280.07692026646265</v>
      </c>
      <c r="AN928" t="str">
        <f t="shared" ca="1" si="374"/>
        <v>Supercritical</v>
      </c>
      <c r="AO928">
        <f ca="1">IF(V32="Supercritical",R928,AA928)</f>
        <v>482.07306851378365</v>
      </c>
    </row>
    <row r="929" spans="1:41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174</v>
      </c>
      <c r="I929">
        <v>5.7000000000000002E-2</v>
      </c>
      <c r="J929">
        <f t="shared" si="375"/>
        <v>1</v>
      </c>
      <c r="K929">
        <f t="shared" si="376"/>
        <v>51</v>
      </c>
      <c r="L929">
        <f t="shared" ca="1" si="377"/>
        <v>38818.152902477908</v>
      </c>
      <c r="M929">
        <f t="shared" ca="1" si="355"/>
        <v>201854.39509288513</v>
      </c>
      <c r="N929">
        <f t="shared" ca="1" si="356"/>
        <v>2.59982586633451</v>
      </c>
      <c r="O929">
        <f t="shared" ca="1" si="357"/>
        <v>2.5265736709142197E-4</v>
      </c>
      <c r="P929">
        <f t="shared" ca="1" si="358"/>
        <v>39450.325402477909</v>
      </c>
      <c r="Q929">
        <f t="shared" ca="1" si="359"/>
        <v>39450.325402481161</v>
      </c>
      <c r="R929">
        <f t="shared" ca="1" si="360"/>
        <v>4.0177918782026675E-12</v>
      </c>
      <c r="S929">
        <f t="shared" ca="1" si="378"/>
        <v>4.999999946448952E-4</v>
      </c>
      <c r="T929">
        <f t="shared" ca="1" si="379"/>
        <v>1</v>
      </c>
      <c r="U929">
        <f t="shared" ca="1" si="361"/>
        <v>0.05</v>
      </c>
      <c r="V929">
        <f t="shared" ca="1" si="362"/>
        <v>0.26</v>
      </c>
      <c r="W929">
        <f t="shared" ca="1" si="363"/>
        <v>4.9056603773584909E-2</v>
      </c>
      <c r="X929">
        <f t="shared" ca="1" si="364"/>
        <v>196.15384615384616</v>
      </c>
      <c r="Y929">
        <f t="shared" ca="1" si="365"/>
        <v>632.22249999999997</v>
      </c>
      <c r="Z929">
        <f t="shared" ca="1" si="366"/>
        <v>2593.2995316486622</v>
      </c>
      <c r="AA929">
        <f t="shared" ca="1" si="367"/>
        <v>482.07306851378365</v>
      </c>
      <c r="AB929">
        <f t="shared" ca="1" si="368"/>
        <v>481.59049544528125</v>
      </c>
      <c r="AC929">
        <f t="shared" ca="1" si="369"/>
        <v>0</v>
      </c>
      <c r="AD929">
        <f ca="1">IF(V32="Supercritical",L929,U929)</f>
        <v>0.05</v>
      </c>
      <c r="AE929">
        <f t="shared" ca="1" si="370"/>
        <v>632.22249999999997</v>
      </c>
      <c r="AF929">
        <f t="shared" ca="1" si="371"/>
        <v>2593.2995316486622</v>
      </c>
      <c r="AI929">
        <v>0</v>
      </c>
      <c r="AJ929">
        <v>0</v>
      </c>
      <c r="AK929">
        <f t="shared" si="372"/>
        <v>0</v>
      </c>
      <c r="AL929">
        <f t="shared" si="380"/>
        <v>0</v>
      </c>
      <c r="AM929">
        <f t="shared" ca="1" si="373"/>
        <v>280.07692026646265</v>
      </c>
      <c r="AN929" t="str">
        <f t="shared" ca="1" si="374"/>
        <v>Supercritical</v>
      </c>
      <c r="AO929">
        <f ca="1">IF(V32="Supercritical",R929,AA929)</f>
        <v>482.07306851378365</v>
      </c>
    </row>
    <row r="930" spans="1:41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174</v>
      </c>
      <c r="I930">
        <v>0</v>
      </c>
      <c r="J930">
        <f t="shared" si="375"/>
        <v>0.99900000000002365</v>
      </c>
      <c r="K930">
        <f t="shared" si="376"/>
        <v>51</v>
      </c>
      <c r="L930">
        <f t="shared" ca="1" si="377"/>
        <v>38818.152315502812</v>
      </c>
      <c r="M930">
        <f t="shared" ca="1" si="355"/>
        <v>201854.39204061462</v>
      </c>
      <c r="N930">
        <f t="shared" ca="1" si="356"/>
        <v>2.599825866331877</v>
      </c>
      <c r="O930">
        <f t="shared" ca="1" si="357"/>
        <v>2.5265737091189185E-4</v>
      </c>
      <c r="P930">
        <f t="shared" ca="1" si="358"/>
        <v>39450.32431550281</v>
      </c>
      <c r="Q930">
        <f t="shared" ca="1" si="359"/>
        <v>39450.324315506063</v>
      </c>
      <c r="R930">
        <f t="shared" ca="1" si="360"/>
        <v>4.0177919997153622E-12</v>
      </c>
      <c r="S930">
        <f t="shared" ca="1" si="378"/>
        <v>1.086975091311615E-3</v>
      </c>
      <c r="T930">
        <f t="shared" ca="1" si="379"/>
        <v>0</v>
      </c>
      <c r="U930">
        <f t="shared" ca="1" si="361"/>
        <v>0.05</v>
      </c>
      <c r="V930">
        <f t="shared" ca="1" si="362"/>
        <v>0.26</v>
      </c>
      <c r="W930">
        <f t="shared" ca="1" si="363"/>
        <v>4.9056603773584909E-2</v>
      </c>
      <c r="X930">
        <f t="shared" ca="1" si="364"/>
        <v>196.15384615384616</v>
      </c>
      <c r="Y930">
        <f t="shared" ca="1" si="365"/>
        <v>632.22199999999998</v>
      </c>
      <c r="Z930">
        <f t="shared" ca="1" si="366"/>
        <v>2593.2990316486621</v>
      </c>
      <c r="AA930">
        <f t="shared" ca="1" si="367"/>
        <v>482.07306851378365</v>
      </c>
      <c r="AB930">
        <f t="shared" ca="1" si="368"/>
        <v>482.25887083179032</v>
      </c>
      <c r="AC930">
        <f t="shared" ca="1" si="369"/>
        <v>0</v>
      </c>
      <c r="AD930">
        <f ca="1">IF(V32="Supercritical",L930,U930)</f>
        <v>0.05</v>
      </c>
      <c r="AE930">
        <f t="shared" ca="1" si="370"/>
        <v>632.22199999999998</v>
      </c>
      <c r="AF930">
        <f t="shared" ca="1" si="371"/>
        <v>2593.2990316486621</v>
      </c>
      <c r="AI930">
        <v>0</v>
      </c>
      <c r="AJ930">
        <v>0</v>
      </c>
      <c r="AK930">
        <f t="shared" si="372"/>
        <v>0</v>
      </c>
      <c r="AL930">
        <f t="shared" si="380"/>
        <v>0</v>
      </c>
      <c r="AM930">
        <f t="shared" ca="1" si="373"/>
        <v>280.07692026646265</v>
      </c>
      <c r="AN930" t="str">
        <f t="shared" ca="1" si="374"/>
        <v>Supercritical</v>
      </c>
      <c r="AO930">
        <f ca="1">IF(V32="Supercritical",R930,AA930)</f>
        <v>482.07306851378365</v>
      </c>
    </row>
    <row r="931" spans="1:41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174</v>
      </c>
      <c r="I931">
        <v>5.7000000000000002E-2</v>
      </c>
      <c r="J931">
        <f t="shared" si="375"/>
        <v>1</v>
      </c>
      <c r="K931">
        <f t="shared" si="376"/>
        <v>51</v>
      </c>
      <c r="L931">
        <f t="shared" ca="1" si="377"/>
        <v>38818.152315502812</v>
      </c>
      <c r="M931">
        <f t="shared" ca="1" si="355"/>
        <v>201854.39204061462</v>
      </c>
      <c r="N931">
        <f t="shared" ca="1" si="356"/>
        <v>2.599825866331877</v>
      </c>
      <c r="O931">
        <f t="shared" ca="1" si="357"/>
        <v>2.5265737091189185E-4</v>
      </c>
      <c r="P931">
        <f t="shared" ca="1" si="358"/>
        <v>39450.323815502808</v>
      </c>
      <c r="Q931">
        <f t="shared" ca="1" si="359"/>
        <v>39450.323815506061</v>
      </c>
      <c r="R931">
        <f t="shared" ca="1" si="360"/>
        <v>4.0177919997153622E-12</v>
      </c>
      <c r="S931">
        <f t="shared" ca="1" si="378"/>
        <v>4.999999946448952E-4</v>
      </c>
      <c r="T931">
        <f t="shared" ca="1" si="379"/>
        <v>1</v>
      </c>
      <c r="U931">
        <f t="shared" ca="1" si="361"/>
        <v>0.05</v>
      </c>
      <c r="V931">
        <f t="shared" ca="1" si="362"/>
        <v>0.26</v>
      </c>
      <c r="W931">
        <f t="shared" ca="1" si="363"/>
        <v>4.9056603773584909E-2</v>
      </c>
      <c r="X931">
        <f t="shared" ca="1" si="364"/>
        <v>196.15384615384616</v>
      </c>
      <c r="Y931">
        <f t="shared" ca="1" si="365"/>
        <v>632.22149999999999</v>
      </c>
      <c r="Z931">
        <f t="shared" ca="1" si="366"/>
        <v>2593.298531648662</v>
      </c>
      <c r="AA931">
        <f t="shared" ca="1" si="367"/>
        <v>482.07306851378365</v>
      </c>
      <c r="AB931">
        <f t="shared" ca="1" si="368"/>
        <v>482.25887083179032</v>
      </c>
      <c r="AC931">
        <f t="shared" ca="1" si="369"/>
        <v>0</v>
      </c>
      <c r="AD931">
        <f ca="1">IF(V32="Supercritical",L931,U931)</f>
        <v>0.05</v>
      </c>
      <c r="AE931">
        <f t="shared" ca="1" si="370"/>
        <v>632.22149999999999</v>
      </c>
      <c r="AF931">
        <f t="shared" ca="1" si="371"/>
        <v>2593.298531648662</v>
      </c>
      <c r="AI931">
        <v>0</v>
      </c>
      <c r="AJ931">
        <v>0</v>
      </c>
      <c r="AK931">
        <f t="shared" si="372"/>
        <v>0</v>
      </c>
      <c r="AL931">
        <f t="shared" si="380"/>
        <v>0</v>
      </c>
      <c r="AM931">
        <f t="shared" ca="1" si="373"/>
        <v>280.07692026646265</v>
      </c>
      <c r="AN931" t="str">
        <f t="shared" ca="1" si="374"/>
        <v>Supercritical</v>
      </c>
      <c r="AO931">
        <f ca="1">IF(V32="Supercritical",R931,AA931)</f>
        <v>482.07306851378365</v>
      </c>
    </row>
    <row r="932" spans="1:41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174</v>
      </c>
      <c r="I932">
        <v>5.7000000000000002E-2</v>
      </c>
      <c r="J932">
        <f t="shared" si="375"/>
        <v>1</v>
      </c>
      <c r="K932">
        <f t="shared" si="376"/>
        <v>51</v>
      </c>
      <c r="L932">
        <f t="shared" ca="1" si="377"/>
        <v>38818.151728532255</v>
      </c>
      <c r="M932">
        <f t="shared" ca="1" si="355"/>
        <v>201854.38898836775</v>
      </c>
      <c r="N932">
        <f t="shared" ca="1" si="356"/>
        <v>2.5998258663292444</v>
      </c>
      <c r="O932">
        <f t="shared" ca="1" si="357"/>
        <v>2.5265737473233229E-4</v>
      </c>
      <c r="P932">
        <f t="shared" ca="1" si="358"/>
        <v>39450.322728532257</v>
      </c>
      <c r="Q932">
        <f t="shared" ca="1" si="359"/>
        <v>39450.32272853551</v>
      </c>
      <c r="R932">
        <f t="shared" ca="1" si="360"/>
        <v>4.0177921212271173E-12</v>
      </c>
      <c r="S932">
        <f t="shared" ca="1" si="378"/>
        <v>1.0869705438381061E-3</v>
      </c>
      <c r="T932">
        <f t="shared" ca="1" si="379"/>
        <v>0</v>
      </c>
      <c r="U932">
        <f t="shared" ca="1" si="361"/>
        <v>0.05</v>
      </c>
      <c r="V932">
        <f t="shared" ca="1" si="362"/>
        <v>0.26</v>
      </c>
      <c r="W932">
        <f t="shared" ca="1" si="363"/>
        <v>4.9056603773584909E-2</v>
      </c>
      <c r="X932">
        <f t="shared" ca="1" si="364"/>
        <v>196.15384615384616</v>
      </c>
      <c r="Y932">
        <f t="shared" ca="1" si="365"/>
        <v>632.221</v>
      </c>
      <c r="Z932">
        <f t="shared" ca="1" si="366"/>
        <v>2593.2980316486619</v>
      </c>
      <c r="AA932">
        <f t="shared" ca="1" si="367"/>
        <v>482.07306851378365</v>
      </c>
      <c r="AB932">
        <f t="shared" ca="1" si="368"/>
        <v>482.07256851378361</v>
      </c>
      <c r="AC932">
        <f t="shared" ca="1" si="369"/>
        <v>0</v>
      </c>
      <c r="AD932">
        <f ca="1">IF(V32="Supercritical",L932,U932)</f>
        <v>0.05</v>
      </c>
      <c r="AE932">
        <f t="shared" ca="1" si="370"/>
        <v>632.221</v>
      </c>
      <c r="AF932">
        <f t="shared" ca="1" si="371"/>
        <v>2593.2980316486619</v>
      </c>
      <c r="AI932">
        <v>0</v>
      </c>
      <c r="AJ932">
        <v>0</v>
      </c>
      <c r="AK932">
        <f t="shared" si="372"/>
        <v>0</v>
      </c>
      <c r="AL932">
        <f t="shared" si="380"/>
        <v>0</v>
      </c>
      <c r="AM932">
        <f t="shared" ca="1" si="373"/>
        <v>280.07692026646265</v>
      </c>
      <c r="AN932" t="str">
        <f t="shared" ca="1" si="374"/>
        <v>Supercritical</v>
      </c>
      <c r="AO932">
        <f ca="1">IF(V32="Supercritical",R932,AA932)</f>
        <v>482.07306851378365</v>
      </c>
    </row>
    <row r="933" spans="1:41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174</v>
      </c>
      <c r="I933">
        <v>0</v>
      </c>
      <c r="J933">
        <f t="shared" si="375"/>
        <v>1</v>
      </c>
      <c r="K933">
        <f t="shared" si="376"/>
        <v>51</v>
      </c>
      <c r="L933">
        <f t="shared" ca="1" si="377"/>
        <v>38818.151728532255</v>
      </c>
      <c r="M933">
        <f t="shared" ca="1" si="355"/>
        <v>201854.38898836775</v>
      </c>
      <c r="N933">
        <f t="shared" ca="1" si="356"/>
        <v>2.5998258663292444</v>
      </c>
      <c r="O933">
        <f t="shared" ca="1" si="357"/>
        <v>2.5265737473233229E-4</v>
      </c>
      <c r="P933">
        <f t="shared" ca="1" si="358"/>
        <v>39450.322228532255</v>
      </c>
      <c r="Q933">
        <f t="shared" ca="1" si="359"/>
        <v>39450.322228535508</v>
      </c>
      <c r="R933">
        <f t="shared" ca="1" si="360"/>
        <v>4.0177921212271173E-12</v>
      </c>
      <c r="S933">
        <f t="shared" ca="1" si="378"/>
        <v>4.999999946448952E-4</v>
      </c>
      <c r="T933">
        <f t="shared" ca="1" si="379"/>
        <v>1</v>
      </c>
      <c r="U933">
        <f t="shared" ca="1" si="361"/>
        <v>0.05</v>
      </c>
      <c r="V933">
        <f t="shared" ca="1" si="362"/>
        <v>0.26</v>
      </c>
      <c r="W933">
        <f t="shared" ca="1" si="363"/>
        <v>4.9056603773584909E-2</v>
      </c>
      <c r="X933">
        <f t="shared" ca="1" si="364"/>
        <v>196.15384615384616</v>
      </c>
      <c r="Y933">
        <f t="shared" ca="1" si="365"/>
        <v>632.2204999999999</v>
      </c>
      <c r="Z933">
        <f t="shared" ca="1" si="366"/>
        <v>2593.2975316486618</v>
      </c>
      <c r="AA933">
        <f t="shared" ca="1" si="367"/>
        <v>482.07306851378365</v>
      </c>
      <c r="AB933">
        <f t="shared" ca="1" si="368"/>
        <v>482.07256851378406</v>
      </c>
      <c r="AC933">
        <f t="shared" ca="1" si="369"/>
        <v>0</v>
      </c>
      <c r="AD933">
        <f ca="1">IF(V32="Supercritical",L933,U933)</f>
        <v>0.05</v>
      </c>
      <c r="AE933">
        <f t="shared" ca="1" si="370"/>
        <v>632.2204999999999</v>
      </c>
      <c r="AF933">
        <f t="shared" ca="1" si="371"/>
        <v>2593.2975316486618</v>
      </c>
      <c r="AI933">
        <v>0</v>
      </c>
      <c r="AJ933">
        <v>0</v>
      </c>
      <c r="AK933">
        <f t="shared" si="372"/>
        <v>0</v>
      </c>
      <c r="AL933">
        <f t="shared" si="380"/>
        <v>0</v>
      </c>
      <c r="AM933">
        <f t="shared" ca="1" si="373"/>
        <v>280.07692026646265</v>
      </c>
      <c r="AN933" t="str">
        <f t="shared" ca="1" si="374"/>
        <v>Supercritical</v>
      </c>
      <c r="AO933">
        <f ca="1">IF(V32="Supercritical",R933,AA933)</f>
        <v>482.07306851378365</v>
      </c>
    </row>
    <row r="934" spans="1:41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174</v>
      </c>
      <c r="I934">
        <v>0</v>
      </c>
      <c r="J934">
        <f t="shared" si="375"/>
        <v>1</v>
      </c>
      <c r="K934">
        <f t="shared" si="376"/>
        <v>51</v>
      </c>
      <c r="L934">
        <f t="shared" ca="1" si="377"/>
        <v>38818.151141565162</v>
      </c>
      <c r="M934">
        <f t="shared" ca="1" si="355"/>
        <v>201854.38593613886</v>
      </c>
      <c r="N934">
        <f t="shared" ca="1" si="356"/>
        <v>2.5998258663266114</v>
      </c>
      <c r="O934">
        <f t="shared" ca="1" si="357"/>
        <v>2.5265737855275033E-4</v>
      </c>
      <c r="P934">
        <f t="shared" ca="1" si="358"/>
        <v>39450.32114156516</v>
      </c>
      <c r="Q934">
        <f t="shared" ca="1" si="359"/>
        <v>39450.321141568413</v>
      </c>
      <c r="R934">
        <f t="shared" ca="1" si="360"/>
        <v>4.0177922427381649E-12</v>
      </c>
      <c r="S934">
        <f t="shared" ca="1" si="378"/>
        <v>1.0869670877582394E-3</v>
      </c>
      <c r="T934">
        <f t="shared" ca="1" si="379"/>
        <v>0</v>
      </c>
      <c r="U934">
        <f t="shared" ca="1" si="361"/>
        <v>0.05</v>
      </c>
      <c r="V934">
        <f t="shared" ca="1" si="362"/>
        <v>0.26</v>
      </c>
      <c r="W934">
        <f t="shared" ca="1" si="363"/>
        <v>4.9056603773584909E-2</v>
      </c>
      <c r="X934">
        <f t="shared" ca="1" si="364"/>
        <v>196.15384615384616</v>
      </c>
      <c r="Y934">
        <f t="shared" ca="1" si="365"/>
        <v>632.21999999999991</v>
      </c>
      <c r="Z934">
        <f t="shared" ca="1" si="366"/>
        <v>2593.2970316486621</v>
      </c>
      <c r="AA934">
        <f t="shared" ca="1" si="367"/>
        <v>482.07306851378365</v>
      </c>
      <c r="AB934">
        <f t="shared" ca="1" si="368"/>
        <v>482.25887083179032</v>
      </c>
      <c r="AC934">
        <f t="shared" ca="1" si="369"/>
        <v>0</v>
      </c>
      <c r="AD934">
        <f ca="1">IF(V32="Supercritical",L934,U934)</f>
        <v>0.05</v>
      </c>
      <c r="AE934">
        <f t="shared" ca="1" si="370"/>
        <v>632.21999999999991</v>
      </c>
      <c r="AF934">
        <f t="shared" ca="1" si="371"/>
        <v>2593.2970316486621</v>
      </c>
      <c r="AI934">
        <v>0</v>
      </c>
      <c r="AJ934">
        <v>0</v>
      </c>
      <c r="AK934">
        <f t="shared" si="372"/>
        <v>0</v>
      </c>
      <c r="AL934">
        <f t="shared" si="380"/>
        <v>0</v>
      </c>
      <c r="AM934">
        <f t="shared" ca="1" si="373"/>
        <v>280.07692026646265</v>
      </c>
      <c r="AN934" t="str">
        <f t="shared" ca="1" si="374"/>
        <v>Supercritical</v>
      </c>
      <c r="AO934">
        <f ca="1">IF(V32="Supercritical",R934,AA934)</f>
        <v>482.07306851378365</v>
      </c>
    </row>
    <row r="935" spans="1:41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174</v>
      </c>
      <c r="I935">
        <v>5.7000000000000002E-2</v>
      </c>
      <c r="J935">
        <f t="shared" si="375"/>
        <v>1</v>
      </c>
      <c r="K935">
        <f t="shared" si="376"/>
        <v>51</v>
      </c>
      <c r="L935">
        <f t="shared" ca="1" si="377"/>
        <v>38818.151141565162</v>
      </c>
      <c r="M935">
        <f t="shared" ca="1" si="355"/>
        <v>201854.38593613886</v>
      </c>
      <c r="N935">
        <f t="shared" ca="1" si="356"/>
        <v>2.5998258663266114</v>
      </c>
      <c r="O935">
        <f t="shared" ca="1" si="357"/>
        <v>2.5265737855275033E-4</v>
      </c>
      <c r="P935">
        <f t="shared" ca="1" si="358"/>
        <v>39450.320641565166</v>
      </c>
      <c r="Q935">
        <f t="shared" ca="1" si="359"/>
        <v>39450.320641568418</v>
      </c>
      <c r="R935">
        <f t="shared" ca="1" si="360"/>
        <v>4.0177922427381649E-12</v>
      </c>
      <c r="S935">
        <f t="shared" ca="1" si="378"/>
        <v>4.9999998736893758E-4</v>
      </c>
      <c r="T935">
        <f t="shared" ca="1" si="379"/>
        <v>1</v>
      </c>
      <c r="U935">
        <f t="shared" ca="1" si="361"/>
        <v>0.05</v>
      </c>
      <c r="V935">
        <f t="shared" ca="1" si="362"/>
        <v>0.26</v>
      </c>
      <c r="W935">
        <f t="shared" ca="1" si="363"/>
        <v>4.9056603773584909E-2</v>
      </c>
      <c r="X935">
        <f t="shared" ca="1" si="364"/>
        <v>196.15384615384616</v>
      </c>
      <c r="Y935">
        <f t="shared" ca="1" si="365"/>
        <v>632.21949999999993</v>
      </c>
      <c r="Z935">
        <f t="shared" ca="1" si="366"/>
        <v>2593.296531648662</v>
      </c>
      <c r="AA935">
        <f t="shared" ca="1" si="367"/>
        <v>482.07306851378365</v>
      </c>
      <c r="AB935">
        <f t="shared" ca="1" si="368"/>
        <v>482.26867621694828</v>
      </c>
      <c r="AC935">
        <f t="shared" ca="1" si="369"/>
        <v>0</v>
      </c>
      <c r="AD935">
        <f ca="1">IF(V32="Supercritical",L935,U935)</f>
        <v>0.05</v>
      </c>
      <c r="AE935">
        <f t="shared" ca="1" si="370"/>
        <v>632.21949999999993</v>
      </c>
      <c r="AF935">
        <f t="shared" ca="1" si="371"/>
        <v>2593.296531648662</v>
      </c>
      <c r="AI935">
        <v>0</v>
      </c>
      <c r="AJ935">
        <v>0</v>
      </c>
      <c r="AK935">
        <f t="shared" si="372"/>
        <v>0</v>
      </c>
      <c r="AL935">
        <f t="shared" si="380"/>
        <v>0</v>
      </c>
      <c r="AM935">
        <f t="shared" ca="1" si="373"/>
        <v>280.07692026646265</v>
      </c>
      <c r="AN935" t="str">
        <f t="shared" ca="1" si="374"/>
        <v>Supercritical</v>
      </c>
      <c r="AO935">
        <f ca="1">IF(V32="Supercritical",R935,AA935)</f>
        <v>482.07306851378365</v>
      </c>
    </row>
    <row r="936" spans="1:41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174</v>
      </c>
      <c r="I936">
        <v>0.06</v>
      </c>
      <c r="J936">
        <f t="shared" si="375"/>
        <v>1</v>
      </c>
      <c r="K936">
        <f t="shared" si="376"/>
        <v>51</v>
      </c>
      <c r="L936">
        <f t="shared" ca="1" si="377"/>
        <v>38818.150554600688</v>
      </c>
      <c r="M936">
        <f t="shared" ca="1" si="355"/>
        <v>201854.38288392359</v>
      </c>
      <c r="N936">
        <f t="shared" ca="1" si="356"/>
        <v>2.5998258663239784</v>
      </c>
      <c r="O936">
        <f t="shared" ca="1" si="357"/>
        <v>2.5265738237315147E-4</v>
      </c>
      <c r="P936">
        <f t="shared" ca="1" si="358"/>
        <v>39450.31955460069</v>
      </c>
      <c r="Q936">
        <f t="shared" ca="1" si="359"/>
        <v>39450.319554603942</v>
      </c>
      <c r="R936">
        <f t="shared" ca="1" si="360"/>
        <v>4.0177923642486729E-12</v>
      </c>
      <c r="S936">
        <f t="shared" ca="1" si="378"/>
        <v>1.0869644684134983E-3</v>
      </c>
      <c r="T936">
        <f t="shared" ca="1" si="379"/>
        <v>0</v>
      </c>
      <c r="U936">
        <f t="shared" ca="1" si="361"/>
        <v>0.05</v>
      </c>
      <c r="V936">
        <f t="shared" ca="1" si="362"/>
        <v>0.26</v>
      </c>
      <c r="W936">
        <f t="shared" ca="1" si="363"/>
        <v>4.9056603773584909E-2</v>
      </c>
      <c r="X936">
        <f t="shared" ca="1" si="364"/>
        <v>196.15384615384616</v>
      </c>
      <c r="Y936">
        <f t="shared" ca="1" si="365"/>
        <v>632.21899999999994</v>
      </c>
      <c r="Z936">
        <f t="shared" ca="1" si="366"/>
        <v>2593.2960316486619</v>
      </c>
      <c r="AA936">
        <f t="shared" ca="1" si="367"/>
        <v>482.07306851378365</v>
      </c>
      <c r="AB936">
        <f t="shared" ca="1" si="368"/>
        <v>482.56117850572537</v>
      </c>
      <c r="AC936">
        <f t="shared" ca="1" si="369"/>
        <v>0</v>
      </c>
      <c r="AD936">
        <f ca="1">IF(V32="Supercritical",L936,U936)</f>
        <v>0.05</v>
      </c>
      <c r="AE936">
        <f t="shared" ca="1" si="370"/>
        <v>632.21899999999994</v>
      </c>
      <c r="AF936">
        <f t="shared" ca="1" si="371"/>
        <v>2593.2960316486619</v>
      </c>
      <c r="AI936">
        <v>0</v>
      </c>
      <c r="AJ936">
        <v>0</v>
      </c>
      <c r="AK936">
        <f t="shared" si="372"/>
        <v>0</v>
      </c>
      <c r="AL936">
        <f t="shared" si="380"/>
        <v>0</v>
      </c>
      <c r="AM936">
        <f t="shared" ca="1" si="373"/>
        <v>280.07692026646265</v>
      </c>
      <c r="AN936" t="str">
        <f t="shared" ca="1" si="374"/>
        <v>Supercritical</v>
      </c>
      <c r="AO936">
        <f ca="1">IF(V32="Supercritical",R936,AA936)</f>
        <v>482.07306851378365</v>
      </c>
    </row>
    <row r="937" spans="1:41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174</v>
      </c>
      <c r="I937">
        <v>2E-3</v>
      </c>
      <c r="J937">
        <f t="shared" si="375"/>
        <v>1.0009999999999764</v>
      </c>
      <c r="K937">
        <f t="shared" si="376"/>
        <v>51</v>
      </c>
      <c r="L937">
        <f t="shared" ca="1" si="377"/>
        <v>38818.150554600688</v>
      </c>
      <c r="M937">
        <f t="shared" ca="1" si="355"/>
        <v>201854.38288392359</v>
      </c>
      <c r="N937">
        <f t="shared" ca="1" si="356"/>
        <v>2.5998258663239784</v>
      </c>
      <c r="O937">
        <f t="shared" ca="1" si="357"/>
        <v>2.5265738237315147E-4</v>
      </c>
      <c r="P937">
        <f t="shared" ca="1" si="358"/>
        <v>39450.319054600688</v>
      </c>
      <c r="Q937">
        <f t="shared" ca="1" si="359"/>
        <v>39450.31905460394</v>
      </c>
      <c r="R937">
        <f t="shared" ca="1" si="360"/>
        <v>4.0177923642486729E-12</v>
      </c>
      <c r="S937">
        <f t="shared" ca="1" si="378"/>
        <v>4.999999946448952E-4</v>
      </c>
      <c r="T937">
        <f t="shared" ca="1" si="379"/>
        <v>1</v>
      </c>
      <c r="U937">
        <f t="shared" ca="1" si="361"/>
        <v>0.05</v>
      </c>
      <c r="V937">
        <f t="shared" ca="1" si="362"/>
        <v>0.26</v>
      </c>
      <c r="W937">
        <f t="shared" ca="1" si="363"/>
        <v>4.9056603773584909E-2</v>
      </c>
      <c r="X937">
        <f t="shared" ca="1" si="364"/>
        <v>196.15384615384616</v>
      </c>
      <c r="Y937">
        <f t="shared" ca="1" si="365"/>
        <v>632.21849999999995</v>
      </c>
      <c r="Z937">
        <f t="shared" ca="1" si="366"/>
        <v>2593.2955316486623</v>
      </c>
      <c r="AA937">
        <f t="shared" ca="1" si="367"/>
        <v>482.07306851378365</v>
      </c>
      <c r="AB937">
        <f t="shared" ca="1" si="368"/>
        <v>482.07256851378361</v>
      </c>
      <c r="AC937">
        <f t="shared" ca="1" si="369"/>
        <v>0</v>
      </c>
      <c r="AD937">
        <f ca="1">IF(V32="Supercritical",L937,U937)</f>
        <v>0.05</v>
      </c>
      <c r="AE937">
        <f t="shared" ca="1" si="370"/>
        <v>632.21849999999995</v>
      </c>
      <c r="AF937">
        <f t="shared" ca="1" si="371"/>
        <v>2593.2955316486623</v>
      </c>
      <c r="AI937">
        <v>0</v>
      </c>
      <c r="AJ937">
        <v>0</v>
      </c>
      <c r="AK937">
        <f t="shared" si="372"/>
        <v>0</v>
      </c>
      <c r="AL937">
        <f t="shared" si="380"/>
        <v>0</v>
      </c>
      <c r="AM937">
        <f t="shared" ca="1" si="373"/>
        <v>280.07692026646265</v>
      </c>
      <c r="AN937" t="str">
        <f t="shared" ca="1" si="374"/>
        <v>Supercritical</v>
      </c>
      <c r="AO937">
        <f ca="1">IF(V32="Supercritical",R937,AA937)</f>
        <v>482.07306851378365</v>
      </c>
    </row>
    <row r="938" spans="1:41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174</v>
      </c>
      <c r="I938">
        <v>0</v>
      </c>
      <c r="J938">
        <f t="shared" si="375"/>
        <v>1</v>
      </c>
      <c r="K938">
        <f t="shared" si="376"/>
        <v>51</v>
      </c>
      <c r="L938">
        <f t="shared" ca="1" si="377"/>
        <v>38818.149967638223</v>
      </c>
      <c r="M938">
        <f t="shared" ca="1" si="355"/>
        <v>201854.37983171878</v>
      </c>
      <c r="N938">
        <f t="shared" ca="1" si="356"/>
        <v>2.5998258663213454</v>
      </c>
      <c r="O938">
        <f t="shared" ca="1" si="357"/>
        <v>2.5265738619353959E-4</v>
      </c>
      <c r="P938">
        <f t="shared" ca="1" si="358"/>
        <v>39450.317967638221</v>
      </c>
      <c r="Q938">
        <f t="shared" ca="1" si="359"/>
        <v>39450.317967641473</v>
      </c>
      <c r="R938">
        <f t="shared" ca="1" si="360"/>
        <v>4.0177924857587729E-12</v>
      </c>
      <c r="S938">
        <f t="shared" ca="1" si="378"/>
        <v>1.0869624602491967E-3</v>
      </c>
      <c r="T938">
        <f t="shared" ca="1" si="379"/>
        <v>0</v>
      </c>
      <c r="U938">
        <f t="shared" ca="1" si="361"/>
        <v>0.05</v>
      </c>
      <c r="V938">
        <f t="shared" ca="1" si="362"/>
        <v>0.26</v>
      </c>
      <c r="W938">
        <f t="shared" ca="1" si="363"/>
        <v>4.9056603773584909E-2</v>
      </c>
      <c r="X938">
        <f t="shared" ca="1" si="364"/>
        <v>196.15384615384616</v>
      </c>
      <c r="Y938">
        <f t="shared" ca="1" si="365"/>
        <v>632.21799999999996</v>
      </c>
      <c r="Z938">
        <f t="shared" ca="1" si="366"/>
        <v>2593.2950316486622</v>
      </c>
      <c r="AA938">
        <f t="shared" ca="1" si="367"/>
        <v>482.07306851378365</v>
      </c>
      <c r="AB938">
        <f t="shared" ca="1" si="368"/>
        <v>481.77679776328796</v>
      </c>
      <c r="AC938">
        <f t="shared" ca="1" si="369"/>
        <v>0</v>
      </c>
      <c r="AD938">
        <f ca="1">IF(V32="Supercritical",L938,U938)</f>
        <v>0.05</v>
      </c>
      <c r="AE938">
        <f t="shared" ca="1" si="370"/>
        <v>632.21799999999996</v>
      </c>
      <c r="AF938">
        <f t="shared" ca="1" si="371"/>
        <v>2593.2950316486622</v>
      </c>
      <c r="AI938">
        <v>0</v>
      </c>
      <c r="AJ938">
        <v>0</v>
      </c>
      <c r="AK938">
        <f t="shared" si="372"/>
        <v>0</v>
      </c>
      <c r="AL938">
        <f t="shared" si="380"/>
        <v>0</v>
      </c>
      <c r="AM938">
        <f t="shared" ca="1" si="373"/>
        <v>280.07692026646265</v>
      </c>
      <c r="AN938" t="str">
        <f t="shared" ca="1" si="374"/>
        <v>Supercritical</v>
      </c>
      <c r="AO938">
        <f ca="1">IF(V32="Supercritical",R938,AA938)</f>
        <v>482.07306851378365</v>
      </c>
    </row>
    <row r="939" spans="1:41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174</v>
      </c>
      <c r="I939">
        <v>5.7000000000000002E-2</v>
      </c>
      <c r="J939">
        <f t="shared" si="375"/>
        <v>0.99900000000002365</v>
      </c>
      <c r="K939">
        <f t="shared" si="376"/>
        <v>51</v>
      </c>
      <c r="L939">
        <f t="shared" ca="1" si="377"/>
        <v>38818.149967638223</v>
      </c>
      <c r="M939">
        <f t="shared" ca="1" si="355"/>
        <v>201854.37983171878</v>
      </c>
      <c r="N939">
        <f t="shared" ca="1" si="356"/>
        <v>2.5998258663213454</v>
      </c>
      <c r="O939">
        <f t="shared" ca="1" si="357"/>
        <v>2.5265738619353959E-4</v>
      </c>
      <c r="P939">
        <f t="shared" ca="1" si="358"/>
        <v>39450.317467638226</v>
      </c>
      <c r="Q939">
        <f t="shared" ca="1" si="359"/>
        <v>39450.317467641478</v>
      </c>
      <c r="R939">
        <f t="shared" ca="1" si="360"/>
        <v>4.0177924857587729E-12</v>
      </c>
      <c r="S939">
        <f t="shared" ca="1" si="378"/>
        <v>4.9999998736893758E-4</v>
      </c>
      <c r="T939">
        <f t="shared" ca="1" si="379"/>
        <v>1</v>
      </c>
      <c r="U939">
        <f t="shared" ca="1" si="361"/>
        <v>0.05</v>
      </c>
      <c r="V939">
        <f t="shared" ca="1" si="362"/>
        <v>0.26</v>
      </c>
      <c r="W939">
        <f t="shared" ca="1" si="363"/>
        <v>4.9056603773584909E-2</v>
      </c>
      <c r="X939">
        <f t="shared" ca="1" si="364"/>
        <v>196.15384615384616</v>
      </c>
      <c r="Y939">
        <f t="shared" ca="1" si="365"/>
        <v>632.21749999999997</v>
      </c>
      <c r="Z939">
        <f t="shared" ca="1" si="366"/>
        <v>2593.2945316486621</v>
      </c>
      <c r="AA939">
        <f t="shared" ca="1" si="367"/>
        <v>482.07306851378365</v>
      </c>
      <c r="AB939">
        <f t="shared" ca="1" si="368"/>
        <v>482.25887083179032</v>
      </c>
      <c r="AC939">
        <f t="shared" ca="1" si="369"/>
        <v>0</v>
      </c>
      <c r="AD939">
        <f ca="1">IF(V32="Supercritical",L939,U939)</f>
        <v>0.05</v>
      </c>
      <c r="AE939">
        <f t="shared" ca="1" si="370"/>
        <v>632.21749999999997</v>
      </c>
      <c r="AF939">
        <f t="shared" ca="1" si="371"/>
        <v>2593.2945316486621</v>
      </c>
      <c r="AI939">
        <v>0</v>
      </c>
      <c r="AJ939">
        <v>0</v>
      </c>
      <c r="AK939">
        <f t="shared" si="372"/>
        <v>0</v>
      </c>
      <c r="AL939">
        <f t="shared" si="380"/>
        <v>0</v>
      </c>
      <c r="AM939">
        <f t="shared" ca="1" si="373"/>
        <v>280.07692026646265</v>
      </c>
      <c r="AN939" t="str">
        <f t="shared" ca="1" si="374"/>
        <v>Supercritical</v>
      </c>
      <c r="AO939">
        <f ca="1">IF(V32="Supercritical",R939,AA939)</f>
        <v>482.07306851378365</v>
      </c>
    </row>
    <row r="940" spans="1:41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174</v>
      </c>
      <c r="I940">
        <v>5.7000000000000002E-2</v>
      </c>
      <c r="J940">
        <f t="shared" si="375"/>
        <v>1</v>
      </c>
      <c r="K940">
        <f t="shared" si="376"/>
        <v>51</v>
      </c>
      <c r="L940">
        <f t="shared" ca="1" si="377"/>
        <v>38818.149380677278</v>
      </c>
      <c r="M940">
        <f t="shared" ca="1" si="355"/>
        <v>201854.37677952184</v>
      </c>
      <c r="N940">
        <f t="shared" ca="1" si="356"/>
        <v>2.5998258663187124</v>
      </c>
      <c r="O940">
        <f t="shared" ca="1" si="357"/>
        <v>2.5265739001391796E-4</v>
      </c>
      <c r="P940">
        <f t="shared" ca="1" si="358"/>
        <v>39450.316380677279</v>
      </c>
      <c r="Q940">
        <f t="shared" ca="1" si="359"/>
        <v>39450.316380680531</v>
      </c>
      <c r="R940">
        <f t="shared" ca="1" si="360"/>
        <v>4.0177926072685644E-12</v>
      </c>
      <c r="S940">
        <f t="shared" ca="1" si="378"/>
        <v>1.0869609395740554E-3</v>
      </c>
      <c r="T940">
        <f t="shared" ca="1" si="379"/>
        <v>0</v>
      </c>
      <c r="U940">
        <f t="shared" ca="1" si="361"/>
        <v>0.05</v>
      </c>
      <c r="V940">
        <f t="shared" ca="1" si="362"/>
        <v>0.26</v>
      </c>
      <c r="W940">
        <f t="shared" ca="1" si="363"/>
        <v>4.9056603773584909E-2</v>
      </c>
      <c r="X940">
        <f t="shared" ca="1" si="364"/>
        <v>196.15384615384616</v>
      </c>
      <c r="Y940">
        <f t="shared" ca="1" si="365"/>
        <v>632.21699999999998</v>
      </c>
      <c r="Z940">
        <f t="shared" ca="1" si="366"/>
        <v>2593.294031648662</v>
      </c>
      <c r="AA940">
        <f t="shared" ca="1" si="367"/>
        <v>482.07306851378365</v>
      </c>
      <c r="AB940">
        <f t="shared" ca="1" si="368"/>
        <v>482.07256851378361</v>
      </c>
      <c r="AC940">
        <f t="shared" ca="1" si="369"/>
        <v>0</v>
      </c>
      <c r="AD940">
        <f ca="1">IF(V32="Supercritical",L940,U940)</f>
        <v>0.05</v>
      </c>
      <c r="AE940">
        <f t="shared" ca="1" si="370"/>
        <v>632.21699999999998</v>
      </c>
      <c r="AF940">
        <f t="shared" ca="1" si="371"/>
        <v>2593.294031648662</v>
      </c>
      <c r="AI940">
        <v>0</v>
      </c>
      <c r="AJ940">
        <v>0</v>
      </c>
      <c r="AK940">
        <f t="shared" si="372"/>
        <v>0</v>
      </c>
      <c r="AL940">
        <f t="shared" si="380"/>
        <v>0</v>
      </c>
      <c r="AM940">
        <f t="shared" ca="1" si="373"/>
        <v>280.07692026646265</v>
      </c>
      <c r="AN940" t="str">
        <f t="shared" ca="1" si="374"/>
        <v>Supercritical</v>
      </c>
      <c r="AO940">
        <f ca="1">IF(V32="Supercritical",R940,AA940)</f>
        <v>482.07306851378365</v>
      </c>
    </row>
    <row r="941" spans="1:41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174</v>
      </c>
      <c r="I941">
        <v>0</v>
      </c>
      <c r="J941">
        <f t="shared" si="375"/>
        <v>1</v>
      </c>
      <c r="K941">
        <f t="shared" si="376"/>
        <v>51</v>
      </c>
      <c r="L941">
        <f t="shared" ca="1" si="377"/>
        <v>38818.149380677278</v>
      </c>
      <c r="M941">
        <f t="shared" ca="1" si="355"/>
        <v>201854.37677952184</v>
      </c>
      <c r="N941">
        <f t="shared" ca="1" si="356"/>
        <v>2.5998258663187124</v>
      </c>
      <c r="O941">
        <f t="shared" ca="1" si="357"/>
        <v>2.5265739001391796E-4</v>
      </c>
      <c r="P941">
        <f t="shared" ca="1" si="358"/>
        <v>39450.315880677277</v>
      </c>
      <c r="Q941">
        <f t="shared" ca="1" si="359"/>
        <v>39450.31588068053</v>
      </c>
      <c r="R941">
        <f t="shared" ca="1" si="360"/>
        <v>4.0177926072685644E-12</v>
      </c>
      <c r="S941">
        <f t="shared" ca="1" si="378"/>
        <v>4.999999946448952E-4</v>
      </c>
      <c r="T941">
        <f t="shared" ca="1" si="379"/>
        <v>1</v>
      </c>
      <c r="U941">
        <f t="shared" ca="1" si="361"/>
        <v>0.05</v>
      </c>
      <c r="V941">
        <f t="shared" ca="1" si="362"/>
        <v>0.26</v>
      </c>
      <c r="W941">
        <f t="shared" ca="1" si="363"/>
        <v>4.9056603773584909E-2</v>
      </c>
      <c r="X941">
        <f t="shared" ca="1" si="364"/>
        <v>196.15384615384616</v>
      </c>
      <c r="Y941">
        <f t="shared" ca="1" si="365"/>
        <v>632.2165</v>
      </c>
      <c r="Z941">
        <f t="shared" ca="1" si="366"/>
        <v>2593.2935316486619</v>
      </c>
      <c r="AA941">
        <f t="shared" ca="1" si="367"/>
        <v>482.07306851378365</v>
      </c>
      <c r="AB941">
        <f t="shared" ca="1" si="368"/>
        <v>482.07256851378406</v>
      </c>
      <c r="AC941">
        <f t="shared" ca="1" si="369"/>
        <v>0</v>
      </c>
      <c r="AD941">
        <f ca="1">IF(V32="Supercritical",L941,U941)</f>
        <v>0.05</v>
      </c>
      <c r="AE941">
        <f t="shared" ca="1" si="370"/>
        <v>632.2165</v>
      </c>
      <c r="AF941">
        <f t="shared" ca="1" si="371"/>
        <v>2593.2935316486619</v>
      </c>
      <c r="AI941">
        <v>0</v>
      </c>
      <c r="AJ941">
        <v>0</v>
      </c>
      <c r="AK941">
        <f t="shared" si="372"/>
        <v>0</v>
      </c>
      <c r="AL941">
        <f t="shared" si="380"/>
        <v>0</v>
      </c>
      <c r="AM941">
        <f t="shared" ca="1" si="373"/>
        <v>280.07692026646265</v>
      </c>
      <c r="AN941" t="str">
        <f t="shared" ca="1" si="374"/>
        <v>Supercritical</v>
      </c>
      <c r="AO941">
        <f ca="1">IF(V32="Supercritical",R941,AA941)</f>
        <v>482.07306851378365</v>
      </c>
    </row>
    <row r="942" spans="1:41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174</v>
      </c>
      <c r="I942">
        <v>0</v>
      </c>
      <c r="J942">
        <f t="shared" si="375"/>
        <v>1</v>
      </c>
      <c r="K942">
        <f t="shared" si="376"/>
        <v>51</v>
      </c>
      <c r="L942">
        <f t="shared" ca="1" si="377"/>
        <v>38818.14879371749</v>
      </c>
      <c r="M942">
        <f t="shared" ca="1" si="355"/>
        <v>201854.37372733097</v>
      </c>
      <c r="N942">
        <f t="shared" ca="1" si="356"/>
        <v>2.5998258663160798</v>
      </c>
      <c r="O942">
        <f t="shared" ca="1" si="357"/>
        <v>2.526573938342889E-4</v>
      </c>
      <c r="P942">
        <f t="shared" ca="1" si="358"/>
        <v>39450.314793717487</v>
      </c>
      <c r="Q942">
        <f t="shared" ca="1" si="359"/>
        <v>39450.31479372074</v>
      </c>
      <c r="R942">
        <f t="shared" ca="1" si="360"/>
        <v>4.0177927287781191E-12</v>
      </c>
      <c r="S942">
        <f t="shared" ca="1" si="378"/>
        <v>1.0869597826967947E-3</v>
      </c>
      <c r="T942">
        <f t="shared" ca="1" si="379"/>
        <v>0</v>
      </c>
      <c r="U942">
        <f t="shared" ca="1" si="361"/>
        <v>0.05</v>
      </c>
      <c r="V942">
        <f t="shared" ca="1" si="362"/>
        <v>0.26</v>
      </c>
      <c r="W942">
        <f t="shared" ca="1" si="363"/>
        <v>4.9056603773584909E-2</v>
      </c>
      <c r="X942">
        <f t="shared" ca="1" si="364"/>
        <v>196.15384615384616</v>
      </c>
      <c r="Y942">
        <f t="shared" ca="1" si="365"/>
        <v>632.21600000000001</v>
      </c>
      <c r="Z942">
        <f t="shared" ca="1" si="366"/>
        <v>2593.2930316486622</v>
      </c>
      <c r="AA942">
        <f t="shared" ca="1" si="367"/>
        <v>482.07306851378365</v>
      </c>
      <c r="AB942">
        <f t="shared" ca="1" si="368"/>
        <v>482.25887083179032</v>
      </c>
      <c r="AC942">
        <f t="shared" ca="1" si="369"/>
        <v>0</v>
      </c>
      <c r="AD942">
        <f ca="1">IF(V32="Supercritical",L942,U942)</f>
        <v>0.05</v>
      </c>
      <c r="AE942">
        <f t="shared" ca="1" si="370"/>
        <v>632.21600000000001</v>
      </c>
      <c r="AF942">
        <f t="shared" ca="1" si="371"/>
        <v>2593.2930316486622</v>
      </c>
      <c r="AI942">
        <v>0</v>
      </c>
      <c r="AJ942">
        <v>0</v>
      </c>
      <c r="AK942">
        <f t="shared" si="372"/>
        <v>0</v>
      </c>
      <c r="AL942">
        <f t="shared" si="380"/>
        <v>0</v>
      </c>
      <c r="AM942">
        <f t="shared" ca="1" si="373"/>
        <v>280.07692026646265</v>
      </c>
      <c r="AN942" t="str">
        <f t="shared" ca="1" si="374"/>
        <v>Supercritical</v>
      </c>
      <c r="AO942">
        <f ca="1">IF(V32="Supercritical",R942,AA942)</f>
        <v>482.07306851378365</v>
      </c>
    </row>
    <row r="943" spans="1:41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174</v>
      </c>
      <c r="I943">
        <v>5.7000000000000002E-2</v>
      </c>
      <c r="J943">
        <f t="shared" si="375"/>
        <v>1</v>
      </c>
      <c r="K943">
        <f t="shared" si="376"/>
        <v>51</v>
      </c>
      <c r="L943">
        <f t="shared" ca="1" si="377"/>
        <v>38818.14879371749</v>
      </c>
      <c r="M943">
        <f t="shared" ca="1" si="355"/>
        <v>201854.37372733097</v>
      </c>
      <c r="N943">
        <f t="shared" ca="1" si="356"/>
        <v>2.5998258663160798</v>
      </c>
      <c r="O943">
        <f t="shared" ca="1" si="357"/>
        <v>2.526573938342889E-4</v>
      </c>
      <c r="P943">
        <f t="shared" ca="1" si="358"/>
        <v>39450.314293717493</v>
      </c>
      <c r="Q943">
        <f t="shared" ca="1" si="359"/>
        <v>39450.314293720745</v>
      </c>
      <c r="R943">
        <f t="shared" ca="1" si="360"/>
        <v>4.0177927287781191E-12</v>
      </c>
      <c r="S943">
        <f t="shared" ca="1" si="378"/>
        <v>4.9999998736893758E-4</v>
      </c>
      <c r="T943">
        <f t="shared" ca="1" si="379"/>
        <v>1</v>
      </c>
      <c r="U943">
        <f t="shared" ca="1" si="361"/>
        <v>0.05</v>
      </c>
      <c r="V943">
        <f t="shared" ca="1" si="362"/>
        <v>0.26</v>
      </c>
      <c r="W943">
        <f t="shared" ca="1" si="363"/>
        <v>4.9056603773584909E-2</v>
      </c>
      <c r="X943">
        <f t="shared" ca="1" si="364"/>
        <v>196.15384615384616</v>
      </c>
      <c r="Y943">
        <f t="shared" ca="1" si="365"/>
        <v>632.21549999999991</v>
      </c>
      <c r="Z943">
        <f t="shared" ca="1" si="366"/>
        <v>2593.2925316486621</v>
      </c>
      <c r="AA943">
        <f t="shared" ca="1" si="367"/>
        <v>482.07306851378365</v>
      </c>
      <c r="AB943">
        <f t="shared" ca="1" si="368"/>
        <v>482.25887083179032</v>
      </c>
      <c r="AC943">
        <f t="shared" ca="1" si="369"/>
        <v>0</v>
      </c>
      <c r="AD943">
        <f ca="1">IF(V32="Supercritical",L943,U943)</f>
        <v>0.05</v>
      </c>
      <c r="AE943">
        <f t="shared" ca="1" si="370"/>
        <v>632.21549999999991</v>
      </c>
      <c r="AF943">
        <f t="shared" ca="1" si="371"/>
        <v>2593.2925316486621</v>
      </c>
      <c r="AI943">
        <v>0</v>
      </c>
      <c r="AJ943">
        <v>0</v>
      </c>
      <c r="AK943">
        <f t="shared" si="372"/>
        <v>0</v>
      </c>
      <c r="AL943">
        <f t="shared" si="380"/>
        <v>0</v>
      </c>
      <c r="AM943">
        <f t="shared" ca="1" si="373"/>
        <v>280.07692026646265</v>
      </c>
      <c r="AN943" t="str">
        <f t="shared" ca="1" si="374"/>
        <v>Supercritical</v>
      </c>
      <c r="AO943">
        <f ca="1">IF(V32="Supercritical",R943,AA943)</f>
        <v>482.07306851378365</v>
      </c>
    </row>
    <row r="944" spans="1:41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174</v>
      </c>
      <c r="I944">
        <v>5.7000000000000002E-2</v>
      </c>
      <c r="J944">
        <f t="shared" si="375"/>
        <v>1</v>
      </c>
      <c r="K944">
        <f t="shared" si="376"/>
        <v>51</v>
      </c>
      <c r="L944">
        <f t="shared" ca="1" si="377"/>
        <v>38818.14820675856</v>
      </c>
      <c r="M944">
        <f t="shared" ca="1" si="355"/>
        <v>201854.37067514451</v>
      </c>
      <c r="N944">
        <f t="shared" ca="1" si="356"/>
        <v>2.5998258663134468</v>
      </c>
      <c r="O944">
        <f t="shared" ca="1" si="357"/>
        <v>2.5265739765465442E-4</v>
      </c>
      <c r="P944">
        <f t="shared" ca="1" si="358"/>
        <v>39450.313206758561</v>
      </c>
      <c r="Q944">
        <f t="shared" ca="1" si="359"/>
        <v>39450.313206761813</v>
      </c>
      <c r="R944">
        <f t="shared" ca="1" si="360"/>
        <v>4.0177928502875034E-12</v>
      </c>
      <c r="S944">
        <f t="shared" ca="1" si="378"/>
        <v>1.0869589241337962E-3</v>
      </c>
      <c r="T944">
        <f t="shared" ca="1" si="379"/>
        <v>0</v>
      </c>
      <c r="U944">
        <f t="shared" ca="1" si="361"/>
        <v>0.05</v>
      </c>
      <c r="V944">
        <f t="shared" ca="1" si="362"/>
        <v>0.26</v>
      </c>
      <c r="W944">
        <f t="shared" ca="1" si="363"/>
        <v>4.9056603773584909E-2</v>
      </c>
      <c r="X944">
        <f t="shared" ca="1" si="364"/>
        <v>196.15384615384616</v>
      </c>
      <c r="Y944">
        <f t="shared" ca="1" si="365"/>
        <v>632.21499999999992</v>
      </c>
      <c r="Z944">
        <f t="shared" ca="1" si="366"/>
        <v>2593.292031648662</v>
      </c>
      <c r="AA944">
        <f t="shared" ca="1" si="367"/>
        <v>482.07306851378365</v>
      </c>
      <c r="AB944">
        <f t="shared" ca="1" si="368"/>
        <v>482.07256851378361</v>
      </c>
      <c r="AC944">
        <f t="shared" ca="1" si="369"/>
        <v>0</v>
      </c>
      <c r="AD944">
        <f ca="1">IF(V32="Supercritical",L944,U944)</f>
        <v>0.05</v>
      </c>
      <c r="AE944">
        <f t="shared" ca="1" si="370"/>
        <v>632.21499999999992</v>
      </c>
      <c r="AF944">
        <f t="shared" ca="1" si="371"/>
        <v>2593.292031648662</v>
      </c>
      <c r="AI944">
        <v>0</v>
      </c>
      <c r="AJ944">
        <v>0</v>
      </c>
      <c r="AK944">
        <f t="shared" si="372"/>
        <v>0</v>
      </c>
      <c r="AL944">
        <f t="shared" si="380"/>
        <v>0</v>
      </c>
      <c r="AM944">
        <f t="shared" ca="1" si="373"/>
        <v>280.07692026646265</v>
      </c>
      <c r="AN944" t="str">
        <f t="shared" ca="1" si="374"/>
        <v>Supercritical</v>
      </c>
      <c r="AO944">
        <f ca="1">IF(V32="Supercritical",R944,AA944)</f>
        <v>482.07306851378365</v>
      </c>
    </row>
    <row r="945" spans="1:41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174</v>
      </c>
      <c r="I945">
        <v>0</v>
      </c>
      <c r="J945">
        <f t="shared" si="375"/>
        <v>1</v>
      </c>
      <c r="K945">
        <f t="shared" si="376"/>
        <v>51</v>
      </c>
      <c r="L945">
        <f t="shared" ca="1" si="377"/>
        <v>38818.14820675856</v>
      </c>
      <c r="M945">
        <f t="shared" ca="1" si="355"/>
        <v>201854.37067514451</v>
      </c>
      <c r="N945">
        <f t="shared" ca="1" si="356"/>
        <v>2.5998258663134468</v>
      </c>
      <c r="O945">
        <f t="shared" ca="1" si="357"/>
        <v>2.5265739765465442E-4</v>
      </c>
      <c r="P945">
        <f t="shared" ca="1" si="358"/>
        <v>39450.312706758559</v>
      </c>
      <c r="Q945">
        <f t="shared" ca="1" si="359"/>
        <v>39450.312706761812</v>
      </c>
      <c r="R945">
        <f t="shared" ca="1" si="360"/>
        <v>4.0177928502875034E-12</v>
      </c>
      <c r="S945">
        <f t="shared" ca="1" si="378"/>
        <v>4.999999946448952E-4</v>
      </c>
      <c r="T945">
        <f t="shared" ca="1" si="379"/>
        <v>1</v>
      </c>
      <c r="U945">
        <f t="shared" ca="1" si="361"/>
        <v>0.05</v>
      </c>
      <c r="V945">
        <f t="shared" ca="1" si="362"/>
        <v>0.26</v>
      </c>
      <c r="W945">
        <f t="shared" ca="1" si="363"/>
        <v>4.9056603773584909E-2</v>
      </c>
      <c r="X945">
        <f t="shared" ca="1" si="364"/>
        <v>196.15384615384616</v>
      </c>
      <c r="Y945">
        <f t="shared" ca="1" si="365"/>
        <v>632.21449999999993</v>
      </c>
      <c r="Z945">
        <f t="shared" ca="1" si="366"/>
        <v>2593.2915316486619</v>
      </c>
      <c r="AA945">
        <f t="shared" ca="1" si="367"/>
        <v>482.07306851378365</v>
      </c>
      <c r="AB945">
        <f t="shared" ca="1" si="368"/>
        <v>482.07910543722301</v>
      </c>
      <c r="AC945">
        <f t="shared" ca="1" si="369"/>
        <v>0</v>
      </c>
      <c r="AD945">
        <f ca="1">IF(V32="Supercritical",L945,U945)</f>
        <v>0.05</v>
      </c>
      <c r="AE945">
        <f t="shared" ca="1" si="370"/>
        <v>632.21449999999993</v>
      </c>
      <c r="AF945">
        <f t="shared" ca="1" si="371"/>
        <v>2593.2915316486619</v>
      </c>
      <c r="AI945">
        <v>0</v>
      </c>
      <c r="AJ945">
        <v>0</v>
      </c>
      <c r="AK945">
        <f t="shared" si="372"/>
        <v>0</v>
      </c>
      <c r="AL945">
        <f t="shared" si="380"/>
        <v>0</v>
      </c>
      <c r="AM945">
        <f t="shared" ca="1" si="373"/>
        <v>280.07692026646265</v>
      </c>
      <c r="AN945" t="str">
        <f t="shared" ca="1" si="374"/>
        <v>Supercritical</v>
      </c>
      <c r="AO945">
        <f ca="1">IF(V32="Supercritical",R945,AA945)</f>
        <v>482.07306851378365</v>
      </c>
    </row>
    <row r="946" spans="1:41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174</v>
      </c>
      <c r="I946">
        <v>2E-3</v>
      </c>
      <c r="J946">
        <f t="shared" si="375"/>
        <v>1</v>
      </c>
      <c r="K946">
        <f t="shared" si="376"/>
        <v>51</v>
      </c>
      <c r="L946">
        <f t="shared" ca="1" si="377"/>
        <v>38818.147619800271</v>
      </c>
      <c r="M946">
        <f t="shared" ca="1" si="355"/>
        <v>201854.36762296141</v>
      </c>
      <c r="N946">
        <f t="shared" ca="1" si="356"/>
        <v>2.5998258663108138</v>
      </c>
      <c r="O946">
        <f t="shared" ca="1" si="357"/>
        <v>2.5265740147501582E-4</v>
      </c>
      <c r="P946">
        <f t="shared" ca="1" si="358"/>
        <v>39450.311619800268</v>
      </c>
      <c r="Q946">
        <f t="shared" ca="1" si="359"/>
        <v>39450.31161980352</v>
      </c>
      <c r="R946">
        <f t="shared" ca="1" si="360"/>
        <v>4.0177929717967601E-12</v>
      </c>
      <c r="S946">
        <f t="shared" ca="1" si="378"/>
        <v>1.0869582838495262E-3</v>
      </c>
      <c r="T946">
        <f t="shared" ca="1" si="379"/>
        <v>0</v>
      </c>
      <c r="U946">
        <f t="shared" ca="1" si="361"/>
        <v>0.05</v>
      </c>
      <c r="V946">
        <f t="shared" ca="1" si="362"/>
        <v>0.26</v>
      </c>
      <c r="W946">
        <f t="shared" ca="1" si="363"/>
        <v>4.9056603773584909E-2</v>
      </c>
      <c r="X946">
        <f t="shared" ca="1" si="364"/>
        <v>196.15384615384616</v>
      </c>
      <c r="Y946">
        <f t="shared" ca="1" si="365"/>
        <v>632.21399999999994</v>
      </c>
      <c r="Z946">
        <f t="shared" ca="1" si="366"/>
        <v>2593.2910316486623</v>
      </c>
      <c r="AA946">
        <f t="shared" ca="1" si="367"/>
        <v>482.07306851378365</v>
      </c>
      <c r="AB946">
        <f t="shared" ca="1" si="368"/>
        <v>482.75074928545064</v>
      </c>
      <c r="AC946">
        <f t="shared" ca="1" si="369"/>
        <v>0</v>
      </c>
      <c r="AD946">
        <f ca="1">IF(V32="Supercritical",L946,U946)</f>
        <v>0.05</v>
      </c>
      <c r="AE946">
        <f t="shared" ca="1" si="370"/>
        <v>632.21399999999994</v>
      </c>
      <c r="AF946">
        <f t="shared" ca="1" si="371"/>
        <v>2593.2910316486623</v>
      </c>
      <c r="AI946">
        <v>0</v>
      </c>
      <c r="AJ946">
        <v>0</v>
      </c>
      <c r="AK946">
        <f t="shared" si="372"/>
        <v>0</v>
      </c>
      <c r="AL946">
        <f t="shared" si="380"/>
        <v>0</v>
      </c>
      <c r="AM946">
        <f t="shared" ca="1" si="373"/>
        <v>280.07692026646265</v>
      </c>
      <c r="AN946" t="str">
        <f t="shared" ca="1" si="374"/>
        <v>Supercritical</v>
      </c>
      <c r="AO946">
        <f ca="1">IF(V32="Supercritical",R946,AA946)</f>
        <v>482.07306851378365</v>
      </c>
    </row>
    <row r="947" spans="1:41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174</v>
      </c>
      <c r="I947">
        <v>0.06</v>
      </c>
      <c r="J947">
        <f t="shared" si="375"/>
        <v>1.0009999999999764</v>
      </c>
      <c r="K947">
        <f t="shared" si="376"/>
        <v>51</v>
      </c>
      <c r="L947">
        <f t="shared" ca="1" si="377"/>
        <v>38818.147619800271</v>
      </c>
      <c r="M947">
        <f t="shared" ca="1" si="355"/>
        <v>201854.36762296141</v>
      </c>
      <c r="N947">
        <f t="shared" ca="1" si="356"/>
        <v>2.5998258663108138</v>
      </c>
      <c r="O947">
        <f t="shared" ca="1" si="357"/>
        <v>2.5265740147501582E-4</v>
      </c>
      <c r="P947">
        <f t="shared" ca="1" si="358"/>
        <v>39450.311119800273</v>
      </c>
      <c r="Q947">
        <f t="shared" ca="1" si="359"/>
        <v>39450.311119803526</v>
      </c>
      <c r="R947">
        <f t="shared" ca="1" si="360"/>
        <v>4.0177929717967601E-12</v>
      </c>
      <c r="S947">
        <f t="shared" ca="1" si="378"/>
        <v>4.9999998736893758E-4</v>
      </c>
      <c r="T947">
        <f t="shared" ca="1" si="379"/>
        <v>1</v>
      </c>
      <c r="U947">
        <f t="shared" ca="1" si="361"/>
        <v>0.05</v>
      </c>
      <c r="V947">
        <f t="shared" ca="1" si="362"/>
        <v>0.26</v>
      </c>
      <c r="W947">
        <f t="shared" ca="1" si="363"/>
        <v>4.9056603773584909E-2</v>
      </c>
      <c r="X947">
        <f t="shared" ca="1" si="364"/>
        <v>196.15384615384616</v>
      </c>
      <c r="Y947">
        <f t="shared" ca="1" si="365"/>
        <v>632.21349999999995</v>
      </c>
      <c r="Z947">
        <f t="shared" ca="1" si="366"/>
        <v>2593.2905316486622</v>
      </c>
      <c r="AA947">
        <f t="shared" ca="1" si="367"/>
        <v>482.07306851378365</v>
      </c>
      <c r="AB947">
        <f t="shared" ca="1" si="368"/>
        <v>482.25887083179032</v>
      </c>
      <c r="AC947">
        <f t="shared" ca="1" si="369"/>
        <v>0</v>
      </c>
      <c r="AD947">
        <f ca="1">IF(V32="Supercritical",L947,U947)</f>
        <v>0.05</v>
      </c>
      <c r="AE947">
        <f t="shared" ca="1" si="370"/>
        <v>632.21349999999995</v>
      </c>
      <c r="AF947">
        <f t="shared" ca="1" si="371"/>
        <v>2593.2905316486622</v>
      </c>
      <c r="AI947">
        <v>0</v>
      </c>
      <c r="AJ947">
        <v>0</v>
      </c>
      <c r="AK947">
        <f t="shared" si="372"/>
        <v>0</v>
      </c>
      <c r="AL947">
        <f t="shared" si="380"/>
        <v>0</v>
      </c>
      <c r="AM947">
        <f t="shared" ca="1" si="373"/>
        <v>280.07692026646265</v>
      </c>
      <c r="AN947" t="str">
        <f t="shared" ca="1" si="374"/>
        <v>Supercritical</v>
      </c>
      <c r="AO947">
        <f ca="1">IF(V32="Supercritical",R947,AA947)</f>
        <v>482.07306851378365</v>
      </c>
    </row>
    <row r="948" spans="1:41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174</v>
      </c>
      <c r="I948">
        <v>5.7000000000000002E-2</v>
      </c>
      <c r="J948">
        <f t="shared" si="375"/>
        <v>1</v>
      </c>
      <c r="K948">
        <f t="shared" si="376"/>
        <v>51</v>
      </c>
      <c r="L948">
        <f t="shared" ca="1" si="377"/>
        <v>38818.147032842477</v>
      </c>
      <c r="M948">
        <f t="shared" ca="1" si="355"/>
        <v>201854.36457078089</v>
      </c>
      <c r="N948">
        <f t="shared" ca="1" si="356"/>
        <v>2.5998258663081812</v>
      </c>
      <c r="O948">
        <f t="shared" ca="1" si="357"/>
        <v>2.5265740529537413E-4</v>
      </c>
      <c r="P948">
        <f t="shared" ca="1" si="358"/>
        <v>39450.310032842477</v>
      </c>
      <c r="Q948">
        <f t="shared" ca="1" si="359"/>
        <v>39450.310032845729</v>
      </c>
      <c r="R948">
        <f t="shared" ca="1" si="360"/>
        <v>4.0177930933059191E-12</v>
      </c>
      <c r="S948">
        <f t="shared" ca="1" si="378"/>
        <v>1.0869577890844084E-3</v>
      </c>
      <c r="T948">
        <f t="shared" ca="1" si="379"/>
        <v>0</v>
      </c>
      <c r="U948">
        <f t="shared" ca="1" si="361"/>
        <v>0.05</v>
      </c>
      <c r="V948">
        <f t="shared" ca="1" si="362"/>
        <v>0.26</v>
      </c>
      <c r="W948">
        <f t="shared" ca="1" si="363"/>
        <v>4.9056603773584909E-2</v>
      </c>
      <c r="X948">
        <f t="shared" ca="1" si="364"/>
        <v>196.15384615384616</v>
      </c>
      <c r="Y948">
        <f t="shared" ca="1" si="365"/>
        <v>632.21299999999997</v>
      </c>
      <c r="Z948">
        <f t="shared" ca="1" si="366"/>
        <v>2593.2900316486621</v>
      </c>
      <c r="AA948">
        <f t="shared" ca="1" si="367"/>
        <v>482.07306851378365</v>
      </c>
      <c r="AB948">
        <f t="shared" ca="1" si="368"/>
        <v>481.59049544528125</v>
      </c>
      <c r="AC948">
        <f t="shared" ca="1" si="369"/>
        <v>0</v>
      </c>
      <c r="AD948">
        <f ca="1">IF(V32="Supercritical",L948,U948)</f>
        <v>0.05</v>
      </c>
      <c r="AE948">
        <f t="shared" ca="1" si="370"/>
        <v>632.21299999999997</v>
      </c>
      <c r="AF948">
        <f t="shared" ca="1" si="371"/>
        <v>2593.2900316486621</v>
      </c>
      <c r="AI948">
        <v>0</v>
      </c>
      <c r="AJ948">
        <v>0</v>
      </c>
      <c r="AK948">
        <f t="shared" si="372"/>
        <v>0</v>
      </c>
      <c r="AL948">
        <f t="shared" si="380"/>
        <v>0</v>
      </c>
      <c r="AM948">
        <f t="shared" ca="1" si="373"/>
        <v>280.07692026646265</v>
      </c>
      <c r="AN948" t="str">
        <f t="shared" ca="1" si="374"/>
        <v>Supercritical</v>
      </c>
      <c r="AO948">
        <f ca="1">IF(V32="Supercritical",R948,AA948)</f>
        <v>482.07306851378365</v>
      </c>
    </row>
    <row r="949" spans="1:41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174</v>
      </c>
      <c r="I949">
        <v>0</v>
      </c>
      <c r="J949">
        <f t="shared" si="375"/>
        <v>0.99900000000002365</v>
      </c>
      <c r="K949">
        <f t="shared" si="376"/>
        <v>51</v>
      </c>
      <c r="L949">
        <f t="shared" ca="1" si="377"/>
        <v>38818.147032842477</v>
      </c>
      <c r="M949">
        <f t="shared" ca="1" si="355"/>
        <v>201854.36457078089</v>
      </c>
      <c r="N949">
        <f t="shared" ca="1" si="356"/>
        <v>2.5998258663081812</v>
      </c>
      <c r="O949">
        <f t="shared" ca="1" si="357"/>
        <v>2.5265740529537413E-4</v>
      </c>
      <c r="P949">
        <f t="shared" ca="1" si="358"/>
        <v>39450.309532842475</v>
      </c>
      <c r="Q949">
        <f t="shared" ca="1" si="359"/>
        <v>39450.309532845728</v>
      </c>
      <c r="R949">
        <f t="shared" ca="1" si="360"/>
        <v>4.0177930933059191E-12</v>
      </c>
      <c r="S949">
        <f t="shared" ca="1" si="378"/>
        <v>4.999999946448952E-4</v>
      </c>
      <c r="T949">
        <f t="shared" ca="1" si="379"/>
        <v>1</v>
      </c>
      <c r="U949">
        <f t="shared" ca="1" si="361"/>
        <v>0.05</v>
      </c>
      <c r="V949">
        <f t="shared" ca="1" si="362"/>
        <v>0.26</v>
      </c>
      <c r="W949">
        <f t="shared" ca="1" si="363"/>
        <v>4.9056603773584909E-2</v>
      </c>
      <c r="X949">
        <f t="shared" ca="1" si="364"/>
        <v>196.15384615384616</v>
      </c>
      <c r="Y949">
        <f t="shared" ca="1" si="365"/>
        <v>632.21249999999998</v>
      </c>
      <c r="Z949">
        <f t="shared" ca="1" si="366"/>
        <v>2593.289531648662</v>
      </c>
      <c r="AA949">
        <f t="shared" ca="1" si="367"/>
        <v>482.07306851378365</v>
      </c>
      <c r="AB949">
        <f t="shared" ca="1" si="368"/>
        <v>482.07256851378361</v>
      </c>
      <c r="AC949">
        <f t="shared" ca="1" si="369"/>
        <v>0</v>
      </c>
      <c r="AD949">
        <f ca="1">IF(V32="Supercritical",L949,U949)</f>
        <v>0.05</v>
      </c>
      <c r="AE949">
        <f t="shared" ca="1" si="370"/>
        <v>632.21249999999998</v>
      </c>
      <c r="AF949">
        <f t="shared" ca="1" si="371"/>
        <v>2593.289531648662</v>
      </c>
      <c r="AI949">
        <v>0</v>
      </c>
      <c r="AJ949">
        <v>0</v>
      </c>
      <c r="AK949">
        <f t="shared" si="372"/>
        <v>0</v>
      </c>
      <c r="AL949">
        <f t="shared" si="380"/>
        <v>0</v>
      </c>
      <c r="AM949">
        <f t="shared" ca="1" si="373"/>
        <v>280.07692026646265</v>
      </c>
      <c r="AN949" t="str">
        <f t="shared" ca="1" si="374"/>
        <v>Supercritical</v>
      </c>
      <c r="AO949">
        <f ca="1">IF(V32="Supercritical",R949,AA949)</f>
        <v>482.07306851378365</v>
      </c>
    </row>
    <row r="950" spans="1:41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174</v>
      </c>
      <c r="I950">
        <v>0</v>
      </c>
      <c r="J950">
        <f t="shared" si="375"/>
        <v>1</v>
      </c>
      <c r="K950">
        <f t="shared" si="376"/>
        <v>51</v>
      </c>
      <c r="L950">
        <f t="shared" ca="1" si="377"/>
        <v>38818.146445885046</v>
      </c>
      <c r="M950">
        <f t="shared" ca="1" si="355"/>
        <v>201854.36151860224</v>
      </c>
      <c r="N950">
        <f t="shared" ca="1" si="356"/>
        <v>2.5998258663055482</v>
      </c>
      <c r="O950">
        <f t="shared" ca="1" si="357"/>
        <v>2.5265740911573022E-4</v>
      </c>
      <c r="P950">
        <f t="shared" ca="1" si="358"/>
        <v>39450.308445885043</v>
      </c>
      <c r="Q950">
        <f t="shared" ca="1" si="359"/>
        <v>39450.308445888295</v>
      </c>
      <c r="R950">
        <f t="shared" ca="1" si="360"/>
        <v>4.0177932148150102E-12</v>
      </c>
      <c r="S950">
        <f t="shared" ca="1" si="378"/>
        <v>1.0869574252865277E-3</v>
      </c>
      <c r="T950">
        <f t="shared" ca="1" si="379"/>
        <v>0</v>
      </c>
      <c r="U950">
        <f t="shared" ca="1" si="361"/>
        <v>0.05</v>
      </c>
      <c r="V950">
        <f t="shared" ca="1" si="362"/>
        <v>0.26</v>
      </c>
      <c r="W950">
        <f t="shared" ca="1" si="363"/>
        <v>4.9056603773584909E-2</v>
      </c>
      <c r="X950">
        <f t="shared" ca="1" si="364"/>
        <v>196.15384615384616</v>
      </c>
      <c r="Y950">
        <f t="shared" ca="1" si="365"/>
        <v>632.21199999999999</v>
      </c>
      <c r="Z950">
        <f t="shared" ca="1" si="366"/>
        <v>2593.2890316486619</v>
      </c>
      <c r="AA950">
        <f t="shared" ca="1" si="367"/>
        <v>482.07306851378365</v>
      </c>
      <c r="AB950">
        <f t="shared" ca="1" si="368"/>
        <v>482.25887083179077</v>
      </c>
      <c r="AC950">
        <f t="shared" ca="1" si="369"/>
        <v>0</v>
      </c>
      <c r="AD950">
        <f ca="1">IF(V32="Supercritical",L950,U950)</f>
        <v>0.05</v>
      </c>
      <c r="AE950">
        <f t="shared" ca="1" si="370"/>
        <v>632.21199999999999</v>
      </c>
      <c r="AF950">
        <f t="shared" ca="1" si="371"/>
        <v>2593.2890316486619</v>
      </c>
      <c r="AI950">
        <v>0</v>
      </c>
      <c r="AJ950">
        <v>0</v>
      </c>
      <c r="AK950">
        <f t="shared" si="372"/>
        <v>0</v>
      </c>
      <c r="AL950">
        <f t="shared" si="380"/>
        <v>0</v>
      </c>
      <c r="AM950">
        <f t="shared" ca="1" si="373"/>
        <v>280.07692026646265</v>
      </c>
      <c r="AN950" t="str">
        <f t="shared" ca="1" si="374"/>
        <v>Supercritical</v>
      </c>
      <c r="AO950">
        <f ca="1">IF(V32="Supercritical",R950,AA950)</f>
        <v>482.07306851378365</v>
      </c>
    </row>
    <row r="951" spans="1:41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174</v>
      </c>
      <c r="I951">
        <v>5.7000000000000002E-2</v>
      </c>
      <c r="J951">
        <f t="shared" si="375"/>
        <v>1</v>
      </c>
      <c r="K951">
        <f t="shared" si="376"/>
        <v>51</v>
      </c>
      <c r="L951">
        <f t="shared" ca="1" si="377"/>
        <v>38818.146445885046</v>
      </c>
      <c r="M951">
        <f t="shared" ca="1" si="355"/>
        <v>201854.36151860224</v>
      </c>
      <c r="N951">
        <f t="shared" ca="1" si="356"/>
        <v>2.5998258663055482</v>
      </c>
      <c r="O951">
        <f t="shared" ca="1" si="357"/>
        <v>2.5265740911573022E-4</v>
      </c>
      <c r="P951">
        <f t="shared" ca="1" si="358"/>
        <v>39450.307945885048</v>
      </c>
      <c r="Q951">
        <f t="shared" ca="1" si="359"/>
        <v>39450.3079458883</v>
      </c>
      <c r="R951">
        <f t="shared" ca="1" si="360"/>
        <v>4.0177932148150102E-12</v>
      </c>
      <c r="S951">
        <f t="shared" ca="1" si="378"/>
        <v>4.9999998736893758E-4</v>
      </c>
      <c r="T951">
        <f t="shared" ca="1" si="379"/>
        <v>1</v>
      </c>
      <c r="U951">
        <f t="shared" ca="1" si="361"/>
        <v>0.05</v>
      </c>
      <c r="V951">
        <f t="shared" ca="1" si="362"/>
        <v>0.26</v>
      </c>
      <c r="W951">
        <f t="shared" ca="1" si="363"/>
        <v>4.9056603773584909E-2</v>
      </c>
      <c r="X951">
        <f t="shared" ca="1" si="364"/>
        <v>196.15384615384616</v>
      </c>
      <c r="Y951">
        <f t="shared" ca="1" si="365"/>
        <v>632.2115</v>
      </c>
      <c r="Z951">
        <f t="shared" ca="1" si="366"/>
        <v>2593.2885316486622</v>
      </c>
      <c r="AA951">
        <f t="shared" ca="1" si="367"/>
        <v>482.07306851378365</v>
      </c>
      <c r="AB951">
        <f t="shared" ca="1" si="368"/>
        <v>482.25887083179032</v>
      </c>
      <c r="AC951">
        <f t="shared" ca="1" si="369"/>
        <v>0</v>
      </c>
      <c r="AD951">
        <f ca="1">IF(V32="Supercritical",L951,U951)</f>
        <v>0.05</v>
      </c>
      <c r="AE951">
        <f t="shared" ca="1" si="370"/>
        <v>632.2115</v>
      </c>
      <c r="AF951">
        <f t="shared" ca="1" si="371"/>
        <v>2593.2885316486622</v>
      </c>
      <c r="AI951">
        <v>0</v>
      </c>
      <c r="AJ951">
        <v>0</v>
      </c>
      <c r="AK951">
        <f t="shared" si="372"/>
        <v>0</v>
      </c>
      <c r="AL951">
        <f t="shared" si="380"/>
        <v>0</v>
      </c>
      <c r="AM951">
        <f t="shared" ca="1" si="373"/>
        <v>280.07692026646265</v>
      </c>
      <c r="AN951" t="str">
        <f t="shared" ca="1" si="374"/>
        <v>Supercritical</v>
      </c>
      <c r="AO951">
        <f ca="1">IF(V32="Supercritical",R951,AA951)</f>
        <v>482.07306851378365</v>
      </c>
    </row>
    <row r="952" spans="1:41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174</v>
      </c>
      <c r="I952">
        <v>5.7000000000000002E-2</v>
      </c>
      <c r="J952">
        <f t="shared" si="375"/>
        <v>1</v>
      </c>
      <c r="K952">
        <f t="shared" si="376"/>
        <v>51</v>
      </c>
      <c r="L952">
        <f t="shared" ca="1" si="377"/>
        <v>38818.145858927877</v>
      </c>
      <c r="M952">
        <f t="shared" ca="1" si="355"/>
        <v>201854.35846642498</v>
      </c>
      <c r="N952">
        <f t="shared" ca="1" si="356"/>
        <v>2.5998258663029157</v>
      </c>
      <c r="O952">
        <f t="shared" ca="1" si="357"/>
        <v>2.5265741293608468E-4</v>
      </c>
      <c r="P952">
        <f t="shared" ca="1" si="358"/>
        <v>39450.306858927877</v>
      </c>
      <c r="Q952">
        <f t="shared" ca="1" si="359"/>
        <v>39450.30685893113</v>
      </c>
      <c r="R952">
        <f t="shared" ca="1" si="360"/>
        <v>4.0177933363240504E-12</v>
      </c>
      <c r="S952">
        <f t="shared" ca="1" si="378"/>
        <v>1.0869571633520536E-3</v>
      </c>
      <c r="T952">
        <f t="shared" ca="1" si="379"/>
        <v>0</v>
      </c>
      <c r="U952">
        <f t="shared" ca="1" si="361"/>
        <v>0.05</v>
      </c>
      <c r="V952">
        <f t="shared" ca="1" si="362"/>
        <v>0.26</v>
      </c>
      <c r="W952">
        <f t="shared" ca="1" si="363"/>
        <v>4.9056603773584909E-2</v>
      </c>
      <c r="X952">
        <f t="shared" ca="1" si="364"/>
        <v>196.15384615384616</v>
      </c>
      <c r="Y952">
        <f t="shared" ca="1" si="365"/>
        <v>632.2109999999999</v>
      </c>
      <c r="Z952">
        <f t="shared" ca="1" si="366"/>
        <v>2593.2880316486621</v>
      </c>
      <c r="AA952">
        <f t="shared" ca="1" si="367"/>
        <v>482.07306851378365</v>
      </c>
      <c r="AB952">
        <f t="shared" ca="1" si="368"/>
        <v>482.07256851378361</v>
      </c>
      <c r="AC952">
        <f t="shared" ca="1" si="369"/>
        <v>0</v>
      </c>
      <c r="AD952">
        <f ca="1">IF(V32="Supercritical",L952,U952)</f>
        <v>0.05</v>
      </c>
      <c r="AE952">
        <f t="shared" ca="1" si="370"/>
        <v>632.2109999999999</v>
      </c>
      <c r="AF952">
        <f t="shared" ca="1" si="371"/>
        <v>2593.2880316486621</v>
      </c>
      <c r="AI952">
        <v>0</v>
      </c>
      <c r="AJ952">
        <v>0</v>
      </c>
      <c r="AK952">
        <f t="shared" si="372"/>
        <v>0</v>
      </c>
      <c r="AL952">
        <f t="shared" si="380"/>
        <v>0</v>
      </c>
      <c r="AM952">
        <f t="shared" ca="1" si="373"/>
        <v>280.07692026646265</v>
      </c>
      <c r="AN952" t="str">
        <f t="shared" ca="1" si="374"/>
        <v>Supercritical</v>
      </c>
      <c r="AO952">
        <f ca="1">IF(V32="Supercritical",R952,AA952)</f>
        <v>482.07306851378365</v>
      </c>
    </row>
    <row r="953" spans="1:41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174</v>
      </c>
      <c r="I953">
        <v>0</v>
      </c>
      <c r="J953">
        <f t="shared" si="375"/>
        <v>1</v>
      </c>
      <c r="K953">
        <f t="shared" si="376"/>
        <v>51</v>
      </c>
      <c r="L953">
        <f t="shared" ca="1" si="377"/>
        <v>38818.145858927877</v>
      </c>
      <c r="M953">
        <f t="shared" ca="1" si="355"/>
        <v>201854.35846642498</v>
      </c>
      <c r="N953">
        <f t="shared" ca="1" si="356"/>
        <v>2.5998258663029157</v>
      </c>
      <c r="O953">
        <f t="shared" ca="1" si="357"/>
        <v>2.5265741293608468E-4</v>
      </c>
      <c r="P953">
        <f t="shared" ca="1" si="358"/>
        <v>39450.306358927875</v>
      </c>
      <c r="Q953">
        <f t="shared" ca="1" si="359"/>
        <v>39450.306358931128</v>
      </c>
      <c r="R953">
        <f t="shared" ca="1" si="360"/>
        <v>4.0177933363240504E-12</v>
      </c>
      <c r="S953">
        <f t="shared" ca="1" si="378"/>
        <v>4.999999946448952E-4</v>
      </c>
      <c r="T953">
        <f t="shared" ca="1" si="379"/>
        <v>1</v>
      </c>
      <c r="U953">
        <f t="shared" ca="1" si="361"/>
        <v>0.05</v>
      </c>
      <c r="V953">
        <f t="shared" ca="1" si="362"/>
        <v>0.26</v>
      </c>
      <c r="W953">
        <f t="shared" ca="1" si="363"/>
        <v>4.9056603773584909E-2</v>
      </c>
      <c r="X953">
        <f t="shared" ca="1" si="364"/>
        <v>196.15384615384616</v>
      </c>
      <c r="Y953">
        <f t="shared" ca="1" si="365"/>
        <v>632.21049999999991</v>
      </c>
      <c r="Z953">
        <f t="shared" ca="1" si="366"/>
        <v>2593.287531648662</v>
      </c>
      <c r="AA953">
        <f t="shared" ca="1" si="367"/>
        <v>482.07306851378365</v>
      </c>
      <c r="AB953">
        <f t="shared" ca="1" si="368"/>
        <v>482.07256851378361</v>
      </c>
      <c r="AC953">
        <f t="shared" ca="1" si="369"/>
        <v>0</v>
      </c>
      <c r="AD953">
        <f ca="1">IF(V32="Supercritical",L953,U953)</f>
        <v>0.05</v>
      </c>
      <c r="AE953">
        <f t="shared" ca="1" si="370"/>
        <v>632.21049999999991</v>
      </c>
      <c r="AF953">
        <f t="shared" ca="1" si="371"/>
        <v>2593.287531648662</v>
      </c>
      <c r="AI953">
        <v>0</v>
      </c>
      <c r="AJ953">
        <v>0</v>
      </c>
      <c r="AK953">
        <f t="shared" si="372"/>
        <v>0</v>
      </c>
      <c r="AL953">
        <f t="shared" si="380"/>
        <v>0</v>
      </c>
      <c r="AM953">
        <f t="shared" ca="1" si="373"/>
        <v>280.07692026646265</v>
      </c>
      <c r="AN953" t="str">
        <f t="shared" ca="1" si="374"/>
        <v>Supercritical</v>
      </c>
      <c r="AO953">
        <f ca="1">IF(V32="Supercritical",R953,AA953)</f>
        <v>482.07306851378365</v>
      </c>
    </row>
    <row r="954" spans="1:41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174</v>
      </c>
      <c r="I954">
        <v>0</v>
      </c>
      <c r="J954">
        <f t="shared" si="375"/>
        <v>1</v>
      </c>
      <c r="K954">
        <f t="shared" si="376"/>
        <v>51</v>
      </c>
      <c r="L954">
        <f t="shared" ca="1" si="377"/>
        <v>38818.145271970905</v>
      </c>
      <c r="M954">
        <f t="shared" ca="1" si="355"/>
        <v>201854.35541424871</v>
      </c>
      <c r="N954">
        <f t="shared" ca="1" si="356"/>
        <v>2.5998258663002827</v>
      </c>
      <c r="O954">
        <f t="shared" ca="1" si="357"/>
        <v>2.5265741675643805E-4</v>
      </c>
      <c r="P954">
        <f t="shared" ca="1" si="358"/>
        <v>39450.305271970909</v>
      </c>
      <c r="Q954">
        <f t="shared" ca="1" si="359"/>
        <v>39450.305271974161</v>
      </c>
      <c r="R954">
        <f t="shared" ca="1" si="360"/>
        <v>4.0177934578330575E-12</v>
      </c>
      <c r="S954">
        <f t="shared" ca="1" si="378"/>
        <v>1.0869569596252404E-3</v>
      </c>
      <c r="T954">
        <f t="shared" ca="1" si="379"/>
        <v>0</v>
      </c>
      <c r="U954">
        <f t="shared" ca="1" si="361"/>
        <v>0.05</v>
      </c>
      <c r="V954">
        <f t="shared" ca="1" si="362"/>
        <v>0.26</v>
      </c>
      <c r="W954">
        <f t="shared" ca="1" si="363"/>
        <v>4.9056603773584909E-2</v>
      </c>
      <c r="X954">
        <f t="shared" ca="1" si="364"/>
        <v>196.15384615384616</v>
      </c>
      <c r="Y954">
        <f t="shared" ca="1" si="365"/>
        <v>632.20999999999992</v>
      </c>
      <c r="Z954">
        <f t="shared" ca="1" si="366"/>
        <v>2593.2870316486619</v>
      </c>
      <c r="AA954">
        <f t="shared" ca="1" si="367"/>
        <v>482.07306851378365</v>
      </c>
      <c r="AB954">
        <f t="shared" ca="1" si="368"/>
        <v>482.25233390835183</v>
      </c>
      <c r="AC954">
        <f t="shared" ca="1" si="369"/>
        <v>0</v>
      </c>
      <c r="AD954">
        <f ca="1">IF(V32="Supercritical",L954,U954)</f>
        <v>0.05</v>
      </c>
      <c r="AE954">
        <f t="shared" ca="1" si="370"/>
        <v>632.20999999999992</v>
      </c>
      <c r="AF954">
        <f t="shared" ca="1" si="371"/>
        <v>2593.2870316486619</v>
      </c>
      <c r="AI954">
        <v>0</v>
      </c>
      <c r="AJ954">
        <v>0</v>
      </c>
      <c r="AK954">
        <f t="shared" si="372"/>
        <v>0</v>
      </c>
      <c r="AL954">
        <f t="shared" si="380"/>
        <v>0</v>
      </c>
      <c r="AM954">
        <f t="shared" ca="1" si="373"/>
        <v>280.07692026646265</v>
      </c>
      <c r="AN954" t="str">
        <f t="shared" ca="1" si="374"/>
        <v>Supercritical</v>
      </c>
      <c r="AO954">
        <f ca="1">IF(V32="Supercritical",R954,AA954)</f>
        <v>482.07306851378365</v>
      </c>
    </row>
    <row r="955" spans="1:41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174</v>
      </c>
      <c r="I955">
        <v>5.5E-2</v>
      </c>
      <c r="J955">
        <f t="shared" si="375"/>
        <v>1</v>
      </c>
      <c r="K955">
        <f t="shared" si="376"/>
        <v>51</v>
      </c>
      <c r="L955">
        <f t="shared" ca="1" si="377"/>
        <v>38818.145271970905</v>
      </c>
      <c r="M955">
        <f t="shared" ca="1" si="355"/>
        <v>201854.35541424871</v>
      </c>
      <c r="N955">
        <f t="shared" ca="1" si="356"/>
        <v>2.5998258663002827</v>
      </c>
      <c r="O955">
        <f t="shared" ca="1" si="357"/>
        <v>2.5265741675643805E-4</v>
      </c>
      <c r="P955">
        <f t="shared" ca="1" si="358"/>
        <v>39450.304771970907</v>
      </c>
      <c r="Q955">
        <f t="shared" ca="1" si="359"/>
        <v>39450.304771974159</v>
      </c>
      <c r="R955">
        <f t="shared" ca="1" si="360"/>
        <v>4.0177934578330575E-12</v>
      </c>
      <c r="S955">
        <f t="shared" ca="1" si="378"/>
        <v>4.999999946448952E-4</v>
      </c>
      <c r="T955">
        <f t="shared" ca="1" si="379"/>
        <v>1</v>
      </c>
      <c r="U955">
        <f t="shared" ca="1" si="361"/>
        <v>0.05</v>
      </c>
      <c r="V955">
        <f t="shared" ca="1" si="362"/>
        <v>0.26</v>
      </c>
      <c r="W955">
        <f t="shared" ca="1" si="363"/>
        <v>4.9056603773584909E-2</v>
      </c>
      <c r="X955">
        <f t="shared" ca="1" si="364"/>
        <v>196.15384615384616</v>
      </c>
      <c r="Y955">
        <f t="shared" ca="1" si="365"/>
        <v>632.20949999999993</v>
      </c>
      <c r="Z955">
        <f t="shared" ca="1" si="366"/>
        <v>2593.2865316486623</v>
      </c>
      <c r="AA955">
        <f t="shared" ca="1" si="367"/>
        <v>482.07306851378365</v>
      </c>
      <c r="AB955">
        <f t="shared" ca="1" si="368"/>
        <v>482.73440697685373</v>
      </c>
      <c r="AC955">
        <f t="shared" ca="1" si="369"/>
        <v>0</v>
      </c>
      <c r="AD955">
        <f ca="1">IF(V32="Supercritical",L955,U955)</f>
        <v>0.05</v>
      </c>
      <c r="AE955">
        <f t="shared" ca="1" si="370"/>
        <v>632.20949999999993</v>
      </c>
      <c r="AF955">
        <f t="shared" ca="1" si="371"/>
        <v>2593.2865316486623</v>
      </c>
      <c r="AI955">
        <v>0</v>
      </c>
      <c r="AJ955">
        <v>0</v>
      </c>
      <c r="AK955">
        <f t="shared" si="372"/>
        <v>0</v>
      </c>
      <c r="AL955">
        <f t="shared" si="380"/>
        <v>0</v>
      </c>
      <c r="AM955">
        <f t="shared" ca="1" si="373"/>
        <v>280.07692026646265</v>
      </c>
      <c r="AN955" t="str">
        <f t="shared" ca="1" si="374"/>
        <v>Supercritical</v>
      </c>
      <c r="AO955">
        <f ca="1">IF(V32="Supercritical",R955,AA955)</f>
        <v>482.07306851378365</v>
      </c>
    </row>
    <row r="956" spans="1:41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174</v>
      </c>
      <c r="I956">
        <v>5.5E-2</v>
      </c>
      <c r="J956">
        <f t="shared" si="375"/>
        <v>1.0009999999999764</v>
      </c>
      <c r="K956">
        <f t="shared" si="376"/>
        <v>51</v>
      </c>
      <c r="L956">
        <f t="shared" ca="1" si="377"/>
        <v>38818.144685014093</v>
      </c>
      <c r="M956">
        <f t="shared" ca="1" si="355"/>
        <v>201854.35236207329</v>
      </c>
      <c r="N956">
        <f t="shared" ca="1" si="356"/>
        <v>2.5998258662976497</v>
      </c>
      <c r="O956">
        <f t="shared" ca="1" si="357"/>
        <v>2.526574205767904E-4</v>
      </c>
      <c r="P956">
        <f t="shared" ca="1" si="358"/>
        <v>39450.303685014092</v>
      </c>
      <c r="Q956">
        <f t="shared" ca="1" si="359"/>
        <v>39450.303685017345</v>
      </c>
      <c r="R956">
        <f t="shared" ca="1" si="360"/>
        <v>4.0177935793420346E-12</v>
      </c>
      <c r="S956">
        <f t="shared" ca="1" si="378"/>
        <v>1.0869568068301305E-3</v>
      </c>
      <c r="T956">
        <f t="shared" ca="1" si="379"/>
        <v>0</v>
      </c>
      <c r="U956">
        <f t="shared" ca="1" si="361"/>
        <v>0.05</v>
      </c>
      <c r="V956">
        <f t="shared" ca="1" si="362"/>
        <v>0.26</v>
      </c>
      <c r="W956">
        <f t="shared" ca="1" si="363"/>
        <v>4.9056603773584909E-2</v>
      </c>
      <c r="X956">
        <f t="shared" ca="1" si="364"/>
        <v>196.15384615384616</v>
      </c>
      <c r="Y956">
        <f t="shared" ca="1" si="365"/>
        <v>632.20899999999995</v>
      </c>
      <c r="Z956">
        <f t="shared" ca="1" si="366"/>
        <v>2593.2860316486622</v>
      </c>
      <c r="AA956">
        <f t="shared" ca="1" si="367"/>
        <v>482.07306851378365</v>
      </c>
      <c r="AB956">
        <f t="shared" ca="1" si="368"/>
        <v>482.07256851378361</v>
      </c>
      <c r="AC956">
        <f t="shared" ca="1" si="369"/>
        <v>0</v>
      </c>
      <c r="AD956">
        <f ca="1">IF(V32="Supercritical",L956,U956)</f>
        <v>0.05</v>
      </c>
      <c r="AE956">
        <f t="shared" ca="1" si="370"/>
        <v>632.20899999999995</v>
      </c>
      <c r="AF956">
        <f t="shared" ca="1" si="371"/>
        <v>2593.2860316486622</v>
      </c>
      <c r="AI956">
        <v>0</v>
      </c>
      <c r="AJ956">
        <v>0</v>
      </c>
      <c r="AK956">
        <f t="shared" si="372"/>
        <v>0</v>
      </c>
      <c r="AL956">
        <f t="shared" si="380"/>
        <v>0</v>
      </c>
      <c r="AM956">
        <f t="shared" ca="1" si="373"/>
        <v>280.07692026646265</v>
      </c>
      <c r="AN956" t="str">
        <f t="shared" ca="1" si="374"/>
        <v>Supercritical</v>
      </c>
      <c r="AO956">
        <f ca="1">IF(V32="Supercritical",R956,AA956)</f>
        <v>482.07306851378365</v>
      </c>
    </row>
    <row r="957" spans="1:41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174</v>
      </c>
      <c r="I957">
        <v>0</v>
      </c>
      <c r="J957">
        <f t="shared" si="375"/>
        <v>1</v>
      </c>
      <c r="K957">
        <f t="shared" si="376"/>
        <v>51</v>
      </c>
      <c r="L957">
        <f t="shared" ca="1" si="377"/>
        <v>38818.144685014093</v>
      </c>
      <c r="M957">
        <f t="shared" ca="1" si="355"/>
        <v>201854.35236207329</v>
      </c>
      <c r="N957">
        <f t="shared" ca="1" si="356"/>
        <v>2.5998258662976497</v>
      </c>
      <c r="O957">
        <f t="shared" ca="1" si="357"/>
        <v>2.526574205767904E-4</v>
      </c>
      <c r="P957">
        <f t="shared" ca="1" si="358"/>
        <v>39450.303185014091</v>
      </c>
      <c r="Q957">
        <f t="shared" ca="1" si="359"/>
        <v>39450.303185017343</v>
      </c>
      <c r="R957">
        <f t="shared" ca="1" si="360"/>
        <v>4.0177935793420346E-12</v>
      </c>
      <c r="S957">
        <f t="shared" ca="1" si="378"/>
        <v>4.999999946448952E-4</v>
      </c>
      <c r="T957">
        <f t="shared" ca="1" si="379"/>
        <v>1</v>
      </c>
      <c r="U957">
        <f t="shared" ca="1" si="361"/>
        <v>0.05</v>
      </c>
      <c r="V957">
        <f t="shared" ca="1" si="362"/>
        <v>0.26</v>
      </c>
      <c r="W957">
        <f t="shared" ca="1" si="363"/>
        <v>4.9056603773584909E-2</v>
      </c>
      <c r="X957">
        <f t="shared" ca="1" si="364"/>
        <v>196.15384615384616</v>
      </c>
      <c r="Y957">
        <f t="shared" ca="1" si="365"/>
        <v>632.20849999999996</v>
      </c>
      <c r="Z957">
        <f t="shared" ca="1" si="366"/>
        <v>2593.2855316486621</v>
      </c>
      <c r="AA957">
        <f t="shared" ca="1" si="367"/>
        <v>482.07306851378365</v>
      </c>
      <c r="AB957">
        <f t="shared" ca="1" si="368"/>
        <v>481.77679776328796</v>
      </c>
      <c r="AC957">
        <f t="shared" ca="1" si="369"/>
        <v>0</v>
      </c>
      <c r="AD957">
        <f ca="1">IF(V32="Supercritical",L957,U957)</f>
        <v>0.05</v>
      </c>
      <c r="AE957">
        <f t="shared" ca="1" si="370"/>
        <v>632.20849999999996</v>
      </c>
      <c r="AF957">
        <f t="shared" ca="1" si="371"/>
        <v>2593.2855316486621</v>
      </c>
      <c r="AI957">
        <v>0</v>
      </c>
      <c r="AJ957">
        <v>0</v>
      </c>
      <c r="AK957">
        <f t="shared" si="372"/>
        <v>0</v>
      </c>
      <c r="AL957">
        <f t="shared" si="380"/>
        <v>0</v>
      </c>
      <c r="AM957">
        <f t="shared" ca="1" si="373"/>
        <v>280.07692026646265</v>
      </c>
      <c r="AN957" t="str">
        <f t="shared" ca="1" si="374"/>
        <v>Supercritical</v>
      </c>
      <c r="AO957">
        <f ca="1">IF(V32="Supercritical",R957,AA957)</f>
        <v>482.07306851378365</v>
      </c>
    </row>
    <row r="958" spans="1:41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174</v>
      </c>
      <c r="I958">
        <v>5.7000000000000002E-2</v>
      </c>
      <c r="J958">
        <f t="shared" si="375"/>
        <v>0.99900000000002365</v>
      </c>
      <c r="K958">
        <f t="shared" si="376"/>
        <v>51</v>
      </c>
      <c r="L958">
        <f t="shared" ca="1" si="377"/>
        <v>38818.14409805739</v>
      </c>
      <c r="M958">
        <f t="shared" ca="1" si="355"/>
        <v>201854.34930989845</v>
      </c>
      <c r="N958">
        <f t="shared" ca="1" si="356"/>
        <v>2.5998258662950171</v>
      </c>
      <c r="O958">
        <f t="shared" ca="1" si="357"/>
        <v>2.526574243971422E-4</v>
      </c>
      <c r="P958">
        <f t="shared" ca="1" si="358"/>
        <v>39450.302098057393</v>
      </c>
      <c r="Q958">
        <f t="shared" ca="1" si="359"/>
        <v>39450.302098060645</v>
      </c>
      <c r="R958">
        <f t="shared" ca="1" si="360"/>
        <v>4.0177937008509957E-12</v>
      </c>
      <c r="S958">
        <f t="shared" ca="1" si="378"/>
        <v>1.0869566904148087E-3</v>
      </c>
      <c r="T958">
        <f t="shared" ca="1" si="379"/>
        <v>0</v>
      </c>
      <c r="U958">
        <f t="shared" ca="1" si="361"/>
        <v>0.05</v>
      </c>
      <c r="V958">
        <f t="shared" ca="1" si="362"/>
        <v>0.26</v>
      </c>
      <c r="W958">
        <f t="shared" ca="1" si="363"/>
        <v>4.9056603773584909E-2</v>
      </c>
      <c r="X958">
        <f t="shared" ca="1" si="364"/>
        <v>196.15384615384616</v>
      </c>
      <c r="Y958">
        <f t="shared" ca="1" si="365"/>
        <v>632.20799999999997</v>
      </c>
      <c r="Z958">
        <f t="shared" ca="1" si="366"/>
        <v>2593.285031648662</v>
      </c>
      <c r="AA958">
        <f t="shared" ca="1" si="367"/>
        <v>482.07306851378365</v>
      </c>
      <c r="AB958">
        <f t="shared" ca="1" si="368"/>
        <v>482.25887083179032</v>
      </c>
      <c r="AC958">
        <f t="shared" ca="1" si="369"/>
        <v>0</v>
      </c>
      <c r="AD958">
        <f ca="1">IF(V32="Supercritical",L958,U958)</f>
        <v>0.05</v>
      </c>
      <c r="AE958">
        <f t="shared" ca="1" si="370"/>
        <v>632.20799999999997</v>
      </c>
      <c r="AF958">
        <f t="shared" ca="1" si="371"/>
        <v>2593.285031648662</v>
      </c>
      <c r="AI958">
        <v>0</v>
      </c>
      <c r="AJ958">
        <v>0</v>
      </c>
      <c r="AK958">
        <f t="shared" si="372"/>
        <v>0</v>
      </c>
      <c r="AL958">
        <f t="shared" si="380"/>
        <v>0</v>
      </c>
      <c r="AM958">
        <f t="shared" ca="1" si="373"/>
        <v>280.07692026646265</v>
      </c>
      <c r="AN958" t="str">
        <f t="shared" ca="1" si="374"/>
        <v>Supercritical</v>
      </c>
      <c r="AO958">
        <f ca="1">IF(V32="Supercritical",R958,AA958)</f>
        <v>482.07306851378365</v>
      </c>
    </row>
    <row r="959" spans="1:41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174</v>
      </c>
      <c r="I959">
        <v>5.7000000000000002E-2</v>
      </c>
      <c r="J959">
        <f t="shared" si="375"/>
        <v>1</v>
      </c>
      <c r="K959">
        <f t="shared" si="376"/>
        <v>51</v>
      </c>
      <c r="L959">
        <f t="shared" ca="1" si="377"/>
        <v>38818.14409805739</v>
      </c>
      <c r="M959">
        <f t="shared" ca="1" si="355"/>
        <v>201854.34930989845</v>
      </c>
      <c r="N959">
        <f t="shared" ca="1" si="356"/>
        <v>2.5998258662950171</v>
      </c>
      <c r="O959">
        <f t="shared" ca="1" si="357"/>
        <v>2.526574243971422E-4</v>
      </c>
      <c r="P959">
        <f t="shared" ca="1" si="358"/>
        <v>39450.301598057391</v>
      </c>
      <c r="Q959">
        <f t="shared" ca="1" si="359"/>
        <v>39450.301598060643</v>
      </c>
      <c r="R959">
        <f t="shared" ca="1" si="360"/>
        <v>4.0177937008509957E-12</v>
      </c>
      <c r="S959">
        <f t="shared" ca="1" si="378"/>
        <v>4.999999946448952E-4</v>
      </c>
      <c r="T959">
        <f t="shared" ca="1" si="379"/>
        <v>1</v>
      </c>
      <c r="U959">
        <f t="shared" ca="1" si="361"/>
        <v>0.05</v>
      </c>
      <c r="V959">
        <f t="shared" ca="1" si="362"/>
        <v>0.26</v>
      </c>
      <c r="W959">
        <f t="shared" ca="1" si="363"/>
        <v>4.9056603773584909E-2</v>
      </c>
      <c r="X959">
        <f t="shared" ca="1" si="364"/>
        <v>196.15384615384616</v>
      </c>
      <c r="Y959">
        <f t="shared" ca="1" si="365"/>
        <v>632.20749999999998</v>
      </c>
      <c r="Z959">
        <f t="shared" ca="1" si="366"/>
        <v>2593.2845316486619</v>
      </c>
      <c r="AA959">
        <f t="shared" ca="1" si="367"/>
        <v>482.07306851378365</v>
      </c>
      <c r="AB959">
        <f t="shared" ca="1" si="368"/>
        <v>482.07256851378406</v>
      </c>
      <c r="AC959">
        <f t="shared" ca="1" si="369"/>
        <v>0</v>
      </c>
      <c r="AD959">
        <f ca="1">IF(V32="Supercritical",L959,U959)</f>
        <v>0.05</v>
      </c>
      <c r="AE959">
        <f t="shared" ca="1" si="370"/>
        <v>632.20749999999998</v>
      </c>
      <c r="AF959">
        <f t="shared" ca="1" si="371"/>
        <v>2593.2845316486619</v>
      </c>
      <c r="AI959">
        <v>0</v>
      </c>
      <c r="AJ959">
        <v>0</v>
      </c>
      <c r="AK959">
        <f t="shared" si="372"/>
        <v>0</v>
      </c>
      <c r="AL959">
        <f t="shared" si="380"/>
        <v>0</v>
      </c>
      <c r="AM959">
        <f t="shared" ca="1" si="373"/>
        <v>280.07692026646265</v>
      </c>
      <c r="AN959" t="str">
        <f t="shared" ca="1" si="374"/>
        <v>Supercritical</v>
      </c>
      <c r="AO959">
        <f ca="1">IF(V32="Supercritical",R959,AA959)</f>
        <v>482.07306851378365</v>
      </c>
    </row>
    <row r="960" spans="1:41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174</v>
      </c>
      <c r="I960">
        <v>0</v>
      </c>
      <c r="J960">
        <f t="shared" si="375"/>
        <v>1</v>
      </c>
      <c r="K960">
        <f t="shared" si="376"/>
        <v>51</v>
      </c>
      <c r="L960">
        <f t="shared" ca="1" si="377"/>
        <v>38818.143511100774</v>
      </c>
      <c r="M960">
        <f t="shared" ca="1" si="355"/>
        <v>201854.34625772404</v>
      </c>
      <c r="N960">
        <f t="shared" ca="1" si="356"/>
        <v>2.5998258662923841</v>
      </c>
      <c r="O960">
        <f t="shared" ca="1" si="357"/>
        <v>2.5265742821749357E-4</v>
      </c>
      <c r="P960">
        <f t="shared" ca="1" si="358"/>
        <v>39450.300511100773</v>
      </c>
      <c r="Q960">
        <f t="shared" ca="1" si="359"/>
        <v>39450.300511104026</v>
      </c>
      <c r="R960">
        <f t="shared" ca="1" si="360"/>
        <v>4.0177938223599446E-12</v>
      </c>
      <c r="S960">
        <f t="shared" ca="1" si="378"/>
        <v>1.0869566103792749E-3</v>
      </c>
      <c r="T960">
        <f t="shared" ca="1" si="379"/>
        <v>0</v>
      </c>
      <c r="U960">
        <f t="shared" ca="1" si="361"/>
        <v>0.05</v>
      </c>
      <c r="V960">
        <f t="shared" ca="1" si="362"/>
        <v>0.26</v>
      </c>
      <c r="W960">
        <f t="shared" ca="1" si="363"/>
        <v>4.9056603773584909E-2</v>
      </c>
      <c r="X960">
        <f t="shared" ca="1" si="364"/>
        <v>196.15384615384616</v>
      </c>
      <c r="Y960">
        <f t="shared" ca="1" si="365"/>
        <v>632.20699999999999</v>
      </c>
      <c r="Z960">
        <f t="shared" ca="1" si="366"/>
        <v>2593.2840316486622</v>
      </c>
      <c r="AA960">
        <f t="shared" ca="1" si="367"/>
        <v>482.07306851378365</v>
      </c>
      <c r="AB960">
        <f t="shared" ca="1" si="368"/>
        <v>482.07256851378361</v>
      </c>
      <c r="AC960">
        <f t="shared" ca="1" si="369"/>
        <v>0</v>
      </c>
      <c r="AD960">
        <f ca="1">IF(V32="Supercritical",L960,U960)</f>
        <v>0.05</v>
      </c>
      <c r="AE960">
        <f t="shared" ca="1" si="370"/>
        <v>632.20699999999999</v>
      </c>
      <c r="AF960">
        <f t="shared" ca="1" si="371"/>
        <v>2593.2840316486622</v>
      </c>
      <c r="AI960">
        <v>0</v>
      </c>
      <c r="AJ960">
        <v>0</v>
      </c>
      <c r="AK960">
        <f t="shared" si="372"/>
        <v>0</v>
      </c>
      <c r="AL960">
        <f t="shared" si="380"/>
        <v>0</v>
      </c>
      <c r="AM960">
        <f t="shared" ca="1" si="373"/>
        <v>280.07692026646265</v>
      </c>
      <c r="AN960" t="str">
        <f t="shared" ca="1" si="374"/>
        <v>Supercritical</v>
      </c>
      <c r="AO960">
        <f ca="1">IF(V32="Supercritical",R960,AA960)</f>
        <v>482.07306851378365</v>
      </c>
    </row>
    <row r="961" spans="1:41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174</v>
      </c>
      <c r="I961">
        <v>0</v>
      </c>
      <c r="J961">
        <f t="shared" si="375"/>
        <v>1</v>
      </c>
      <c r="K961">
        <f t="shared" si="376"/>
        <v>51</v>
      </c>
      <c r="L961">
        <f t="shared" ca="1" si="377"/>
        <v>38818.143511100774</v>
      </c>
      <c r="M961">
        <f t="shared" ca="1" si="355"/>
        <v>201854.34625772404</v>
      </c>
      <c r="N961">
        <f t="shared" ca="1" si="356"/>
        <v>2.5998258662923841</v>
      </c>
      <c r="O961">
        <f t="shared" ca="1" si="357"/>
        <v>2.5265742821749357E-4</v>
      </c>
      <c r="P961">
        <f t="shared" ca="1" si="358"/>
        <v>39450.300011100771</v>
      </c>
      <c r="Q961">
        <f t="shared" ca="1" si="359"/>
        <v>39450.300011104024</v>
      </c>
      <c r="R961">
        <f t="shared" ca="1" si="360"/>
        <v>4.0177938223599446E-12</v>
      </c>
      <c r="S961">
        <f t="shared" ca="1" si="378"/>
        <v>4.999999946448952E-4</v>
      </c>
      <c r="T961">
        <f t="shared" ca="1" si="379"/>
        <v>1</v>
      </c>
      <c r="U961">
        <f t="shared" ca="1" si="361"/>
        <v>0.05</v>
      </c>
      <c r="V961">
        <f t="shared" ca="1" si="362"/>
        <v>0.26</v>
      </c>
      <c r="W961">
        <f t="shared" ca="1" si="363"/>
        <v>4.9056603773584909E-2</v>
      </c>
      <c r="X961">
        <f t="shared" ca="1" si="364"/>
        <v>196.15384615384616</v>
      </c>
      <c r="Y961">
        <f t="shared" ca="1" si="365"/>
        <v>632.20650000000001</v>
      </c>
      <c r="Z961">
        <f t="shared" ca="1" si="366"/>
        <v>2593.2835316486621</v>
      </c>
      <c r="AA961">
        <f t="shared" ca="1" si="367"/>
        <v>482.07306851378365</v>
      </c>
      <c r="AB961">
        <f t="shared" ca="1" si="368"/>
        <v>482.25887083179032</v>
      </c>
      <c r="AC961">
        <f t="shared" ca="1" si="369"/>
        <v>0</v>
      </c>
      <c r="AD961">
        <f ca="1">IF(V32="Supercritical",L961,U961)</f>
        <v>0.05</v>
      </c>
      <c r="AE961">
        <f t="shared" ca="1" si="370"/>
        <v>632.20650000000001</v>
      </c>
      <c r="AF961">
        <f t="shared" ca="1" si="371"/>
        <v>2593.2835316486621</v>
      </c>
      <c r="AI961">
        <v>0</v>
      </c>
      <c r="AJ961">
        <v>0</v>
      </c>
      <c r="AK961">
        <f t="shared" si="372"/>
        <v>0</v>
      </c>
      <c r="AL961">
        <f t="shared" si="380"/>
        <v>0</v>
      </c>
      <c r="AM961">
        <f t="shared" ca="1" si="373"/>
        <v>280.07692026646265</v>
      </c>
      <c r="AN961" t="str">
        <f t="shared" ca="1" si="374"/>
        <v>Supercritical</v>
      </c>
      <c r="AO961">
        <f ca="1">IF(V32="Supercritical",R961,AA961)</f>
        <v>482.07306851378365</v>
      </c>
    </row>
    <row r="962" spans="1:41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174</v>
      </c>
      <c r="I962">
        <v>5.7000000000000002E-2</v>
      </c>
      <c r="J962">
        <f t="shared" si="375"/>
        <v>1</v>
      </c>
      <c r="K962">
        <f t="shared" si="376"/>
        <v>51</v>
      </c>
      <c r="L962">
        <f t="shared" ca="1" si="377"/>
        <v>38818.142924144195</v>
      </c>
      <c r="M962">
        <f t="shared" ca="1" si="355"/>
        <v>201854.34320554981</v>
      </c>
      <c r="N962">
        <f t="shared" ca="1" si="356"/>
        <v>2.5998258662897511</v>
      </c>
      <c r="O962">
        <f t="shared" ca="1" si="357"/>
        <v>2.5265743203784478E-4</v>
      </c>
      <c r="P962">
        <f t="shared" ca="1" si="358"/>
        <v>39450.298924144197</v>
      </c>
      <c r="Q962">
        <f t="shared" ca="1" si="359"/>
        <v>39450.29892414745</v>
      </c>
      <c r="R962">
        <f t="shared" ca="1" si="360"/>
        <v>4.0177939438688927E-12</v>
      </c>
      <c r="S962">
        <f t="shared" ca="1" si="378"/>
        <v>1.0869565667235292E-3</v>
      </c>
      <c r="T962">
        <f t="shared" ca="1" si="379"/>
        <v>0</v>
      </c>
      <c r="U962">
        <f t="shared" ca="1" si="361"/>
        <v>0.05</v>
      </c>
      <c r="V962">
        <f t="shared" ca="1" si="362"/>
        <v>0.26</v>
      </c>
      <c r="W962">
        <f t="shared" ca="1" si="363"/>
        <v>4.9056603773584909E-2</v>
      </c>
      <c r="X962">
        <f t="shared" ca="1" si="364"/>
        <v>196.15384615384616</v>
      </c>
      <c r="Y962">
        <f t="shared" ca="1" si="365"/>
        <v>632.2059999999999</v>
      </c>
      <c r="Z962">
        <f t="shared" ca="1" si="366"/>
        <v>2593.283031648662</v>
      </c>
      <c r="AA962">
        <f t="shared" ca="1" si="367"/>
        <v>482.07306851378365</v>
      </c>
      <c r="AB962">
        <f t="shared" ca="1" si="368"/>
        <v>482.25887083179032</v>
      </c>
      <c r="AC962">
        <f t="shared" ca="1" si="369"/>
        <v>0</v>
      </c>
      <c r="AD962">
        <f ca="1">IF(V32="Supercritical",L962,U962)</f>
        <v>0.05</v>
      </c>
      <c r="AE962">
        <f t="shared" ca="1" si="370"/>
        <v>632.2059999999999</v>
      </c>
      <c r="AF962">
        <f t="shared" ca="1" si="371"/>
        <v>2593.283031648662</v>
      </c>
      <c r="AI962">
        <v>0</v>
      </c>
      <c r="AJ962">
        <v>0</v>
      </c>
      <c r="AK962">
        <f t="shared" si="372"/>
        <v>0</v>
      </c>
      <c r="AL962">
        <f t="shared" si="380"/>
        <v>0</v>
      </c>
      <c r="AM962">
        <f t="shared" ca="1" si="373"/>
        <v>280.07692026646265</v>
      </c>
      <c r="AN962" t="str">
        <f t="shared" ca="1" si="374"/>
        <v>Supercritical</v>
      </c>
      <c r="AO962">
        <f ca="1">IF(V32="Supercritical",R962,AA962)</f>
        <v>482.07306851378365</v>
      </c>
    </row>
    <row r="963" spans="1:41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174</v>
      </c>
      <c r="I963">
        <v>5.7000000000000002E-2</v>
      </c>
      <c r="J963">
        <f t="shared" si="375"/>
        <v>1</v>
      </c>
      <c r="K963">
        <f t="shared" si="376"/>
        <v>51</v>
      </c>
      <c r="L963">
        <f t="shared" ca="1" si="377"/>
        <v>38818.142924144195</v>
      </c>
      <c r="M963">
        <f t="shared" ca="1" si="355"/>
        <v>201854.34320554981</v>
      </c>
      <c r="N963">
        <f t="shared" ca="1" si="356"/>
        <v>2.5998258662897511</v>
      </c>
      <c r="O963">
        <f t="shared" ca="1" si="357"/>
        <v>2.5265743203784478E-4</v>
      </c>
      <c r="P963">
        <f t="shared" ca="1" si="358"/>
        <v>39450.298424144195</v>
      </c>
      <c r="Q963">
        <f t="shared" ca="1" si="359"/>
        <v>39450.298424147448</v>
      </c>
      <c r="R963">
        <f t="shared" ca="1" si="360"/>
        <v>4.0177939438688927E-12</v>
      </c>
      <c r="S963">
        <f t="shared" ca="1" si="378"/>
        <v>4.999999946448952E-4</v>
      </c>
      <c r="T963">
        <f t="shared" ca="1" si="379"/>
        <v>1</v>
      </c>
      <c r="U963">
        <f t="shared" ca="1" si="361"/>
        <v>0.05</v>
      </c>
      <c r="V963">
        <f t="shared" ca="1" si="362"/>
        <v>0.26</v>
      </c>
      <c r="W963">
        <f t="shared" ca="1" si="363"/>
        <v>4.9056603773584909E-2</v>
      </c>
      <c r="X963">
        <f t="shared" ca="1" si="364"/>
        <v>196.15384615384616</v>
      </c>
      <c r="Y963">
        <f t="shared" ca="1" si="365"/>
        <v>632.20549999999992</v>
      </c>
      <c r="Z963">
        <f t="shared" ca="1" si="366"/>
        <v>2593.2825316486619</v>
      </c>
      <c r="AA963">
        <f t="shared" ca="1" si="367"/>
        <v>482.07306851378365</v>
      </c>
      <c r="AB963">
        <f t="shared" ca="1" si="368"/>
        <v>482.07910543722301</v>
      </c>
      <c r="AC963">
        <f t="shared" ca="1" si="369"/>
        <v>0</v>
      </c>
      <c r="AD963">
        <f ca="1">IF(V32="Supercritical",L963,U963)</f>
        <v>0.05</v>
      </c>
      <c r="AE963">
        <f t="shared" ca="1" si="370"/>
        <v>632.20549999999992</v>
      </c>
      <c r="AF963">
        <f t="shared" ca="1" si="371"/>
        <v>2593.2825316486619</v>
      </c>
      <c r="AI963">
        <v>0</v>
      </c>
      <c r="AJ963">
        <v>0</v>
      </c>
      <c r="AK963">
        <f t="shared" si="372"/>
        <v>0</v>
      </c>
      <c r="AL963">
        <f t="shared" si="380"/>
        <v>0</v>
      </c>
      <c r="AM963">
        <f t="shared" ca="1" si="373"/>
        <v>280.07692026646265</v>
      </c>
      <c r="AN963" t="str">
        <f t="shared" ca="1" si="374"/>
        <v>Supercritical</v>
      </c>
      <c r="AO963">
        <f ca="1">IF(V32="Supercritical",R963,AA963)</f>
        <v>482.07306851378365</v>
      </c>
    </row>
    <row r="964" spans="1:41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174</v>
      </c>
      <c r="I964">
        <v>2E-3</v>
      </c>
      <c r="J964">
        <f t="shared" si="375"/>
        <v>1</v>
      </c>
      <c r="K964">
        <f t="shared" si="376"/>
        <v>51</v>
      </c>
      <c r="L964">
        <f t="shared" ca="1" si="377"/>
        <v>38818.142337187644</v>
      </c>
      <c r="M964">
        <f t="shared" ca="1" si="355"/>
        <v>201854.34015337576</v>
      </c>
      <c r="N964">
        <f t="shared" ca="1" si="356"/>
        <v>2.5998258662871185</v>
      </c>
      <c r="O964">
        <f t="shared" ca="1" si="357"/>
        <v>2.5265743585819593E-4</v>
      </c>
      <c r="P964">
        <f t="shared" ca="1" si="358"/>
        <v>39450.297337187643</v>
      </c>
      <c r="Q964">
        <f t="shared" ca="1" si="359"/>
        <v>39450.297337190896</v>
      </c>
      <c r="R964">
        <f t="shared" ca="1" si="360"/>
        <v>4.0177940653778384E-12</v>
      </c>
      <c r="S964">
        <f t="shared" ca="1" si="378"/>
        <v>1.0869565448956564E-3</v>
      </c>
      <c r="T964">
        <f t="shared" ca="1" si="379"/>
        <v>0</v>
      </c>
      <c r="U964">
        <f t="shared" ca="1" si="361"/>
        <v>0.05</v>
      </c>
      <c r="V964">
        <f t="shared" ca="1" si="362"/>
        <v>0.26</v>
      </c>
      <c r="W964">
        <f t="shared" ca="1" si="363"/>
        <v>4.9056603773584909E-2</v>
      </c>
      <c r="X964">
        <f t="shared" ca="1" si="364"/>
        <v>196.15384615384616</v>
      </c>
      <c r="Y964">
        <f t="shared" ca="1" si="365"/>
        <v>632.20499999999993</v>
      </c>
      <c r="Z964">
        <f t="shared" ca="1" si="366"/>
        <v>2593.2820316486623</v>
      </c>
      <c r="AA964">
        <f t="shared" ca="1" si="367"/>
        <v>482.07306851378365</v>
      </c>
      <c r="AB964">
        <f t="shared" ca="1" si="368"/>
        <v>482.56117850572491</v>
      </c>
      <c r="AC964">
        <f t="shared" ca="1" si="369"/>
        <v>0</v>
      </c>
      <c r="AD964">
        <f ca="1">IF(V32="Supercritical",L964,U964)</f>
        <v>0.05</v>
      </c>
      <c r="AE964">
        <f t="shared" ca="1" si="370"/>
        <v>632.20499999999993</v>
      </c>
      <c r="AF964">
        <f t="shared" ca="1" si="371"/>
        <v>2593.2820316486623</v>
      </c>
      <c r="AI964">
        <v>0</v>
      </c>
      <c r="AJ964">
        <v>0</v>
      </c>
      <c r="AK964">
        <f t="shared" si="372"/>
        <v>0</v>
      </c>
      <c r="AL964">
        <f t="shared" si="380"/>
        <v>0</v>
      </c>
      <c r="AM964">
        <f t="shared" ca="1" si="373"/>
        <v>280.07692026646265</v>
      </c>
      <c r="AN964" t="str">
        <f t="shared" ca="1" si="374"/>
        <v>Supercritical</v>
      </c>
      <c r="AO964">
        <f ca="1">IF(V32="Supercritical",R964,AA964)</f>
        <v>482.07306851378365</v>
      </c>
    </row>
    <row r="965" spans="1:41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174</v>
      </c>
      <c r="I965">
        <v>2E-3</v>
      </c>
      <c r="J965">
        <f t="shared" si="375"/>
        <v>1.0009999999999764</v>
      </c>
      <c r="K965">
        <f t="shared" si="376"/>
        <v>51</v>
      </c>
      <c r="L965">
        <f t="shared" ca="1" si="377"/>
        <v>38818.142337187644</v>
      </c>
      <c r="M965">
        <f t="shared" ca="1" si="355"/>
        <v>201854.34015337576</v>
      </c>
      <c r="N965">
        <f t="shared" ca="1" si="356"/>
        <v>2.5998258662871185</v>
      </c>
      <c r="O965">
        <f t="shared" ca="1" si="357"/>
        <v>2.5265743585819593E-4</v>
      </c>
      <c r="P965">
        <f t="shared" ca="1" si="358"/>
        <v>39450.296837187641</v>
      </c>
      <c r="Q965">
        <f t="shared" ca="1" si="359"/>
        <v>39450.296837190894</v>
      </c>
      <c r="R965">
        <f t="shared" ca="1" si="360"/>
        <v>4.0177940653778384E-12</v>
      </c>
      <c r="S965">
        <f t="shared" ca="1" si="378"/>
        <v>4.999999946448952E-4</v>
      </c>
      <c r="T965">
        <f t="shared" ca="1" si="379"/>
        <v>1</v>
      </c>
      <c r="U965">
        <f t="shared" ca="1" si="361"/>
        <v>0.05</v>
      </c>
      <c r="V965">
        <f t="shared" ca="1" si="362"/>
        <v>0.26</v>
      </c>
      <c r="W965">
        <f t="shared" ca="1" si="363"/>
        <v>4.9056603773584909E-2</v>
      </c>
      <c r="X965">
        <f t="shared" ca="1" si="364"/>
        <v>196.15384615384616</v>
      </c>
      <c r="Y965">
        <f t="shared" ca="1" si="365"/>
        <v>632.20449999999994</v>
      </c>
      <c r="Z965">
        <f t="shared" ca="1" si="366"/>
        <v>2593.2815316486622</v>
      </c>
      <c r="AA965">
        <f t="shared" ca="1" si="367"/>
        <v>482.07306851378365</v>
      </c>
      <c r="AB965">
        <f t="shared" ca="1" si="368"/>
        <v>482.25887083179032</v>
      </c>
      <c r="AC965">
        <f t="shared" ca="1" si="369"/>
        <v>0</v>
      </c>
      <c r="AD965">
        <f ca="1">IF(V32="Supercritical",L965,U965)</f>
        <v>0.05</v>
      </c>
      <c r="AE965">
        <f t="shared" ca="1" si="370"/>
        <v>632.20449999999994</v>
      </c>
      <c r="AF965">
        <f t="shared" ca="1" si="371"/>
        <v>2593.2815316486622</v>
      </c>
      <c r="AI965">
        <v>0</v>
      </c>
      <c r="AJ965">
        <v>0</v>
      </c>
      <c r="AK965">
        <f t="shared" si="372"/>
        <v>0</v>
      </c>
      <c r="AL965">
        <f t="shared" si="380"/>
        <v>0</v>
      </c>
      <c r="AM965">
        <f t="shared" ca="1" si="373"/>
        <v>280.07692026646265</v>
      </c>
      <c r="AN965" t="str">
        <f t="shared" ca="1" si="374"/>
        <v>Supercritical</v>
      </c>
      <c r="AO965">
        <f ca="1">IF(V32="Supercritical",R965,AA965)</f>
        <v>482.07306851378365</v>
      </c>
    </row>
    <row r="966" spans="1:41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174</v>
      </c>
      <c r="I966">
        <v>5.7000000000000002E-2</v>
      </c>
      <c r="J966">
        <f t="shared" si="375"/>
        <v>1</v>
      </c>
      <c r="K966">
        <f t="shared" si="376"/>
        <v>51</v>
      </c>
      <c r="L966">
        <f t="shared" ca="1" si="377"/>
        <v>38818.14175023108</v>
      </c>
      <c r="M966">
        <f t="shared" ca="1" si="355"/>
        <v>201854.33710120161</v>
      </c>
      <c r="N966">
        <f t="shared" ca="1" si="356"/>
        <v>2.5998258662844855</v>
      </c>
      <c r="O966">
        <f t="shared" ca="1" si="357"/>
        <v>2.526574396785473E-4</v>
      </c>
      <c r="P966">
        <f t="shared" ca="1" si="358"/>
        <v>39450.295750231082</v>
      </c>
      <c r="Q966">
        <f t="shared" ca="1" si="359"/>
        <v>39450.295750234334</v>
      </c>
      <c r="R966">
        <f t="shared" ca="1" si="360"/>
        <v>4.0177941868867954E-12</v>
      </c>
      <c r="S966">
        <f t="shared" ca="1" si="378"/>
        <v>1.086956552171614E-3</v>
      </c>
      <c r="T966">
        <f t="shared" ca="1" si="379"/>
        <v>0</v>
      </c>
      <c r="U966">
        <f t="shared" ca="1" si="361"/>
        <v>0.05</v>
      </c>
      <c r="V966">
        <f t="shared" ca="1" si="362"/>
        <v>0.26</v>
      </c>
      <c r="W966">
        <f t="shared" ca="1" si="363"/>
        <v>4.9056603773584909E-2</v>
      </c>
      <c r="X966">
        <f t="shared" ca="1" si="364"/>
        <v>196.15384615384616</v>
      </c>
      <c r="Y966">
        <f t="shared" ca="1" si="365"/>
        <v>632.20399999999995</v>
      </c>
      <c r="Z966">
        <f t="shared" ca="1" si="366"/>
        <v>2593.2810316486621</v>
      </c>
      <c r="AA966">
        <f t="shared" ca="1" si="367"/>
        <v>482.07306851378365</v>
      </c>
      <c r="AB966">
        <f t="shared" ca="1" si="368"/>
        <v>482.25887083179032</v>
      </c>
      <c r="AC966">
        <f t="shared" ca="1" si="369"/>
        <v>0</v>
      </c>
      <c r="AD966">
        <f ca="1">IF(V32="Supercritical",L966,U966)</f>
        <v>0.05</v>
      </c>
      <c r="AE966">
        <f t="shared" ca="1" si="370"/>
        <v>632.20399999999995</v>
      </c>
      <c r="AF966">
        <f t="shared" ca="1" si="371"/>
        <v>2593.2810316486621</v>
      </c>
      <c r="AI966">
        <v>0</v>
      </c>
      <c r="AJ966">
        <v>0</v>
      </c>
      <c r="AK966">
        <f t="shared" si="372"/>
        <v>0</v>
      </c>
      <c r="AL966">
        <f t="shared" si="380"/>
        <v>0</v>
      </c>
      <c r="AM966">
        <f t="shared" ca="1" si="373"/>
        <v>280.07692026646265</v>
      </c>
      <c r="AN966" t="str">
        <f t="shared" ca="1" si="374"/>
        <v>Supercritical</v>
      </c>
      <c r="AO966">
        <f ca="1">IF(V32="Supercritical",R966,AA966)</f>
        <v>482.07306851378365</v>
      </c>
    </row>
    <row r="967" spans="1:41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174</v>
      </c>
      <c r="I967">
        <v>5.7000000000000002E-2</v>
      </c>
      <c r="J967">
        <f t="shared" si="375"/>
        <v>1</v>
      </c>
      <c r="K967">
        <f t="shared" si="376"/>
        <v>51</v>
      </c>
      <c r="L967">
        <f t="shared" ca="1" si="377"/>
        <v>38818.14175023108</v>
      </c>
      <c r="M967">
        <f t="shared" ca="1" si="355"/>
        <v>201854.33710120161</v>
      </c>
      <c r="N967">
        <f t="shared" ca="1" si="356"/>
        <v>2.5998258662844855</v>
      </c>
      <c r="O967">
        <f t="shared" ca="1" si="357"/>
        <v>2.526574396785473E-4</v>
      </c>
      <c r="P967">
        <f t="shared" ca="1" si="358"/>
        <v>39450.29525023108</v>
      </c>
      <c r="Q967">
        <f t="shared" ca="1" si="359"/>
        <v>39450.295250234332</v>
      </c>
      <c r="R967">
        <f t="shared" ca="1" si="360"/>
        <v>4.0177941868867954E-12</v>
      </c>
      <c r="S967">
        <f t="shared" ca="1" si="378"/>
        <v>4.999999946448952E-4</v>
      </c>
      <c r="T967">
        <f t="shared" ca="1" si="379"/>
        <v>1</v>
      </c>
      <c r="U967">
        <f t="shared" ca="1" si="361"/>
        <v>0.05</v>
      </c>
      <c r="V967">
        <f t="shared" ca="1" si="362"/>
        <v>0.26</v>
      </c>
      <c r="W967">
        <f t="shared" ca="1" si="363"/>
        <v>4.9056603773584909E-2</v>
      </c>
      <c r="X967">
        <f t="shared" ca="1" si="364"/>
        <v>196.15384615384616</v>
      </c>
      <c r="Y967">
        <f t="shared" ca="1" si="365"/>
        <v>632.20349999999996</v>
      </c>
      <c r="Z967">
        <f t="shared" ca="1" si="366"/>
        <v>2593.280531648662</v>
      </c>
      <c r="AA967">
        <f t="shared" ca="1" si="367"/>
        <v>482.07306851378365</v>
      </c>
      <c r="AB967">
        <f t="shared" ca="1" si="368"/>
        <v>481.59049544528125</v>
      </c>
      <c r="AC967">
        <f t="shared" ca="1" si="369"/>
        <v>0</v>
      </c>
      <c r="AD967">
        <f ca="1">IF(V32="Supercritical",L967,U967)</f>
        <v>0.05</v>
      </c>
      <c r="AE967">
        <f t="shared" ca="1" si="370"/>
        <v>632.20349999999996</v>
      </c>
      <c r="AF967">
        <f t="shared" ca="1" si="371"/>
        <v>2593.280531648662</v>
      </c>
      <c r="AI967">
        <v>0</v>
      </c>
      <c r="AJ967">
        <v>0</v>
      </c>
      <c r="AK967">
        <f t="shared" si="372"/>
        <v>0</v>
      </c>
      <c r="AL967">
        <f t="shared" si="380"/>
        <v>0</v>
      </c>
      <c r="AM967">
        <f t="shared" ca="1" si="373"/>
        <v>280.07692026646265</v>
      </c>
      <c r="AN967" t="str">
        <f t="shared" ca="1" si="374"/>
        <v>Supercritical</v>
      </c>
      <c r="AO967">
        <f ca="1">IF(V32="Supercritical",R967,AA967)</f>
        <v>482.07306851378365</v>
      </c>
    </row>
    <row r="968" spans="1:41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174</v>
      </c>
      <c r="I968">
        <v>0</v>
      </c>
      <c r="J968">
        <f t="shared" si="375"/>
        <v>0.99900000000002365</v>
      </c>
      <c r="K968">
        <f t="shared" si="376"/>
        <v>51</v>
      </c>
      <c r="L968">
        <f t="shared" ca="1" si="377"/>
        <v>38818.141163274529</v>
      </c>
      <c r="M968">
        <f t="shared" ca="1" si="355"/>
        <v>201854.33404902756</v>
      </c>
      <c r="N968">
        <f t="shared" ca="1" si="356"/>
        <v>2.5998258662818525</v>
      </c>
      <c r="O968">
        <f t="shared" ca="1" si="357"/>
        <v>2.5265744349889867E-4</v>
      </c>
      <c r="P968">
        <f t="shared" ca="1" si="358"/>
        <v>39450.294163274528</v>
      </c>
      <c r="Q968">
        <f t="shared" ca="1" si="359"/>
        <v>39450.29416327778</v>
      </c>
      <c r="R968">
        <f t="shared" ca="1" si="360"/>
        <v>4.0177943083957516E-12</v>
      </c>
      <c r="S968">
        <f t="shared" ca="1" si="378"/>
        <v>1.0869565448956564E-3</v>
      </c>
      <c r="T968">
        <f t="shared" ca="1" si="379"/>
        <v>0</v>
      </c>
      <c r="U968">
        <f t="shared" ca="1" si="361"/>
        <v>0.05</v>
      </c>
      <c r="V968">
        <f t="shared" ca="1" si="362"/>
        <v>0.26</v>
      </c>
      <c r="W968">
        <f t="shared" ca="1" si="363"/>
        <v>4.9056603773584909E-2</v>
      </c>
      <c r="X968">
        <f t="shared" ca="1" si="364"/>
        <v>196.15384615384616</v>
      </c>
      <c r="Y968">
        <f t="shared" ca="1" si="365"/>
        <v>632.20299999999997</v>
      </c>
      <c r="Z968">
        <f t="shared" ca="1" si="366"/>
        <v>2593.2800316486619</v>
      </c>
      <c r="AA968">
        <f t="shared" ca="1" si="367"/>
        <v>482.07306851378365</v>
      </c>
      <c r="AB968">
        <f t="shared" ca="1" si="368"/>
        <v>482.07256851378406</v>
      </c>
      <c r="AC968">
        <f t="shared" ca="1" si="369"/>
        <v>0</v>
      </c>
      <c r="AD968">
        <f ca="1">IF(V32="Supercritical",L968,U968)</f>
        <v>0.05</v>
      </c>
      <c r="AE968">
        <f t="shared" ca="1" si="370"/>
        <v>632.20299999999997</v>
      </c>
      <c r="AF968">
        <f t="shared" ca="1" si="371"/>
        <v>2593.2800316486619</v>
      </c>
      <c r="AI968">
        <v>0</v>
      </c>
      <c r="AJ968">
        <v>0</v>
      </c>
      <c r="AK968">
        <f t="shared" si="372"/>
        <v>0</v>
      </c>
      <c r="AL968">
        <f t="shared" si="380"/>
        <v>0</v>
      </c>
      <c r="AM968">
        <f t="shared" ca="1" si="373"/>
        <v>280.07692026646265</v>
      </c>
      <c r="AN968" t="str">
        <f t="shared" ca="1" si="374"/>
        <v>Supercritical</v>
      </c>
      <c r="AO968">
        <f ca="1">IF(V32="Supercritical",R968,AA968)</f>
        <v>482.07306851378365</v>
      </c>
    </row>
    <row r="969" spans="1:41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174</v>
      </c>
      <c r="I969">
        <v>0</v>
      </c>
      <c r="J969">
        <f t="shared" si="375"/>
        <v>1</v>
      </c>
      <c r="K969">
        <f t="shared" si="376"/>
        <v>51</v>
      </c>
      <c r="L969">
        <f t="shared" ca="1" si="377"/>
        <v>38818.141163274529</v>
      </c>
      <c r="M969">
        <f t="shared" ca="1" si="355"/>
        <v>201854.33404902756</v>
      </c>
      <c r="N969">
        <f t="shared" ca="1" si="356"/>
        <v>2.5998258662818525</v>
      </c>
      <c r="O969">
        <f t="shared" ca="1" si="357"/>
        <v>2.5265744349889867E-4</v>
      </c>
      <c r="P969">
        <f t="shared" ca="1" si="358"/>
        <v>39450.293663274526</v>
      </c>
      <c r="Q969">
        <f t="shared" ca="1" si="359"/>
        <v>39450.293663277778</v>
      </c>
      <c r="R969">
        <f t="shared" ca="1" si="360"/>
        <v>4.0177943083957516E-12</v>
      </c>
      <c r="S969">
        <f t="shared" ca="1" si="378"/>
        <v>4.999999946448952E-4</v>
      </c>
      <c r="T969">
        <f t="shared" ca="1" si="379"/>
        <v>1</v>
      </c>
      <c r="U969">
        <f t="shared" ca="1" si="361"/>
        <v>0.05</v>
      </c>
      <c r="V969">
        <f t="shared" ca="1" si="362"/>
        <v>0.26</v>
      </c>
      <c r="W969">
        <f t="shared" ca="1" si="363"/>
        <v>4.9056603773584909E-2</v>
      </c>
      <c r="X969">
        <f t="shared" ca="1" si="364"/>
        <v>196.15384615384616</v>
      </c>
      <c r="Y969">
        <f t="shared" ca="1" si="365"/>
        <v>632.20249999999999</v>
      </c>
      <c r="Z969">
        <f t="shared" ca="1" si="366"/>
        <v>2593.2795316486622</v>
      </c>
      <c r="AA969">
        <f t="shared" ca="1" si="367"/>
        <v>482.07306851378365</v>
      </c>
      <c r="AB969">
        <f t="shared" ca="1" si="368"/>
        <v>482.25887083179032</v>
      </c>
      <c r="AC969">
        <f t="shared" ca="1" si="369"/>
        <v>0</v>
      </c>
      <c r="AD969">
        <f ca="1">IF(V32="Supercritical",L969,U969)</f>
        <v>0.05</v>
      </c>
      <c r="AE969">
        <f t="shared" ca="1" si="370"/>
        <v>632.20249999999999</v>
      </c>
      <c r="AF969">
        <f t="shared" ca="1" si="371"/>
        <v>2593.2795316486622</v>
      </c>
      <c r="AI969">
        <v>0</v>
      </c>
      <c r="AJ969">
        <v>0</v>
      </c>
      <c r="AK969">
        <f t="shared" si="372"/>
        <v>0</v>
      </c>
      <c r="AL969">
        <f t="shared" si="380"/>
        <v>0</v>
      </c>
      <c r="AM969">
        <f t="shared" ca="1" si="373"/>
        <v>280.07692026646265</v>
      </c>
      <c r="AN969" t="str">
        <f t="shared" ca="1" si="374"/>
        <v>Supercritical</v>
      </c>
      <c r="AO969">
        <f ca="1">IF(V32="Supercritical",R969,AA969)</f>
        <v>482.07306851378365</v>
      </c>
    </row>
    <row r="970" spans="1:41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174</v>
      </c>
      <c r="I970">
        <v>5.7000000000000002E-2</v>
      </c>
      <c r="J970">
        <f t="shared" si="375"/>
        <v>1</v>
      </c>
      <c r="K970">
        <f t="shared" si="376"/>
        <v>51</v>
      </c>
      <c r="L970">
        <f t="shared" ca="1" si="377"/>
        <v>38818.140576317965</v>
      </c>
      <c r="M970">
        <f t="shared" ca="1" si="355"/>
        <v>201854.33099685342</v>
      </c>
      <c r="N970">
        <f t="shared" ca="1" si="356"/>
        <v>2.59982586627922</v>
      </c>
      <c r="O970">
        <f t="shared" ca="1" si="357"/>
        <v>2.5265744731925026E-4</v>
      </c>
      <c r="P970">
        <f t="shared" ca="1" si="358"/>
        <v>39450.292576317966</v>
      </c>
      <c r="Q970">
        <f t="shared" ca="1" si="359"/>
        <v>39450.292576321219</v>
      </c>
      <c r="R970">
        <f t="shared" ca="1" si="360"/>
        <v>4.0177944299047167E-12</v>
      </c>
      <c r="S970">
        <f t="shared" ca="1" si="378"/>
        <v>1.086956552171614E-3</v>
      </c>
      <c r="T970">
        <f t="shared" ca="1" si="379"/>
        <v>0</v>
      </c>
      <c r="U970">
        <f t="shared" ca="1" si="361"/>
        <v>0.05</v>
      </c>
      <c r="V970">
        <f t="shared" ca="1" si="362"/>
        <v>0.26</v>
      </c>
      <c r="W970">
        <f t="shared" ca="1" si="363"/>
        <v>4.9056603773584909E-2</v>
      </c>
      <c r="X970">
        <f t="shared" ca="1" si="364"/>
        <v>196.15384615384616</v>
      </c>
      <c r="Y970">
        <f t="shared" ca="1" si="365"/>
        <v>632.202</v>
      </c>
      <c r="Z970">
        <f t="shared" ca="1" si="366"/>
        <v>2593.2790316486621</v>
      </c>
      <c r="AA970">
        <f t="shared" ca="1" si="367"/>
        <v>482.07306851378365</v>
      </c>
      <c r="AB970">
        <f t="shared" ca="1" si="368"/>
        <v>482.25887083179032</v>
      </c>
      <c r="AC970">
        <f t="shared" ca="1" si="369"/>
        <v>0</v>
      </c>
      <c r="AD970">
        <f ca="1">IF(V32="Supercritical",L970,U970)</f>
        <v>0.05</v>
      </c>
      <c r="AE970">
        <f t="shared" ca="1" si="370"/>
        <v>632.202</v>
      </c>
      <c r="AF970">
        <f t="shared" ca="1" si="371"/>
        <v>2593.2790316486621</v>
      </c>
      <c r="AI970">
        <v>0</v>
      </c>
      <c r="AJ970">
        <v>0</v>
      </c>
      <c r="AK970">
        <f t="shared" si="372"/>
        <v>0</v>
      </c>
      <c r="AL970">
        <f t="shared" si="380"/>
        <v>0</v>
      </c>
      <c r="AM970">
        <f t="shared" ca="1" si="373"/>
        <v>280.07692026646265</v>
      </c>
      <c r="AN970" t="str">
        <f t="shared" ca="1" si="374"/>
        <v>Supercritical</v>
      </c>
      <c r="AO970">
        <f ca="1">IF(V32="Supercritical",R970,AA970)</f>
        <v>482.07306851378365</v>
      </c>
    </row>
    <row r="971" spans="1:41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174</v>
      </c>
      <c r="I971">
        <v>5.7000000000000002E-2</v>
      </c>
      <c r="J971">
        <f t="shared" si="375"/>
        <v>1</v>
      </c>
      <c r="K971">
        <f t="shared" si="376"/>
        <v>51</v>
      </c>
      <c r="L971">
        <f t="shared" ca="1" si="377"/>
        <v>38818.140576317965</v>
      </c>
      <c r="M971">
        <f t="shared" ca="1" si="355"/>
        <v>201854.33099685342</v>
      </c>
      <c r="N971">
        <f t="shared" ca="1" si="356"/>
        <v>2.59982586627922</v>
      </c>
      <c r="O971">
        <f t="shared" ca="1" si="357"/>
        <v>2.5265744731925026E-4</v>
      </c>
      <c r="P971">
        <f t="shared" ca="1" si="358"/>
        <v>39450.292076317965</v>
      </c>
      <c r="Q971">
        <f t="shared" ca="1" si="359"/>
        <v>39450.292076321217</v>
      </c>
      <c r="R971">
        <f t="shared" ca="1" si="360"/>
        <v>4.0177944299047167E-12</v>
      </c>
      <c r="S971">
        <f t="shared" ca="1" si="378"/>
        <v>4.999999946448952E-4</v>
      </c>
      <c r="T971">
        <f t="shared" ca="1" si="379"/>
        <v>1</v>
      </c>
      <c r="U971">
        <f t="shared" ca="1" si="361"/>
        <v>0.05</v>
      </c>
      <c r="V971">
        <f t="shared" ca="1" si="362"/>
        <v>0.26</v>
      </c>
      <c r="W971">
        <f t="shared" ca="1" si="363"/>
        <v>4.9056603773584909E-2</v>
      </c>
      <c r="X971">
        <f t="shared" ca="1" si="364"/>
        <v>196.15384615384616</v>
      </c>
      <c r="Y971">
        <f t="shared" ca="1" si="365"/>
        <v>632.20150000000001</v>
      </c>
      <c r="Z971">
        <f t="shared" ca="1" si="366"/>
        <v>2593.278531648662</v>
      </c>
      <c r="AA971">
        <f t="shared" ca="1" si="367"/>
        <v>482.07306851378365</v>
      </c>
      <c r="AB971">
        <f t="shared" ca="1" si="368"/>
        <v>482.07256851378361</v>
      </c>
      <c r="AC971">
        <f t="shared" ca="1" si="369"/>
        <v>0</v>
      </c>
      <c r="AD971">
        <f ca="1">IF(V32="Supercritical",L971,U971)</f>
        <v>0.05</v>
      </c>
      <c r="AE971">
        <f t="shared" ca="1" si="370"/>
        <v>632.20150000000001</v>
      </c>
      <c r="AF971">
        <f t="shared" ca="1" si="371"/>
        <v>2593.278531648662</v>
      </c>
      <c r="AI971">
        <v>0</v>
      </c>
      <c r="AJ971">
        <v>0</v>
      </c>
      <c r="AK971">
        <f t="shared" si="372"/>
        <v>0</v>
      </c>
      <c r="AL971">
        <f t="shared" si="380"/>
        <v>0</v>
      </c>
      <c r="AM971">
        <f t="shared" ca="1" si="373"/>
        <v>280.07692026646265</v>
      </c>
      <c r="AN971" t="str">
        <f t="shared" ca="1" si="374"/>
        <v>Supercritical</v>
      </c>
      <c r="AO971">
        <f ca="1">IF(V32="Supercritical",R971,AA971)</f>
        <v>482.07306851378365</v>
      </c>
    </row>
    <row r="972" spans="1:41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174</v>
      </c>
      <c r="I972">
        <v>0</v>
      </c>
      <c r="J972">
        <f t="shared" si="375"/>
        <v>1</v>
      </c>
      <c r="K972">
        <f t="shared" si="376"/>
        <v>51</v>
      </c>
      <c r="L972">
        <f t="shared" ca="1" si="377"/>
        <v>38818.139989361414</v>
      </c>
      <c r="M972">
        <f t="shared" ca="1" si="355"/>
        <v>201854.32794467936</v>
      </c>
      <c r="N972">
        <f t="shared" ca="1" si="356"/>
        <v>2.599825866276587</v>
      </c>
      <c r="O972">
        <f t="shared" ca="1" si="357"/>
        <v>2.526574511396019E-4</v>
      </c>
      <c r="P972">
        <f t="shared" ca="1" si="358"/>
        <v>39450.290989361412</v>
      </c>
      <c r="Q972">
        <f t="shared" ca="1" si="359"/>
        <v>39450.290989364665</v>
      </c>
      <c r="R972">
        <f t="shared" ca="1" si="360"/>
        <v>4.0177945514136858E-12</v>
      </c>
      <c r="S972">
        <f t="shared" ca="1" si="378"/>
        <v>1.0869565448956564E-3</v>
      </c>
      <c r="T972">
        <f t="shared" ca="1" si="379"/>
        <v>0</v>
      </c>
      <c r="U972">
        <f t="shared" ca="1" si="361"/>
        <v>0.05</v>
      </c>
      <c r="V972">
        <f t="shared" ca="1" si="362"/>
        <v>0.26</v>
      </c>
      <c r="W972">
        <f t="shared" ca="1" si="363"/>
        <v>4.9056603773584909E-2</v>
      </c>
      <c r="X972">
        <f t="shared" ca="1" si="364"/>
        <v>196.15384615384616</v>
      </c>
      <c r="Y972">
        <f t="shared" ca="1" si="365"/>
        <v>632.20099999999991</v>
      </c>
      <c r="Z972">
        <f t="shared" ca="1" si="366"/>
        <v>2593.2780316486619</v>
      </c>
      <c r="AA972">
        <f t="shared" ca="1" si="367"/>
        <v>482.07306851378365</v>
      </c>
      <c r="AB972">
        <f t="shared" ca="1" si="368"/>
        <v>482.07256851378406</v>
      </c>
      <c r="AC972">
        <f t="shared" ca="1" si="369"/>
        <v>0</v>
      </c>
      <c r="AD972">
        <f ca="1">IF(V32="Supercritical",L972,U972)</f>
        <v>0.05</v>
      </c>
      <c r="AE972">
        <f t="shared" ca="1" si="370"/>
        <v>632.20099999999991</v>
      </c>
      <c r="AF972">
        <f t="shared" ca="1" si="371"/>
        <v>2593.2780316486619</v>
      </c>
      <c r="AI972">
        <v>0</v>
      </c>
      <c r="AJ972">
        <v>0</v>
      </c>
      <c r="AK972">
        <f t="shared" si="372"/>
        <v>0</v>
      </c>
      <c r="AL972">
        <f t="shared" si="380"/>
        <v>0</v>
      </c>
      <c r="AM972">
        <f t="shared" ca="1" si="373"/>
        <v>280.07692026646265</v>
      </c>
      <c r="AN972" t="str">
        <f t="shared" ca="1" si="374"/>
        <v>Supercritical</v>
      </c>
      <c r="AO972">
        <f ca="1">IF(V32="Supercritical",R972,AA972)</f>
        <v>482.07306851378365</v>
      </c>
    </row>
    <row r="973" spans="1:41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174</v>
      </c>
      <c r="I973">
        <v>0</v>
      </c>
      <c r="J973">
        <f t="shared" si="375"/>
        <v>1</v>
      </c>
      <c r="K973">
        <f t="shared" si="376"/>
        <v>51</v>
      </c>
      <c r="L973">
        <f t="shared" ca="1" si="377"/>
        <v>38818.139989361414</v>
      </c>
      <c r="M973">
        <f t="shared" ca="1" si="355"/>
        <v>201854.32794467936</v>
      </c>
      <c r="N973">
        <f t="shared" ca="1" si="356"/>
        <v>2.599825866276587</v>
      </c>
      <c r="O973">
        <f t="shared" ca="1" si="357"/>
        <v>2.526574511396019E-4</v>
      </c>
      <c r="P973">
        <f t="shared" ca="1" si="358"/>
        <v>39450.290489361418</v>
      </c>
      <c r="Q973">
        <f t="shared" ca="1" si="359"/>
        <v>39450.29048936467</v>
      </c>
      <c r="R973">
        <f t="shared" ca="1" si="360"/>
        <v>4.0177945514136858E-12</v>
      </c>
      <c r="S973">
        <f t="shared" ca="1" si="378"/>
        <v>4.9999998736893758E-4</v>
      </c>
      <c r="T973">
        <f t="shared" ca="1" si="379"/>
        <v>1</v>
      </c>
      <c r="U973">
        <f t="shared" ca="1" si="361"/>
        <v>0.05</v>
      </c>
      <c r="V973">
        <f t="shared" ca="1" si="362"/>
        <v>0.26</v>
      </c>
      <c r="W973">
        <f t="shared" ca="1" si="363"/>
        <v>4.9056603773584909E-2</v>
      </c>
      <c r="X973">
        <f t="shared" ca="1" si="364"/>
        <v>196.15384615384616</v>
      </c>
      <c r="Y973">
        <f t="shared" ca="1" si="365"/>
        <v>632.20049999999992</v>
      </c>
      <c r="Z973">
        <f t="shared" ca="1" si="366"/>
        <v>2593.2775316486623</v>
      </c>
      <c r="AA973">
        <f t="shared" ca="1" si="367"/>
        <v>482.07306851378365</v>
      </c>
      <c r="AB973">
        <f t="shared" ca="1" si="368"/>
        <v>482.25233390835137</v>
      </c>
      <c r="AC973">
        <f t="shared" ca="1" si="369"/>
        <v>0</v>
      </c>
      <c r="AD973">
        <f ca="1">IF(V32="Supercritical",L973,U973)</f>
        <v>0.05</v>
      </c>
      <c r="AE973">
        <f t="shared" ca="1" si="370"/>
        <v>632.20049999999992</v>
      </c>
      <c r="AF973">
        <f t="shared" ca="1" si="371"/>
        <v>2593.2775316486623</v>
      </c>
      <c r="AI973">
        <v>0</v>
      </c>
      <c r="AJ973">
        <v>0</v>
      </c>
      <c r="AK973">
        <f t="shared" si="372"/>
        <v>0</v>
      </c>
      <c r="AL973">
        <f t="shared" si="380"/>
        <v>0</v>
      </c>
      <c r="AM973">
        <f t="shared" ca="1" si="373"/>
        <v>280.07692026646265</v>
      </c>
      <c r="AN973" t="str">
        <f t="shared" ca="1" si="374"/>
        <v>Supercritical</v>
      </c>
      <c r="AO973">
        <f ca="1">IF(V32="Supercritical",R973,AA973)</f>
        <v>482.07306851378365</v>
      </c>
    </row>
    <row r="974" spans="1:41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174</v>
      </c>
      <c r="I974">
        <v>5.5E-2</v>
      </c>
      <c r="J974">
        <f t="shared" si="375"/>
        <v>1</v>
      </c>
      <c r="K974">
        <f t="shared" si="376"/>
        <v>51</v>
      </c>
      <c r="L974">
        <f t="shared" ca="1" si="377"/>
        <v>38818.139402404864</v>
      </c>
      <c r="M974">
        <f t="shared" ca="1" si="355"/>
        <v>201854.3248925053</v>
      </c>
      <c r="N974">
        <f t="shared" ca="1" si="356"/>
        <v>2.5998258662739544</v>
      </c>
      <c r="O974">
        <f t="shared" ca="1" si="357"/>
        <v>2.526574549599536E-4</v>
      </c>
      <c r="P974">
        <f t="shared" ca="1" si="358"/>
        <v>39450.289402404866</v>
      </c>
      <c r="Q974">
        <f t="shared" ca="1" si="359"/>
        <v>39450.289402408118</v>
      </c>
      <c r="R974">
        <f t="shared" ca="1" si="360"/>
        <v>4.0177946729226589E-12</v>
      </c>
      <c r="S974">
        <f t="shared" ca="1" si="378"/>
        <v>1.0869565448956564E-3</v>
      </c>
      <c r="T974">
        <f t="shared" ca="1" si="379"/>
        <v>0</v>
      </c>
      <c r="U974">
        <f t="shared" ca="1" si="361"/>
        <v>0.05</v>
      </c>
      <c r="V974">
        <f t="shared" ca="1" si="362"/>
        <v>0.26</v>
      </c>
      <c r="W974">
        <f t="shared" ca="1" si="363"/>
        <v>4.9056603773584909E-2</v>
      </c>
      <c r="X974">
        <f t="shared" ca="1" si="364"/>
        <v>196.15384615384616</v>
      </c>
      <c r="Y974">
        <f t="shared" ca="1" si="365"/>
        <v>632.19999999999993</v>
      </c>
      <c r="Z974">
        <f t="shared" ca="1" si="366"/>
        <v>2593.2770316486622</v>
      </c>
      <c r="AA974">
        <f t="shared" ca="1" si="367"/>
        <v>482.07306851378365</v>
      </c>
      <c r="AB974">
        <f t="shared" ca="1" si="368"/>
        <v>482.73440697685373</v>
      </c>
      <c r="AC974">
        <f t="shared" ca="1" si="369"/>
        <v>0</v>
      </c>
      <c r="AD974">
        <f ca="1">IF(V32="Supercritical",L974,U974)</f>
        <v>0.05</v>
      </c>
      <c r="AE974">
        <f t="shared" ca="1" si="370"/>
        <v>632.19999999999993</v>
      </c>
      <c r="AF974">
        <f t="shared" ca="1" si="371"/>
        <v>2593.2770316486622</v>
      </c>
      <c r="AI974">
        <v>0</v>
      </c>
      <c r="AJ974">
        <v>0</v>
      </c>
      <c r="AK974">
        <f t="shared" si="372"/>
        <v>0</v>
      </c>
      <c r="AL974">
        <f t="shared" si="380"/>
        <v>0</v>
      </c>
      <c r="AM974">
        <f t="shared" ca="1" si="373"/>
        <v>280.07692026646265</v>
      </c>
      <c r="AN974" t="str">
        <f t="shared" ca="1" si="374"/>
        <v>Supercritical</v>
      </c>
      <c r="AO974">
        <f ca="1">IF(V32="Supercritical",R974,AA974)</f>
        <v>482.07306851378365</v>
      </c>
    </row>
    <row r="975" spans="1:41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174</v>
      </c>
      <c r="I975">
        <v>5.5E-2</v>
      </c>
      <c r="J975">
        <f t="shared" si="375"/>
        <v>1.0009999999999764</v>
      </c>
      <c r="K975">
        <f t="shared" si="376"/>
        <v>51</v>
      </c>
      <c r="L975">
        <f t="shared" ca="1" si="377"/>
        <v>38818.139402404864</v>
      </c>
      <c r="M975">
        <f t="shared" ca="1" si="355"/>
        <v>201854.3248925053</v>
      </c>
      <c r="N975">
        <f t="shared" ca="1" si="356"/>
        <v>2.5998258662739544</v>
      </c>
      <c r="O975">
        <f t="shared" ca="1" si="357"/>
        <v>2.526574549599536E-4</v>
      </c>
      <c r="P975">
        <f t="shared" ca="1" si="358"/>
        <v>39450.288902404864</v>
      </c>
      <c r="Q975">
        <f t="shared" ca="1" si="359"/>
        <v>39450.288902408116</v>
      </c>
      <c r="R975">
        <f t="shared" ca="1" si="360"/>
        <v>4.0177946729226589E-12</v>
      </c>
      <c r="S975">
        <f t="shared" ca="1" si="378"/>
        <v>4.999999946448952E-4</v>
      </c>
      <c r="T975">
        <f t="shared" ca="1" si="379"/>
        <v>1</v>
      </c>
      <c r="U975">
        <f t="shared" ca="1" si="361"/>
        <v>0.05</v>
      </c>
      <c r="V975">
        <f t="shared" ca="1" si="362"/>
        <v>0.26</v>
      </c>
      <c r="W975">
        <f t="shared" ca="1" si="363"/>
        <v>4.9056603773584909E-2</v>
      </c>
      <c r="X975">
        <f t="shared" ca="1" si="364"/>
        <v>196.15384615384616</v>
      </c>
      <c r="Y975">
        <f t="shared" ca="1" si="365"/>
        <v>632.19949999999994</v>
      </c>
      <c r="Z975">
        <f t="shared" ca="1" si="366"/>
        <v>2593.2765316486621</v>
      </c>
      <c r="AA975">
        <f t="shared" ca="1" si="367"/>
        <v>482.07306851378365</v>
      </c>
      <c r="AB975">
        <f t="shared" ca="1" si="368"/>
        <v>482.07256851378361</v>
      </c>
      <c r="AC975">
        <f t="shared" ca="1" si="369"/>
        <v>0</v>
      </c>
      <c r="AD975">
        <f ca="1">IF(V32="Supercritical",L975,U975)</f>
        <v>0.05</v>
      </c>
      <c r="AE975">
        <f t="shared" ca="1" si="370"/>
        <v>632.19949999999994</v>
      </c>
      <c r="AF975">
        <f t="shared" ca="1" si="371"/>
        <v>2593.2765316486621</v>
      </c>
      <c r="AI975">
        <v>0</v>
      </c>
      <c r="AJ975">
        <v>0</v>
      </c>
      <c r="AK975">
        <f t="shared" si="372"/>
        <v>0</v>
      </c>
      <c r="AL975">
        <f t="shared" si="380"/>
        <v>0</v>
      </c>
      <c r="AM975">
        <f t="shared" ca="1" si="373"/>
        <v>280.07692026646265</v>
      </c>
      <c r="AN975" t="str">
        <f t="shared" ca="1" si="374"/>
        <v>Supercritical</v>
      </c>
      <c r="AO975">
        <f ca="1">IF(V32="Supercritical",R975,AA975)</f>
        <v>482.07306851378365</v>
      </c>
    </row>
    <row r="976" spans="1:41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174</v>
      </c>
      <c r="I976">
        <v>0</v>
      </c>
      <c r="J976">
        <f t="shared" si="375"/>
        <v>1</v>
      </c>
      <c r="K976">
        <f t="shared" si="376"/>
        <v>51</v>
      </c>
      <c r="L976">
        <f t="shared" ca="1" si="377"/>
        <v>38818.138815448314</v>
      </c>
      <c r="M976">
        <f t="shared" ca="1" si="355"/>
        <v>201854.32184033125</v>
      </c>
      <c r="N976">
        <f t="shared" ca="1" si="356"/>
        <v>2.5998258662713214</v>
      </c>
      <c r="O976">
        <f t="shared" ca="1" si="357"/>
        <v>2.5265745878030546E-4</v>
      </c>
      <c r="P976">
        <f t="shared" ca="1" si="358"/>
        <v>39450.287815448311</v>
      </c>
      <c r="Q976">
        <f t="shared" ca="1" si="359"/>
        <v>39450.287815451564</v>
      </c>
      <c r="R976">
        <f t="shared" ca="1" si="360"/>
        <v>4.0177947944316386E-12</v>
      </c>
      <c r="S976">
        <f t="shared" ca="1" si="378"/>
        <v>1.0869565448956564E-3</v>
      </c>
      <c r="T976">
        <f t="shared" ca="1" si="379"/>
        <v>0</v>
      </c>
      <c r="U976">
        <f t="shared" ca="1" si="361"/>
        <v>0.05</v>
      </c>
      <c r="V976">
        <f t="shared" ca="1" si="362"/>
        <v>0.26</v>
      </c>
      <c r="W976">
        <f t="shared" ca="1" si="363"/>
        <v>4.9056603773584909E-2</v>
      </c>
      <c r="X976">
        <f t="shared" ca="1" si="364"/>
        <v>196.15384615384616</v>
      </c>
      <c r="Y976">
        <f t="shared" ca="1" si="365"/>
        <v>632.19899999999996</v>
      </c>
      <c r="Z976">
        <f t="shared" ca="1" si="366"/>
        <v>2593.276031648662</v>
      </c>
      <c r="AA976">
        <f t="shared" ca="1" si="367"/>
        <v>482.07306851378365</v>
      </c>
      <c r="AB976">
        <f t="shared" ca="1" si="368"/>
        <v>481.59049544528125</v>
      </c>
      <c r="AC976">
        <f t="shared" ca="1" si="369"/>
        <v>0</v>
      </c>
      <c r="AD976">
        <f ca="1">IF(V32="Supercritical",L976,U976)</f>
        <v>0.05</v>
      </c>
      <c r="AE976">
        <f t="shared" ca="1" si="370"/>
        <v>632.19899999999996</v>
      </c>
      <c r="AF976">
        <f t="shared" ca="1" si="371"/>
        <v>2593.276031648662</v>
      </c>
      <c r="AI976">
        <v>0</v>
      </c>
      <c r="AJ976">
        <v>0</v>
      </c>
      <c r="AK976">
        <f t="shared" si="372"/>
        <v>0</v>
      </c>
      <c r="AL976">
        <f t="shared" si="380"/>
        <v>0</v>
      </c>
      <c r="AM976">
        <f t="shared" ca="1" si="373"/>
        <v>280.07692026646265</v>
      </c>
      <c r="AN976" t="str">
        <f t="shared" ca="1" si="374"/>
        <v>Supercritical</v>
      </c>
      <c r="AO976">
        <f ca="1">IF(V32="Supercritical",R976,AA976)</f>
        <v>482.07306851378365</v>
      </c>
    </row>
    <row r="977" spans="1:41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174</v>
      </c>
      <c r="I977">
        <v>0</v>
      </c>
      <c r="J977">
        <f t="shared" si="375"/>
        <v>0.99900000000002365</v>
      </c>
      <c r="K977">
        <f t="shared" si="376"/>
        <v>51</v>
      </c>
      <c r="L977">
        <f t="shared" ca="1" si="377"/>
        <v>38818.138815448314</v>
      </c>
      <c r="M977">
        <f t="shared" ca="1" si="355"/>
        <v>201854.32184033125</v>
      </c>
      <c r="N977">
        <f t="shared" ca="1" si="356"/>
        <v>2.5998258662713214</v>
      </c>
      <c r="O977">
        <f t="shared" ca="1" si="357"/>
        <v>2.5265745878030546E-4</v>
      </c>
      <c r="P977">
        <f t="shared" ca="1" si="358"/>
        <v>39450.287315448317</v>
      </c>
      <c r="Q977">
        <f t="shared" ca="1" si="359"/>
        <v>39450.287315451569</v>
      </c>
      <c r="R977">
        <f t="shared" ca="1" si="360"/>
        <v>4.0177947944316386E-12</v>
      </c>
      <c r="S977">
        <f t="shared" ca="1" si="378"/>
        <v>4.9999998736893758E-4</v>
      </c>
      <c r="T977">
        <f t="shared" ca="1" si="379"/>
        <v>1</v>
      </c>
      <c r="U977">
        <f t="shared" ca="1" si="361"/>
        <v>0.05</v>
      </c>
      <c r="V977">
        <f t="shared" ca="1" si="362"/>
        <v>0.26</v>
      </c>
      <c r="W977">
        <f t="shared" ca="1" si="363"/>
        <v>4.9056603773584909E-2</v>
      </c>
      <c r="X977">
        <f t="shared" ca="1" si="364"/>
        <v>196.15384615384616</v>
      </c>
      <c r="Y977">
        <f t="shared" ca="1" si="365"/>
        <v>632.19849999999997</v>
      </c>
      <c r="Z977">
        <f t="shared" ca="1" si="366"/>
        <v>2593.2755316486619</v>
      </c>
      <c r="AA977">
        <f t="shared" ca="1" si="367"/>
        <v>482.07306851378365</v>
      </c>
      <c r="AB977">
        <f t="shared" ca="1" si="368"/>
        <v>482.25887083179077</v>
      </c>
      <c r="AC977">
        <f t="shared" ca="1" si="369"/>
        <v>0</v>
      </c>
      <c r="AD977">
        <f ca="1">IF(V32="Supercritical",L977,U977)</f>
        <v>0.05</v>
      </c>
      <c r="AE977">
        <f t="shared" ca="1" si="370"/>
        <v>632.19849999999997</v>
      </c>
      <c r="AF977">
        <f t="shared" ca="1" si="371"/>
        <v>2593.2755316486619</v>
      </c>
      <c r="AI977">
        <v>0</v>
      </c>
      <c r="AJ977">
        <v>0</v>
      </c>
      <c r="AK977">
        <f t="shared" si="372"/>
        <v>0</v>
      </c>
      <c r="AL977">
        <f t="shared" si="380"/>
        <v>0</v>
      </c>
      <c r="AM977">
        <f t="shared" ca="1" si="373"/>
        <v>280.07692026646265</v>
      </c>
      <c r="AN977" t="str">
        <f t="shared" ca="1" si="374"/>
        <v>Supercritical</v>
      </c>
      <c r="AO977">
        <f ca="1">IF(V32="Supercritical",R977,AA977)</f>
        <v>482.07306851378365</v>
      </c>
    </row>
    <row r="978" spans="1:41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174</v>
      </c>
      <c r="I978">
        <v>5.7000000000000002E-2</v>
      </c>
      <c r="J978">
        <f t="shared" si="375"/>
        <v>1</v>
      </c>
      <c r="K978">
        <f t="shared" si="376"/>
        <v>51</v>
      </c>
      <c r="L978">
        <f t="shared" ca="1" si="377"/>
        <v>38818.138228491764</v>
      </c>
      <c r="M978">
        <f t="shared" ca="1" si="355"/>
        <v>201854.31878815716</v>
      </c>
      <c r="N978">
        <f t="shared" ca="1" si="356"/>
        <v>2.5998258662686884</v>
      </c>
      <c r="O978">
        <f t="shared" ca="1" si="357"/>
        <v>2.5265746260065742E-4</v>
      </c>
      <c r="P978">
        <f t="shared" ca="1" si="358"/>
        <v>39450.286228491765</v>
      </c>
      <c r="Q978">
        <f t="shared" ca="1" si="359"/>
        <v>39450.286228495017</v>
      </c>
      <c r="R978">
        <f t="shared" ca="1" si="360"/>
        <v>4.0177949159406246E-12</v>
      </c>
      <c r="S978">
        <f t="shared" ca="1" si="378"/>
        <v>1.0869565448956564E-3</v>
      </c>
      <c r="T978">
        <f t="shared" ca="1" si="379"/>
        <v>0</v>
      </c>
      <c r="U978">
        <f t="shared" ca="1" si="361"/>
        <v>0.05</v>
      </c>
      <c r="V978">
        <f t="shared" ca="1" si="362"/>
        <v>0.26</v>
      </c>
      <c r="W978">
        <f t="shared" ca="1" si="363"/>
        <v>4.9056603773584909E-2</v>
      </c>
      <c r="X978">
        <f t="shared" ca="1" si="364"/>
        <v>196.15384615384616</v>
      </c>
      <c r="Y978">
        <f t="shared" ca="1" si="365"/>
        <v>632.19799999999998</v>
      </c>
      <c r="Z978">
        <f t="shared" ca="1" si="366"/>
        <v>2593.2750316486622</v>
      </c>
      <c r="AA978">
        <f t="shared" ca="1" si="367"/>
        <v>482.07306851378365</v>
      </c>
      <c r="AB978">
        <f t="shared" ca="1" si="368"/>
        <v>482.25887083179032</v>
      </c>
      <c r="AC978">
        <f t="shared" ca="1" si="369"/>
        <v>0</v>
      </c>
      <c r="AD978">
        <f ca="1">IF(V32="Supercritical",L978,U978)</f>
        <v>0.05</v>
      </c>
      <c r="AE978">
        <f t="shared" ca="1" si="370"/>
        <v>632.19799999999998</v>
      </c>
      <c r="AF978">
        <f t="shared" ca="1" si="371"/>
        <v>2593.2750316486622</v>
      </c>
      <c r="AI978">
        <v>0</v>
      </c>
      <c r="AJ978">
        <v>0</v>
      </c>
      <c r="AK978">
        <f t="shared" si="372"/>
        <v>0</v>
      </c>
      <c r="AL978">
        <f t="shared" si="380"/>
        <v>0</v>
      </c>
      <c r="AM978">
        <f t="shared" ca="1" si="373"/>
        <v>280.07692026646265</v>
      </c>
      <c r="AN978" t="str">
        <f t="shared" ca="1" si="374"/>
        <v>Supercritical</v>
      </c>
      <c r="AO978">
        <f ca="1">IF(V32="Supercritical",R978,AA978)</f>
        <v>482.07306851378365</v>
      </c>
    </row>
    <row r="979" spans="1:41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174</v>
      </c>
      <c r="I979">
        <v>5.7000000000000002E-2</v>
      </c>
      <c r="J979">
        <f t="shared" si="375"/>
        <v>1</v>
      </c>
      <c r="K979">
        <f t="shared" si="376"/>
        <v>51</v>
      </c>
      <c r="L979">
        <f t="shared" ca="1" si="377"/>
        <v>38818.138228491764</v>
      </c>
      <c r="M979">
        <f t="shared" ca="1" si="355"/>
        <v>201854.31878815716</v>
      </c>
      <c r="N979">
        <f t="shared" ca="1" si="356"/>
        <v>2.5998258662686884</v>
      </c>
      <c r="O979">
        <f t="shared" ca="1" si="357"/>
        <v>2.5265746260065742E-4</v>
      </c>
      <c r="P979">
        <f t="shared" ca="1" si="358"/>
        <v>39450.285728491763</v>
      </c>
      <c r="Q979">
        <f t="shared" ca="1" si="359"/>
        <v>39450.285728495015</v>
      </c>
      <c r="R979">
        <f t="shared" ca="1" si="360"/>
        <v>4.0177949159406246E-12</v>
      </c>
      <c r="S979">
        <f t="shared" ca="1" si="378"/>
        <v>4.999999946448952E-4</v>
      </c>
      <c r="T979">
        <f t="shared" ca="1" si="379"/>
        <v>1</v>
      </c>
      <c r="U979">
        <f t="shared" ca="1" si="361"/>
        <v>0.05</v>
      </c>
      <c r="V979">
        <f t="shared" ca="1" si="362"/>
        <v>0.26</v>
      </c>
      <c r="W979">
        <f t="shared" ca="1" si="363"/>
        <v>4.9056603773584909E-2</v>
      </c>
      <c r="X979">
        <f t="shared" ca="1" si="364"/>
        <v>196.15384615384616</v>
      </c>
      <c r="Y979">
        <f t="shared" ca="1" si="365"/>
        <v>632.19749999999999</v>
      </c>
      <c r="Z979">
        <f t="shared" ca="1" si="366"/>
        <v>2593.2745316486621</v>
      </c>
      <c r="AA979">
        <f t="shared" ca="1" si="367"/>
        <v>482.07306851378365</v>
      </c>
      <c r="AB979">
        <f t="shared" ca="1" si="368"/>
        <v>482.07256851378361</v>
      </c>
      <c r="AC979">
        <f t="shared" ca="1" si="369"/>
        <v>0</v>
      </c>
      <c r="AD979">
        <f ca="1">IF(V32="Supercritical",L979,U979)</f>
        <v>0.05</v>
      </c>
      <c r="AE979">
        <f t="shared" ca="1" si="370"/>
        <v>632.19749999999999</v>
      </c>
      <c r="AF979">
        <f t="shared" ca="1" si="371"/>
        <v>2593.2745316486621</v>
      </c>
      <c r="AI979">
        <v>0</v>
      </c>
      <c r="AJ979">
        <v>0</v>
      </c>
      <c r="AK979">
        <f t="shared" si="372"/>
        <v>0</v>
      </c>
      <c r="AL979">
        <f t="shared" si="380"/>
        <v>0</v>
      </c>
      <c r="AM979">
        <f t="shared" ca="1" si="373"/>
        <v>280.07692026646265</v>
      </c>
      <c r="AN979" t="str">
        <f t="shared" ca="1" si="374"/>
        <v>Supercritical</v>
      </c>
      <c r="AO979">
        <f ca="1">IF(V32="Supercritical",R979,AA979)</f>
        <v>482.07306851378365</v>
      </c>
    </row>
    <row r="980" spans="1:41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174</v>
      </c>
      <c r="I980">
        <v>0</v>
      </c>
      <c r="J980">
        <f t="shared" si="375"/>
        <v>1</v>
      </c>
      <c r="K980">
        <f t="shared" si="376"/>
        <v>51</v>
      </c>
      <c r="L980">
        <f t="shared" ca="1" si="377"/>
        <v>38818.137641535213</v>
      </c>
      <c r="M980">
        <f t="shared" ca="1" si="355"/>
        <v>201854.31573598311</v>
      </c>
      <c r="N980">
        <f t="shared" ca="1" si="356"/>
        <v>2.5998258662660554</v>
      </c>
      <c r="O980">
        <f t="shared" ca="1" si="357"/>
        <v>2.526574664210095E-4</v>
      </c>
      <c r="P980">
        <f t="shared" ca="1" si="358"/>
        <v>39450.284641535211</v>
      </c>
      <c r="Q980">
        <f t="shared" ca="1" si="359"/>
        <v>39450.284641538463</v>
      </c>
      <c r="R980">
        <f t="shared" ca="1" si="360"/>
        <v>4.0177950374496156E-12</v>
      </c>
      <c r="S980">
        <f t="shared" ca="1" si="378"/>
        <v>1.0869565448956564E-3</v>
      </c>
      <c r="T980">
        <f t="shared" ca="1" si="379"/>
        <v>0</v>
      </c>
      <c r="U980">
        <f t="shared" ca="1" si="361"/>
        <v>0.05</v>
      </c>
      <c r="V980">
        <f t="shared" ca="1" si="362"/>
        <v>0.26</v>
      </c>
      <c r="W980">
        <f t="shared" ca="1" si="363"/>
        <v>4.9056603773584909E-2</v>
      </c>
      <c r="X980">
        <f t="shared" ca="1" si="364"/>
        <v>196.15384615384616</v>
      </c>
      <c r="Y980">
        <f t="shared" ca="1" si="365"/>
        <v>632.197</v>
      </c>
      <c r="Z980">
        <f t="shared" ca="1" si="366"/>
        <v>2593.274031648662</v>
      </c>
      <c r="AA980">
        <f t="shared" ca="1" si="367"/>
        <v>482.07306851378365</v>
      </c>
      <c r="AB980">
        <f t="shared" ca="1" si="368"/>
        <v>482.07256851378361</v>
      </c>
      <c r="AC980">
        <f t="shared" ca="1" si="369"/>
        <v>0</v>
      </c>
      <c r="AD980">
        <f ca="1">IF(V32="Supercritical",L980,U980)</f>
        <v>0.05</v>
      </c>
      <c r="AE980">
        <f t="shared" ca="1" si="370"/>
        <v>632.197</v>
      </c>
      <c r="AF980">
        <f t="shared" ca="1" si="371"/>
        <v>2593.274031648662</v>
      </c>
      <c r="AI980">
        <v>0</v>
      </c>
      <c r="AJ980">
        <v>0</v>
      </c>
      <c r="AK980">
        <f t="shared" si="372"/>
        <v>0</v>
      </c>
      <c r="AL980">
        <f t="shared" si="380"/>
        <v>0</v>
      </c>
      <c r="AM980">
        <f t="shared" ca="1" si="373"/>
        <v>280.07692026646265</v>
      </c>
      <c r="AN980" t="str">
        <f t="shared" ca="1" si="374"/>
        <v>Supercritical</v>
      </c>
      <c r="AO980">
        <f ca="1">IF(V32="Supercritical",R980,AA980)</f>
        <v>482.07306851378365</v>
      </c>
    </row>
    <row r="981" spans="1:41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174</v>
      </c>
      <c r="I981">
        <v>0</v>
      </c>
      <c r="J981">
        <f t="shared" si="375"/>
        <v>1</v>
      </c>
      <c r="K981">
        <f t="shared" si="376"/>
        <v>51</v>
      </c>
      <c r="L981">
        <f t="shared" ca="1" si="377"/>
        <v>38818.137641535213</v>
      </c>
      <c r="M981">
        <f t="shared" ca="1" si="355"/>
        <v>201854.31573598311</v>
      </c>
      <c r="N981">
        <f t="shared" ca="1" si="356"/>
        <v>2.5998258662660554</v>
      </c>
      <c r="O981">
        <f t="shared" ca="1" si="357"/>
        <v>2.526574664210095E-4</v>
      </c>
      <c r="P981">
        <f t="shared" ca="1" si="358"/>
        <v>39450.284141535216</v>
      </c>
      <c r="Q981">
        <f t="shared" ca="1" si="359"/>
        <v>39450.284141538468</v>
      </c>
      <c r="R981">
        <f t="shared" ca="1" si="360"/>
        <v>4.0177950374496156E-12</v>
      </c>
      <c r="S981">
        <f t="shared" ca="1" si="378"/>
        <v>4.9999998736893758E-4</v>
      </c>
      <c r="T981">
        <f t="shared" ca="1" si="379"/>
        <v>1</v>
      </c>
      <c r="U981">
        <f t="shared" ca="1" si="361"/>
        <v>0.05</v>
      </c>
      <c r="V981">
        <f t="shared" ca="1" si="362"/>
        <v>0.26</v>
      </c>
      <c r="W981">
        <f t="shared" ca="1" si="363"/>
        <v>4.9056603773584909E-2</v>
      </c>
      <c r="X981">
        <f t="shared" ca="1" si="364"/>
        <v>196.15384615384616</v>
      </c>
      <c r="Y981">
        <f t="shared" ca="1" si="365"/>
        <v>632.1964999999999</v>
      </c>
      <c r="Z981">
        <f t="shared" ca="1" si="366"/>
        <v>2593.2735316486619</v>
      </c>
      <c r="AA981">
        <f t="shared" ca="1" si="367"/>
        <v>482.07306851378365</v>
      </c>
      <c r="AB981">
        <f t="shared" ca="1" si="368"/>
        <v>482.25887083179077</v>
      </c>
      <c r="AC981">
        <f t="shared" ca="1" si="369"/>
        <v>0</v>
      </c>
      <c r="AD981">
        <f ca="1">IF(V32="Supercritical",L981,U981)</f>
        <v>0.05</v>
      </c>
      <c r="AE981">
        <f t="shared" ca="1" si="370"/>
        <v>632.1964999999999</v>
      </c>
      <c r="AF981">
        <f t="shared" ca="1" si="371"/>
        <v>2593.2735316486619</v>
      </c>
      <c r="AI981">
        <v>0</v>
      </c>
      <c r="AJ981">
        <v>0</v>
      </c>
      <c r="AK981">
        <f t="shared" si="372"/>
        <v>0</v>
      </c>
      <c r="AL981">
        <f t="shared" si="380"/>
        <v>0</v>
      </c>
      <c r="AM981">
        <f t="shared" ca="1" si="373"/>
        <v>280.07692026646265</v>
      </c>
      <c r="AN981" t="str">
        <f t="shared" ca="1" si="374"/>
        <v>Supercritical</v>
      </c>
      <c r="AO981">
        <f ca="1">IF(V32="Supercritical",R981,AA981)</f>
        <v>482.07306851378365</v>
      </c>
    </row>
    <row r="982" spans="1:41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174</v>
      </c>
      <c r="I982">
        <v>5.7000000000000002E-2</v>
      </c>
      <c r="J982">
        <f t="shared" si="375"/>
        <v>1</v>
      </c>
      <c r="K982">
        <f t="shared" si="376"/>
        <v>51</v>
      </c>
      <c r="L982">
        <f t="shared" ca="1" si="377"/>
        <v>38818.137054578663</v>
      </c>
      <c r="M982">
        <f t="shared" ref="M982:M1045" ca="1" si="381">((F982)+(G982)*(L982))*(L982)</f>
        <v>201854.31268380905</v>
      </c>
      <c r="N982">
        <f t="shared" ref="N982:N1045" ca="1" si="382">(((F982)+(G982)*(L982))*(L982))/MAX((F982)+2*(L982)*SQRT(1+(G982)^2),0.000001)</f>
        <v>2.5998258662634228</v>
      </c>
      <c r="O982">
        <f t="shared" ref="O982:O1045" ca="1" si="383">ABS(K982)/MAX(((F982)+(G982)*(L982))*(L982),0.000001)</f>
        <v>2.5265747024136168E-4</v>
      </c>
      <c r="P982">
        <f t="shared" ref="P982:P1045" ca="1" si="384">E982+L982</f>
        <v>39450.283054578664</v>
      </c>
      <c r="Q982">
        <f t="shared" ref="Q982:Q1045" ca="1" si="385">P982+((ABS(K982)/MAX(((F982)+(G982)*(L982))*(L982),0.000001))^2)/(2*$I$5)</f>
        <v>39450.283054581916</v>
      </c>
      <c r="R982">
        <f t="shared" ref="R982:R1045" ca="1" si="386">((ABS(K982)*$D$6)/(MAX(((F982)+(G982)*(L982))*(L982),0.000001)*MAX(((((F982)+(G982)*(L982))*(L982))/MAX((F982)+2*(L982)*SQRT(1+(G982)^2),0.000001))^(2/3),0.000001)))^2</f>
        <v>4.0177951589586105E-12</v>
      </c>
      <c r="S982">
        <f t="shared" ca="1" si="378"/>
        <v>1.0869565448956564E-3</v>
      </c>
      <c r="T982">
        <f t="shared" ca="1" si="379"/>
        <v>0</v>
      </c>
      <c r="U982">
        <f t="shared" ref="U982:U1045" ca="1" si="387">IF($D$20=0,U983,IF(AC983=0,U983,IF(U982=0,U983,IF(ABS(AB982)&gt;$D$19,MAX($D$16,U982+((AB982)*$D$18*IF((ABS(ABS(K982)/MAX(((F982)+(G982)*(U982))*(U982),0.000001))/SQRT($I$5*MAX((((F982)+(G982)*(U982))*(U982))/MAX((F982)+2*(G982)*(U982),0.000001),0.000001)))&lt;1,1,-1))),U982))))</f>
        <v>0.05</v>
      </c>
      <c r="V982">
        <f t="shared" ref="V982:V1045" ca="1" si="388">((F982)+(G982)*(U982))*(U982)</f>
        <v>0.26</v>
      </c>
      <c r="W982">
        <f t="shared" ref="W982:W1045" ca="1" si="389">(((F982)+(G982)*(U982))*(U982))/MAX((F982)+2*(U982)*SQRT(1+(G982)^2),0.000001)</f>
        <v>4.9056603773584909E-2</v>
      </c>
      <c r="X982">
        <f t="shared" ref="X982:X1045" ca="1" si="390">ABS(K982)/MAX(((F982)+(G982)*(U982))*(U982),0.000001)</f>
        <v>196.15384615384616</v>
      </c>
      <c r="Y982">
        <f t="shared" ref="Y982:Y1045" ca="1" si="391">E982+U982</f>
        <v>632.19599999999991</v>
      </c>
      <c r="Z982">
        <f t="shared" ref="Z982:Z1045" ca="1" si="392">Y982+((ABS(K982)/MAX(((F982)+(G982)*(U982))*(U982),0.000001))^2)/(2*$I$5)</f>
        <v>2593.2730316486623</v>
      </c>
      <c r="AA982">
        <f t="shared" ref="AA982:AA1045" ca="1" si="393">((ABS(K982)*$D$6)/(MAX(((F982)+(G982)*(U982))*(U982),0.000001)*MAX(((((F982)+(G982)*(U982))*(U982))/MAX((F982)+2*(U982)*SQRT(1+(G982)^2),0.000001))^(2/3),0.000001)))^2</f>
        <v>482.07306851378365</v>
      </c>
      <c r="AB982">
        <f t="shared" ref="AB982:AB1045" ca="1" si="394">Z983+(((AA982+AA983)/2)*J983)+(IF(X982&gt;X983,$D$8*((X982^2-X983^2)/(2*$I$5)),$D$9*((X983^2-X982^2)/(2*$I$5)))+($D$10*(ABS(I983)/90)*(MAX(X982^2,X983^2)/(2*$I$5))))-Z982</f>
        <v>482.26867621694828</v>
      </c>
      <c r="AC982">
        <f t="shared" ref="AC982:AC1045" ca="1" si="395">IF(ABS(AB982)&lt;$D$19,1,0)</f>
        <v>0</v>
      </c>
      <c r="AD982">
        <f ca="1">IF(V32="Supercritical",L982,U982)</f>
        <v>0.05</v>
      </c>
      <c r="AE982">
        <f t="shared" ref="AE982:AE1045" ca="1" si="396">E982+AD982</f>
        <v>632.19599999999991</v>
      </c>
      <c r="AF982">
        <f t="shared" ref="AF982:AF1045" ca="1" si="397">AE982+((ABS(K982)/MAX(((F982)+(G982)*(AD982))*(AD982),0.000001))^2)/(2*$I$5)</f>
        <v>2593.2730316486623</v>
      </c>
      <c r="AI982">
        <v>0</v>
      </c>
      <c r="AJ982">
        <v>0</v>
      </c>
      <c r="AK982">
        <f t="shared" ref="AK982:AK1045" si="398">AI982+AJ982</f>
        <v>0</v>
      </c>
      <c r="AL982">
        <f t="shared" si="380"/>
        <v>0</v>
      </c>
      <c r="AM982">
        <f t="shared" ref="AM982:AM1045" ca="1" si="399">ABS(ABS(K982)/MAX(((F982)+(G982)*(AD982))*(AD982),0.000001))/SQRT($I$5*MAX((((F982)+(G982)*(AD982))*(AD982))/MAX((F982)+2*(G982)*(AD982),0.000001),0.000001))</f>
        <v>280.07692026646265</v>
      </c>
      <c r="AN982" t="str">
        <f t="shared" ref="AN982:AN1045" ca="1" si="400">IF(AM982&lt;1,"Subcritical","Supercritical")</f>
        <v>Supercritical</v>
      </c>
      <c r="AO982">
        <f ca="1">IF(V32="Supercritical",R982,AA982)</f>
        <v>482.07306851378365</v>
      </c>
    </row>
    <row r="983" spans="1:41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174</v>
      </c>
      <c r="I983">
        <v>0.06</v>
      </c>
      <c r="J983">
        <f t="shared" ref="J983:J1046" si="401">B983-B982</f>
        <v>1</v>
      </c>
      <c r="K983">
        <f t="shared" ref="K983:K1046" si="402">MAX(0,K982-AK982)</f>
        <v>51</v>
      </c>
      <c r="L983">
        <f t="shared" ref="L983:L1046" ca="1" si="403">IF($D$20=0,L982,IF(T982=0,L982,IF(L983=0,L982,IF(ABS(S983)&gt;$D$19,MAX($D$16,L983+((S983)*$D$18*IF((ABS(ABS(K983)/MAX(((F983)+(G983)*(L983))*(L983),0.000001))/SQRT($I$5*MAX((((F983)+(G983)*(L983))*(L983))/MAX((F983)+2*(G983)*(L983),0.000001),0.000001)))&lt;1,1,-1))),L983))))</f>
        <v>38818.137054578663</v>
      </c>
      <c r="M983">
        <f t="shared" ca="1" si="381"/>
        <v>201854.31268380905</v>
      </c>
      <c r="N983">
        <f t="shared" ca="1" si="382"/>
        <v>2.5998258662634228</v>
      </c>
      <c r="O983">
        <f t="shared" ca="1" si="383"/>
        <v>2.5265747024136168E-4</v>
      </c>
      <c r="P983">
        <f t="shared" ca="1" si="384"/>
        <v>39450.282554578662</v>
      </c>
      <c r="Q983">
        <f t="shared" ca="1" si="385"/>
        <v>39450.282554581914</v>
      </c>
      <c r="R983">
        <f t="shared" ca="1" si="386"/>
        <v>4.0177951589586105E-12</v>
      </c>
      <c r="S983">
        <f t="shared" ref="S983:S1046" ca="1" si="404">Q982-(((R982+R983)/2)*J983)-(IF(O982&gt;O983,$D$8*((O982^2-O983^2)/(2*$I$5)),$D$9*((O983^2-O982^2)/(2*$I$5)))+($D$10*(ABS(I983)/90)*(MAX(O982^2,O983^2)/(2*$I$5))))-Q983</f>
        <v>4.999999946448952E-4</v>
      </c>
      <c r="T983">
        <f t="shared" ref="T983:T1046" ca="1" si="405">IF(ABS(S983)&lt;$D$19,1,0)</f>
        <v>1</v>
      </c>
      <c r="U983">
        <f t="shared" ca="1" si="387"/>
        <v>0.05</v>
      </c>
      <c r="V983">
        <f t="shared" ca="1" si="388"/>
        <v>0.26</v>
      </c>
      <c r="W983">
        <f t="shared" ca="1" si="389"/>
        <v>4.9056603773584909E-2</v>
      </c>
      <c r="X983">
        <f t="shared" ca="1" si="390"/>
        <v>196.15384615384616</v>
      </c>
      <c r="Y983">
        <f t="shared" ca="1" si="391"/>
        <v>632.19549999999992</v>
      </c>
      <c r="Z983">
        <f t="shared" ca="1" si="392"/>
        <v>2593.2725316486622</v>
      </c>
      <c r="AA983">
        <f t="shared" ca="1" si="393"/>
        <v>482.07306851378365</v>
      </c>
      <c r="AB983">
        <f t="shared" ca="1" si="394"/>
        <v>482.56117850572491</v>
      </c>
      <c r="AC983">
        <f t="shared" ca="1" si="395"/>
        <v>0</v>
      </c>
      <c r="AD983">
        <f ca="1">IF(V32="Supercritical",L983,U983)</f>
        <v>0.05</v>
      </c>
      <c r="AE983">
        <f t="shared" ca="1" si="396"/>
        <v>632.19549999999992</v>
      </c>
      <c r="AF983">
        <f t="shared" ca="1" si="397"/>
        <v>2593.2725316486622</v>
      </c>
      <c r="AI983">
        <v>0</v>
      </c>
      <c r="AJ983">
        <v>0</v>
      </c>
      <c r="AK983">
        <f t="shared" si="398"/>
        <v>0</v>
      </c>
      <c r="AL983">
        <f t="shared" ref="AL983:AL1046" si="406">AL982+AK983</f>
        <v>0</v>
      </c>
      <c r="AM983">
        <f t="shared" ca="1" si="399"/>
        <v>280.07692026646265</v>
      </c>
      <c r="AN983" t="str">
        <f t="shared" ca="1" si="400"/>
        <v>Supercritical</v>
      </c>
      <c r="AO983">
        <f ca="1">IF(V32="Supercritical",R983,AA983)</f>
        <v>482.07306851378365</v>
      </c>
    </row>
    <row r="984" spans="1:41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174</v>
      </c>
      <c r="I984">
        <v>2E-3</v>
      </c>
      <c r="J984">
        <f t="shared" si="401"/>
        <v>1.0009999999999764</v>
      </c>
      <c r="K984">
        <f t="shared" si="402"/>
        <v>51</v>
      </c>
      <c r="L984">
        <f t="shared" ca="1" si="403"/>
        <v>38818.136467622113</v>
      </c>
      <c r="M984">
        <f t="shared" ca="1" si="381"/>
        <v>201854.309631635</v>
      </c>
      <c r="N984">
        <f t="shared" ca="1" si="382"/>
        <v>2.5998258662607903</v>
      </c>
      <c r="O984">
        <f t="shared" ca="1" si="383"/>
        <v>2.5265747406171397E-4</v>
      </c>
      <c r="P984">
        <f t="shared" ca="1" si="384"/>
        <v>39450.28146762211</v>
      </c>
      <c r="Q984">
        <f t="shared" ca="1" si="385"/>
        <v>39450.281467625362</v>
      </c>
      <c r="R984">
        <f t="shared" ca="1" si="386"/>
        <v>4.0177952804676111E-12</v>
      </c>
      <c r="S984">
        <f t="shared" ca="1" si="404"/>
        <v>1.0869565448956564E-3</v>
      </c>
      <c r="T984">
        <f t="shared" ca="1" si="405"/>
        <v>0</v>
      </c>
      <c r="U984">
        <f t="shared" ca="1" si="387"/>
        <v>0.05</v>
      </c>
      <c r="V984">
        <f t="shared" ca="1" si="388"/>
        <v>0.26</v>
      </c>
      <c r="W984">
        <f t="shared" ca="1" si="389"/>
        <v>4.9056603773584909E-2</v>
      </c>
      <c r="X984">
        <f t="shared" ca="1" si="390"/>
        <v>196.15384615384616</v>
      </c>
      <c r="Y984">
        <f t="shared" ca="1" si="391"/>
        <v>632.19499999999994</v>
      </c>
      <c r="Z984">
        <f t="shared" ca="1" si="392"/>
        <v>2593.2720316486621</v>
      </c>
      <c r="AA984">
        <f t="shared" ca="1" si="393"/>
        <v>482.07306851378365</v>
      </c>
      <c r="AB984">
        <f t="shared" ca="1" si="394"/>
        <v>482.07256851378361</v>
      </c>
      <c r="AC984">
        <f t="shared" ca="1" si="395"/>
        <v>0</v>
      </c>
      <c r="AD984">
        <f ca="1">IF(V32="Supercritical",L984,U984)</f>
        <v>0.05</v>
      </c>
      <c r="AE984">
        <f t="shared" ca="1" si="396"/>
        <v>632.19499999999994</v>
      </c>
      <c r="AF984">
        <f t="shared" ca="1" si="397"/>
        <v>2593.2720316486621</v>
      </c>
      <c r="AI984">
        <v>0</v>
      </c>
      <c r="AJ984">
        <v>0</v>
      </c>
      <c r="AK984">
        <f t="shared" si="398"/>
        <v>0</v>
      </c>
      <c r="AL984">
        <f t="shared" si="406"/>
        <v>0</v>
      </c>
      <c r="AM984">
        <f t="shared" ca="1" si="399"/>
        <v>280.07692026646265</v>
      </c>
      <c r="AN984" t="str">
        <f t="shared" ca="1" si="400"/>
        <v>Supercritical</v>
      </c>
      <c r="AO984">
        <f ca="1">IF(V32="Supercritical",R984,AA984)</f>
        <v>482.07306851378365</v>
      </c>
    </row>
    <row r="985" spans="1:41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174</v>
      </c>
      <c r="I985">
        <v>0</v>
      </c>
      <c r="J985">
        <f t="shared" si="401"/>
        <v>1</v>
      </c>
      <c r="K985">
        <f t="shared" si="402"/>
        <v>51</v>
      </c>
      <c r="L985">
        <f t="shared" ca="1" si="403"/>
        <v>38818.136467622113</v>
      </c>
      <c r="M985">
        <f t="shared" ca="1" si="381"/>
        <v>201854.309631635</v>
      </c>
      <c r="N985">
        <f t="shared" ca="1" si="382"/>
        <v>2.5998258662607903</v>
      </c>
      <c r="O985">
        <f t="shared" ca="1" si="383"/>
        <v>2.5265747406171397E-4</v>
      </c>
      <c r="P985">
        <f t="shared" ca="1" si="384"/>
        <v>39450.280967622115</v>
      </c>
      <c r="Q985">
        <f t="shared" ca="1" si="385"/>
        <v>39450.280967625367</v>
      </c>
      <c r="R985">
        <f t="shared" ca="1" si="386"/>
        <v>4.0177952804676111E-12</v>
      </c>
      <c r="S985">
        <f t="shared" ca="1" si="404"/>
        <v>4.9999998736893758E-4</v>
      </c>
      <c r="T985">
        <f t="shared" ca="1" si="405"/>
        <v>1</v>
      </c>
      <c r="U985">
        <f t="shared" ca="1" si="387"/>
        <v>0.05</v>
      </c>
      <c r="V985">
        <f t="shared" ca="1" si="388"/>
        <v>0.26</v>
      </c>
      <c r="W985">
        <f t="shared" ca="1" si="389"/>
        <v>4.9056603773584909E-2</v>
      </c>
      <c r="X985">
        <f t="shared" ca="1" si="390"/>
        <v>196.15384615384616</v>
      </c>
      <c r="Y985">
        <f t="shared" ca="1" si="391"/>
        <v>632.19449999999995</v>
      </c>
      <c r="Z985">
        <f t="shared" ca="1" si="392"/>
        <v>2593.2715316486619</v>
      </c>
      <c r="AA985">
        <f t="shared" ca="1" si="393"/>
        <v>482.07306851378365</v>
      </c>
      <c r="AB985">
        <f t="shared" ca="1" si="394"/>
        <v>481.77679776328796</v>
      </c>
      <c r="AC985">
        <f t="shared" ca="1" si="395"/>
        <v>0</v>
      </c>
      <c r="AD985">
        <f ca="1">IF(V32="Supercritical",L985,U985)</f>
        <v>0.05</v>
      </c>
      <c r="AE985">
        <f t="shared" ca="1" si="396"/>
        <v>632.19449999999995</v>
      </c>
      <c r="AF985">
        <f t="shared" ca="1" si="397"/>
        <v>2593.2715316486619</v>
      </c>
      <c r="AI985">
        <v>0</v>
      </c>
      <c r="AJ985">
        <v>0</v>
      </c>
      <c r="AK985">
        <f t="shared" si="398"/>
        <v>0</v>
      </c>
      <c r="AL985">
        <f t="shared" si="406"/>
        <v>0</v>
      </c>
      <c r="AM985">
        <f t="shared" ca="1" si="399"/>
        <v>280.07692026646265</v>
      </c>
      <c r="AN985" t="str">
        <f t="shared" ca="1" si="400"/>
        <v>Supercritical</v>
      </c>
      <c r="AO985">
        <f ca="1">IF(V32="Supercritical",R985,AA985)</f>
        <v>482.07306851378365</v>
      </c>
    </row>
    <row r="986" spans="1:41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174</v>
      </c>
      <c r="I986">
        <v>5.7000000000000002E-2</v>
      </c>
      <c r="J986">
        <f t="shared" si="401"/>
        <v>0.99900000000002365</v>
      </c>
      <c r="K986">
        <f t="shared" si="402"/>
        <v>51</v>
      </c>
      <c r="L986">
        <f t="shared" ca="1" si="403"/>
        <v>38818.135880665563</v>
      </c>
      <c r="M986">
        <f t="shared" ca="1" si="381"/>
        <v>201854.30657946094</v>
      </c>
      <c r="N986">
        <f t="shared" ca="1" si="382"/>
        <v>2.5998258662581573</v>
      </c>
      <c r="O986">
        <f t="shared" ca="1" si="383"/>
        <v>2.5265747788206637E-4</v>
      </c>
      <c r="P986">
        <f t="shared" ca="1" si="384"/>
        <v>39450.279880665563</v>
      </c>
      <c r="Q986">
        <f t="shared" ca="1" si="385"/>
        <v>39450.279880668815</v>
      </c>
      <c r="R986">
        <f t="shared" ca="1" si="386"/>
        <v>4.0177954019766182E-12</v>
      </c>
      <c r="S986">
        <f t="shared" ca="1" si="404"/>
        <v>1.0869565448956564E-3</v>
      </c>
      <c r="T986">
        <f t="shared" ca="1" si="405"/>
        <v>0</v>
      </c>
      <c r="U986">
        <f t="shared" ca="1" si="387"/>
        <v>0.05</v>
      </c>
      <c r="V986">
        <f t="shared" ca="1" si="388"/>
        <v>0.26</v>
      </c>
      <c r="W986">
        <f t="shared" ca="1" si="389"/>
        <v>4.9056603773584909E-2</v>
      </c>
      <c r="X986">
        <f t="shared" ca="1" si="390"/>
        <v>196.15384615384616</v>
      </c>
      <c r="Y986">
        <f t="shared" ca="1" si="391"/>
        <v>632.19399999999996</v>
      </c>
      <c r="Z986">
        <f t="shared" ca="1" si="392"/>
        <v>2593.2710316486618</v>
      </c>
      <c r="AA986">
        <f t="shared" ca="1" si="393"/>
        <v>482.07306851378365</v>
      </c>
      <c r="AB986">
        <f t="shared" ca="1" si="394"/>
        <v>482.25887083179077</v>
      </c>
      <c r="AC986">
        <f t="shared" ca="1" si="395"/>
        <v>0</v>
      </c>
      <c r="AD986">
        <f ca="1">IF(V32="Supercritical",L986,U986)</f>
        <v>0.05</v>
      </c>
      <c r="AE986">
        <f t="shared" ca="1" si="396"/>
        <v>632.19399999999996</v>
      </c>
      <c r="AF986">
        <f t="shared" ca="1" si="397"/>
        <v>2593.2710316486618</v>
      </c>
      <c r="AI986">
        <v>0</v>
      </c>
      <c r="AJ986">
        <v>0</v>
      </c>
      <c r="AK986">
        <f t="shared" si="398"/>
        <v>0</v>
      </c>
      <c r="AL986">
        <f t="shared" si="406"/>
        <v>0</v>
      </c>
      <c r="AM986">
        <f t="shared" ca="1" si="399"/>
        <v>280.07692026646265</v>
      </c>
      <c r="AN986" t="str">
        <f t="shared" ca="1" si="400"/>
        <v>Supercritical</v>
      </c>
      <c r="AO986">
        <f ca="1">IF(V32="Supercritical",R986,AA986)</f>
        <v>482.07306851378365</v>
      </c>
    </row>
    <row r="987" spans="1:41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174</v>
      </c>
      <c r="I987">
        <v>5.7000000000000002E-2</v>
      </c>
      <c r="J987">
        <f t="shared" si="401"/>
        <v>1</v>
      </c>
      <c r="K987">
        <f t="shared" si="402"/>
        <v>51</v>
      </c>
      <c r="L987">
        <f t="shared" ca="1" si="403"/>
        <v>38818.135880665563</v>
      </c>
      <c r="M987">
        <f t="shared" ca="1" si="381"/>
        <v>201854.30657946094</v>
      </c>
      <c r="N987">
        <f t="shared" ca="1" si="382"/>
        <v>2.5998258662581573</v>
      </c>
      <c r="O987">
        <f t="shared" ca="1" si="383"/>
        <v>2.5265747788206637E-4</v>
      </c>
      <c r="P987">
        <f t="shared" ca="1" si="384"/>
        <v>39450.279380665561</v>
      </c>
      <c r="Q987">
        <f t="shared" ca="1" si="385"/>
        <v>39450.279380668813</v>
      </c>
      <c r="R987">
        <f t="shared" ca="1" si="386"/>
        <v>4.0177954019766182E-12</v>
      </c>
      <c r="S987">
        <f t="shared" ca="1" si="404"/>
        <v>4.999999946448952E-4</v>
      </c>
      <c r="T987">
        <f t="shared" ca="1" si="405"/>
        <v>1</v>
      </c>
      <c r="U987">
        <f t="shared" ca="1" si="387"/>
        <v>0.05</v>
      </c>
      <c r="V987">
        <f t="shared" ca="1" si="388"/>
        <v>0.26</v>
      </c>
      <c r="W987">
        <f t="shared" ca="1" si="389"/>
        <v>4.9056603773584909E-2</v>
      </c>
      <c r="X987">
        <f t="shared" ca="1" si="390"/>
        <v>196.15384615384616</v>
      </c>
      <c r="Y987">
        <f t="shared" ca="1" si="391"/>
        <v>632.19349999999997</v>
      </c>
      <c r="Z987">
        <f t="shared" ca="1" si="392"/>
        <v>2593.2705316486622</v>
      </c>
      <c r="AA987">
        <f t="shared" ca="1" si="393"/>
        <v>482.07306851378365</v>
      </c>
      <c r="AB987">
        <f t="shared" ca="1" si="394"/>
        <v>482.07256851378361</v>
      </c>
      <c r="AC987">
        <f t="shared" ca="1" si="395"/>
        <v>0</v>
      </c>
      <c r="AD987">
        <f ca="1">IF(V32="Supercritical",L987,U987)</f>
        <v>0.05</v>
      </c>
      <c r="AE987">
        <f t="shared" ca="1" si="396"/>
        <v>632.19349999999997</v>
      </c>
      <c r="AF987">
        <f t="shared" ca="1" si="397"/>
        <v>2593.2705316486622</v>
      </c>
      <c r="AI987">
        <v>0</v>
      </c>
      <c r="AJ987">
        <v>0</v>
      </c>
      <c r="AK987">
        <f t="shared" si="398"/>
        <v>0</v>
      </c>
      <c r="AL987">
        <f t="shared" si="406"/>
        <v>0</v>
      </c>
      <c r="AM987">
        <f t="shared" ca="1" si="399"/>
        <v>280.07692026646265</v>
      </c>
      <c r="AN987" t="str">
        <f t="shared" ca="1" si="400"/>
        <v>Supercritical</v>
      </c>
      <c r="AO987">
        <f ca="1">IF(V32="Supercritical",R987,AA987)</f>
        <v>482.07306851378365</v>
      </c>
    </row>
    <row r="988" spans="1:41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174</v>
      </c>
      <c r="I988">
        <v>0</v>
      </c>
      <c r="J988">
        <f t="shared" si="401"/>
        <v>1</v>
      </c>
      <c r="K988">
        <f t="shared" si="402"/>
        <v>51</v>
      </c>
      <c r="L988">
        <f t="shared" ca="1" si="403"/>
        <v>38818.135293709012</v>
      </c>
      <c r="M988">
        <f t="shared" ca="1" si="381"/>
        <v>201854.30352728686</v>
      </c>
      <c r="N988">
        <f t="shared" ca="1" si="382"/>
        <v>2.5998258662555243</v>
      </c>
      <c r="O988">
        <f t="shared" ca="1" si="383"/>
        <v>2.5265748170241894E-4</v>
      </c>
      <c r="P988">
        <f t="shared" ca="1" si="384"/>
        <v>39450.278293709009</v>
      </c>
      <c r="Q988">
        <f t="shared" ca="1" si="385"/>
        <v>39450.278293712261</v>
      </c>
      <c r="R988">
        <f t="shared" ca="1" si="386"/>
        <v>4.0177955234856318E-12</v>
      </c>
      <c r="S988">
        <f t="shared" ca="1" si="404"/>
        <v>1.0869565448956564E-3</v>
      </c>
      <c r="T988">
        <f t="shared" ca="1" si="405"/>
        <v>0</v>
      </c>
      <c r="U988">
        <f t="shared" ca="1" si="387"/>
        <v>0.05</v>
      </c>
      <c r="V988">
        <f t="shared" ca="1" si="388"/>
        <v>0.26</v>
      </c>
      <c r="W988">
        <f t="shared" ca="1" si="389"/>
        <v>4.9056603773584909E-2</v>
      </c>
      <c r="X988">
        <f t="shared" ca="1" si="390"/>
        <v>196.15384615384616</v>
      </c>
      <c r="Y988">
        <f t="shared" ca="1" si="391"/>
        <v>632.19299999999998</v>
      </c>
      <c r="Z988">
        <f t="shared" ca="1" si="392"/>
        <v>2593.2700316486621</v>
      </c>
      <c r="AA988">
        <f t="shared" ca="1" si="393"/>
        <v>482.07306851378365</v>
      </c>
      <c r="AB988">
        <f t="shared" ca="1" si="394"/>
        <v>482.25887083179032</v>
      </c>
      <c r="AC988">
        <f t="shared" ca="1" si="395"/>
        <v>0</v>
      </c>
      <c r="AD988">
        <f ca="1">IF(V32="Supercritical",L988,U988)</f>
        <v>0.05</v>
      </c>
      <c r="AE988">
        <f t="shared" ca="1" si="396"/>
        <v>632.19299999999998</v>
      </c>
      <c r="AF988">
        <f t="shared" ca="1" si="397"/>
        <v>2593.2700316486621</v>
      </c>
      <c r="AI988">
        <v>0</v>
      </c>
      <c r="AJ988">
        <v>0</v>
      </c>
      <c r="AK988">
        <f t="shared" si="398"/>
        <v>0</v>
      </c>
      <c r="AL988">
        <f t="shared" si="406"/>
        <v>0</v>
      </c>
      <c r="AM988">
        <f t="shared" ca="1" si="399"/>
        <v>280.07692026646265</v>
      </c>
      <c r="AN988" t="str">
        <f t="shared" ca="1" si="400"/>
        <v>Supercritical</v>
      </c>
      <c r="AO988">
        <f ca="1">IF(V32="Supercritical",R988,AA988)</f>
        <v>482.07306851378365</v>
      </c>
    </row>
    <row r="989" spans="1:41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174</v>
      </c>
      <c r="I989">
        <v>5.7000000000000002E-2</v>
      </c>
      <c r="J989">
        <f t="shared" si="401"/>
        <v>1</v>
      </c>
      <c r="K989">
        <f t="shared" si="402"/>
        <v>51</v>
      </c>
      <c r="L989">
        <f t="shared" ca="1" si="403"/>
        <v>38818.135293709012</v>
      </c>
      <c r="M989">
        <f t="shared" ca="1" si="381"/>
        <v>201854.30352728686</v>
      </c>
      <c r="N989">
        <f t="shared" ca="1" si="382"/>
        <v>2.5998258662555243</v>
      </c>
      <c r="O989">
        <f t="shared" ca="1" si="383"/>
        <v>2.5265748170241894E-4</v>
      </c>
      <c r="P989">
        <f t="shared" ca="1" si="384"/>
        <v>39450.277793709014</v>
      </c>
      <c r="Q989">
        <f t="shared" ca="1" si="385"/>
        <v>39450.277793712266</v>
      </c>
      <c r="R989">
        <f t="shared" ca="1" si="386"/>
        <v>4.0177955234856318E-12</v>
      </c>
      <c r="S989">
        <f t="shared" ca="1" si="404"/>
        <v>4.9999998736893758E-4</v>
      </c>
      <c r="T989">
        <f t="shared" ca="1" si="405"/>
        <v>1</v>
      </c>
      <c r="U989">
        <f t="shared" ca="1" si="387"/>
        <v>0.05</v>
      </c>
      <c r="V989">
        <f t="shared" ca="1" si="388"/>
        <v>0.26</v>
      </c>
      <c r="W989">
        <f t="shared" ca="1" si="389"/>
        <v>4.9056603773584909E-2</v>
      </c>
      <c r="X989">
        <f t="shared" ca="1" si="390"/>
        <v>196.15384615384616</v>
      </c>
      <c r="Y989">
        <f t="shared" ca="1" si="391"/>
        <v>632.1925</v>
      </c>
      <c r="Z989">
        <f t="shared" ca="1" si="392"/>
        <v>2593.269531648662</v>
      </c>
      <c r="AA989">
        <f t="shared" ca="1" si="393"/>
        <v>482.07306851378365</v>
      </c>
      <c r="AB989">
        <f t="shared" ca="1" si="394"/>
        <v>482.25887083179077</v>
      </c>
      <c r="AC989">
        <f t="shared" ca="1" si="395"/>
        <v>0</v>
      </c>
      <c r="AD989">
        <f ca="1">IF(V32="Supercritical",L989,U989)</f>
        <v>0.05</v>
      </c>
      <c r="AE989">
        <f t="shared" ca="1" si="396"/>
        <v>632.1925</v>
      </c>
      <c r="AF989">
        <f t="shared" ca="1" si="397"/>
        <v>2593.269531648662</v>
      </c>
      <c r="AI989">
        <v>0</v>
      </c>
      <c r="AJ989">
        <v>0</v>
      </c>
      <c r="AK989">
        <f t="shared" si="398"/>
        <v>0</v>
      </c>
      <c r="AL989">
        <f t="shared" si="406"/>
        <v>0</v>
      </c>
      <c r="AM989">
        <f t="shared" ca="1" si="399"/>
        <v>280.07692026646265</v>
      </c>
      <c r="AN989" t="str">
        <f t="shared" ca="1" si="400"/>
        <v>Supercritical</v>
      </c>
      <c r="AO989">
        <f ca="1">IF(V32="Supercritical",R989,AA989)</f>
        <v>482.07306851378365</v>
      </c>
    </row>
    <row r="990" spans="1:41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174</v>
      </c>
      <c r="I990">
        <v>5.7000000000000002E-2</v>
      </c>
      <c r="J990">
        <f t="shared" si="401"/>
        <v>1</v>
      </c>
      <c r="K990">
        <f t="shared" si="402"/>
        <v>51</v>
      </c>
      <c r="L990">
        <f t="shared" ca="1" si="403"/>
        <v>38818.134706752462</v>
      </c>
      <c r="M990">
        <f t="shared" ca="1" si="381"/>
        <v>201854.3004751128</v>
      </c>
      <c r="N990">
        <f t="shared" ca="1" si="382"/>
        <v>2.5998258662528912</v>
      </c>
      <c r="O990">
        <f t="shared" ca="1" si="383"/>
        <v>2.5265748552277161E-4</v>
      </c>
      <c r="P990">
        <f t="shared" ca="1" si="384"/>
        <v>39450.276706752462</v>
      </c>
      <c r="Q990">
        <f t="shared" ca="1" si="385"/>
        <v>39450.276706755714</v>
      </c>
      <c r="R990">
        <f t="shared" ca="1" si="386"/>
        <v>4.017795644994651E-12</v>
      </c>
      <c r="S990">
        <f t="shared" ca="1" si="404"/>
        <v>1.0869565448956564E-3</v>
      </c>
      <c r="T990">
        <f t="shared" ca="1" si="405"/>
        <v>0</v>
      </c>
      <c r="U990">
        <f t="shared" ca="1" si="387"/>
        <v>0.05</v>
      </c>
      <c r="V990">
        <f t="shared" ca="1" si="388"/>
        <v>0.26</v>
      </c>
      <c r="W990">
        <f t="shared" ca="1" si="389"/>
        <v>4.9056603773584909E-2</v>
      </c>
      <c r="X990">
        <f t="shared" ca="1" si="390"/>
        <v>196.15384615384616</v>
      </c>
      <c r="Y990">
        <f t="shared" ca="1" si="391"/>
        <v>632.19200000000001</v>
      </c>
      <c r="Z990">
        <f t="shared" ca="1" si="392"/>
        <v>2593.2690316486623</v>
      </c>
      <c r="AA990">
        <f t="shared" ca="1" si="393"/>
        <v>482.07306851378365</v>
      </c>
      <c r="AB990">
        <f t="shared" ca="1" si="394"/>
        <v>482.07256851378361</v>
      </c>
      <c r="AC990">
        <f t="shared" ca="1" si="395"/>
        <v>0</v>
      </c>
      <c r="AD990">
        <f ca="1">IF(V32="Supercritical",L990,U990)</f>
        <v>0.05</v>
      </c>
      <c r="AE990">
        <f t="shared" ca="1" si="396"/>
        <v>632.19200000000001</v>
      </c>
      <c r="AF990">
        <f t="shared" ca="1" si="397"/>
        <v>2593.2690316486623</v>
      </c>
      <c r="AI990">
        <v>0</v>
      </c>
      <c r="AJ990">
        <v>0</v>
      </c>
      <c r="AK990">
        <f t="shared" si="398"/>
        <v>0</v>
      </c>
      <c r="AL990">
        <f t="shared" si="406"/>
        <v>0</v>
      </c>
      <c r="AM990">
        <f t="shared" ca="1" si="399"/>
        <v>280.07692026646265</v>
      </c>
      <c r="AN990" t="str">
        <f t="shared" ca="1" si="400"/>
        <v>Supercritical</v>
      </c>
      <c r="AO990">
        <f ca="1">IF(V32="Supercritical",R990,AA990)</f>
        <v>482.07306851378365</v>
      </c>
    </row>
    <row r="991" spans="1:41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174</v>
      </c>
      <c r="I991">
        <v>0</v>
      </c>
      <c r="J991">
        <f t="shared" si="401"/>
        <v>1</v>
      </c>
      <c r="K991">
        <f t="shared" si="402"/>
        <v>51</v>
      </c>
      <c r="L991">
        <f t="shared" ca="1" si="403"/>
        <v>38818.134706752462</v>
      </c>
      <c r="M991">
        <f t="shared" ca="1" si="381"/>
        <v>201854.3004751128</v>
      </c>
      <c r="N991">
        <f t="shared" ca="1" si="382"/>
        <v>2.5998258662528912</v>
      </c>
      <c r="O991">
        <f t="shared" ca="1" si="383"/>
        <v>2.5265748552277161E-4</v>
      </c>
      <c r="P991">
        <f t="shared" ca="1" si="384"/>
        <v>39450.27620675246</v>
      </c>
      <c r="Q991">
        <f t="shared" ca="1" si="385"/>
        <v>39450.276206755712</v>
      </c>
      <c r="R991">
        <f t="shared" ca="1" si="386"/>
        <v>4.017795644994651E-12</v>
      </c>
      <c r="S991">
        <f t="shared" ca="1" si="404"/>
        <v>4.999999946448952E-4</v>
      </c>
      <c r="T991">
        <f t="shared" ca="1" si="405"/>
        <v>1</v>
      </c>
      <c r="U991">
        <f t="shared" ca="1" si="387"/>
        <v>0.05</v>
      </c>
      <c r="V991">
        <f t="shared" ca="1" si="388"/>
        <v>0.26</v>
      </c>
      <c r="W991">
        <f t="shared" ca="1" si="389"/>
        <v>4.9056603773584909E-2</v>
      </c>
      <c r="X991">
        <f t="shared" ca="1" si="390"/>
        <v>196.15384615384616</v>
      </c>
      <c r="Y991">
        <f t="shared" ca="1" si="391"/>
        <v>632.19149999999991</v>
      </c>
      <c r="Z991">
        <f t="shared" ca="1" si="392"/>
        <v>2593.2685316486622</v>
      </c>
      <c r="AA991">
        <f t="shared" ca="1" si="393"/>
        <v>482.07306851378365</v>
      </c>
      <c r="AB991">
        <f t="shared" ca="1" si="394"/>
        <v>482.07910543722255</v>
      </c>
      <c r="AC991">
        <f t="shared" ca="1" si="395"/>
        <v>0</v>
      </c>
      <c r="AD991">
        <f ca="1">IF(V32="Supercritical",L991,U991)</f>
        <v>0.05</v>
      </c>
      <c r="AE991">
        <f t="shared" ca="1" si="396"/>
        <v>632.19149999999991</v>
      </c>
      <c r="AF991">
        <f t="shared" ca="1" si="397"/>
        <v>2593.2685316486622</v>
      </c>
      <c r="AI991">
        <v>0</v>
      </c>
      <c r="AJ991">
        <v>0</v>
      </c>
      <c r="AK991">
        <f t="shared" si="398"/>
        <v>0</v>
      </c>
      <c r="AL991">
        <f t="shared" si="406"/>
        <v>0</v>
      </c>
      <c r="AM991">
        <f t="shared" ca="1" si="399"/>
        <v>280.07692026646265</v>
      </c>
      <c r="AN991" t="str">
        <f t="shared" ca="1" si="400"/>
        <v>Supercritical</v>
      </c>
      <c r="AO991">
        <f ca="1">IF(V32="Supercritical",R991,AA991)</f>
        <v>482.07306851378365</v>
      </c>
    </row>
    <row r="992" spans="1:41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174</v>
      </c>
      <c r="I992">
        <v>2E-3</v>
      </c>
      <c r="J992">
        <f t="shared" si="401"/>
        <v>1</v>
      </c>
      <c r="K992">
        <f t="shared" si="402"/>
        <v>51</v>
      </c>
      <c r="L992">
        <f t="shared" ca="1" si="403"/>
        <v>38818.134119795897</v>
      </c>
      <c r="M992">
        <f t="shared" ca="1" si="381"/>
        <v>201854.29742293866</v>
      </c>
      <c r="N992">
        <f t="shared" ca="1" si="382"/>
        <v>2.5998258662502587</v>
      </c>
      <c r="O992">
        <f t="shared" ca="1" si="383"/>
        <v>2.5265748934312444E-4</v>
      </c>
      <c r="P992">
        <f t="shared" ca="1" si="384"/>
        <v>39450.275119795901</v>
      </c>
      <c r="Q992">
        <f t="shared" ca="1" si="385"/>
        <v>39450.275119799153</v>
      </c>
      <c r="R992">
        <f t="shared" ca="1" si="386"/>
        <v>4.0177957665036774E-12</v>
      </c>
      <c r="S992">
        <f t="shared" ca="1" si="404"/>
        <v>1.086956552171614E-3</v>
      </c>
      <c r="T992">
        <f t="shared" ca="1" si="405"/>
        <v>0</v>
      </c>
      <c r="U992">
        <f t="shared" ca="1" si="387"/>
        <v>0.05</v>
      </c>
      <c r="V992">
        <f t="shared" ca="1" si="388"/>
        <v>0.26</v>
      </c>
      <c r="W992">
        <f t="shared" ca="1" si="389"/>
        <v>4.9056603773584909E-2</v>
      </c>
      <c r="X992">
        <f t="shared" ca="1" si="390"/>
        <v>196.15384615384616</v>
      </c>
      <c r="Y992">
        <f t="shared" ca="1" si="391"/>
        <v>632.19099999999992</v>
      </c>
      <c r="Z992">
        <f t="shared" ca="1" si="392"/>
        <v>2593.2680316486621</v>
      </c>
      <c r="AA992">
        <f t="shared" ca="1" si="393"/>
        <v>482.07306851378365</v>
      </c>
      <c r="AB992">
        <f t="shared" ca="1" si="394"/>
        <v>482.75074928545064</v>
      </c>
      <c r="AC992">
        <f t="shared" ca="1" si="395"/>
        <v>0</v>
      </c>
      <c r="AD992">
        <f ca="1">IF(V32="Supercritical",L992,U992)</f>
        <v>0.05</v>
      </c>
      <c r="AE992">
        <f t="shared" ca="1" si="396"/>
        <v>632.19099999999992</v>
      </c>
      <c r="AF992">
        <f t="shared" ca="1" si="397"/>
        <v>2593.2680316486621</v>
      </c>
      <c r="AI992">
        <v>0</v>
      </c>
      <c r="AJ992">
        <v>0</v>
      </c>
      <c r="AK992">
        <f t="shared" si="398"/>
        <v>0</v>
      </c>
      <c r="AL992">
        <f t="shared" si="406"/>
        <v>0</v>
      </c>
      <c r="AM992">
        <f t="shared" ca="1" si="399"/>
        <v>280.07692026646265</v>
      </c>
      <c r="AN992" t="str">
        <f t="shared" ca="1" si="400"/>
        <v>Supercritical</v>
      </c>
      <c r="AO992">
        <f ca="1">IF(V32="Supercritical",R992,AA992)</f>
        <v>482.07306851378365</v>
      </c>
    </row>
    <row r="993" spans="1:41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174</v>
      </c>
      <c r="I993">
        <v>0.06</v>
      </c>
      <c r="J993">
        <f t="shared" si="401"/>
        <v>1.0009999999999764</v>
      </c>
      <c r="K993">
        <f t="shared" si="402"/>
        <v>51</v>
      </c>
      <c r="L993">
        <f t="shared" ca="1" si="403"/>
        <v>38818.134119795897</v>
      </c>
      <c r="M993">
        <f t="shared" ca="1" si="381"/>
        <v>201854.29742293866</v>
      </c>
      <c r="N993">
        <f t="shared" ca="1" si="382"/>
        <v>2.5998258662502587</v>
      </c>
      <c r="O993">
        <f t="shared" ca="1" si="383"/>
        <v>2.5265748934312444E-4</v>
      </c>
      <c r="P993">
        <f t="shared" ca="1" si="384"/>
        <v>39450.274619795899</v>
      </c>
      <c r="Q993">
        <f t="shared" ca="1" si="385"/>
        <v>39450.274619799151</v>
      </c>
      <c r="R993">
        <f t="shared" ca="1" si="386"/>
        <v>4.0177957665036774E-12</v>
      </c>
      <c r="S993">
        <f t="shared" ca="1" si="404"/>
        <v>4.999999946448952E-4</v>
      </c>
      <c r="T993">
        <f t="shared" ca="1" si="405"/>
        <v>1</v>
      </c>
      <c r="U993">
        <f t="shared" ca="1" si="387"/>
        <v>0.05</v>
      </c>
      <c r="V993">
        <f t="shared" ca="1" si="388"/>
        <v>0.26</v>
      </c>
      <c r="W993">
        <f t="shared" ca="1" si="389"/>
        <v>4.9056603773584909E-2</v>
      </c>
      <c r="X993">
        <f t="shared" ca="1" si="390"/>
        <v>196.15384615384616</v>
      </c>
      <c r="Y993">
        <f t="shared" ca="1" si="391"/>
        <v>632.19049999999993</v>
      </c>
      <c r="Z993">
        <f t="shared" ca="1" si="392"/>
        <v>2593.267531648662</v>
      </c>
      <c r="AA993">
        <f t="shared" ca="1" si="393"/>
        <v>482.07306851378365</v>
      </c>
      <c r="AB993">
        <f t="shared" ca="1" si="394"/>
        <v>482.25887083179032</v>
      </c>
      <c r="AC993">
        <f t="shared" ca="1" si="395"/>
        <v>0</v>
      </c>
      <c r="AD993">
        <f ca="1">IF(V32="Supercritical",L993,U993)</f>
        <v>0.05</v>
      </c>
      <c r="AE993">
        <f t="shared" ca="1" si="396"/>
        <v>632.19049999999993</v>
      </c>
      <c r="AF993">
        <f t="shared" ca="1" si="397"/>
        <v>2593.267531648662</v>
      </c>
      <c r="AI993">
        <v>0</v>
      </c>
      <c r="AJ993">
        <v>0</v>
      </c>
      <c r="AK993">
        <f t="shared" si="398"/>
        <v>0</v>
      </c>
      <c r="AL993">
        <f t="shared" si="406"/>
        <v>0</v>
      </c>
      <c r="AM993">
        <f t="shared" ca="1" si="399"/>
        <v>280.07692026646265</v>
      </c>
      <c r="AN993" t="str">
        <f t="shared" ca="1" si="400"/>
        <v>Supercritical</v>
      </c>
      <c r="AO993">
        <f ca="1">IF(V32="Supercritical",R993,AA993)</f>
        <v>482.07306851378365</v>
      </c>
    </row>
    <row r="994" spans="1:41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174</v>
      </c>
      <c r="I994">
        <v>5.7000000000000002E-2</v>
      </c>
      <c r="J994">
        <f t="shared" si="401"/>
        <v>1</v>
      </c>
      <c r="K994">
        <f t="shared" si="402"/>
        <v>51</v>
      </c>
      <c r="L994">
        <f t="shared" ca="1" si="403"/>
        <v>38818.133532839347</v>
      </c>
      <c r="M994">
        <f t="shared" ca="1" si="381"/>
        <v>201854.2943707646</v>
      </c>
      <c r="N994">
        <f t="shared" ca="1" si="382"/>
        <v>2.5998258662476257</v>
      </c>
      <c r="O994">
        <f t="shared" ca="1" si="383"/>
        <v>2.5265749316347733E-4</v>
      </c>
      <c r="P994">
        <f t="shared" ca="1" si="384"/>
        <v>39450.273532839346</v>
      </c>
      <c r="Q994">
        <f t="shared" ca="1" si="385"/>
        <v>39450.273532842599</v>
      </c>
      <c r="R994">
        <f t="shared" ca="1" si="386"/>
        <v>4.0177958880127031E-12</v>
      </c>
      <c r="S994">
        <f t="shared" ca="1" si="404"/>
        <v>1.0869565448956564E-3</v>
      </c>
      <c r="T994">
        <f t="shared" ca="1" si="405"/>
        <v>0</v>
      </c>
      <c r="U994">
        <f t="shared" ca="1" si="387"/>
        <v>0.05</v>
      </c>
      <c r="V994">
        <f t="shared" ca="1" si="388"/>
        <v>0.26</v>
      </c>
      <c r="W994">
        <f t="shared" ca="1" si="389"/>
        <v>4.9056603773584909E-2</v>
      </c>
      <c r="X994">
        <f t="shared" ca="1" si="390"/>
        <v>196.15384615384616</v>
      </c>
      <c r="Y994">
        <f t="shared" ca="1" si="391"/>
        <v>632.18999999999994</v>
      </c>
      <c r="Z994">
        <f t="shared" ca="1" si="392"/>
        <v>2593.2670316486619</v>
      </c>
      <c r="AA994">
        <f t="shared" ca="1" si="393"/>
        <v>482.07306851378365</v>
      </c>
      <c r="AB994">
        <f t="shared" ca="1" si="394"/>
        <v>482.07256851378361</v>
      </c>
      <c r="AC994">
        <f t="shared" ca="1" si="395"/>
        <v>0</v>
      </c>
      <c r="AD994">
        <f ca="1">IF(V32="Supercritical",L994,U994)</f>
        <v>0.05</v>
      </c>
      <c r="AE994">
        <f t="shared" ca="1" si="396"/>
        <v>632.18999999999994</v>
      </c>
      <c r="AF994">
        <f t="shared" ca="1" si="397"/>
        <v>2593.2670316486619</v>
      </c>
      <c r="AI994">
        <v>0</v>
      </c>
      <c r="AJ994">
        <v>0</v>
      </c>
      <c r="AK994">
        <f t="shared" si="398"/>
        <v>0</v>
      </c>
      <c r="AL994">
        <f t="shared" si="406"/>
        <v>0</v>
      </c>
      <c r="AM994">
        <f t="shared" ca="1" si="399"/>
        <v>280.07692026646265</v>
      </c>
      <c r="AN994" t="str">
        <f t="shared" ca="1" si="400"/>
        <v>Supercritical</v>
      </c>
      <c r="AO994">
        <f ca="1">IF(V32="Supercritical",R994,AA994)</f>
        <v>482.07306851378365</v>
      </c>
    </row>
    <row r="995" spans="1:41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174</v>
      </c>
      <c r="I995">
        <v>0</v>
      </c>
      <c r="J995">
        <f t="shared" si="401"/>
        <v>1</v>
      </c>
      <c r="K995">
        <f t="shared" si="402"/>
        <v>51</v>
      </c>
      <c r="L995">
        <f t="shared" ca="1" si="403"/>
        <v>38818.133532839347</v>
      </c>
      <c r="M995">
        <f t="shared" ca="1" si="381"/>
        <v>201854.2943707646</v>
      </c>
      <c r="N995">
        <f t="shared" ca="1" si="382"/>
        <v>2.5998258662476257</v>
      </c>
      <c r="O995">
        <f t="shared" ca="1" si="383"/>
        <v>2.5265749316347733E-4</v>
      </c>
      <c r="P995">
        <f t="shared" ca="1" si="384"/>
        <v>39450.273032839345</v>
      </c>
      <c r="Q995">
        <f t="shared" ca="1" si="385"/>
        <v>39450.273032842597</v>
      </c>
      <c r="R995">
        <f t="shared" ca="1" si="386"/>
        <v>4.0177958880127031E-12</v>
      </c>
      <c r="S995">
        <f t="shared" ca="1" si="404"/>
        <v>4.999999946448952E-4</v>
      </c>
      <c r="T995">
        <f t="shared" ca="1" si="405"/>
        <v>1</v>
      </c>
      <c r="U995">
        <f t="shared" ca="1" si="387"/>
        <v>0.05</v>
      </c>
      <c r="V995">
        <f t="shared" ca="1" si="388"/>
        <v>0.26</v>
      </c>
      <c r="W995">
        <f t="shared" ca="1" si="389"/>
        <v>4.9056603773584909E-2</v>
      </c>
      <c r="X995">
        <f t="shared" ca="1" si="390"/>
        <v>196.15384615384616</v>
      </c>
      <c r="Y995">
        <f t="shared" ca="1" si="391"/>
        <v>632.18949999999995</v>
      </c>
      <c r="Z995">
        <f t="shared" ca="1" si="392"/>
        <v>2593.2665316486618</v>
      </c>
      <c r="AA995">
        <f t="shared" ca="1" si="393"/>
        <v>482.07306851378365</v>
      </c>
      <c r="AB995">
        <f t="shared" ca="1" si="394"/>
        <v>481.5904954452817</v>
      </c>
      <c r="AC995">
        <f t="shared" ca="1" si="395"/>
        <v>0</v>
      </c>
      <c r="AD995">
        <f ca="1">IF(V32="Supercritical",L995,U995)</f>
        <v>0.05</v>
      </c>
      <c r="AE995">
        <f t="shared" ca="1" si="396"/>
        <v>632.18949999999995</v>
      </c>
      <c r="AF995">
        <f t="shared" ca="1" si="397"/>
        <v>2593.2665316486618</v>
      </c>
      <c r="AI995">
        <v>0</v>
      </c>
      <c r="AJ995">
        <v>0</v>
      </c>
      <c r="AK995">
        <f t="shared" si="398"/>
        <v>0</v>
      </c>
      <c r="AL995">
        <f t="shared" si="406"/>
        <v>0</v>
      </c>
      <c r="AM995">
        <f t="shared" ca="1" si="399"/>
        <v>280.07692026646265</v>
      </c>
      <c r="AN995" t="str">
        <f t="shared" ca="1" si="400"/>
        <v>Supercritical</v>
      </c>
      <c r="AO995">
        <f ca="1">IF(V32="Supercritical",R995,AA995)</f>
        <v>482.07306851378365</v>
      </c>
    </row>
    <row r="996" spans="1:41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174</v>
      </c>
      <c r="I996">
        <v>0</v>
      </c>
      <c r="J996">
        <f t="shared" si="401"/>
        <v>0.99900000000002365</v>
      </c>
      <c r="K996">
        <f t="shared" si="402"/>
        <v>51</v>
      </c>
      <c r="L996">
        <f t="shared" ca="1" si="403"/>
        <v>38818.132945882782</v>
      </c>
      <c r="M996">
        <f t="shared" ca="1" si="381"/>
        <v>201854.29131859046</v>
      </c>
      <c r="N996">
        <f t="shared" ca="1" si="382"/>
        <v>2.5998258662449927</v>
      </c>
      <c r="O996">
        <f t="shared" ca="1" si="383"/>
        <v>2.5265749698383044E-4</v>
      </c>
      <c r="P996">
        <f t="shared" ca="1" si="384"/>
        <v>39450.271945882785</v>
      </c>
      <c r="Q996">
        <f t="shared" ca="1" si="385"/>
        <v>39450.271945886037</v>
      </c>
      <c r="R996">
        <f t="shared" ca="1" si="386"/>
        <v>4.0177960095217417E-12</v>
      </c>
      <c r="S996">
        <f t="shared" ca="1" si="404"/>
        <v>1.086956552171614E-3</v>
      </c>
      <c r="T996">
        <f t="shared" ca="1" si="405"/>
        <v>0</v>
      </c>
      <c r="U996">
        <f t="shared" ca="1" si="387"/>
        <v>0.05</v>
      </c>
      <c r="V996">
        <f t="shared" ca="1" si="388"/>
        <v>0.26</v>
      </c>
      <c r="W996">
        <f t="shared" ca="1" si="389"/>
        <v>4.9056603773584909E-2</v>
      </c>
      <c r="X996">
        <f t="shared" ca="1" si="390"/>
        <v>196.15384615384616</v>
      </c>
      <c r="Y996">
        <f t="shared" ca="1" si="391"/>
        <v>632.18899999999996</v>
      </c>
      <c r="Z996">
        <f t="shared" ca="1" si="392"/>
        <v>2593.2660316486622</v>
      </c>
      <c r="AA996">
        <f t="shared" ca="1" si="393"/>
        <v>482.07306851378365</v>
      </c>
      <c r="AB996">
        <f t="shared" ca="1" si="394"/>
        <v>482.25887083179032</v>
      </c>
      <c r="AC996">
        <f t="shared" ca="1" si="395"/>
        <v>0</v>
      </c>
      <c r="AD996">
        <f ca="1">IF(V32="Supercritical",L996,U996)</f>
        <v>0.05</v>
      </c>
      <c r="AE996">
        <f t="shared" ca="1" si="396"/>
        <v>632.18899999999996</v>
      </c>
      <c r="AF996">
        <f t="shared" ca="1" si="397"/>
        <v>2593.2660316486622</v>
      </c>
      <c r="AI996">
        <v>0</v>
      </c>
      <c r="AJ996">
        <v>0</v>
      </c>
      <c r="AK996">
        <f t="shared" si="398"/>
        <v>0</v>
      </c>
      <c r="AL996">
        <f t="shared" si="406"/>
        <v>0</v>
      </c>
      <c r="AM996">
        <f t="shared" ca="1" si="399"/>
        <v>280.07692026646265</v>
      </c>
      <c r="AN996" t="str">
        <f t="shared" ca="1" si="400"/>
        <v>Supercritical</v>
      </c>
      <c r="AO996">
        <f ca="1">IF(V32="Supercritical",R996,AA996)</f>
        <v>482.07306851378365</v>
      </c>
    </row>
    <row r="997" spans="1:41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174</v>
      </c>
      <c r="I997">
        <v>5.7000000000000002E-2</v>
      </c>
      <c r="J997">
        <f t="shared" si="401"/>
        <v>1</v>
      </c>
      <c r="K997">
        <f t="shared" si="402"/>
        <v>51</v>
      </c>
      <c r="L997">
        <f t="shared" ca="1" si="403"/>
        <v>38818.132945882782</v>
      </c>
      <c r="M997">
        <f t="shared" ca="1" si="381"/>
        <v>201854.29131859046</v>
      </c>
      <c r="N997">
        <f t="shared" ca="1" si="382"/>
        <v>2.5998258662449927</v>
      </c>
      <c r="O997">
        <f t="shared" ca="1" si="383"/>
        <v>2.5265749698383044E-4</v>
      </c>
      <c r="P997">
        <f t="shared" ca="1" si="384"/>
        <v>39450.271445882783</v>
      </c>
      <c r="Q997">
        <f t="shared" ca="1" si="385"/>
        <v>39450.271445886036</v>
      </c>
      <c r="R997">
        <f t="shared" ca="1" si="386"/>
        <v>4.0177960095217417E-12</v>
      </c>
      <c r="S997">
        <f t="shared" ca="1" si="404"/>
        <v>4.999999946448952E-4</v>
      </c>
      <c r="T997">
        <f t="shared" ca="1" si="405"/>
        <v>1</v>
      </c>
      <c r="U997">
        <f t="shared" ca="1" si="387"/>
        <v>0.05</v>
      </c>
      <c r="V997">
        <f t="shared" ca="1" si="388"/>
        <v>0.26</v>
      </c>
      <c r="W997">
        <f t="shared" ca="1" si="389"/>
        <v>4.9056603773584909E-2</v>
      </c>
      <c r="X997">
        <f t="shared" ca="1" si="390"/>
        <v>196.15384615384616</v>
      </c>
      <c r="Y997">
        <f t="shared" ca="1" si="391"/>
        <v>632.18849999999998</v>
      </c>
      <c r="Z997">
        <f t="shared" ca="1" si="392"/>
        <v>2593.2655316486621</v>
      </c>
      <c r="AA997">
        <f t="shared" ca="1" si="393"/>
        <v>482.07306851378365</v>
      </c>
      <c r="AB997">
        <f t="shared" ca="1" si="394"/>
        <v>482.25887083179032</v>
      </c>
      <c r="AC997">
        <f t="shared" ca="1" si="395"/>
        <v>0</v>
      </c>
      <c r="AD997">
        <f ca="1">IF(V32="Supercritical",L997,U997)</f>
        <v>0.05</v>
      </c>
      <c r="AE997">
        <f t="shared" ca="1" si="396"/>
        <v>632.18849999999998</v>
      </c>
      <c r="AF997">
        <f t="shared" ca="1" si="397"/>
        <v>2593.2655316486621</v>
      </c>
      <c r="AI997">
        <v>0</v>
      </c>
      <c r="AJ997">
        <v>0</v>
      </c>
      <c r="AK997">
        <f t="shared" si="398"/>
        <v>0</v>
      </c>
      <c r="AL997">
        <f t="shared" si="406"/>
        <v>0</v>
      </c>
      <c r="AM997">
        <f t="shared" ca="1" si="399"/>
        <v>280.07692026646265</v>
      </c>
      <c r="AN997" t="str">
        <f t="shared" ca="1" si="400"/>
        <v>Supercritical</v>
      </c>
      <c r="AO997">
        <f ca="1">IF(V32="Supercritical",R997,AA997)</f>
        <v>482.07306851378365</v>
      </c>
    </row>
    <row r="998" spans="1:41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174</v>
      </c>
      <c r="I998">
        <v>5.7000000000000002E-2</v>
      </c>
      <c r="J998">
        <f t="shared" si="401"/>
        <v>1</v>
      </c>
      <c r="K998">
        <f t="shared" si="402"/>
        <v>51</v>
      </c>
      <c r="L998">
        <f t="shared" ca="1" si="403"/>
        <v>38818.132358926232</v>
      </c>
      <c r="M998">
        <f t="shared" ca="1" si="381"/>
        <v>201854.28826641641</v>
      </c>
      <c r="N998">
        <f t="shared" ca="1" si="382"/>
        <v>2.5998258662423601</v>
      </c>
      <c r="O998">
        <f t="shared" ca="1" si="383"/>
        <v>2.5265750080418354E-4</v>
      </c>
      <c r="P998">
        <f t="shared" ca="1" si="384"/>
        <v>39450.270358926231</v>
      </c>
      <c r="Q998">
        <f t="shared" ca="1" si="385"/>
        <v>39450.270358929483</v>
      </c>
      <c r="R998">
        <f t="shared" ca="1" si="386"/>
        <v>4.0177961310307819E-12</v>
      </c>
      <c r="S998">
        <f t="shared" ca="1" si="404"/>
        <v>1.0869565448956564E-3</v>
      </c>
      <c r="T998">
        <f t="shared" ca="1" si="405"/>
        <v>0</v>
      </c>
      <c r="U998">
        <f t="shared" ca="1" si="387"/>
        <v>0.05</v>
      </c>
      <c r="V998">
        <f t="shared" ca="1" si="388"/>
        <v>0.26</v>
      </c>
      <c r="W998">
        <f t="shared" ca="1" si="389"/>
        <v>4.9056603773584909E-2</v>
      </c>
      <c r="X998">
        <f t="shared" ca="1" si="390"/>
        <v>196.15384615384616</v>
      </c>
      <c r="Y998">
        <f t="shared" ca="1" si="391"/>
        <v>632.18799999999999</v>
      </c>
      <c r="Z998">
        <f t="shared" ca="1" si="392"/>
        <v>2593.265031648662</v>
      </c>
      <c r="AA998">
        <f t="shared" ca="1" si="393"/>
        <v>482.07306851378365</v>
      </c>
      <c r="AB998">
        <f t="shared" ca="1" si="394"/>
        <v>482.07256851378406</v>
      </c>
      <c r="AC998">
        <f t="shared" ca="1" si="395"/>
        <v>0</v>
      </c>
      <c r="AD998">
        <f ca="1">IF(V32="Supercritical",L998,U998)</f>
        <v>0.05</v>
      </c>
      <c r="AE998">
        <f t="shared" ca="1" si="396"/>
        <v>632.18799999999999</v>
      </c>
      <c r="AF998">
        <f t="shared" ca="1" si="397"/>
        <v>2593.265031648662</v>
      </c>
      <c r="AI998">
        <v>0</v>
      </c>
      <c r="AJ998">
        <v>0</v>
      </c>
      <c r="AK998">
        <f t="shared" si="398"/>
        <v>0</v>
      </c>
      <c r="AL998">
        <f t="shared" si="406"/>
        <v>0</v>
      </c>
      <c r="AM998">
        <f t="shared" ca="1" si="399"/>
        <v>280.07692026646265</v>
      </c>
      <c r="AN998" t="str">
        <f t="shared" ca="1" si="400"/>
        <v>Supercritical</v>
      </c>
      <c r="AO998">
        <f ca="1">IF(V32="Supercritical",R998,AA998)</f>
        <v>482.07306851378365</v>
      </c>
    </row>
    <row r="999" spans="1:41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174</v>
      </c>
      <c r="I999">
        <v>0</v>
      </c>
      <c r="J999">
        <f t="shared" si="401"/>
        <v>1</v>
      </c>
      <c r="K999">
        <f t="shared" si="402"/>
        <v>51</v>
      </c>
      <c r="L999">
        <f t="shared" ca="1" si="403"/>
        <v>38818.132358926232</v>
      </c>
      <c r="M999">
        <f t="shared" ca="1" si="381"/>
        <v>201854.28826641641</v>
      </c>
      <c r="N999">
        <f t="shared" ca="1" si="382"/>
        <v>2.5998258662423601</v>
      </c>
      <c r="O999">
        <f t="shared" ca="1" si="383"/>
        <v>2.5265750080418354E-4</v>
      </c>
      <c r="P999">
        <f t="shared" ca="1" si="384"/>
        <v>39450.269858926229</v>
      </c>
      <c r="Q999">
        <f t="shared" ca="1" si="385"/>
        <v>39450.269858929481</v>
      </c>
      <c r="R999">
        <f t="shared" ca="1" si="386"/>
        <v>4.0177961310307819E-12</v>
      </c>
      <c r="S999">
        <f t="shared" ca="1" si="404"/>
        <v>4.999999946448952E-4</v>
      </c>
      <c r="T999">
        <f t="shared" ca="1" si="405"/>
        <v>1</v>
      </c>
      <c r="U999">
        <f t="shared" ca="1" si="387"/>
        <v>0.05</v>
      </c>
      <c r="V999">
        <f t="shared" ca="1" si="388"/>
        <v>0.26</v>
      </c>
      <c r="W999">
        <f t="shared" ca="1" si="389"/>
        <v>4.9056603773584909E-2</v>
      </c>
      <c r="X999">
        <f t="shared" ca="1" si="390"/>
        <v>196.15384615384616</v>
      </c>
      <c r="Y999">
        <f t="shared" ca="1" si="391"/>
        <v>632.1875</v>
      </c>
      <c r="Z999">
        <f t="shared" ca="1" si="392"/>
        <v>2593.2645316486623</v>
      </c>
      <c r="AA999">
        <f t="shared" ca="1" si="393"/>
        <v>482.07306851378365</v>
      </c>
      <c r="AB999">
        <f t="shared" ca="1" si="394"/>
        <v>482.07256851378361</v>
      </c>
      <c r="AC999">
        <f t="shared" ca="1" si="395"/>
        <v>0</v>
      </c>
      <c r="AD999">
        <f ca="1">IF(V32="Supercritical",L999,U999)</f>
        <v>0.05</v>
      </c>
      <c r="AE999">
        <f t="shared" ca="1" si="396"/>
        <v>632.1875</v>
      </c>
      <c r="AF999">
        <f t="shared" ca="1" si="397"/>
        <v>2593.2645316486623</v>
      </c>
      <c r="AI999">
        <v>0</v>
      </c>
      <c r="AJ999">
        <v>0</v>
      </c>
      <c r="AK999">
        <f t="shared" si="398"/>
        <v>0</v>
      </c>
      <c r="AL999">
        <f t="shared" si="406"/>
        <v>0</v>
      </c>
      <c r="AM999">
        <f t="shared" ca="1" si="399"/>
        <v>280.07692026646265</v>
      </c>
      <c r="AN999" t="str">
        <f t="shared" ca="1" si="400"/>
        <v>Supercritical</v>
      </c>
      <c r="AO999">
        <f ca="1">IF(V32="Supercritical",R999,AA999)</f>
        <v>482.07306851378365</v>
      </c>
    </row>
    <row r="1000" spans="1:41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174</v>
      </c>
      <c r="I1000">
        <v>0</v>
      </c>
      <c r="J1000">
        <f t="shared" si="401"/>
        <v>1</v>
      </c>
      <c r="K1000">
        <f t="shared" si="402"/>
        <v>51</v>
      </c>
      <c r="L1000">
        <f t="shared" ca="1" si="403"/>
        <v>38818.131771969667</v>
      </c>
      <c r="M1000">
        <f t="shared" ca="1" si="381"/>
        <v>201854.28521424226</v>
      </c>
      <c r="N1000">
        <f t="shared" ca="1" si="382"/>
        <v>2.5998258662397271</v>
      </c>
      <c r="O1000">
        <f t="shared" ca="1" si="383"/>
        <v>2.5265750462453686E-4</v>
      </c>
      <c r="P1000">
        <f t="shared" ca="1" si="384"/>
        <v>39450.26877196967</v>
      </c>
      <c r="Q1000">
        <f t="shared" ca="1" si="385"/>
        <v>39450.268771972922</v>
      </c>
      <c r="R1000">
        <f t="shared" ca="1" si="386"/>
        <v>4.0177962525398302E-12</v>
      </c>
      <c r="S1000">
        <f t="shared" ca="1" si="404"/>
        <v>1.086956552171614E-3</v>
      </c>
      <c r="T1000">
        <f t="shared" ca="1" si="405"/>
        <v>0</v>
      </c>
      <c r="U1000">
        <f t="shared" ca="1" si="387"/>
        <v>0.05</v>
      </c>
      <c r="V1000">
        <f t="shared" ca="1" si="388"/>
        <v>0.26</v>
      </c>
      <c r="W1000">
        <f t="shared" ca="1" si="389"/>
        <v>4.9056603773584909E-2</v>
      </c>
      <c r="X1000">
        <f t="shared" ca="1" si="390"/>
        <v>196.15384615384616</v>
      </c>
      <c r="Y1000">
        <f t="shared" ca="1" si="391"/>
        <v>632.1869999999999</v>
      </c>
      <c r="Z1000">
        <f t="shared" ca="1" si="392"/>
        <v>2593.2640316486622</v>
      </c>
      <c r="AA1000">
        <f t="shared" ca="1" si="393"/>
        <v>482.07306851378365</v>
      </c>
      <c r="AB1000">
        <f t="shared" ca="1" si="394"/>
        <v>482.25887083179032</v>
      </c>
      <c r="AC1000">
        <f t="shared" ca="1" si="395"/>
        <v>0</v>
      </c>
      <c r="AD1000">
        <f ca="1">IF(V32="Supercritical",L1000,U1000)</f>
        <v>0.05</v>
      </c>
      <c r="AE1000">
        <f t="shared" ca="1" si="396"/>
        <v>632.1869999999999</v>
      </c>
      <c r="AF1000">
        <f t="shared" ca="1" si="397"/>
        <v>2593.2640316486622</v>
      </c>
      <c r="AI1000">
        <v>0</v>
      </c>
      <c r="AJ1000">
        <v>0</v>
      </c>
      <c r="AK1000">
        <f t="shared" si="398"/>
        <v>0</v>
      </c>
      <c r="AL1000">
        <f t="shared" si="406"/>
        <v>0</v>
      </c>
      <c r="AM1000">
        <f t="shared" ca="1" si="399"/>
        <v>280.07692026646265</v>
      </c>
      <c r="AN1000" t="str">
        <f t="shared" ca="1" si="400"/>
        <v>Supercritical</v>
      </c>
      <c r="AO1000">
        <f ca="1">IF(V32="Supercritical",R1000,AA1000)</f>
        <v>482.07306851378365</v>
      </c>
    </row>
    <row r="1001" spans="1:41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174</v>
      </c>
      <c r="I1001">
        <v>5.7000000000000002E-2</v>
      </c>
      <c r="J1001">
        <f t="shared" si="401"/>
        <v>1</v>
      </c>
      <c r="K1001">
        <f t="shared" si="402"/>
        <v>51</v>
      </c>
      <c r="L1001">
        <f t="shared" ca="1" si="403"/>
        <v>38818.131771969667</v>
      </c>
      <c r="M1001">
        <f t="shared" ca="1" si="381"/>
        <v>201854.28521424226</v>
      </c>
      <c r="N1001">
        <f t="shared" ca="1" si="382"/>
        <v>2.5998258662397271</v>
      </c>
      <c r="O1001">
        <f t="shared" ca="1" si="383"/>
        <v>2.5265750462453686E-4</v>
      </c>
      <c r="P1001">
        <f t="shared" ca="1" si="384"/>
        <v>39450.268271969668</v>
      </c>
      <c r="Q1001">
        <f t="shared" ca="1" si="385"/>
        <v>39450.26827197292</v>
      </c>
      <c r="R1001">
        <f t="shared" ca="1" si="386"/>
        <v>4.0177962525398302E-12</v>
      </c>
      <c r="S1001">
        <f t="shared" ca="1" si="404"/>
        <v>4.999999946448952E-4</v>
      </c>
      <c r="T1001">
        <f t="shared" ca="1" si="405"/>
        <v>1</v>
      </c>
      <c r="U1001">
        <f t="shared" ca="1" si="387"/>
        <v>0.05</v>
      </c>
      <c r="V1001">
        <f t="shared" ca="1" si="388"/>
        <v>0.26</v>
      </c>
      <c r="W1001">
        <f t="shared" ca="1" si="389"/>
        <v>4.9056603773584909E-2</v>
      </c>
      <c r="X1001">
        <f t="shared" ca="1" si="390"/>
        <v>196.15384615384616</v>
      </c>
      <c r="Y1001">
        <f t="shared" ca="1" si="391"/>
        <v>632.18649999999991</v>
      </c>
      <c r="Z1001">
        <f t="shared" ca="1" si="392"/>
        <v>2593.2635316486621</v>
      </c>
      <c r="AA1001">
        <f t="shared" ca="1" si="393"/>
        <v>482.07306851378365</v>
      </c>
      <c r="AB1001">
        <f t="shared" ca="1" si="394"/>
        <v>482.26867621694828</v>
      </c>
      <c r="AC1001">
        <f t="shared" ca="1" si="395"/>
        <v>0</v>
      </c>
      <c r="AD1001">
        <f ca="1">IF(V32="Supercritical",L1001,U1001)</f>
        <v>0.05</v>
      </c>
      <c r="AE1001">
        <f t="shared" ca="1" si="396"/>
        <v>632.18649999999991</v>
      </c>
      <c r="AF1001">
        <f t="shared" ca="1" si="397"/>
        <v>2593.2635316486621</v>
      </c>
      <c r="AI1001">
        <v>0</v>
      </c>
      <c r="AJ1001">
        <v>0</v>
      </c>
      <c r="AK1001">
        <f t="shared" si="398"/>
        <v>0</v>
      </c>
      <c r="AL1001">
        <f t="shared" si="406"/>
        <v>0</v>
      </c>
      <c r="AM1001">
        <f t="shared" ca="1" si="399"/>
        <v>280.07692026646265</v>
      </c>
      <c r="AN1001" t="str">
        <f t="shared" ca="1" si="400"/>
        <v>Supercritical</v>
      </c>
      <c r="AO1001">
        <f ca="1">IF(V32="Supercritical",R1001,AA1001)</f>
        <v>482.07306851378365</v>
      </c>
    </row>
    <row r="1002" spans="1:41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174</v>
      </c>
      <c r="I1002">
        <v>0.06</v>
      </c>
      <c r="J1002">
        <f t="shared" si="401"/>
        <v>1</v>
      </c>
      <c r="K1002">
        <f t="shared" si="402"/>
        <v>51</v>
      </c>
      <c r="L1002">
        <f t="shared" ca="1" si="403"/>
        <v>38818.131185013117</v>
      </c>
      <c r="M1002">
        <f t="shared" ca="1" si="381"/>
        <v>201854.28216206821</v>
      </c>
      <c r="N1002">
        <f t="shared" ca="1" si="382"/>
        <v>2.5998258662370941</v>
      </c>
      <c r="O1002">
        <f t="shared" ca="1" si="383"/>
        <v>2.5265750844489024E-4</v>
      </c>
      <c r="P1002">
        <f t="shared" ca="1" si="384"/>
        <v>39450.267185013116</v>
      </c>
      <c r="Q1002">
        <f t="shared" ca="1" si="385"/>
        <v>39450.267185016368</v>
      </c>
      <c r="R1002">
        <f t="shared" ca="1" si="386"/>
        <v>4.0177963740488809E-12</v>
      </c>
      <c r="S1002">
        <f t="shared" ca="1" si="404"/>
        <v>1.0869565448956564E-3</v>
      </c>
      <c r="T1002">
        <f t="shared" ca="1" si="405"/>
        <v>0</v>
      </c>
      <c r="U1002">
        <f t="shared" ca="1" si="387"/>
        <v>0.05</v>
      </c>
      <c r="V1002">
        <f t="shared" ca="1" si="388"/>
        <v>0.26</v>
      </c>
      <c r="W1002">
        <f t="shared" ca="1" si="389"/>
        <v>4.9056603773584909E-2</v>
      </c>
      <c r="X1002">
        <f t="shared" ca="1" si="390"/>
        <v>196.15384615384616</v>
      </c>
      <c r="Y1002">
        <f t="shared" ca="1" si="391"/>
        <v>632.18599999999992</v>
      </c>
      <c r="Z1002">
        <f t="shared" ca="1" si="392"/>
        <v>2593.263031648662</v>
      </c>
      <c r="AA1002">
        <f t="shared" ca="1" si="393"/>
        <v>482.07306851378365</v>
      </c>
      <c r="AB1002">
        <f t="shared" ca="1" si="394"/>
        <v>482.56117850572491</v>
      </c>
      <c r="AC1002">
        <f t="shared" ca="1" si="395"/>
        <v>0</v>
      </c>
      <c r="AD1002">
        <f ca="1">IF(V32="Supercritical",L1002,U1002)</f>
        <v>0.05</v>
      </c>
      <c r="AE1002">
        <f t="shared" ca="1" si="396"/>
        <v>632.18599999999992</v>
      </c>
      <c r="AF1002">
        <f t="shared" ca="1" si="397"/>
        <v>2593.263031648662</v>
      </c>
      <c r="AI1002">
        <v>0</v>
      </c>
      <c r="AJ1002">
        <v>0</v>
      </c>
      <c r="AK1002">
        <f t="shared" si="398"/>
        <v>0</v>
      </c>
      <c r="AL1002">
        <f t="shared" si="406"/>
        <v>0</v>
      </c>
      <c r="AM1002">
        <f t="shared" ca="1" si="399"/>
        <v>280.07692026646265</v>
      </c>
      <c r="AN1002" t="str">
        <f t="shared" ca="1" si="400"/>
        <v>Supercritical</v>
      </c>
      <c r="AO1002">
        <f ca="1">IF(V32="Supercritical",R1002,AA1002)</f>
        <v>482.07306851378365</v>
      </c>
    </row>
    <row r="1003" spans="1:41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174</v>
      </c>
      <c r="I1003">
        <v>2E-3</v>
      </c>
      <c r="J1003">
        <f t="shared" si="401"/>
        <v>1.0009999999999764</v>
      </c>
      <c r="K1003">
        <f t="shared" si="402"/>
        <v>51</v>
      </c>
      <c r="L1003">
        <f t="shared" ca="1" si="403"/>
        <v>38818.131185013117</v>
      </c>
      <c r="M1003">
        <f t="shared" ca="1" si="381"/>
        <v>201854.28216206821</v>
      </c>
      <c r="N1003">
        <f t="shared" ca="1" si="382"/>
        <v>2.5998258662370941</v>
      </c>
      <c r="O1003">
        <f t="shared" ca="1" si="383"/>
        <v>2.5265750844489024E-4</v>
      </c>
      <c r="P1003">
        <f t="shared" ca="1" si="384"/>
        <v>39450.266685013114</v>
      </c>
      <c r="Q1003">
        <f t="shared" ca="1" si="385"/>
        <v>39450.266685016366</v>
      </c>
      <c r="R1003">
        <f t="shared" ca="1" si="386"/>
        <v>4.0177963740488809E-12</v>
      </c>
      <c r="S1003">
        <f t="shared" ca="1" si="404"/>
        <v>4.999999946448952E-4</v>
      </c>
      <c r="T1003">
        <f t="shared" ca="1" si="405"/>
        <v>1</v>
      </c>
      <c r="U1003">
        <f t="shared" ca="1" si="387"/>
        <v>0.05</v>
      </c>
      <c r="V1003">
        <f t="shared" ca="1" si="388"/>
        <v>0.26</v>
      </c>
      <c r="W1003">
        <f t="shared" ca="1" si="389"/>
        <v>4.9056603773584909E-2</v>
      </c>
      <c r="X1003">
        <f t="shared" ca="1" si="390"/>
        <v>196.15384615384616</v>
      </c>
      <c r="Y1003">
        <f t="shared" ca="1" si="391"/>
        <v>632.18549999999993</v>
      </c>
      <c r="Z1003">
        <f t="shared" ca="1" si="392"/>
        <v>2593.2625316486619</v>
      </c>
      <c r="AA1003">
        <f t="shared" ca="1" si="393"/>
        <v>482.07306851378365</v>
      </c>
      <c r="AB1003">
        <f t="shared" ca="1" si="394"/>
        <v>482.07256851378361</v>
      </c>
      <c r="AC1003">
        <f t="shared" ca="1" si="395"/>
        <v>0</v>
      </c>
      <c r="AD1003">
        <f ca="1">IF(V32="Supercritical",L1003,U1003)</f>
        <v>0.05</v>
      </c>
      <c r="AE1003">
        <f t="shared" ca="1" si="396"/>
        <v>632.18549999999993</v>
      </c>
      <c r="AF1003">
        <f t="shared" ca="1" si="397"/>
        <v>2593.2625316486619</v>
      </c>
      <c r="AI1003">
        <v>0</v>
      </c>
      <c r="AJ1003">
        <v>0</v>
      </c>
      <c r="AK1003">
        <f t="shared" si="398"/>
        <v>0</v>
      </c>
      <c r="AL1003">
        <f t="shared" si="406"/>
        <v>0</v>
      </c>
      <c r="AM1003">
        <f t="shared" ca="1" si="399"/>
        <v>280.07692026646265</v>
      </c>
      <c r="AN1003" t="str">
        <f t="shared" ca="1" si="400"/>
        <v>Supercritical</v>
      </c>
      <c r="AO1003">
        <f ca="1">IF(V32="Supercritical",R1003,AA1003)</f>
        <v>482.07306851378365</v>
      </c>
    </row>
    <row r="1004" spans="1:41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174</v>
      </c>
      <c r="I1004">
        <v>0</v>
      </c>
      <c r="J1004">
        <f t="shared" si="401"/>
        <v>1</v>
      </c>
      <c r="K1004">
        <f t="shared" si="402"/>
        <v>51</v>
      </c>
      <c r="L1004">
        <f t="shared" ca="1" si="403"/>
        <v>38818.130598056552</v>
      </c>
      <c r="M1004">
        <f t="shared" ca="1" si="381"/>
        <v>201854.27910989407</v>
      </c>
      <c r="N1004">
        <f t="shared" ca="1" si="382"/>
        <v>2.5998258662344615</v>
      </c>
      <c r="O1004">
        <f t="shared" ca="1" si="383"/>
        <v>2.5265751226524378E-4</v>
      </c>
      <c r="P1004">
        <f t="shared" ca="1" si="384"/>
        <v>39450.265598056554</v>
      </c>
      <c r="Q1004">
        <f t="shared" ca="1" si="385"/>
        <v>39450.265598059807</v>
      </c>
      <c r="R1004">
        <f t="shared" ca="1" si="386"/>
        <v>4.0177964955579421E-12</v>
      </c>
      <c r="S1004">
        <f t="shared" ca="1" si="404"/>
        <v>1.086956552171614E-3</v>
      </c>
      <c r="T1004">
        <f t="shared" ca="1" si="405"/>
        <v>0</v>
      </c>
      <c r="U1004">
        <f t="shared" ca="1" si="387"/>
        <v>0.05</v>
      </c>
      <c r="V1004">
        <f t="shared" ca="1" si="388"/>
        <v>0.26</v>
      </c>
      <c r="W1004">
        <f t="shared" ca="1" si="389"/>
        <v>4.9056603773584909E-2</v>
      </c>
      <c r="X1004">
        <f t="shared" ca="1" si="390"/>
        <v>196.15384615384616</v>
      </c>
      <c r="Y1004">
        <f t="shared" ca="1" si="391"/>
        <v>632.18499999999995</v>
      </c>
      <c r="Z1004">
        <f t="shared" ca="1" si="392"/>
        <v>2593.2620316486618</v>
      </c>
      <c r="AA1004">
        <f t="shared" ca="1" si="393"/>
        <v>482.07306851378365</v>
      </c>
      <c r="AB1004">
        <f t="shared" ca="1" si="394"/>
        <v>481.77679776328841</v>
      </c>
      <c r="AC1004">
        <f t="shared" ca="1" si="395"/>
        <v>0</v>
      </c>
      <c r="AD1004">
        <f ca="1">IF(V32="Supercritical",L1004,U1004)</f>
        <v>0.05</v>
      </c>
      <c r="AE1004">
        <f t="shared" ca="1" si="396"/>
        <v>632.18499999999995</v>
      </c>
      <c r="AF1004">
        <f t="shared" ca="1" si="397"/>
        <v>2593.2620316486618</v>
      </c>
      <c r="AI1004">
        <v>0</v>
      </c>
      <c r="AJ1004">
        <v>0</v>
      </c>
      <c r="AK1004">
        <f t="shared" si="398"/>
        <v>0</v>
      </c>
      <c r="AL1004">
        <f t="shared" si="406"/>
        <v>0</v>
      </c>
      <c r="AM1004">
        <f t="shared" ca="1" si="399"/>
        <v>280.07692026646265</v>
      </c>
      <c r="AN1004" t="str">
        <f t="shared" ca="1" si="400"/>
        <v>Supercritical</v>
      </c>
      <c r="AO1004">
        <f ca="1">IF(V32="Supercritical",R1004,AA1004)</f>
        <v>482.07306851378365</v>
      </c>
    </row>
    <row r="1005" spans="1:41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174</v>
      </c>
      <c r="I1005">
        <v>5.7000000000000002E-2</v>
      </c>
      <c r="J1005">
        <f t="shared" si="401"/>
        <v>0.99900000000002365</v>
      </c>
      <c r="K1005">
        <f t="shared" si="402"/>
        <v>51</v>
      </c>
      <c r="L1005">
        <f t="shared" ca="1" si="403"/>
        <v>38818.130598056552</v>
      </c>
      <c r="M1005">
        <f t="shared" ca="1" si="381"/>
        <v>201854.27910989407</v>
      </c>
      <c r="N1005">
        <f t="shared" ca="1" si="382"/>
        <v>2.5998258662344615</v>
      </c>
      <c r="O1005">
        <f t="shared" ca="1" si="383"/>
        <v>2.5265751226524378E-4</v>
      </c>
      <c r="P1005">
        <f t="shared" ca="1" si="384"/>
        <v>39450.265098056552</v>
      </c>
      <c r="Q1005">
        <f t="shared" ca="1" si="385"/>
        <v>39450.265098059805</v>
      </c>
      <c r="R1005">
        <f t="shared" ca="1" si="386"/>
        <v>4.0177964955579421E-12</v>
      </c>
      <c r="S1005">
        <f t="shared" ca="1" si="404"/>
        <v>4.999999946448952E-4</v>
      </c>
      <c r="T1005">
        <f t="shared" ca="1" si="405"/>
        <v>1</v>
      </c>
      <c r="U1005">
        <f t="shared" ca="1" si="387"/>
        <v>0.05</v>
      </c>
      <c r="V1005">
        <f t="shared" ca="1" si="388"/>
        <v>0.26</v>
      </c>
      <c r="W1005">
        <f t="shared" ca="1" si="389"/>
        <v>4.9056603773584909E-2</v>
      </c>
      <c r="X1005">
        <f t="shared" ca="1" si="390"/>
        <v>196.15384615384616</v>
      </c>
      <c r="Y1005">
        <f t="shared" ca="1" si="391"/>
        <v>632.18449999999996</v>
      </c>
      <c r="Z1005">
        <f t="shared" ca="1" si="392"/>
        <v>2593.2615316486622</v>
      </c>
      <c r="AA1005">
        <f t="shared" ca="1" si="393"/>
        <v>482.07306851378365</v>
      </c>
      <c r="AB1005">
        <f t="shared" ca="1" si="394"/>
        <v>482.25887083179032</v>
      </c>
      <c r="AC1005">
        <f t="shared" ca="1" si="395"/>
        <v>0</v>
      </c>
      <c r="AD1005">
        <f ca="1">IF(V32="Supercritical",L1005,U1005)</f>
        <v>0.05</v>
      </c>
      <c r="AE1005">
        <f t="shared" ca="1" si="396"/>
        <v>632.18449999999996</v>
      </c>
      <c r="AF1005">
        <f t="shared" ca="1" si="397"/>
        <v>2593.2615316486622</v>
      </c>
      <c r="AI1005">
        <v>0</v>
      </c>
      <c r="AJ1005">
        <v>0</v>
      </c>
      <c r="AK1005">
        <f t="shared" si="398"/>
        <v>0</v>
      </c>
      <c r="AL1005">
        <f t="shared" si="406"/>
        <v>0</v>
      </c>
      <c r="AM1005">
        <f t="shared" ca="1" si="399"/>
        <v>280.07692026646265</v>
      </c>
      <c r="AN1005" t="str">
        <f t="shared" ca="1" si="400"/>
        <v>Supercritical</v>
      </c>
      <c r="AO1005">
        <f ca="1">IF(V32="Supercritical",R1005,AA1005)</f>
        <v>482.07306851378365</v>
      </c>
    </row>
    <row r="1006" spans="1:41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174</v>
      </c>
      <c r="I1006">
        <v>5.7000000000000002E-2</v>
      </c>
      <c r="J1006">
        <f t="shared" si="401"/>
        <v>1</v>
      </c>
      <c r="K1006">
        <f t="shared" si="402"/>
        <v>51</v>
      </c>
      <c r="L1006">
        <f t="shared" ca="1" si="403"/>
        <v>38818.130011100002</v>
      </c>
      <c r="M1006">
        <f t="shared" ca="1" si="381"/>
        <v>201854.27605772001</v>
      </c>
      <c r="N1006">
        <f t="shared" ca="1" si="382"/>
        <v>2.5998258662318285</v>
      </c>
      <c r="O1006">
        <f t="shared" ca="1" si="383"/>
        <v>2.5265751608559732E-4</v>
      </c>
      <c r="P1006">
        <f t="shared" ca="1" si="384"/>
        <v>39450.2640111</v>
      </c>
      <c r="Q1006">
        <f t="shared" ca="1" si="385"/>
        <v>39450.264011103252</v>
      </c>
      <c r="R1006">
        <f t="shared" ca="1" si="386"/>
        <v>4.0177966170670033E-12</v>
      </c>
      <c r="S1006">
        <f t="shared" ca="1" si="404"/>
        <v>1.0869565448956564E-3</v>
      </c>
      <c r="T1006">
        <f t="shared" ca="1" si="405"/>
        <v>0</v>
      </c>
      <c r="U1006">
        <f t="shared" ca="1" si="387"/>
        <v>0.05</v>
      </c>
      <c r="V1006">
        <f t="shared" ca="1" si="388"/>
        <v>0.26</v>
      </c>
      <c r="W1006">
        <f t="shared" ca="1" si="389"/>
        <v>4.9056603773584909E-2</v>
      </c>
      <c r="X1006">
        <f t="shared" ca="1" si="390"/>
        <v>196.15384615384616</v>
      </c>
      <c r="Y1006">
        <f t="shared" ca="1" si="391"/>
        <v>632.18399999999997</v>
      </c>
      <c r="Z1006">
        <f t="shared" ca="1" si="392"/>
        <v>2593.2610316486621</v>
      </c>
      <c r="AA1006">
        <f t="shared" ca="1" si="393"/>
        <v>482.07306851378365</v>
      </c>
      <c r="AB1006">
        <f t="shared" ca="1" si="394"/>
        <v>482.07256851378361</v>
      </c>
      <c r="AC1006">
        <f t="shared" ca="1" si="395"/>
        <v>0</v>
      </c>
      <c r="AD1006">
        <f ca="1">IF(V32="Supercritical",L1006,U1006)</f>
        <v>0.05</v>
      </c>
      <c r="AE1006">
        <f t="shared" ca="1" si="396"/>
        <v>632.18399999999997</v>
      </c>
      <c r="AF1006">
        <f t="shared" ca="1" si="397"/>
        <v>2593.2610316486621</v>
      </c>
      <c r="AI1006">
        <v>0</v>
      </c>
      <c r="AJ1006">
        <v>0</v>
      </c>
      <c r="AK1006">
        <f t="shared" si="398"/>
        <v>0</v>
      </c>
      <c r="AL1006">
        <f t="shared" si="406"/>
        <v>0</v>
      </c>
      <c r="AM1006">
        <f t="shared" ca="1" si="399"/>
        <v>280.07692026646265</v>
      </c>
      <c r="AN1006" t="str">
        <f t="shared" ca="1" si="400"/>
        <v>Supercritical</v>
      </c>
      <c r="AO1006">
        <f ca="1">IF(V32="Supercritical",R1006,AA1006)</f>
        <v>482.07306851378365</v>
      </c>
    </row>
    <row r="1007" spans="1:41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174</v>
      </c>
      <c r="I1007">
        <v>0</v>
      </c>
      <c r="J1007">
        <f t="shared" si="401"/>
        <v>1</v>
      </c>
      <c r="K1007">
        <f t="shared" si="402"/>
        <v>51</v>
      </c>
      <c r="L1007">
        <f t="shared" ca="1" si="403"/>
        <v>38818.130011100002</v>
      </c>
      <c r="M1007">
        <f t="shared" ca="1" si="381"/>
        <v>201854.27605772001</v>
      </c>
      <c r="N1007">
        <f t="shared" ca="1" si="382"/>
        <v>2.5998258662318285</v>
      </c>
      <c r="O1007">
        <f t="shared" ca="1" si="383"/>
        <v>2.5265751608559732E-4</v>
      </c>
      <c r="P1007">
        <f t="shared" ca="1" si="384"/>
        <v>39450.263511100005</v>
      </c>
      <c r="Q1007">
        <f t="shared" ca="1" si="385"/>
        <v>39450.263511103258</v>
      </c>
      <c r="R1007">
        <f t="shared" ca="1" si="386"/>
        <v>4.0177966170670033E-12</v>
      </c>
      <c r="S1007">
        <f t="shared" ca="1" si="404"/>
        <v>4.9999998736893758E-4</v>
      </c>
      <c r="T1007">
        <f t="shared" ca="1" si="405"/>
        <v>1</v>
      </c>
      <c r="U1007">
        <f t="shared" ca="1" si="387"/>
        <v>0.05</v>
      </c>
      <c r="V1007">
        <f t="shared" ca="1" si="388"/>
        <v>0.26</v>
      </c>
      <c r="W1007">
        <f t="shared" ca="1" si="389"/>
        <v>4.9056603773584909E-2</v>
      </c>
      <c r="X1007">
        <f t="shared" ca="1" si="390"/>
        <v>196.15384615384616</v>
      </c>
      <c r="Y1007">
        <f t="shared" ca="1" si="391"/>
        <v>632.18349999999998</v>
      </c>
      <c r="Z1007">
        <f t="shared" ca="1" si="392"/>
        <v>2593.260531648662</v>
      </c>
      <c r="AA1007">
        <f t="shared" ca="1" si="393"/>
        <v>482.07306851378365</v>
      </c>
      <c r="AB1007">
        <f t="shared" ca="1" si="394"/>
        <v>482.07256851378406</v>
      </c>
      <c r="AC1007">
        <f t="shared" ca="1" si="395"/>
        <v>0</v>
      </c>
      <c r="AD1007">
        <f ca="1">IF(V32="Supercritical",L1007,U1007)</f>
        <v>0.05</v>
      </c>
      <c r="AE1007">
        <f t="shared" ca="1" si="396"/>
        <v>632.18349999999998</v>
      </c>
      <c r="AF1007">
        <f t="shared" ca="1" si="397"/>
        <v>2593.260531648662</v>
      </c>
      <c r="AI1007">
        <v>0</v>
      </c>
      <c r="AJ1007">
        <v>0</v>
      </c>
      <c r="AK1007">
        <f t="shared" si="398"/>
        <v>0</v>
      </c>
      <c r="AL1007">
        <f t="shared" si="406"/>
        <v>0</v>
      </c>
      <c r="AM1007">
        <f t="shared" ca="1" si="399"/>
        <v>280.07692026646265</v>
      </c>
      <c r="AN1007" t="str">
        <f t="shared" ca="1" si="400"/>
        <v>Supercritical</v>
      </c>
      <c r="AO1007">
        <f ca="1">IF(V32="Supercritical",R1007,AA1007)</f>
        <v>482.07306851378365</v>
      </c>
    </row>
    <row r="1008" spans="1:41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174</v>
      </c>
      <c r="I1008">
        <v>0</v>
      </c>
      <c r="J1008">
        <f t="shared" si="401"/>
        <v>1</v>
      </c>
      <c r="K1008">
        <f t="shared" si="402"/>
        <v>51</v>
      </c>
      <c r="L1008">
        <f t="shared" ca="1" si="403"/>
        <v>38818.129424143452</v>
      </c>
      <c r="M1008">
        <f t="shared" ca="1" si="381"/>
        <v>201854.27300554595</v>
      </c>
      <c r="N1008">
        <f t="shared" ca="1" si="382"/>
        <v>2.599825866229196</v>
      </c>
      <c r="O1008">
        <f t="shared" ca="1" si="383"/>
        <v>2.5265751990595102E-4</v>
      </c>
      <c r="P1008">
        <f t="shared" ca="1" si="384"/>
        <v>39450.262424143453</v>
      </c>
      <c r="Q1008">
        <f t="shared" ca="1" si="385"/>
        <v>39450.262424146706</v>
      </c>
      <c r="R1008">
        <f t="shared" ca="1" si="386"/>
        <v>4.0177967385760709E-12</v>
      </c>
      <c r="S1008">
        <f t="shared" ca="1" si="404"/>
        <v>1.0869565448956564E-3</v>
      </c>
      <c r="T1008">
        <f t="shared" ca="1" si="405"/>
        <v>0</v>
      </c>
      <c r="U1008">
        <f t="shared" ca="1" si="387"/>
        <v>0.05</v>
      </c>
      <c r="V1008">
        <f t="shared" ca="1" si="388"/>
        <v>0.26</v>
      </c>
      <c r="W1008">
        <f t="shared" ca="1" si="389"/>
        <v>4.9056603773584909E-2</v>
      </c>
      <c r="X1008">
        <f t="shared" ca="1" si="390"/>
        <v>196.15384615384616</v>
      </c>
      <c r="Y1008">
        <f t="shared" ca="1" si="391"/>
        <v>632.18299999999999</v>
      </c>
      <c r="Z1008">
        <f t="shared" ca="1" si="392"/>
        <v>2593.2600316486623</v>
      </c>
      <c r="AA1008">
        <f t="shared" ca="1" si="393"/>
        <v>482.07306851378365</v>
      </c>
      <c r="AB1008">
        <f t="shared" ca="1" si="394"/>
        <v>482.25887083179032</v>
      </c>
      <c r="AC1008">
        <f t="shared" ca="1" si="395"/>
        <v>0</v>
      </c>
      <c r="AD1008">
        <f ca="1">IF(V32="Supercritical",L1008,U1008)</f>
        <v>0.05</v>
      </c>
      <c r="AE1008">
        <f t="shared" ca="1" si="396"/>
        <v>632.18299999999999</v>
      </c>
      <c r="AF1008">
        <f t="shared" ca="1" si="397"/>
        <v>2593.2600316486623</v>
      </c>
      <c r="AI1008">
        <v>0</v>
      </c>
      <c r="AJ1008">
        <v>0</v>
      </c>
      <c r="AK1008">
        <f t="shared" si="398"/>
        <v>0</v>
      </c>
      <c r="AL1008">
        <f t="shared" si="406"/>
        <v>0</v>
      </c>
      <c r="AM1008">
        <f t="shared" ca="1" si="399"/>
        <v>280.07692026646265</v>
      </c>
      <c r="AN1008" t="str">
        <f t="shared" ca="1" si="400"/>
        <v>Supercritical</v>
      </c>
      <c r="AO1008">
        <f ca="1">IF(V32="Supercritical",R1008,AA1008)</f>
        <v>482.07306851378365</v>
      </c>
    </row>
    <row r="1009" spans="1:41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174</v>
      </c>
      <c r="I1009">
        <v>5.7000000000000002E-2</v>
      </c>
      <c r="J1009">
        <f t="shared" si="401"/>
        <v>1</v>
      </c>
      <c r="K1009">
        <f t="shared" si="402"/>
        <v>51</v>
      </c>
      <c r="L1009">
        <f t="shared" ca="1" si="403"/>
        <v>38818.129424143452</v>
      </c>
      <c r="M1009">
        <f t="shared" ca="1" si="381"/>
        <v>201854.27300554595</v>
      </c>
      <c r="N1009">
        <f t="shared" ca="1" si="382"/>
        <v>2.599825866229196</v>
      </c>
      <c r="O1009">
        <f t="shared" ca="1" si="383"/>
        <v>2.5265751990595102E-4</v>
      </c>
      <c r="P1009">
        <f t="shared" ca="1" si="384"/>
        <v>39450.261924143451</v>
      </c>
      <c r="Q1009">
        <f t="shared" ca="1" si="385"/>
        <v>39450.261924146704</v>
      </c>
      <c r="R1009">
        <f t="shared" ca="1" si="386"/>
        <v>4.0177967385760709E-12</v>
      </c>
      <c r="S1009">
        <f t="shared" ca="1" si="404"/>
        <v>4.999999946448952E-4</v>
      </c>
      <c r="T1009">
        <f t="shared" ca="1" si="405"/>
        <v>1</v>
      </c>
      <c r="U1009">
        <f t="shared" ca="1" si="387"/>
        <v>0.05</v>
      </c>
      <c r="V1009">
        <f t="shared" ca="1" si="388"/>
        <v>0.26</v>
      </c>
      <c r="W1009">
        <f t="shared" ca="1" si="389"/>
        <v>4.9056603773584909E-2</v>
      </c>
      <c r="X1009">
        <f t="shared" ca="1" si="390"/>
        <v>196.15384615384616</v>
      </c>
      <c r="Y1009">
        <f t="shared" ca="1" si="391"/>
        <v>632.1825</v>
      </c>
      <c r="Z1009">
        <f t="shared" ca="1" si="392"/>
        <v>2593.2595316486622</v>
      </c>
      <c r="AA1009">
        <f t="shared" ca="1" si="393"/>
        <v>482.07306851378365</v>
      </c>
      <c r="AB1009">
        <f t="shared" ca="1" si="394"/>
        <v>482.25887083179032</v>
      </c>
      <c r="AC1009">
        <f t="shared" ca="1" si="395"/>
        <v>0</v>
      </c>
      <c r="AD1009">
        <f ca="1">IF(V32="Supercritical",L1009,U1009)</f>
        <v>0.05</v>
      </c>
      <c r="AE1009">
        <f t="shared" ca="1" si="396"/>
        <v>632.1825</v>
      </c>
      <c r="AF1009">
        <f t="shared" ca="1" si="397"/>
        <v>2593.2595316486622</v>
      </c>
      <c r="AI1009">
        <v>0</v>
      </c>
      <c r="AJ1009">
        <v>0</v>
      </c>
      <c r="AK1009">
        <f t="shared" si="398"/>
        <v>0</v>
      </c>
      <c r="AL1009">
        <f t="shared" si="406"/>
        <v>0</v>
      </c>
      <c r="AM1009">
        <f t="shared" ca="1" si="399"/>
        <v>280.07692026646265</v>
      </c>
      <c r="AN1009" t="str">
        <f t="shared" ca="1" si="400"/>
        <v>Supercritical</v>
      </c>
      <c r="AO1009">
        <f ca="1">IF(V32="Supercritical",R1009,AA1009)</f>
        <v>482.07306851378365</v>
      </c>
    </row>
    <row r="1010" spans="1:41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174</v>
      </c>
      <c r="I1010">
        <v>5.7000000000000002E-2</v>
      </c>
      <c r="J1010">
        <f t="shared" si="401"/>
        <v>1</v>
      </c>
      <c r="K1010">
        <f t="shared" si="402"/>
        <v>51</v>
      </c>
      <c r="L1010">
        <f t="shared" ca="1" si="403"/>
        <v>38818.128837186901</v>
      </c>
      <c r="M1010">
        <f t="shared" ca="1" si="381"/>
        <v>201854.2699533719</v>
      </c>
      <c r="N1010">
        <f t="shared" ca="1" si="382"/>
        <v>2.599825866226563</v>
      </c>
      <c r="O1010">
        <f t="shared" ca="1" si="383"/>
        <v>2.5265752372630483E-4</v>
      </c>
      <c r="P1010">
        <f t="shared" ca="1" si="384"/>
        <v>39450.260837186899</v>
      </c>
      <c r="Q1010">
        <f t="shared" ca="1" si="385"/>
        <v>39450.260837190152</v>
      </c>
      <c r="R1010">
        <f t="shared" ca="1" si="386"/>
        <v>4.0177968600851426E-12</v>
      </c>
      <c r="S1010">
        <f t="shared" ca="1" si="404"/>
        <v>1.0869565448956564E-3</v>
      </c>
      <c r="T1010">
        <f t="shared" ca="1" si="405"/>
        <v>0</v>
      </c>
      <c r="U1010">
        <f t="shared" ca="1" si="387"/>
        <v>0.05</v>
      </c>
      <c r="V1010">
        <f t="shared" ca="1" si="388"/>
        <v>0.26</v>
      </c>
      <c r="W1010">
        <f t="shared" ca="1" si="389"/>
        <v>4.9056603773584909E-2</v>
      </c>
      <c r="X1010">
        <f t="shared" ca="1" si="390"/>
        <v>196.15384615384616</v>
      </c>
      <c r="Y1010">
        <f t="shared" ca="1" si="391"/>
        <v>632.1819999999999</v>
      </c>
      <c r="Z1010">
        <f t="shared" ca="1" si="392"/>
        <v>2593.2590316486621</v>
      </c>
      <c r="AA1010">
        <f t="shared" ca="1" si="393"/>
        <v>482.07306851378365</v>
      </c>
      <c r="AB1010">
        <f t="shared" ca="1" si="394"/>
        <v>482.07910543722255</v>
      </c>
      <c r="AC1010">
        <f t="shared" ca="1" si="395"/>
        <v>0</v>
      </c>
      <c r="AD1010">
        <f ca="1">IF(V32="Supercritical",L1010,U1010)</f>
        <v>0.05</v>
      </c>
      <c r="AE1010">
        <f t="shared" ca="1" si="396"/>
        <v>632.1819999999999</v>
      </c>
      <c r="AF1010">
        <f t="shared" ca="1" si="397"/>
        <v>2593.2590316486621</v>
      </c>
      <c r="AI1010">
        <v>0</v>
      </c>
      <c r="AJ1010">
        <v>0</v>
      </c>
      <c r="AK1010">
        <f t="shared" si="398"/>
        <v>0</v>
      </c>
      <c r="AL1010">
        <f t="shared" si="406"/>
        <v>0</v>
      </c>
      <c r="AM1010">
        <f t="shared" ca="1" si="399"/>
        <v>280.07692026646265</v>
      </c>
      <c r="AN1010" t="str">
        <f t="shared" ca="1" si="400"/>
        <v>Supercritical</v>
      </c>
      <c r="AO1010">
        <f ca="1">IF(V32="Supercritical",R1010,AA1010)</f>
        <v>482.07306851378365</v>
      </c>
    </row>
    <row r="1011" spans="1:41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174</v>
      </c>
      <c r="I1011">
        <v>2E-3</v>
      </c>
      <c r="J1011">
        <f t="shared" si="401"/>
        <v>1</v>
      </c>
      <c r="K1011">
        <f t="shared" si="402"/>
        <v>51</v>
      </c>
      <c r="L1011">
        <f t="shared" ca="1" si="403"/>
        <v>38818.128837186901</v>
      </c>
      <c r="M1011">
        <f t="shared" ca="1" si="381"/>
        <v>201854.2699533719</v>
      </c>
      <c r="N1011">
        <f t="shared" ca="1" si="382"/>
        <v>2.599825866226563</v>
      </c>
      <c r="O1011">
        <f t="shared" ca="1" si="383"/>
        <v>2.5265752372630483E-4</v>
      </c>
      <c r="P1011">
        <f t="shared" ca="1" si="384"/>
        <v>39450.260337186905</v>
      </c>
      <c r="Q1011">
        <f t="shared" ca="1" si="385"/>
        <v>39450.260337190157</v>
      </c>
      <c r="R1011">
        <f t="shared" ca="1" si="386"/>
        <v>4.0177968600851426E-12</v>
      </c>
      <c r="S1011">
        <f t="shared" ca="1" si="404"/>
        <v>4.9999998736893758E-4</v>
      </c>
      <c r="T1011">
        <f t="shared" ca="1" si="405"/>
        <v>1</v>
      </c>
      <c r="U1011">
        <f t="shared" ca="1" si="387"/>
        <v>0.05</v>
      </c>
      <c r="V1011">
        <f t="shared" ca="1" si="388"/>
        <v>0.26</v>
      </c>
      <c r="W1011">
        <f t="shared" ca="1" si="389"/>
        <v>4.9056603773584909E-2</v>
      </c>
      <c r="X1011">
        <f t="shared" ca="1" si="390"/>
        <v>196.15384615384616</v>
      </c>
      <c r="Y1011">
        <f t="shared" ca="1" si="391"/>
        <v>632.18149999999991</v>
      </c>
      <c r="Z1011">
        <f t="shared" ca="1" si="392"/>
        <v>2593.258531648662</v>
      </c>
      <c r="AA1011">
        <f t="shared" ca="1" si="393"/>
        <v>482.07306851378365</v>
      </c>
      <c r="AB1011">
        <f t="shared" ca="1" si="394"/>
        <v>482.56117850572491</v>
      </c>
      <c r="AC1011">
        <f t="shared" ca="1" si="395"/>
        <v>0</v>
      </c>
      <c r="AD1011">
        <f ca="1">IF(V32="Supercritical",L1011,U1011)</f>
        <v>0.05</v>
      </c>
      <c r="AE1011">
        <f t="shared" ca="1" si="396"/>
        <v>632.18149999999991</v>
      </c>
      <c r="AF1011">
        <f t="shared" ca="1" si="397"/>
        <v>2593.258531648662</v>
      </c>
      <c r="AI1011">
        <v>0</v>
      </c>
      <c r="AJ1011">
        <v>0</v>
      </c>
      <c r="AK1011">
        <f t="shared" si="398"/>
        <v>0</v>
      </c>
      <c r="AL1011">
        <f t="shared" si="406"/>
        <v>0</v>
      </c>
      <c r="AM1011">
        <f t="shared" ca="1" si="399"/>
        <v>280.07692026646265</v>
      </c>
      <c r="AN1011" t="str">
        <f t="shared" ca="1" si="400"/>
        <v>Supercritical</v>
      </c>
      <c r="AO1011">
        <f ca="1">IF(V32="Supercritical",R1011,AA1011)</f>
        <v>482.07306851378365</v>
      </c>
    </row>
    <row r="1012" spans="1:41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174</v>
      </c>
      <c r="I1012">
        <v>2E-3</v>
      </c>
      <c r="J1012">
        <f t="shared" si="401"/>
        <v>1.0009999999999764</v>
      </c>
      <c r="K1012">
        <f t="shared" si="402"/>
        <v>51</v>
      </c>
      <c r="L1012">
        <f t="shared" ca="1" si="403"/>
        <v>38818.128250230351</v>
      </c>
      <c r="M1012">
        <f t="shared" ca="1" si="381"/>
        <v>201854.26690119784</v>
      </c>
      <c r="N1012">
        <f t="shared" ca="1" si="382"/>
        <v>2.5998258662239304</v>
      </c>
      <c r="O1012">
        <f t="shared" ca="1" si="383"/>
        <v>2.5265752754665875E-4</v>
      </c>
      <c r="P1012">
        <f t="shared" ca="1" si="384"/>
        <v>39450.259250230352</v>
      </c>
      <c r="Q1012">
        <f t="shared" ca="1" si="385"/>
        <v>39450.259250233605</v>
      </c>
      <c r="R1012">
        <f t="shared" ca="1" si="386"/>
        <v>4.0177969815942208E-12</v>
      </c>
      <c r="S1012">
        <f t="shared" ca="1" si="404"/>
        <v>1.0869565448956564E-3</v>
      </c>
      <c r="T1012">
        <f t="shared" ca="1" si="405"/>
        <v>0</v>
      </c>
      <c r="U1012">
        <f t="shared" ca="1" si="387"/>
        <v>0.05</v>
      </c>
      <c r="V1012">
        <f t="shared" ca="1" si="388"/>
        <v>0.26</v>
      </c>
      <c r="W1012">
        <f t="shared" ca="1" si="389"/>
        <v>4.9056603773584909E-2</v>
      </c>
      <c r="X1012">
        <f t="shared" ca="1" si="390"/>
        <v>196.15384615384616</v>
      </c>
      <c r="Y1012">
        <f t="shared" ca="1" si="391"/>
        <v>632.18099999999993</v>
      </c>
      <c r="Z1012">
        <f t="shared" ca="1" si="392"/>
        <v>2593.2580316486619</v>
      </c>
      <c r="AA1012">
        <f t="shared" ca="1" si="393"/>
        <v>482.07306851378365</v>
      </c>
      <c r="AB1012">
        <f t="shared" ca="1" si="394"/>
        <v>482.25887083179032</v>
      </c>
      <c r="AC1012">
        <f t="shared" ca="1" si="395"/>
        <v>0</v>
      </c>
      <c r="AD1012">
        <f ca="1">IF(V32="Supercritical",L1012,U1012)</f>
        <v>0.05</v>
      </c>
      <c r="AE1012">
        <f t="shared" ca="1" si="396"/>
        <v>632.18099999999993</v>
      </c>
      <c r="AF1012">
        <f t="shared" ca="1" si="397"/>
        <v>2593.2580316486619</v>
      </c>
      <c r="AI1012">
        <v>0</v>
      </c>
      <c r="AJ1012">
        <v>0</v>
      </c>
      <c r="AK1012">
        <f t="shared" si="398"/>
        <v>0</v>
      </c>
      <c r="AL1012">
        <f t="shared" si="406"/>
        <v>0</v>
      </c>
      <c r="AM1012">
        <f t="shared" ca="1" si="399"/>
        <v>280.07692026646265</v>
      </c>
      <c r="AN1012" t="str">
        <f t="shared" ca="1" si="400"/>
        <v>Supercritical</v>
      </c>
      <c r="AO1012">
        <f ca="1">IF(V32="Supercritical",R1012,AA1012)</f>
        <v>482.07306851378365</v>
      </c>
    </row>
    <row r="1013" spans="1:41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174</v>
      </c>
      <c r="I1013">
        <v>5.7000000000000002E-2</v>
      </c>
      <c r="J1013">
        <f t="shared" si="401"/>
        <v>1</v>
      </c>
      <c r="K1013">
        <f t="shared" si="402"/>
        <v>51</v>
      </c>
      <c r="L1013">
        <f t="shared" ca="1" si="403"/>
        <v>38818.128250230351</v>
      </c>
      <c r="M1013">
        <f t="shared" ca="1" si="381"/>
        <v>201854.26690119784</v>
      </c>
      <c r="N1013">
        <f t="shared" ca="1" si="382"/>
        <v>2.5998258662239304</v>
      </c>
      <c r="O1013">
        <f t="shared" ca="1" si="383"/>
        <v>2.5265752754665875E-4</v>
      </c>
      <c r="P1013">
        <f t="shared" ca="1" si="384"/>
        <v>39450.25875023035</v>
      </c>
      <c r="Q1013">
        <f t="shared" ca="1" si="385"/>
        <v>39450.258750233603</v>
      </c>
      <c r="R1013">
        <f t="shared" ca="1" si="386"/>
        <v>4.0177969815942208E-12</v>
      </c>
      <c r="S1013">
        <f t="shared" ca="1" si="404"/>
        <v>4.999999946448952E-4</v>
      </c>
      <c r="T1013">
        <f t="shared" ca="1" si="405"/>
        <v>1</v>
      </c>
      <c r="U1013">
        <f t="shared" ca="1" si="387"/>
        <v>0.05</v>
      </c>
      <c r="V1013">
        <f t="shared" ca="1" si="388"/>
        <v>0.26</v>
      </c>
      <c r="W1013">
        <f t="shared" ca="1" si="389"/>
        <v>4.9056603773584909E-2</v>
      </c>
      <c r="X1013">
        <f t="shared" ca="1" si="390"/>
        <v>196.15384615384616</v>
      </c>
      <c r="Y1013">
        <f t="shared" ca="1" si="391"/>
        <v>632.18049999999994</v>
      </c>
      <c r="Z1013">
        <f t="shared" ca="1" si="392"/>
        <v>2593.2575316486618</v>
      </c>
      <c r="AA1013">
        <f t="shared" ca="1" si="393"/>
        <v>482.07306851378365</v>
      </c>
      <c r="AB1013">
        <f t="shared" ca="1" si="394"/>
        <v>482.25887083179077</v>
      </c>
      <c r="AC1013">
        <f t="shared" ca="1" si="395"/>
        <v>0</v>
      </c>
      <c r="AD1013">
        <f ca="1">IF(V32="Supercritical",L1013,U1013)</f>
        <v>0.05</v>
      </c>
      <c r="AE1013">
        <f t="shared" ca="1" si="396"/>
        <v>632.18049999999994</v>
      </c>
      <c r="AF1013">
        <f t="shared" ca="1" si="397"/>
        <v>2593.2575316486618</v>
      </c>
      <c r="AI1013">
        <v>0</v>
      </c>
      <c r="AJ1013">
        <v>0</v>
      </c>
      <c r="AK1013">
        <f t="shared" si="398"/>
        <v>0</v>
      </c>
      <c r="AL1013">
        <f t="shared" si="406"/>
        <v>0</v>
      </c>
      <c r="AM1013">
        <f t="shared" ca="1" si="399"/>
        <v>280.07692026646265</v>
      </c>
      <c r="AN1013" t="str">
        <f t="shared" ca="1" si="400"/>
        <v>Supercritical</v>
      </c>
      <c r="AO1013">
        <f ca="1">IF(V32="Supercritical",R1013,AA1013)</f>
        <v>482.07306851378365</v>
      </c>
    </row>
    <row r="1014" spans="1:41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174</v>
      </c>
      <c r="I1014">
        <v>5.7000000000000002E-2</v>
      </c>
      <c r="J1014">
        <f t="shared" si="401"/>
        <v>1</v>
      </c>
      <c r="K1014">
        <f t="shared" si="402"/>
        <v>51</v>
      </c>
      <c r="L1014">
        <f t="shared" ca="1" si="403"/>
        <v>38818.127663273801</v>
      </c>
      <c r="M1014">
        <f t="shared" ca="1" si="381"/>
        <v>201854.26384902376</v>
      </c>
      <c r="N1014">
        <f t="shared" ca="1" si="382"/>
        <v>2.599825866221297</v>
      </c>
      <c r="O1014">
        <f t="shared" ca="1" si="383"/>
        <v>2.5265753136701283E-4</v>
      </c>
      <c r="P1014">
        <f t="shared" ca="1" si="384"/>
        <v>39450.257663273798</v>
      </c>
      <c r="Q1014">
        <f t="shared" ca="1" si="385"/>
        <v>39450.257663277051</v>
      </c>
      <c r="R1014">
        <f t="shared" ca="1" si="386"/>
        <v>4.0177971031033079E-12</v>
      </c>
      <c r="S1014">
        <f t="shared" ca="1" si="404"/>
        <v>1.0869565448956564E-3</v>
      </c>
      <c r="T1014">
        <f t="shared" ca="1" si="405"/>
        <v>0</v>
      </c>
      <c r="U1014">
        <f t="shared" ca="1" si="387"/>
        <v>0.05</v>
      </c>
      <c r="V1014">
        <f t="shared" ca="1" si="388"/>
        <v>0.26</v>
      </c>
      <c r="W1014">
        <f t="shared" ca="1" si="389"/>
        <v>4.9056603773584909E-2</v>
      </c>
      <c r="X1014">
        <f t="shared" ca="1" si="390"/>
        <v>196.15384615384616</v>
      </c>
      <c r="Y1014">
        <f t="shared" ca="1" si="391"/>
        <v>632.17999999999995</v>
      </c>
      <c r="Z1014">
        <f t="shared" ca="1" si="392"/>
        <v>2593.2570316486622</v>
      </c>
      <c r="AA1014">
        <f t="shared" ca="1" si="393"/>
        <v>482.07306851378365</v>
      </c>
      <c r="AB1014">
        <f t="shared" ca="1" si="394"/>
        <v>481.59049544528125</v>
      </c>
      <c r="AC1014">
        <f t="shared" ca="1" si="395"/>
        <v>0</v>
      </c>
      <c r="AD1014">
        <f ca="1">IF(V32="Supercritical",L1014,U1014)</f>
        <v>0.05</v>
      </c>
      <c r="AE1014">
        <f t="shared" ca="1" si="396"/>
        <v>632.17999999999995</v>
      </c>
      <c r="AF1014">
        <f t="shared" ca="1" si="397"/>
        <v>2593.2570316486622</v>
      </c>
      <c r="AI1014">
        <v>0</v>
      </c>
      <c r="AJ1014">
        <v>0</v>
      </c>
      <c r="AK1014">
        <f t="shared" si="398"/>
        <v>0</v>
      </c>
      <c r="AL1014">
        <f t="shared" si="406"/>
        <v>0</v>
      </c>
      <c r="AM1014">
        <f t="shared" ca="1" si="399"/>
        <v>280.07692026646265</v>
      </c>
      <c r="AN1014" t="str">
        <f t="shared" ca="1" si="400"/>
        <v>Supercritical</v>
      </c>
      <c r="AO1014">
        <f ca="1">IF(V32="Supercritical",R1014,AA1014)</f>
        <v>482.07306851378365</v>
      </c>
    </row>
    <row r="1015" spans="1:41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174</v>
      </c>
      <c r="I1015">
        <v>0</v>
      </c>
      <c r="J1015">
        <f t="shared" si="401"/>
        <v>0.99900000000002365</v>
      </c>
      <c r="K1015">
        <f t="shared" si="402"/>
        <v>51</v>
      </c>
      <c r="L1015">
        <f t="shared" ca="1" si="403"/>
        <v>38818.127663273801</v>
      </c>
      <c r="M1015">
        <f t="shared" ca="1" si="381"/>
        <v>201854.26384902376</v>
      </c>
      <c r="N1015">
        <f t="shared" ca="1" si="382"/>
        <v>2.599825866221297</v>
      </c>
      <c r="O1015">
        <f t="shared" ca="1" si="383"/>
        <v>2.5265753136701283E-4</v>
      </c>
      <c r="P1015">
        <f t="shared" ca="1" si="384"/>
        <v>39450.257163273804</v>
      </c>
      <c r="Q1015">
        <f t="shared" ca="1" si="385"/>
        <v>39450.257163277056</v>
      </c>
      <c r="R1015">
        <f t="shared" ca="1" si="386"/>
        <v>4.0177971031033079E-12</v>
      </c>
      <c r="S1015">
        <f t="shared" ca="1" si="404"/>
        <v>4.9999998736893758E-4</v>
      </c>
      <c r="T1015">
        <f t="shared" ca="1" si="405"/>
        <v>1</v>
      </c>
      <c r="U1015">
        <f t="shared" ca="1" si="387"/>
        <v>0.05</v>
      </c>
      <c r="V1015">
        <f t="shared" ca="1" si="388"/>
        <v>0.26</v>
      </c>
      <c r="W1015">
        <f t="shared" ca="1" si="389"/>
        <v>4.9056603773584909E-2</v>
      </c>
      <c r="X1015">
        <f t="shared" ca="1" si="390"/>
        <v>196.15384615384616</v>
      </c>
      <c r="Y1015">
        <f t="shared" ca="1" si="391"/>
        <v>632.17949999999996</v>
      </c>
      <c r="Z1015">
        <f t="shared" ca="1" si="392"/>
        <v>2593.2565316486621</v>
      </c>
      <c r="AA1015">
        <f t="shared" ca="1" si="393"/>
        <v>482.07306851378365</v>
      </c>
      <c r="AB1015">
        <f t="shared" ca="1" si="394"/>
        <v>482.25887083179032</v>
      </c>
      <c r="AC1015">
        <f t="shared" ca="1" si="395"/>
        <v>0</v>
      </c>
      <c r="AD1015">
        <f ca="1">IF(V32="Supercritical",L1015,U1015)</f>
        <v>0.05</v>
      </c>
      <c r="AE1015">
        <f t="shared" ca="1" si="396"/>
        <v>632.17949999999996</v>
      </c>
      <c r="AF1015">
        <f t="shared" ca="1" si="397"/>
        <v>2593.2565316486621</v>
      </c>
      <c r="AI1015">
        <v>0</v>
      </c>
      <c r="AJ1015">
        <v>0</v>
      </c>
      <c r="AK1015">
        <f t="shared" si="398"/>
        <v>0</v>
      </c>
      <c r="AL1015">
        <f t="shared" si="406"/>
        <v>0</v>
      </c>
      <c r="AM1015">
        <f t="shared" ca="1" si="399"/>
        <v>280.07692026646265</v>
      </c>
      <c r="AN1015" t="str">
        <f t="shared" ca="1" si="400"/>
        <v>Supercritical</v>
      </c>
      <c r="AO1015">
        <f ca="1">IF(V32="Supercritical",R1015,AA1015)</f>
        <v>482.07306851378365</v>
      </c>
    </row>
    <row r="1016" spans="1:41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174</v>
      </c>
      <c r="I1016">
        <v>5.7000000000000002E-2</v>
      </c>
      <c r="J1016">
        <f t="shared" si="401"/>
        <v>1</v>
      </c>
      <c r="K1016">
        <f t="shared" si="402"/>
        <v>51</v>
      </c>
      <c r="L1016">
        <f t="shared" ca="1" si="403"/>
        <v>38818.127076317251</v>
      </c>
      <c r="M1016">
        <f t="shared" ca="1" si="381"/>
        <v>201854.2607968497</v>
      </c>
      <c r="N1016">
        <f t="shared" ca="1" si="382"/>
        <v>2.5998258662186644</v>
      </c>
      <c r="O1016">
        <f t="shared" ca="1" si="383"/>
        <v>2.5265753518736696E-4</v>
      </c>
      <c r="P1016">
        <f t="shared" ca="1" si="384"/>
        <v>39450.256076317251</v>
      </c>
      <c r="Q1016">
        <f t="shared" ca="1" si="385"/>
        <v>39450.256076320504</v>
      </c>
      <c r="R1016">
        <f t="shared" ca="1" si="386"/>
        <v>4.0177972246123973E-12</v>
      </c>
      <c r="S1016">
        <f t="shared" ca="1" si="404"/>
        <v>1.0869565448956564E-3</v>
      </c>
      <c r="T1016">
        <f t="shared" ca="1" si="405"/>
        <v>0</v>
      </c>
      <c r="U1016">
        <f t="shared" ca="1" si="387"/>
        <v>0.05</v>
      </c>
      <c r="V1016">
        <f t="shared" ca="1" si="388"/>
        <v>0.26</v>
      </c>
      <c r="W1016">
        <f t="shared" ca="1" si="389"/>
        <v>4.9056603773584909E-2</v>
      </c>
      <c r="X1016">
        <f t="shared" ca="1" si="390"/>
        <v>196.15384615384616</v>
      </c>
      <c r="Y1016">
        <f t="shared" ca="1" si="391"/>
        <v>632.17899999999997</v>
      </c>
      <c r="Z1016">
        <f t="shared" ca="1" si="392"/>
        <v>2593.256031648662</v>
      </c>
      <c r="AA1016">
        <f t="shared" ca="1" si="393"/>
        <v>482.07306851378365</v>
      </c>
      <c r="AB1016">
        <f t="shared" ca="1" si="394"/>
        <v>482.25887083179077</v>
      </c>
      <c r="AC1016">
        <f t="shared" ca="1" si="395"/>
        <v>0</v>
      </c>
      <c r="AD1016">
        <f ca="1">IF(V32="Supercritical",L1016,U1016)</f>
        <v>0.05</v>
      </c>
      <c r="AE1016">
        <f t="shared" ca="1" si="396"/>
        <v>632.17899999999997</v>
      </c>
      <c r="AF1016">
        <f t="shared" ca="1" si="397"/>
        <v>2593.256031648662</v>
      </c>
      <c r="AI1016">
        <v>0</v>
      </c>
      <c r="AJ1016">
        <v>0</v>
      </c>
      <c r="AK1016">
        <f t="shared" si="398"/>
        <v>0</v>
      </c>
      <c r="AL1016">
        <f t="shared" si="406"/>
        <v>0</v>
      </c>
      <c r="AM1016">
        <f t="shared" ca="1" si="399"/>
        <v>280.07692026646265</v>
      </c>
      <c r="AN1016" t="str">
        <f t="shared" ca="1" si="400"/>
        <v>Supercritical</v>
      </c>
      <c r="AO1016">
        <f ca="1">IF(V32="Supercritical",R1016,AA1016)</f>
        <v>482.07306851378365</v>
      </c>
    </row>
    <row r="1017" spans="1:41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174</v>
      </c>
      <c r="I1017">
        <v>5.7000000000000002E-2</v>
      </c>
      <c r="J1017">
        <f t="shared" si="401"/>
        <v>1</v>
      </c>
      <c r="K1017">
        <f t="shared" si="402"/>
        <v>51</v>
      </c>
      <c r="L1017">
        <f t="shared" ca="1" si="403"/>
        <v>38818.127076317251</v>
      </c>
      <c r="M1017">
        <f t="shared" ca="1" si="381"/>
        <v>201854.2607968497</v>
      </c>
      <c r="N1017">
        <f t="shared" ca="1" si="382"/>
        <v>2.5998258662186644</v>
      </c>
      <c r="O1017">
        <f t="shared" ca="1" si="383"/>
        <v>2.5265753518736696E-4</v>
      </c>
      <c r="P1017">
        <f t="shared" ca="1" si="384"/>
        <v>39450.25557631725</v>
      </c>
      <c r="Q1017">
        <f t="shared" ca="1" si="385"/>
        <v>39450.255576320502</v>
      </c>
      <c r="R1017">
        <f t="shared" ca="1" si="386"/>
        <v>4.0177972246123973E-12</v>
      </c>
      <c r="S1017">
        <f t="shared" ca="1" si="404"/>
        <v>4.999999946448952E-4</v>
      </c>
      <c r="T1017">
        <f t="shared" ca="1" si="405"/>
        <v>1</v>
      </c>
      <c r="U1017">
        <f t="shared" ca="1" si="387"/>
        <v>0.05</v>
      </c>
      <c r="V1017">
        <f t="shared" ca="1" si="388"/>
        <v>0.26</v>
      </c>
      <c r="W1017">
        <f t="shared" ca="1" si="389"/>
        <v>4.9056603773584909E-2</v>
      </c>
      <c r="X1017">
        <f t="shared" ca="1" si="390"/>
        <v>196.15384615384616</v>
      </c>
      <c r="Y1017">
        <f t="shared" ca="1" si="391"/>
        <v>632.17849999999999</v>
      </c>
      <c r="Z1017">
        <f t="shared" ca="1" si="392"/>
        <v>2593.2555316486623</v>
      </c>
      <c r="AA1017">
        <f t="shared" ca="1" si="393"/>
        <v>482.07306851378365</v>
      </c>
      <c r="AB1017">
        <f t="shared" ca="1" si="394"/>
        <v>482.07256851378361</v>
      </c>
      <c r="AC1017">
        <f t="shared" ca="1" si="395"/>
        <v>0</v>
      </c>
      <c r="AD1017">
        <f ca="1">IF(V32="Supercritical",L1017,U1017)</f>
        <v>0.05</v>
      </c>
      <c r="AE1017">
        <f t="shared" ca="1" si="396"/>
        <v>632.17849999999999</v>
      </c>
      <c r="AF1017">
        <f t="shared" ca="1" si="397"/>
        <v>2593.2555316486623</v>
      </c>
      <c r="AI1017">
        <v>0</v>
      </c>
      <c r="AJ1017">
        <v>0</v>
      </c>
      <c r="AK1017">
        <f t="shared" si="398"/>
        <v>0</v>
      </c>
      <c r="AL1017">
        <f t="shared" si="406"/>
        <v>0</v>
      </c>
      <c r="AM1017">
        <f t="shared" ca="1" si="399"/>
        <v>280.07692026646265</v>
      </c>
      <c r="AN1017" t="str">
        <f t="shared" ca="1" si="400"/>
        <v>Supercritical</v>
      </c>
      <c r="AO1017">
        <f ca="1">IF(V32="Supercritical",R1017,AA1017)</f>
        <v>482.07306851378365</v>
      </c>
    </row>
    <row r="1018" spans="1:41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174</v>
      </c>
      <c r="I1018">
        <v>0</v>
      </c>
      <c r="J1018">
        <f t="shared" si="401"/>
        <v>1</v>
      </c>
      <c r="K1018">
        <f t="shared" si="402"/>
        <v>51</v>
      </c>
      <c r="L1018">
        <f t="shared" ca="1" si="403"/>
        <v>38818.1264893607</v>
      </c>
      <c r="M1018">
        <f t="shared" ca="1" si="381"/>
        <v>201854.25774467565</v>
      </c>
      <c r="N1018">
        <f t="shared" ca="1" si="382"/>
        <v>2.5998258662160318</v>
      </c>
      <c r="O1018">
        <f t="shared" ca="1" si="383"/>
        <v>2.526575390077212E-4</v>
      </c>
      <c r="P1018">
        <f t="shared" ca="1" si="384"/>
        <v>39450.254489360697</v>
      </c>
      <c r="Q1018">
        <f t="shared" ca="1" si="385"/>
        <v>39450.25448936395</v>
      </c>
      <c r="R1018">
        <f t="shared" ca="1" si="386"/>
        <v>4.0177973461214909E-12</v>
      </c>
      <c r="S1018">
        <f t="shared" ca="1" si="404"/>
        <v>1.0869565448956564E-3</v>
      </c>
      <c r="T1018">
        <f t="shared" ca="1" si="405"/>
        <v>0</v>
      </c>
      <c r="U1018">
        <f t="shared" ca="1" si="387"/>
        <v>0.05</v>
      </c>
      <c r="V1018">
        <f t="shared" ca="1" si="388"/>
        <v>0.26</v>
      </c>
      <c r="W1018">
        <f t="shared" ca="1" si="389"/>
        <v>4.9056603773584909E-2</v>
      </c>
      <c r="X1018">
        <f t="shared" ca="1" si="390"/>
        <v>196.15384615384616</v>
      </c>
      <c r="Y1018">
        <f t="shared" ca="1" si="391"/>
        <v>632.178</v>
      </c>
      <c r="Z1018">
        <f t="shared" ca="1" si="392"/>
        <v>2593.2550316486622</v>
      </c>
      <c r="AA1018">
        <f t="shared" ca="1" si="393"/>
        <v>482.07306851378365</v>
      </c>
      <c r="AB1018">
        <f t="shared" ca="1" si="394"/>
        <v>482.07256851378361</v>
      </c>
      <c r="AC1018">
        <f t="shared" ca="1" si="395"/>
        <v>0</v>
      </c>
      <c r="AD1018">
        <f ca="1">IF(V32="Supercritical",L1018,U1018)</f>
        <v>0.05</v>
      </c>
      <c r="AE1018">
        <f t="shared" ca="1" si="396"/>
        <v>632.178</v>
      </c>
      <c r="AF1018">
        <f t="shared" ca="1" si="397"/>
        <v>2593.2550316486622</v>
      </c>
      <c r="AI1018">
        <v>0</v>
      </c>
      <c r="AJ1018">
        <v>0</v>
      </c>
      <c r="AK1018">
        <f t="shared" si="398"/>
        <v>0</v>
      </c>
      <c r="AL1018">
        <f t="shared" si="406"/>
        <v>0</v>
      </c>
      <c r="AM1018">
        <f t="shared" ca="1" si="399"/>
        <v>280.07692026646265</v>
      </c>
      <c r="AN1018" t="str">
        <f t="shared" ca="1" si="400"/>
        <v>Supercritical</v>
      </c>
      <c r="AO1018">
        <f ca="1">IF(V32="Supercritical",R1018,AA1018)</f>
        <v>482.07306851378365</v>
      </c>
    </row>
    <row r="1019" spans="1:41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174</v>
      </c>
      <c r="I1019">
        <v>0</v>
      </c>
      <c r="J1019">
        <f t="shared" si="401"/>
        <v>1</v>
      </c>
      <c r="K1019">
        <f t="shared" si="402"/>
        <v>51</v>
      </c>
      <c r="L1019">
        <f t="shared" ca="1" si="403"/>
        <v>38818.1264893607</v>
      </c>
      <c r="M1019">
        <f t="shared" ca="1" si="381"/>
        <v>201854.25774467565</v>
      </c>
      <c r="N1019">
        <f t="shared" ca="1" si="382"/>
        <v>2.5998258662160318</v>
      </c>
      <c r="O1019">
        <f t="shared" ca="1" si="383"/>
        <v>2.526575390077212E-4</v>
      </c>
      <c r="P1019">
        <f t="shared" ca="1" si="384"/>
        <v>39450.253989360703</v>
      </c>
      <c r="Q1019">
        <f t="shared" ca="1" si="385"/>
        <v>39450.253989363955</v>
      </c>
      <c r="R1019">
        <f t="shared" ca="1" si="386"/>
        <v>4.0177973461214909E-12</v>
      </c>
      <c r="S1019">
        <f t="shared" ca="1" si="404"/>
        <v>4.9999998736893758E-4</v>
      </c>
      <c r="T1019">
        <f t="shared" ca="1" si="405"/>
        <v>1</v>
      </c>
      <c r="U1019">
        <f t="shared" ca="1" si="387"/>
        <v>0.05</v>
      </c>
      <c r="V1019">
        <f t="shared" ca="1" si="388"/>
        <v>0.26</v>
      </c>
      <c r="W1019">
        <f t="shared" ca="1" si="389"/>
        <v>4.9056603773584909E-2</v>
      </c>
      <c r="X1019">
        <f t="shared" ca="1" si="390"/>
        <v>196.15384615384616</v>
      </c>
      <c r="Y1019">
        <f t="shared" ca="1" si="391"/>
        <v>632.17750000000001</v>
      </c>
      <c r="Z1019">
        <f t="shared" ca="1" si="392"/>
        <v>2593.2545316486621</v>
      </c>
      <c r="AA1019">
        <f t="shared" ca="1" si="393"/>
        <v>482.07306851378365</v>
      </c>
      <c r="AB1019">
        <f t="shared" ca="1" si="394"/>
        <v>482.25887083179032</v>
      </c>
      <c r="AC1019">
        <f t="shared" ca="1" si="395"/>
        <v>0</v>
      </c>
      <c r="AD1019">
        <f ca="1">IF(V32="Supercritical",L1019,U1019)</f>
        <v>0.05</v>
      </c>
      <c r="AE1019">
        <f t="shared" ca="1" si="396"/>
        <v>632.17750000000001</v>
      </c>
      <c r="AF1019">
        <f t="shared" ca="1" si="397"/>
        <v>2593.2545316486621</v>
      </c>
      <c r="AI1019">
        <v>0</v>
      </c>
      <c r="AJ1019">
        <v>0</v>
      </c>
      <c r="AK1019">
        <f t="shared" si="398"/>
        <v>0</v>
      </c>
      <c r="AL1019">
        <f t="shared" si="406"/>
        <v>0</v>
      </c>
      <c r="AM1019">
        <f t="shared" ca="1" si="399"/>
        <v>280.07692026646265</v>
      </c>
      <c r="AN1019" t="str">
        <f t="shared" ca="1" si="400"/>
        <v>Supercritical</v>
      </c>
      <c r="AO1019">
        <f ca="1">IF(V32="Supercritical",R1019,AA1019)</f>
        <v>482.07306851378365</v>
      </c>
    </row>
    <row r="1020" spans="1:41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174</v>
      </c>
      <c r="I1020">
        <v>5.7000000000000002E-2</v>
      </c>
      <c r="J1020">
        <f t="shared" si="401"/>
        <v>1</v>
      </c>
      <c r="K1020">
        <f t="shared" si="402"/>
        <v>51</v>
      </c>
      <c r="L1020">
        <f t="shared" ca="1" si="403"/>
        <v>38818.12590240415</v>
      </c>
      <c r="M1020">
        <f t="shared" ca="1" si="381"/>
        <v>201854.25469250159</v>
      </c>
      <c r="N1020">
        <f t="shared" ca="1" si="382"/>
        <v>2.5998258662133988</v>
      </c>
      <c r="O1020">
        <f t="shared" ca="1" si="383"/>
        <v>2.5265754282807561E-4</v>
      </c>
      <c r="P1020">
        <f t="shared" ca="1" si="384"/>
        <v>39450.252902404151</v>
      </c>
      <c r="Q1020">
        <f t="shared" ca="1" si="385"/>
        <v>39450.252902407403</v>
      </c>
      <c r="R1020">
        <f t="shared" ca="1" si="386"/>
        <v>4.0177974676305908E-12</v>
      </c>
      <c r="S1020">
        <f t="shared" ca="1" si="404"/>
        <v>1.0869565448956564E-3</v>
      </c>
      <c r="T1020">
        <f t="shared" ca="1" si="405"/>
        <v>0</v>
      </c>
      <c r="U1020">
        <f t="shared" ca="1" si="387"/>
        <v>0.05</v>
      </c>
      <c r="V1020">
        <f t="shared" ca="1" si="388"/>
        <v>0.26</v>
      </c>
      <c r="W1020">
        <f t="shared" ca="1" si="389"/>
        <v>4.9056603773584909E-2</v>
      </c>
      <c r="X1020">
        <f t="shared" ca="1" si="390"/>
        <v>196.15384615384616</v>
      </c>
      <c r="Y1020">
        <f t="shared" ca="1" si="391"/>
        <v>632.17699999999991</v>
      </c>
      <c r="Z1020">
        <f t="shared" ca="1" si="392"/>
        <v>2593.254031648662</v>
      </c>
      <c r="AA1020">
        <f t="shared" ca="1" si="393"/>
        <v>482.07306851378365</v>
      </c>
      <c r="AB1020">
        <f t="shared" ca="1" si="394"/>
        <v>482.26867621694828</v>
      </c>
      <c r="AC1020">
        <f t="shared" ca="1" si="395"/>
        <v>0</v>
      </c>
      <c r="AD1020">
        <f ca="1">IF(V32="Supercritical",L1020,U1020)</f>
        <v>0.05</v>
      </c>
      <c r="AE1020">
        <f t="shared" ca="1" si="396"/>
        <v>632.17699999999991</v>
      </c>
      <c r="AF1020">
        <f t="shared" ca="1" si="397"/>
        <v>2593.254031648662</v>
      </c>
      <c r="AI1020">
        <v>0</v>
      </c>
      <c r="AJ1020">
        <v>0</v>
      </c>
      <c r="AK1020">
        <f t="shared" si="398"/>
        <v>0</v>
      </c>
      <c r="AL1020">
        <f t="shared" si="406"/>
        <v>0</v>
      </c>
      <c r="AM1020">
        <f t="shared" ca="1" si="399"/>
        <v>280.07692026646265</v>
      </c>
      <c r="AN1020" t="str">
        <f t="shared" ca="1" si="400"/>
        <v>Supercritical</v>
      </c>
      <c r="AO1020">
        <f ca="1">IF(V32="Supercritical",R1020,AA1020)</f>
        <v>482.07306851378365</v>
      </c>
    </row>
    <row r="1021" spans="1:41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174</v>
      </c>
      <c r="I1021">
        <v>0.06</v>
      </c>
      <c r="J1021">
        <f t="shared" si="401"/>
        <v>1</v>
      </c>
      <c r="K1021">
        <f t="shared" si="402"/>
        <v>51</v>
      </c>
      <c r="L1021">
        <f t="shared" ca="1" si="403"/>
        <v>38818.12590240415</v>
      </c>
      <c r="M1021">
        <f t="shared" ca="1" si="381"/>
        <v>201854.25469250159</v>
      </c>
      <c r="N1021">
        <f t="shared" ca="1" si="382"/>
        <v>2.5998258662133988</v>
      </c>
      <c r="O1021">
        <f t="shared" ca="1" si="383"/>
        <v>2.5265754282807561E-4</v>
      </c>
      <c r="P1021">
        <f t="shared" ca="1" si="384"/>
        <v>39450.252402404149</v>
      </c>
      <c r="Q1021">
        <f t="shared" ca="1" si="385"/>
        <v>39450.252402407401</v>
      </c>
      <c r="R1021">
        <f t="shared" ca="1" si="386"/>
        <v>4.0177974676305908E-12</v>
      </c>
      <c r="S1021">
        <f t="shared" ca="1" si="404"/>
        <v>4.999999946448952E-4</v>
      </c>
      <c r="T1021">
        <f t="shared" ca="1" si="405"/>
        <v>1</v>
      </c>
      <c r="U1021">
        <f t="shared" ca="1" si="387"/>
        <v>0.05</v>
      </c>
      <c r="V1021">
        <f t="shared" ca="1" si="388"/>
        <v>0.26</v>
      </c>
      <c r="W1021">
        <f t="shared" ca="1" si="389"/>
        <v>4.9056603773584909E-2</v>
      </c>
      <c r="X1021">
        <f t="shared" ca="1" si="390"/>
        <v>196.15384615384616</v>
      </c>
      <c r="Y1021">
        <f t="shared" ca="1" si="391"/>
        <v>632.17649999999992</v>
      </c>
      <c r="Z1021">
        <f t="shared" ca="1" si="392"/>
        <v>2593.2535316486619</v>
      </c>
      <c r="AA1021">
        <f t="shared" ca="1" si="393"/>
        <v>482.07306851378365</v>
      </c>
      <c r="AB1021">
        <f t="shared" ca="1" si="394"/>
        <v>482.56117850572491</v>
      </c>
      <c r="AC1021">
        <f t="shared" ca="1" si="395"/>
        <v>0</v>
      </c>
      <c r="AD1021">
        <f ca="1">IF(V32="Supercritical",L1021,U1021)</f>
        <v>0.05</v>
      </c>
      <c r="AE1021">
        <f t="shared" ca="1" si="396"/>
        <v>632.17649999999992</v>
      </c>
      <c r="AF1021">
        <f t="shared" ca="1" si="397"/>
        <v>2593.2535316486619</v>
      </c>
      <c r="AI1021">
        <v>0</v>
      </c>
      <c r="AJ1021">
        <v>0</v>
      </c>
      <c r="AK1021">
        <f t="shared" si="398"/>
        <v>0</v>
      </c>
      <c r="AL1021">
        <f t="shared" si="406"/>
        <v>0</v>
      </c>
      <c r="AM1021">
        <f t="shared" ca="1" si="399"/>
        <v>280.07692026646265</v>
      </c>
      <c r="AN1021" t="str">
        <f t="shared" ca="1" si="400"/>
        <v>Supercritical</v>
      </c>
      <c r="AO1021">
        <f ca="1">IF(V32="Supercritical",R1021,AA1021)</f>
        <v>482.07306851378365</v>
      </c>
    </row>
    <row r="1022" spans="1:41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174</v>
      </c>
      <c r="I1022">
        <v>2E-3</v>
      </c>
      <c r="J1022">
        <f t="shared" si="401"/>
        <v>1.0009999999999764</v>
      </c>
      <c r="K1022">
        <f t="shared" si="402"/>
        <v>51</v>
      </c>
      <c r="L1022">
        <f t="shared" ca="1" si="403"/>
        <v>38818.1253154476</v>
      </c>
      <c r="M1022">
        <f t="shared" ca="1" si="381"/>
        <v>201854.25164032754</v>
      </c>
      <c r="N1022">
        <f t="shared" ca="1" si="382"/>
        <v>2.5998258662107663</v>
      </c>
      <c r="O1022">
        <f t="shared" ca="1" si="383"/>
        <v>2.5265754664843007E-4</v>
      </c>
      <c r="P1022">
        <f t="shared" ca="1" si="384"/>
        <v>39450.251315447596</v>
      </c>
      <c r="Q1022">
        <f t="shared" ca="1" si="385"/>
        <v>39450.251315450849</v>
      </c>
      <c r="R1022">
        <f t="shared" ca="1" si="386"/>
        <v>4.0177975891396965E-12</v>
      </c>
      <c r="S1022">
        <f t="shared" ca="1" si="404"/>
        <v>1.0869565448956564E-3</v>
      </c>
      <c r="T1022">
        <f t="shared" ca="1" si="405"/>
        <v>0</v>
      </c>
      <c r="U1022">
        <f t="shared" ca="1" si="387"/>
        <v>0.05</v>
      </c>
      <c r="V1022">
        <f t="shared" ca="1" si="388"/>
        <v>0.26</v>
      </c>
      <c r="W1022">
        <f t="shared" ca="1" si="389"/>
        <v>4.9056603773584909E-2</v>
      </c>
      <c r="X1022">
        <f t="shared" ca="1" si="390"/>
        <v>196.15384615384616</v>
      </c>
      <c r="Y1022">
        <f t="shared" ca="1" si="391"/>
        <v>632.17599999999993</v>
      </c>
      <c r="Z1022">
        <f t="shared" ca="1" si="392"/>
        <v>2593.2530316486618</v>
      </c>
      <c r="AA1022">
        <f t="shared" ca="1" si="393"/>
        <v>482.07306851378365</v>
      </c>
      <c r="AB1022">
        <f t="shared" ca="1" si="394"/>
        <v>482.07256851378406</v>
      </c>
      <c r="AC1022">
        <f t="shared" ca="1" si="395"/>
        <v>0</v>
      </c>
      <c r="AD1022">
        <f ca="1">IF(V32="Supercritical",L1022,U1022)</f>
        <v>0.05</v>
      </c>
      <c r="AE1022">
        <f t="shared" ca="1" si="396"/>
        <v>632.17599999999993</v>
      </c>
      <c r="AF1022">
        <f t="shared" ca="1" si="397"/>
        <v>2593.2530316486618</v>
      </c>
      <c r="AI1022">
        <v>0</v>
      </c>
      <c r="AJ1022">
        <v>0</v>
      </c>
      <c r="AK1022">
        <f t="shared" si="398"/>
        <v>0</v>
      </c>
      <c r="AL1022">
        <f t="shared" si="406"/>
        <v>0</v>
      </c>
      <c r="AM1022">
        <f t="shared" ca="1" si="399"/>
        <v>280.07692026646265</v>
      </c>
      <c r="AN1022" t="str">
        <f t="shared" ca="1" si="400"/>
        <v>Supercritical</v>
      </c>
      <c r="AO1022">
        <f ca="1">IF(V32="Supercritical",R1022,AA1022)</f>
        <v>482.07306851378365</v>
      </c>
    </row>
    <row r="1023" spans="1:41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174</v>
      </c>
      <c r="I1023">
        <v>0</v>
      </c>
      <c r="J1023">
        <f t="shared" si="401"/>
        <v>1</v>
      </c>
      <c r="K1023">
        <f t="shared" si="402"/>
        <v>51</v>
      </c>
      <c r="L1023">
        <f t="shared" ca="1" si="403"/>
        <v>38818.1253154476</v>
      </c>
      <c r="M1023">
        <f t="shared" ca="1" si="381"/>
        <v>201854.25164032754</v>
      </c>
      <c r="N1023">
        <f t="shared" ca="1" si="382"/>
        <v>2.5998258662107663</v>
      </c>
      <c r="O1023">
        <f t="shared" ca="1" si="383"/>
        <v>2.5265754664843007E-4</v>
      </c>
      <c r="P1023">
        <f t="shared" ca="1" si="384"/>
        <v>39450.250815447602</v>
      </c>
      <c r="Q1023">
        <f t="shared" ca="1" si="385"/>
        <v>39450.250815450854</v>
      </c>
      <c r="R1023">
        <f t="shared" ca="1" si="386"/>
        <v>4.0177975891396965E-12</v>
      </c>
      <c r="S1023">
        <f t="shared" ca="1" si="404"/>
        <v>4.9999998736893758E-4</v>
      </c>
      <c r="T1023">
        <f t="shared" ca="1" si="405"/>
        <v>1</v>
      </c>
      <c r="U1023">
        <f t="shared" ca="1" si="387"/>
        <v>0.05</v>
      </c>
      <c r="V1023">
        <f t="shared" ca="1" si="388"/>
        <v>0.26</v>
      </c>
      <c r="W1023">
        <f t="shared" ca="1" si="389"/>
        <v>4.9056603773584909E-2</v>
      </c>
      <c r="X1023">
        <f t="shared" ca="1" si="390"/>
        <v>196.15384615384616</v>
      </c>
      <c r="Y1023">
        <f t="shared" ca="1" si="391"/>
        <v>632.17549999999994</v>
      </c>
      <c r="Z1023">
        <f t="shared" ca="1" si="392"/>
        <v>2593.2525316486622</v>
      </c>
      <c r="AA1023">
        <f t="shared" ca="1" si="393"/>
        <v>482.07306851378365</v>
      </c>
      <c r="AB1023">
        <f t="shared" ca="1" si="394"/>
        <v>481.77679776328796</v>
      </c>
      <c r="AC1023">
        <f t="shared" ca="1" si="395"/>
        <v>0</v>
      </c>
      <c r="AD1023">
        <f ca="1">IF(V32="Supercritical",L1023,U1023)</f>
        <v>0.05</v>
      </c>
      <c r="AE1023">
        <f t="shared" ca="1" si="396"/>
        <v>632.17549999999994</v>
      </c>
      <c r="AF1023">
        <f t="shared" ca="1" si="397"/>
        <v>2593.2525316486622</v>
      </c>
      <c r="AI1023">
        <v>0</v>
      </c>
      <c r="AJ1023">
        <v>0</v>
      </c>
      <c r="AK1023">
        <f t="shared" si="398"/>
        <v>0</v>
      </c>
      <c r="AL1023">
        <f t="shared" si="406"/>
        <v>0</v>
      </c>
      <c r="AM1023">
        <f t="shared" ca="1" si="399"/>
        <v>280.07692026646265</v>
      </c>
      <c r="AN1023" t="str">
        <f t="shared" ca="1" si="400"/>
        <v>Supercritical</v>
      </c>
      <c r="AO1023">
        <f ca="1">IF(V32="Supercritical",R1023,AA1023)</f>
        <v>482.07306851378365</v>
      </c>
    </row>
    <row r="1024" spans="1:41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174</v>
      </c>
      <c r="I1024">
        <v>5.7000000000000002E-2</v>
      </c>
      <c r="J1024">
        <f t="shared" si="401"/>
        <v>0.99900000000002365</v>
      </c>
      <c r="K1024">
        <f t="shared" si="402"/>
        <v>51</v>
      </c>
      <c r="L1024">
        <f t="shared" ca="1" si="403"/>
        <v>38818.12472849105</v>
      </c>
      <c r="M1024">
        <f t="shared" ca="1" si="381"/>
        <v>201854.24858815345</v>
      </c>
      <c r="N1024">
        <f t="shared" ca="1" si="382"/>
        <v>2.5998258662081328</v>
      </c>
      <c r="O1024">
        <f t="shared" ca="1" si="383"/>
        <v>2.5265755046878475E-4</v>
      </c>
      <c r="P1024">
        <f t="shared" ca="1" si="384"/>
        <v>39450.24972849105</v>
      </c>
      <c r="Q1024">
        <f t="shared" ca="1" si="385"/>
        <v>39450.249728494302</v>
      </c>
      <c r="R1024">
        <f t="shared" ca="1" si="386"/>
        <v>4.0177977106488118E-12</v>
      </c>
      <c r="S1024">
        <f t="shared" ca="1" si="404"/>
        <v>1.0869565448956564E-3</v>
      </c>
      <c r="T1024">
        <f t="shared" ca="1" si="405"/>
        <v>0</v>
      </c>
      <c r="U1024">
        <f t="shared" ca="1" si="387"/>
        <v>0.05</v>
      </c>
      <c r="V1024">
        <f t="shared" ca="1" si="388"/>
        <v>0.26</v>
      </c>
      <c r="W1024">
        <f t="shared" ca="1" si="389"/>
        <v>4.9056603773584909E-2</v>
      </c>
      <c r="X1024">
        <f t="shared" ca="1" si="390"/>
        <v>196.15384615384616</v>
      </c>
      <c r="Y1024">
        <f t="shared" ca="1" si="391"/>
        <v>632.17499999999995</v>
      </c>
      <c r="Z1024">
        <f t="shared" ca="1" si="392"/>
        <v>2593.2520316486621</v>
      </c>
      <c r="AA1024">
        <f t="shared" ca="1" si="393"/>
        <v>482.07306851378365</v>
      </c>
      <c r="AB1024">
        <f t="shared" ca="1" si="394"/>
        <v>482.25887083179032</v>
      </c>
      <c r="AC1024">
        <f t="shared" ca="1" si="395"/>
        <v>0</v>
      </c>
      <c r="AD1024">
        <f ca="1">IF(V32="Supercritical",L1024,U1024)</f>
        <v>0.05</v>
      </c>
      <c r="AE1024">
        <f t="shared" ca="1" si="396"/>
        <v>632.17499999999995</v>
      </c>
      <c r="AF1024">
        <f t="shared" ca="1" si="397"/>
        <v>2593.2520316486621</v>
      </c>
      <c r="AI1024">
        <v>0</v>
      </c>
      <c r="AJ1024">
        <v>0</v>
      </c>
      <c r="AK1024">
        <f t="shared" si="398"/>
        <v>0</v>
      </c>
      <c r="AL1024">
        <f t="shared" si="406"/>
        <v>0</v>
      </c>
      <c r="AM1024">
        <f t="shared" ca="1" si="399"/>
        <v>280.07692026646265</v>
      </c>
      <c r="AN1024" t="str">
        <f t="shared" ca="1" si="400"/>
        <v>Supercritical</v>
      </c>
      <c r="AO1024">
        <f ca="1">IF(V32="Supercritical",R1024,AA1024)</f>
        <v>482.07306851378365</v>
      </c>
    </row>
    <row r="1025" spans="1:41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174</v>
      </c>
      <c r="I1025">
        <v>5.7000000000000002E-2</v>
      </c>
      <c r="J1025">
        <f t="shared" si="401"/>
        <v>1</v>
      </c>
      <c r="K1025">
        <f t="shared" si="402"/>
        <v>51</v>
      </c>
      <c r="L1025">
        <f t="shared" ca="1" si="403"/>
        <v>38818.12472849105</v>
      </c>
      <c r="M1025">
        <f t="shared" ca="1" si="381"/>
        <v>201854.24858815345</v>
      </c>
      <c r="N1025">
        <f t="shared" ca="1" si="382"/>
        <v>2.5998258662081328</v>
      </c>
      <c r="O1025">
        <f t="shared" ca="1" si="383"/>
        <v>2.5265755046878475E-4</v>
      </c>
      <c r="P1025">
        <f t="shared" ca="1" si="384"/>
        <v>39450.249228491048</v>
      </c>
      <c r="Q1025">
        <f t="shared" ca="1" si="385"/>
        <v>39450.2492284943</v>
      </c>
      <c r="R1025">
        <f t="shared" ca="1" si="386"/>
        <v>4.0177977106488118E-12</v>
      </c>
      <c r="S1025">
        <f t="shared" ca="1" si="404"/>
        <v>4.999999946448952E-4</v>
      </c>
      <c r="T1025">
        <f t="shared" ca="1" si="405"/>
        <v>1</v>
      </c>
      <c r="U1025">
        <f t="shared" ca="1" si="387"/>
        <v>0.05</v>
      </c>
      <c r="V1025">
        <f t="shared" ca="1" si="388"/>
        <v>0.26</v>
      </c>
      <c r="W1025">
        <f t="shared" ca="1" si="389"/>
        <v>4.9056603773584909E-2</v>
      </c>
      <c r="X1025">
        <f t="shared" ca="1" si="390"/>
        <v>196.15384615384616</v>
      </c>
      <c r="Y1025">
        <f t="shared" ca="1" si="391"/>
        <v>632.17449999999997</v>
      </c>
      <c r="Z1025">
        <f t="shared" ca="1" si="392"/>
        <v>2593.251531648662</v>
      </c>
      <c r="AA1025">
        <f t="shared" ca="1" si="393"/>
        <v>482.07306851378365</v>
      </c>
      <c r="AB1025">
        <f t="shared" ca="1" si="394"/>
        <v>482.07256851378406</v>
      </c>
      <c r="AC1025">
        <f t="shared" ca="1" si="395"/>
        <v>0</v>
      </c>
      <c r="AD1025">
        <f ca="1">IF(V32="Supercritical",L1025,U1025)</f>
        <v>0.05</v>
      </c>
      <c r="AE1025">
        <f t="shared" ca="1" si="396"/>
        <v>632.17449999999997</v>
      </c>
      <c r="AF1025">
        <f t="shared" ca="1" si="397"/>
        <v>2593.251531648662</v>
      </c>
      <c r="AI1025">
        <v>0</v>
      </c>
      <c r="AJ1025">
        <v>0</v>
      </c>
      <c r="AK1025">
        <f t="shared" si="398"/>
        <v>0</v>
      </c>
      <c r="AL1025">
        <f t="shared" si="406"/>
        <v>0</v>
      </c>
      <c r="AM1025">
        <f t="shared" ca="1" si="399"/>
        <v>280.07692026646265</v>
      </c>
      <c r="AN1025" t="str">
        <f t="shared" ca="1" si="400"/>
        <v>Supercritical</v>
      </c>
      <c r="AO1025">
        <f ca="1">IF(V32="Supercritical",R1025,AA1025)</f>
        <v>482.07306851378365</v>
      </c>
    </row>
    <row r="1026" spans="1:41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174</v>
      </c>
      <c r="I1026">
        <v>0</v>
      </c>
      <c r="J1026">
        <f t="shared" si="401"/>
        <v>1</v>
      </c>
      <c r="K1026">
        <f t="shared" si="402"/>
        <v>51</v>
      </c>
      <c r="L1026">
        <f t="shared" ca="1" si="403"/>
        <v>38818.124141534485</v>
      </c>
      <c r="M1026">
        <f t="shared" ca="1" si="381"/>
        <v>201854.24553597934</v>
      </c>
      <c r="N1026">
        <f t="shared" ca="1" si="382"/>
        <v>2.5998258662055003</v>
      </c>
      <c r="O1026">
        <f t="shared" ca="1" si="383"/>
        <v>2.5265755428913953E-4</v>
      </c>
      <c r="P1026">
        <f t="shared" ca="1" si="384"/>
        <v>39450.248141534488</v>
      </c>
      <c r="Q1026">
        <f t="shared" ca="1" si="385"/>
        <v>39450.248141537741</v>
      </c>
      <c r="R1026">
        <f t="shared" ca="1" si="386"/>
        <v>4.0177978321579303E-12</v>
      </c>
      <c r="S1026">
        <f t="shared" ca="1" si="404"/>
        <v>1.086956552171614E-3</v>
      </c>
      <c r="T1026">
        <f t="shared" ca="1" si="405"/>
        <v>0</v>
      </c>
      <c r="U1026">
        <f t="shared" ca="1" si="387"/>
        <v>0.05</v>
      </c>
      <c r="V1026">
        <f t="shared" ca="1" si="388"/>
        <v>0.26</v>
      </c>
      <c r="W1026">
        <f t="shared" ca="1" si="389"/>
        <v>4.9056603773584909E-2</v>
      </c>
      <c r="X1026">
        <f t="shared" ca="1" si="390"/>
        <v>196.15384615384616</v>
      </c>
      <c r="Y1026">
        <f t="shared" ca="1" si="391"/>
        <v>632.17399999999998</v>
      </c>
      <c r="Z1026">
        <f t="shared" ca="1" si="392"/>
        <v>2593.2510316486623</v>
      </c>
      <c r="AA1026">
        <f t="shared" ca="1" si="393"/>
        <v>482.07306851378365</v>
      </c>
      <c r="AB1026">
        <f t="shared" ca="1" si="394"/>
        <v>482.07256851378361</v>
      </c>
      <c r="AC1026">
        <f t="shared" ca="1" si="395"/>
        <v>0</v>
      </c>
      <c r="AD1026">
        <f ca="1">IF(V32="Supercritical",L1026,U1026)</f>
        <v>0.05</v>
      </c>
      <c r="AE1026">
        <f t="shared" ca="1" si="396"/>
        <v>632.17399999999998</v>
      </c>
      <c r="AF1026">
        <f t="shared" ca="1" si="397"/>
        <v>2593.2510316486623</v>
      </c>
      <c r="AI1026">
        <v>0</v>
      </c>
      <c r="AJ1026">
        <v>0</v>
      </c>
      <c r="AK1026">
        <f t="shared" si="398"/>
        <v>0</v>
      </c>
      <c r="AL1026">
        <f t="shared" si="406"/>
        <v>0</v>
      </c>
      <c r="AM1026">
        <f t="shared" ca="1" si="399"/>
        <v>280.07692026646265</v>
      </c>
      <c r="AN1026" t="str">
        <f t="shared" ca="1" si="400"/>
        <v>Supercritical</v>
      </c>
      <c r="AO1026">
        <f ca="1">IF(V32="Supercritical",R1026,AA1026)</f>
        <v>482.07306851378365</v>
      </c>
    </row>
    <row r="1027" spans="1:41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174</v>
      </c>
      <c r="I1027">
        <v>0</v>
      </c>
      <c r="J1027">
        <f t="shared" si="401"/>
        <v>1</v>
      </c>
      <c r="K1027">
        <f t="shared" si="402"/>
        <v>51</v>
      </c>
      <c r="L1027">
        <f t="shared" ca="1" si="403"/>
        <v>38818.124141534485</v>
      </c>
      <c r="M1027">
        <f t="shared" ca="1" si="381"/>
        <v>201854.24553597934</v>
      </c>
      <c r="N1027">
        <f t="shared" ca="1" si="382"/>
        <v>2.5998258662055003</v>
      </c>
      <c r="O1027">
        <f t="shared" ca="1" si="383"/>
        <v>2.5265755428913953E-4</v>
      </c>
      <c r="P1027">
        <f t="shared" ca="1" si="384"/>
        <v>39450.247641534486</v>
      </c>
      <c r="Q1027">
        <f t="shared" ca="1" si="385"/>
        <v>39450.247641537739</v>
      </c>
      <c r="R1027">
        <f t="shared" ca="1" si="386"/>
        <v>4.0177978321579303E-12</v>
      </c>
      <c r="S1027">
        <f t="shared" ca="1" si="404"/>
        <v>4.999999946448952E-4</v>
      </c>
      <c r="T1027">
        <f t="shared" ca="1" si="405"/>
        <v>1</v>
      </c>
      <c r="U1027">
        <f t="shared" ca="1" si="387"/>
        <v>0.05</v>
      </c>
      <c r="V1027">
        <f t="shared" ca="1" si="388"/>
        <v>0.26</v>
      </c>
      <c r="W1027">
        <f t="shared" ca="1" si="389"/>
        <v>4.9056603773584909E-2</v>
      </c>
      <c r="X1027">
        <f t="shared" ca="1" si="390"/>
        <v>196.15384615384616</v>
      </c>
      <c r="Y1027">
        <f t="shared" ca="1" si="391"/>
        <v>632.17349999999999</v>
      </c>
      <c r="Z1027">
        <f t="shared" ca="1" si="392"/>
        <v>2593.2505316486622</v>
      </c>
      <c r="AA1027">
        <f t="shared" ca="1" si="393"/>
        <v>482.07306851378365</v>
      </c>
      <c r="AB1027">
        <f t="shared" ca="1" si="394"/>
        <v>482.25887083179032</v>
      </c>
      <c r="AC1027">
        <f t="shared" ca="1" si="395"/>
        <v>0</v>
      </c>
      <c r="AD1027">
        <f ca="1">IF(V32="Supercritical",L1027,U1027)</f>
        <v>0.05</v>
      </c>
      <c r="AE1027">
        <f t="shared" ca="1" si="396"/>
        <v>632.17349999999999</v>
      </c>
      <c r="AF1027">
        <f t="shared" ca="1" si="397"/>
        <v>2593.2505316486622</v>
      </c>
      <c r="AI1027">
        <v>0</v>
      </c>
      <c r="AJ1027">
        <v>0</v>
      </c>
      <c r="AK1027">
        <f t="shared" si="398"/>
        <v>0</v>
      </c>
      <c r="AL1027">
        <f t="shared" si="406"/>
        <v>0</v>
      </c>
      <c r="AM1027">
        <f t="shared" ca="1" si="399"/>
        <v>280.07692026646265</v>
      </c>
      <c r="AN1027" t="str">
        <f t="shared" ca="1" si="400"/>
        <v>Supercritical</v>
      </c>
      <c r="AO1027">
        <f ca="1">IF(V32="Supercritical",R1027,AA1027)</f>
        <v>482.07306851378365</v>
      </c>
    </row>
    <row r="1028" spans="1:41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174</v>
      </c>
      <c r="I1028">
        <v>5.7000000000000002E-2</v>
      </c>
      <c r="J1028">
        <f t="shared" si="401"/>
        <v>1</v>
      </c>
      <c r="K1028">
        <f t="shared" si="402"/>
        <v>51</v>
      </c>
      <c r="L1028">
        <f t="shared" ca="1" si="403"/>
        <v>38818.123554577935</v>
      </c>
      <c r="M1028">
        <f t="shared" ca="1" si="381"/>
        <v>201854.24248380525</v>
      </c>
      <c r="N1028">
        <f t="shared" ca="1" si="382"/>
        <v>2.5998258662028673</v>
      </c>
      <c r="O1028">
        <f t="shared" ca="1" si="383"/>
        <v>2.5265755810949443E-4</v>
      </c>
      <c r="P1028">
        <f t="shared" ca="1" si="384"/>
        <v>39450.246554577934</v>
      </c>
      <c r="Q1028">
        <f t="shared" ca="1" si="385"/>
        <v>39450.246554581187</v>
      </c>
      <c r="R1028">
        <f t="shared" ca="1" si="386"/>
        <v>4.0177979536670538E-12</v>
      </c>
      <c r="S1028">
        <f t="shared" ca="1" si="404"/>
        <v>1.0869565448956564E-3</v>
      </c>
      <c r="T1028">
        <f t="shared" ca="1" si="405"/>
        <v>0</v>
      </c>
      <c r="U1028">
        <f t="shared" ca="1" si="387"/>
        <v>0.05</v>
      </c>
      <c r="V1028">
        <f t="shared" ca="1" si="388"/>
        <v>0.26</v>
      </c>
      <c r="W1028">
        <f t="shared" ca="1" si="389"/>
        <v>4.9056603773584909E-2</v>
      </c>
      <c r="X1028">
        <f t="shared" ca="1" si="390"/>
        <v>196.15384615384616</v>
      </c>
      <c r="Y1028">
        <f t="shared" ca="1" si="391"/>
        <v>632.173</v>
      </c>
      <c r="Z1028">
        <f t="shared" ca="1" si="392"/>
        <v>2593.2500316486621</v>
      </c>
      <c r="AA1028">
        <f t="shared" ca="1" si="393"/>
        <v>482.07306851378365</v>
      </c>
      <c r="AB1028">
        <f t="shared" ca="1" si="394"/>
        <v>482.25887083179032</v>
      </c>
      <c r="AC1028">
        <f t="shared" ca="1" si="395"/>
        <v>0</v>
      </c>
      <c r="AD1028">
        <f ca="1">IF(V32="Supercritical",L1028,U1028)</f>
        <v>0.05</v>
      </c>
      <c r="AE1028">
        <f t="shared" ca="1" si="396"/>
        <v>632.173</v>
      </c>
      <c r="AF1028">
        <f t="shared" ca="1" si="397"/>
        <v>2593.2500316486621</v>
      </c>
      <c r="AI1028">
        <v>0</v>
      </c>
      <c r="AJ1028">
        <v>0</v>
      </c>
      <c r="AK1028">
        <f t="shared" si="398"/>
        <v>0</v>
      </c>
      <c r="AL1028">
        <f t="shared" si="406"/>
        <v>0</v>
      </c>
      <c r="AM1028">
        <f t="shared" ca="1" si="399"/>
        <v>280.07692026646265</v>
      </c>
      <c r="AN1028" t="str">
        <f t="shared" ca="1" si="400"/>
        <v>Supercritical</v>
      </c>
      <c r="AO1028">
        <f ca="1">IF(V32="Supercritical",R1028,AA1028)</f>
        <v>482.07306851378365</v>
      </c>
    </row>
    <row r="1029" spans="1:41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174</v>
      </c>
      <c r="I1029">
        <v>5.7000000000000002E-2</v>
      </c>
      <c r="J1029">
        <f t="shared" si="401"/>
        <v>1</v>
      </c>
      <c r="K1029">
        <f t="shared" si="402"/>
        <v>51</v>
      </c>
      <c r="L1029">
        <f t="shared" ca="1" si="403"/>
        <v>38818.123554577935</v>
      </c>
      <c r="M1029">
        <f t="shared" ca="1" si="381"/>
        <v>201854.24248380525</v>
      </c>
      <c r="N1029">
        <f t="shared" ca="1" si="382"/>
        <v>2.5998258662028673</v>
      </c>
      <c r="O1029">
        <f t="shared" ca="1" si="383"/>
        <v>2.5265755810949443E-4</v>
      </c>
      <c r="P1029">
        <f t="shared" ca="1" si="384"/>
        <v>39450.246054577932</v>
      </c>
      <c r="Q1029">
        <f t="shared" ca="1" si="385"/>
        <v>39450.246054581185</v>
      </c>
      <c r="R1029">
        <f t="shared" ca="1" si="386"/>
        <v>4.0177979536670538E-12</v>
      </c>
      <c r="S1029">
        <f t="shared" ca="1" si="404"/>
        <v>4.999999946448952E-4</v>
      </c>
      <c r="T1029">
        <f t="shared" ca="1" si="405"/>
        <v>1</v>
      </c>
      <c r="U1029">
        <f t="shared" ca="1" si="387"/>
        <v>0.05</v>
      </c>
      <c r="V1029">
        <f t="shared" ca="1" si="388"/>
        <v>0.26</v>
      </c>
      <c r="W1029">
        <f t="shared" ca="1" si="389"/>
        <v>4.9056603773584909E-2</v>
      </c>
      <c r="X1029">
        <f t="shared" ca="1" si="390"/>
        <v>196.15384615384616</v>
      </c>
      <c r="Y1029">
        <f t="shared" ca="1" si="391"/>
        <v>632.1724999999999</v>
      </c>
      <c r="Z1029">
        <f t="shared" ca="1" si="392"/>
        <v>2593.249531648662</v>
      </c>
      <c r="AA1029">
        <f t="shared" ca="1" si="393"/>
        <v>482.07306851378365</v>
      </c>
      <c r="AB1029">
        <f t="shared" ca="1" si="394"/>
        <v>482.07910543722255</v>
      </c>
      <c r="AC1029">
        <f t="shared" ca="1" si="395"/>
        <v>0</v>
      </c>
      <c r="AD1029">
        <f ca="1">IF(V32="Supercritical",L1029,U1029)</f>
        <v>0.05</v>
      </c>
      <c r="AE1029">
        <f t="shared" ca="1" si="396"/>
        <v>632.1724999999999</v>
      </c>
      <c r="AF1029">
        <f t="shared" ca="1" si="397"/>
        <v>2593.249531648662</v>
      </c>
      <c r="AI1029">
        <v>0</v>
      </c>
      <c r="AJ1029">
        <v>0</v>
      </c>
      <c r="AK1029">
        <f t="shared" si="398"/>
        <v>0</v>
      </c>
      <c r="AL1029">
        <f t="shared" si="406"/>
        <v>0</v>
      </c>
      <c r="AM1029">
        <f t="shared" ca="1" si="399"/>
        <v>280.07692026646265</v>
      </c>
      <c r="AN1029" t="str">
        <f t="shared" ca="1" si="400"/>
        <v>Supercritical</v>
      </c>
      <c r="AO1029">
        <f ca="1">IF(V32="Supercritical",R1029,AA1029)</f>
        <v>482.07306851378365</v>
      </c>
    </row>
    <row r="1030" spans="1:41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174</v>
      </c>
      <c r="I1030">
        <v>2E-3</v>
      </c>
      <c r="J1030">
        <f t="shared" si="401"/>
        <v>1</v>
      </c>
      <c r="K1030">
        <f t="shared" si="402"/>
        <v>51</v>
      </c>
      <c r="L1030">
        <f t="shared" ca="1" si="403"/>
        <v>38818.12296762137</v>
      </c>
      <c r="M1030">
        <f t="shared" ca="1" si="381"/>
        <v>201854.23943163114</v>
      </c>
      <c r="N1030">
        <f t="shared" ca="1" si="382"/>
        <v>2.5998258662002347</v>
      </c>
      <c r="O1030">
        <f t="shared" ca="1" si="383"/>
        <v>2.5265756192984943E-4</v>
      </c>
      <c r="P1030">
        <f t="shared" ca="1" si="384"/>
        <v>39450.244967621373</v>
      </c>
      <c r="Q1030">
        <f t="shared" ca="1" si="385"/>
        <v>39450.244967624625</v>
      </c>
      <c r="R1030">
        <f t="shared" ca="1" si="386"/>
        <v>4.0177980751761828E-12</v>
      </c>
      <c r="S1030">
        <f t="shared" ca="1" si="404"/>
        <v>1.086956552171614E-3</v>
      </c>
      <c r="T1030">
        <f t="shared" ca="1" si="405"/>
        <v>0</v>
      </c>
      <c r="U1030">
        <f t="shared" ca="1" si="387"/>
        <v>0.05</v>
      </c>
      <c r="V1030">
        <f t="shared" ca="1" si="388"/>
        <v>0.26</v>
      </c>
      <c r="W1030">
        <f t="shared" ca="1" si="389"/>
        <v>4.9056603773584909E-2</v>
      </c>
      <c r="X1030">
        <f t="shared" ca="1" si="390"/>
        <v>196.15384615384616</v>
      </c>
      <c r="Y1030">
        <f t="shared" ca="1" si="391"/>
        <v>632.17199999999991</v>
      </c>
      <c r="Z1030">
        <f t="shared" ca="1" si="392"/>
        <v>2593.2490316486619</v>
      </c>
      <c r="AA1030">
        <f t="shared" ca="1" si="393"/>
        <v>482.07306851378365</v>
      </c>
      <c r="AB1030">
        <f t="shared" ca="1" si="394"/>
        <v>482.56117850572491</v>
      </c>
      <c r="AC1030">
        <f t="shared" ca="1" si="395"/>
        <v>0</v>
      </c>
      <c r="AD1030">
        <f ca="1">IF(V32="Supercritical",L1030,U1030)</f>
        <v>0.05</v>
      </c>
      <c r="AE1030">
        <f t="shared" ca="1" si="396"/>
        <v>632.17199999999991</v>
      </c>
      <c r="AF1030">
        <f t="shared" ca="1" si="397"/>
        <v>2593.2490316486619</v>
      </c>
      <c r="AI1030">
        <v>0</v>
      </c>
      <c r="AJ1030">
        <v>0</v>
      </c>
      <c r="AK1030">
        <f t="shared" si="398"/>
        <v>0</v>
      </c>
      <c r="AL1030">
        <f t="shared" si="406"/>
        <v>0</v>
      </c>
      <c r="AM1030">
        <f t="shared" ca="1" si="399"/>
        <v>280.07692026646265</v>
      </c>
      <c r="AN1030" t="str">
        <f t="shared" ca="1" si="400"/>
        <v>Supercritical</v>
      </c>
      <c r="AO1030">
        <f ca="1">IF(V32="Supercritical",R1030,AA1030)</f>
        <v>482.07306851378365</v>
      </c>
    </row>
    <row r="1031" spans="1:41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174</v>
      </c>
      <c r="I1031">
        <v>2E-3</v>
      </c>
      <c r="J1031">
        <f t="shared" si="401"/>
        <v>1.0009999999999764</v>
      </c>
      <c r="K1031">
        <f t="shared" si="402"/>
        <v>51</v>
      </c>
      <c r="L1031">
        <f t="shared" ca="1" si="403"/>
        <v>38818.12296762137</v>
      </c>
      <c r="M1031">
        <f t="shared" ca="1" si="381"/>
        <v>201854.23943163114</v>
      </c>
      <c r="N1031">
        <f t="shared" ca="1" si="382"/>
        <v>2.5998258662002347</v>
      </c>
      <c r="O1031">
        <f t="shared" ca="1" si="383"/>
        <v>2.5265756192984943E-4</v>
      </c>
      <c r="P1031">
        <f t="shared" ca="1" si="384"/>
        <v>39450.244467621371</v>
      </c>
      <c r="Q1031">
        <f t="shared" ca="1" si="385"/>
        <v>39450.244467624623</v>
      </c>
      <c r="R1031">
        <f t="shared" ca="1" si="386"/>
        <v>4.0177980751761828E-12</v>
      </c>
      <c r="S1031">
        <f t="shared" ca="1" si="404"/>
        <v>4.999999946448952E-4</v>
      </c>
      <c r="T1031">
        <f t="shared" ca="1" si="405"/>
        <v>1</v>
      </c>
      <c r="U1031">
        <f t="shared" ca="1" si="387"/>
        <v>0.05</v>
      </c>
      <c r="V1031">
        <f t="shared" ca="1" si="388"/>
        <v>0.26</v>
      </c>
      <c r="W1031">
        <f t="shared" ca="1" si="389"/>
        <v>4.9056603773584909E-2</v>
      </c>
      <c r="X1031">
        <f t="shared" ca="1" si="390"/>
        <v>196.15384615384616</v>
      </c>
      <c r="Y1031">
        <f t="shared" ca="1" si="391"/>
        <v>632.17149999999992</v>
      </c>
      <c r="Z1031">
        <f t="shared" ca="1" si="392"/>
        <v>2593.2485316486618</v>
      </c>
      <c r="AA1031">
        <f t="shared" ca="1" si="393"/>
        <v>482.07306851378365</v>
      </c>
      <c r="AB1031">
        <f t="shared" ca="1" si="394"/>
        <v>482.25887083179077</v>
      </c>
      <c r="AC1031">
        <f t="shared" ca="1" si="395"/>
        <v>0</v>
      </c>
      <c r="AD1031">
        <f ca="1">IF(V32="Supercritical",L1031,U1031)</f>
        <v>0.05</v>
      </c>
      <c r="AE1031">
        <f t="shared" ca="1" si="396"/>
        <v>632.17149999999992</v>
      </c>
      <c r="AF1031">
        <f t="shared" ca="1" si="397"/>
        <v>2593.2485316486618</v>
      </c>
      <c r="AI1031">
        <v>0</v>
      </c>
      <c r="AJ1031">
        <v>0</v>
      </c>
      <c r="AK1031">
        <f t="shared" si="398"/>
        <v>0</v>
      </c>
      <c r="AL1031">
        <f t="shared" si="406"/>
        <v>0</v>
      </c>
      <c r="AM1031">
        <f t="shared" ca="1" si="399"/>
        <v>280.07692026646265</v>
      </c>
      <c r="AN1031" t="str">
        <f t="shared" ca="1" si="400"/>
        <v>Supercritical</v>
      </c>
      <c r="AO1031">
        <f ca="1">IF(V32="Supercritical",R1031,AA1031)</f>
        <v>482.07306851378365</v>
      </c>
    </row>
    <row r="1032" spans="1:41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174</v>
      </c>
      <c r="I1032">
        <v>5.7000000000000002E-2</v>
      </c>
      <c r="J1032">
        <f t="shared" si="401"/>
        <v>1</v>
      </c>
      <c r="K1032">
        <f t="shared" si="402"/>
        <v>51</v>
      </c>
      <c r="L1032">
        <f t="shared" ca="1" si="403"/>
        <v>38818.12238066482</v>
      </c>
      <c r="M1032">
        <f t="shared" ca="1" si="381"/>
        <v>201854.23637945706</v>
      </c>
      <c r="N1032">
        <f t="shared" ca="1" si="382"/>
        <v>2.5998258661976017</v>
      </c>
      <c r="O1032">
        <f t="shared" ca="1" si="383"/>
        <v>2.5265756575020454E-4</v>
      </c>
      <c r="P1032">
        <f t="shared" ca="1" si="384"/>
        <v>39450.243380664819</v>
      </c>
      <c r="Q1032">
        <f t="shared" ca="1" si="385"/>
        <v>39450.243380668071</v>
      </c>
      <c r="R1032">
        <f t="shared" ca="1" si="386"/>
        <v>4.0177981966853183E-12</v>
      </c>
      <c r="S1032">
        <f t="shared" ca="1" si="404"/>
        <v>1.0869565448956564E-3</v>
      </c>
      <c r="T1032">
        <f t="shared" ca="1" si="405"/>
        <v>0</v>
      </c>
      <c r="U1032">
        <f t="shared" ca="1" si="387"/>
        <v>0.05</v>
      </c>
      <c r="V1032">
        <f t="shared" ca="1" si="388"/>
        <v>0.26</v>
      </c>
      <c r="W1032">
        <f t="shared" ca="1" si="389"/>
        <v>4.9056603773584909E-2</v>
      </c>
      <c r="X1032">
        <f t="shared" ca="1" si="390"/>
        <v>196.15384615384616</v>
      </c>
      <c r="Y1032">
        <f t="shared" ca="1" si="391"/>
        <v>632.17099999999994</v>
      </c>
      <c r="Z1032">
        <f t="shared" ca="1" si="392"/>
        <v>2593.2480316486622</v>
      </c>
      <c r="AA1032">
        <f t="shared" ca="1" si="393"/>
        <v>482.07306851378365</v>
      </c>
      <c r="AB1032">
        <f t="shared" ca="1" si="394"/>
        <v>481.77679776328796</v>
      </c>
      <c r="AC1032">
        <f t="shared" ca="1" si="395"/>
        <v>0</v>
      </c>
      <c r="AD1032">
        <f ca="1">IF(V32="Supercritical",L1032,U1032)</f>
        <v>0.05</v>
      </c>
      <c r="AE1032">
        <f t="shared" ca="1" si="396"/>
        <v>632.17099999999994</v>
      </c>
      <c r="AF1032">
        <f t="shared" ca="1" si="397"/>
        <v>2593.2480316486622</v>
      </c>
      <c r="AI1032">
        <v>0</v>
      </c>
      <c r="AJ1032">
        <v>0</v>
      </c>
      <c r="AK1032">
        <f t="shared" si="398"/>
        <v>0</v>
      </c>
      <c r="AL1032">
        <f t="shared" si="406"/>
        <v>0</v>
      </c>
      <c r="AM1032">
        <f t="shared" ca="1" si="399"/>
        <v>280.07692026646265</v>
      </c>
      <c r="AN1032" t="str">
        <f t="shared" ca="1" si="400"/>
        <v>Supercritical</v>
      </c>
      <c r="AO1032">
        <f ca="1">IF(V32="Supercritical",R1032,AA1032)</f>
        <v>482.07306851378365</v>
      </c>
    </row>
    <row r="1033" spans="1:41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174</v>
      </c>
      <c r="I1033">
        <v>5.7000000000000002E-2</v>
      </c>
      <c r="J1033">
        <f t="shared" si="401"/>
        <v>0.99900000000002365</v>
      </c>
      <c r="K1033">
        <f t="shared" si="402"/>
        <v>51</v>
      </c>
      <c r="L1033">
        <f t="shared" ca="1" si="403"/>
        <v>38818.12238066482</v>
      </c>
      <c r="M1033">
        <f t="shared" ca="1" si="381"/>
        <v>201854.23637945706</v>
      </c>
      <c r="N1033">
        <f t="shared" ca="1" si="382"/>
        <v>2.5998258661976017</v>
      </c>
      <c r="O1033">
        <f t="shared" ca="1" si="383"/>
        <v>2.5265756575020454E-4</v>
      </c>
      <c r="P1033">
        <f t="shared" ca="1" si="384"/>
        <v>39450.242880664817</v>
      </c>
      <c r="Q1033">
        <f t="shared" ca="1" si="385"/>
        <v>39450.242880668069</v>
      </c>
      <c r="R1033">
        <f t="shared" ca="1" si="386"/>
        <v>4.0177981966853183E-12</v>
      </c>
      <c r="S1033">
        <f t="shared" ca="1" si="404"/>
        <v>4.999999946448952E-4</v>
      </c>
      <c r="T1033">
        <f t="shared" ca="1" si="405"/>
        <v>1</v>
      </c>
      <c r="U1033">
        <f t="shared" ca="1" si="387"/>
        <v>0.05</v>
      </c>
      <c r="V1033">
        <f t="shared" ca="1" si="388"/>
        <v>0.26</v>
      </c>
      <c r="W1033">
        <f t="shared" ca="1" si="389"/>
        <v>4.9056603773584909E-2</v>
      </c>
      <c r="X1033">
        <f t="shared" ca="1" si="390"/>
        <v>196.15384615384616</v>
      </c>
      <c r="Y1033">
        <f t="shared" ca="1" si="391"/>
        <v>632.17049999999995</v>
      </c>
      <c r="Z1033">
        <f t="shared" ca="1" si="392"/>
        <v>2593.2475316486621</v>
      </c>
      <c r="AA1033">
        <f t="shared" ca="1" si="393"/>
        <v>482.07306851378365</v>
      </c>
      <c r="AB1033">
        <f t="shared" ca="1" si="394"/>
        <v>482.07256851378361</v>
      </c>
      <c r="AC1033">
        <f t="shared" ca="1" si="395"/>
        <v>0</v>
      </c>
      <c r="AD1033">
        <f ca="1">IF(V32="Supercritical",L1033,U1033)</f>
        <v>0.05</v>
      </c>
      <c r="AE1033">
        <f t="shared" ca="1" si="396"/>
        <v>632.17049999999995</v>
      </c>
      <c r="AF1033">
        <f t="shared" ca="1" si="397"/>
        <v>2593.2475316486621</v>
      </c>
      <c r="AI1033">
        <v>0</v>
      </c>
      <c r="AJ1033">
        <v>0</v>
      </c>
      <c r="AK1033">
        <f t="shared" si="398"/>
        <v>0</v>
      </c>
      <c r="AL1033">
        <f t="shared" si="406"/>
        <v>0</v>
      </c>
      <c r="AM1033">
        <f t="shared" ca="1" si="399"/>
        <v>280.07692026646265</v>
      </c>
      <c r="AN1033" t="str">
        <f t="shared" ca="1" si="400"/>
        <v>Supercritical</v>
      </c>
      <c r="AO1033">
        <f ca="1">IF(V32="Supercritical",R1033,AA1033)</f>
        <v>482.07306851378365</v>
      </c>
    </row>
    <row r="1034" spans="1:41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174</v>
      </c>
      <c r="I1034">
        <v>0</v>
      </c>
      <c r="J1034">
        <f t="shared" si="401"/>
        <v>1</v>
      </c>
      <c r="K1034">
        <f t="shared" si="402"/>
        <v>51</v>
      </c>
      <c r="L1034">
        <f t="shared" ca="1" si="403"/>
        <v>38818.121793708255</v>
      </c>
      <c r="M1034">
        <f t="shared" ca="1" si="381"/>
        <v>201854.23332728294</v>
      </c>
      <c r="N1034">
        <f t="shared" ca="1" si="382"/>
        <v>2.5998258661949691</v>
      </c>
      <c r="O1034">
        <f t="shared" ca="1" si="383"/>
        <v>2.5265756957055981E-4</v>
      </c>
      <c r="P1034">
        <f t="shared" ca="1" si="384"/>
        <v>39450.241793708257</v>
      </c>
      <c r="Q1034">
        <f t="shared" ca="1" si="385"/>
        <v>39450.24179371151</v>
      </c>
      <c r="R1034">
        <f t="shared" ca="1" si="386"/>
        <v>4.0177983181944595E-12</v>
      </c>
      <c r="S1034">
        <f t="shared" ca="1" si="404"/>
        <v>1.086956552171614E-3</v>
      </c>
      <c r="T1034">
        <f t="shared" ca="1" si="405"/>
        <v>0</v>
      </c>
      <c r="U1034">
        <f t="shared" ca="1" si="387"/>
        <v>0.05</v>
      </c>
      <c r="V1034">
        <f t="shared" ca="1" si="388"/>
        <v>0.26</v>
      </c>
      <c r="W1034">
        <f t="shared" ca="1" si="389"/>
        <v>4.9056603773584909E-2</v>
      </c>
      <c r="X1034">
        <f t="shared" ca="1" si="390"/>
        <v>196.15384615384616</v>
      </c>
      <c r="Y1034">
        <f t="shared" ca="1" si="391"/>
        <v>632.16999999999996</v>
      </c>
      <c r="Z1034">
        <f t="shared" ca="1" si="392"/>
        <v>2593.247031648662</v>
      </c>
      <c r="AA1034">
        <f t="shared" ca="1" si="393"/>
        <v>482.07306851378365</v>
      </c>
      <c r="AB1034">
        <f t="shared" ca="1" si="394"/>
        <v>482.07256851378406</v>
      </c>
      <c r="AC1034">
        <f t="shared" ca="1" si="395"/>
        <v>0</v>
      </c>
      <c r="AD1034">
        <f ca="1">IF(V32="Supercritical",L1034,U1034)</f>
        <v>0.05</v>
      </c>
      <c r="AE1034">
        <f t="shared" ca="1" si="396"/>
        <v>632.16999999999996</v>
      </c>
      <c r="AF1034">
        <f t="shared" ca="1" si="397"/>
        <v>2593.247031648662</v>
      </c>
      <c r="AI1034">
        <v>0</v>
      </c>
      <c r="AJ1034">
        <v>0</v>
      </c>
      <c r="AK1034">
        <f t="shared" si="398"/>
        <v>0</v>
      </c>
      <c r="AL1034">
        <f t="shared" si="406"/>
        <v>0</v>
      </c>
      <c r="AM1034">
        <f t="shared" ca="1" si="399"/>
        <v>280.07692026646265</v>
      </c>
      <c r="AN1034" t="str">
        <f t="shared" ca="1" si="400"/>
        <v>Supercritical</v>
      </c>
      <c r="AO1034">
        <f ca="1">IF(V32="Supercritical",R1034,AA1034)</f>
        <v>482.07306851378365</v>
      </c>
    </row>
    <row r="1035" spans="1:41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174</v>
      </c>
      <c r="I1035">
        <v>0</v>
      </c>
      <c r="J1035">
        <f t="shared" si="401"/>
        <v>1</v>
      </c>
      <c r="K1035">
        <f t="shared" si="402"/>
        <v>51</v>
      </c>
      <c r="L1035">
        <f t="shared" ca="1" si="403"/>
        <v>38818.121793708255</v>
      </c>
      <c r="M1035">
        <f t="shared" ca="1" si="381"/>
        <v>201854.23332728294</v>
      </c>
      <c r="N1035">
        <f t="shared" ca="1" si="382"/>
        <v>2.5998258661949691</v>
      </c>
      <c r="O1035">
        <f t="shared" ca="1" si="383"/>
        <v>2.5265756957055981E-4</v>
      </c>
      <c r="P1035">
        <f t="shared" ca="1" si="384"/>
        <v>39450.241293708255</v>
      </c>
      <c r="Q1035">
        <f t="shared" ca="1" si="385"/>
        <v>39450.241293711508</v>
      </c>
      <c r="R1035">
        <f t="shared" ca="1" si="386"/>
        <v>4.0177983181944595E-12</v>
      </c>
      <c r="S1035">
        <f t="shared" ca="1" si="404"/>
        <v>4.999999946448952E-4</v>
      </c>
      <c r="T1035">
        <f t="shared" ca="1" si="405"/>
        <v>1</v>
      </c>
      <c r="U1035">
        <f t="shared" ca="1" si="387"/>
        <v>0.05</v>
      </c>
      <c r="V1035">
        <f t="shared" ca="1" si="388"/>
        <v>0.26</v>
      </c>
      <c r="W1035">
        <f t="shared" ca="1" si="389"/>
        <v>4.9056603773584909E-2</v>
      </c>
      <c r="X1035">
        <f t="shared" ca="1" si="390"/>
        <v>196.15384615384616</v>
      </c>
      <c r="Y1035">
        <f t="shared" ca="1" si="391"/>
        <v>632.16949999999997</v>
      </c>
      <c r="Z1035">
        <f t="shared" ca="1" si="392"/>
        <v>2593.2465316486623</v>
      </c>
      <c r="AA1035">
        <f t="shared" ca="1" si="393"/>
        <v>482.07306851378365</v>
      </c>
      <c r="AB1035">
        <f t="shared" ca="1" si="394"/>
        <v>482.25887083179032</v>
      </c>
      <c r="AC1035">
        <f t="shared" ca="1" si="395"/>
        <v>0</v>
      </c>
      <c r="AD1035">
        <f ca="1">IF(V32="Supercritical",L1035,U1035)</f>
        <v>0.05</v>
      </c>
      <c r="AE1035">
        <f t="shared" ca="1" si="396"/>
        <v>632.16949999999997</v>
      </c>
      <c r="AF1035">
        <f t="shared" ca="1" si="397"/>
        <v>2593.2465316486623</v>
      </c>
      <c r="AI1035">
        <v>0</v>
      </c>
      <c r="AJ1035">
        <v>0</v>
      </c>
      <c r="AK1035">
        <f t="shared" si="398"/>
        <v>0</v>
      </c>
      <c r="AL1035">
        <f t="shared" si="406"/>
        <v>0</v>
      </c>
      <c r="AM1035">
        <f t="shared" ca="1" si="399"/>
        <v>280.07692026646265</v>
      </c>
      <c r="AN1035" t="str">
        <f t="shared" ca="1" si="400"/>
        <v>Supercritical</v>
      </c>
      <c r="AO1035">
        <f ca="1">IF(V32="Supercritical",R1035,AA1035)</f>
        <v>482.07306851378365</v>
      </c>
    </row>
    <row r="1036" spans="1:41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174</v>
      </c>
      <c r="I1036">
        <v>5.7000000000000002E-2</v>
      </c>
      <c r="J1036">
        <f t="shared" si="401"/>
        <v>1</v>
      </c>
      <c r="K1036">
        <f t="shared" si="402"/>
        <v>51</v>
      </c>
      <c r="L1036">
        <f t="shared" ca="1" si="403"/>
        <v>38818.121206751704</v>
      </c>
      <c r="M1036">
        <f t="shared" ca="1" si="381"/>
        <v>201854.23027510886</v>
      </c>
      <c r="N1036">
        <f t="shared" ca="1" si="382"/>
        <v>2.5998258661923357</v>
      </c>
      <c r="O1036">
        <f t="shared" ca="1" si="383"/>
        <v>2.5265757339091514E-4</v>
      </c>
      <c r="P1036">
        <f t="shared" ca="1" si="384"/>
        <v>39450.240206751703</v>
      </c>
      <c r="Q1036">
        <f t="shared" ca="1" si="385"/>
        <v>39450.240206754956</v>
      </c>
      <c r="R1036">
        <f t="shared" ca="1" si="386"/>
        <v>4.0177984397036063E-12</v>
      </c>
      <c r="S1036">
        <f t="shared" ca="1" si="404"/>
        <v>1.0869565448956564E-3</v>
      </c>
      <c r="T1036">
        <f t="shared" ca="1" si="405"/>
        <v>0</v>
      </c>
      <c r="U1036">
        <f t="shared" ca="1" si="387"/>
        <v>0.05</v>
      </c>
      <c r="V1036">
        <f t="shared" ca="1" si="388"/>
        <v>0.26</v>
      </c>
      <c r="W1036">
        <f t="shared" ca="1" si="389"/>
        <v>4.9056603773584909E-2</v>
      </c>
      <c r="X1036">
        <f t="shared" ca="1" si="390"/>
        <v>196.15384615384616</v>
      </c>
      <c r="Y1036">
        <f t="shared" ca="1" si="391"/>
        <v>632.16899999999998</v>
      </c>
      <c r="Z1036">
        <f t="shared" ca="1" si="392"/>
        <v>2593.2460316486622</v>
      </c>
      <c r="AA1036">
        <f t="shared" ca="1" si="393"/>
        <v>482.07306851378365</v>
      </c>
      <c r="AB1036">
        <f t="shared" ca="1" si="394"/>
        <v>482.25887083179032</v>
      </c>
      <c r="AC1036">
        <f t="shared" ca="1" si="395"/>
        <v>0</v>
      </c>
      <c r="AD1036">
        <f ca="1">IF(V32="Supercritical",L1036,U1036)</f>
        <v>0.05</v>
      </c>
      <c r="AE1036">
        <f t="shared" ca="1" si="396"/>
        <v>632.16899999999998</v>
      </c>
      <c r="AF1036">
        <f t="shared" ca="1" si="397"/>
        <v>2593.2460316486622</v>
      </c>
      <c r="AI1036">
        <v>0</v>
      </c>
      <c r="AJ1036">
        <v>0</v>
      </c>
      <c r="AK1036">
        <f t="shared" si="398"/>
        <v>0</v>
      </c>
      <c r="AL1036">
        <f t="shared" si="406"/>
        <v>0</v>
      </c>
      <c r="AM1036">
        <f t="shared" ca="1" si="399"/>
        <v>280.07692026646265</v>
      </c>
      <c r="AN1036" t="str">
        <f t="shared" ca="1" si="400"/>
        <v>Supercritical</v>
      </c>
      <c r="AO1036">
        <f ca="1">IF(V32="Supercritical",R1036,AA1036)</f>
        <v>482.07306851378365</v>
      </c>
    </row>
    <row r="1037" spans="1:41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174</v>
      </c>
      <c r="I1037">
        <v>5.7000000000000002E-2</v>
      </c>
      <c r="J1037">
        <f t="shared" si="401"/>
        <v>1</v>
      </c>
      <c r="K1037">
        <f t="shared" si="402"/>
        <v>51</v>
      </c>
      <c r="L1037">
        <f t="shared" ca="1" si="403"/>
        <v>38818.121206751704</v>
      </c>
      <c r="M1037">
        <f t="shared" ca="1" si="381"/>
        <v>201854.23027510886</v>
      </c>
      <c r="N1037">
        <f t="shared" ca="1" si="382"/>
        <v>2.5998258661923357</v>
      </c>
      <c r="O1037">
        <f t="shared" ca="1" si="383"/>
        <v>2.5265757339091514E-4</v>
      </c>
      <c r="P1037">
        <f t="shared" ca="1" si="384"/>
        <v>39450.239706751701</v>
      </c>
      <c r="Q1037">
        <f t="shared" ca="1" si="385"/>
        <v>39450.239706754954</v>
      </c>
      <c r="R1037">
        <f t="shared" ca="1" si="386"/>
        <v>4.0177984397036063E-12</v>
      </c>
      <c r="S1037">
        <f t="shared" ca="1" si="404"/>
        <v>4.999999946448952E-4</v>
      </c>
      <c r="T1037">
        <f t="shared" ca="1" si="405"/>
        <v>1</v>
      </c>
      <c r="U1037">
        <f t="shared" ca="1" si="387"/>
        <v>0.05</v>
      </c>
      <c r="V1037">
        <f t="shared" ca="1" si="388"/>
        <v>0.26</v>
      </c>
      <c r="W1037">
        <f t="shared" ca="1" si="389"/>
        <v>4.9056603773584909E-2</v>
      </c>
      <c r="X1037">
        <f t="shared" ca="1" si="390"/>
        <v>196.15384615384616</v>
      </c>
      <c r="Y1037">
        <f t="shared" ca="1" si="391"/>
        <v>632.16849999999999</v>
      </c>
      <c r="Z1037">
        <f t="shared" ca="1" si="392"/>
        <v>2593.2455316486621</v>
      </c>
      <c r="AA1037">
        <f t="shared" ca="1" si="393"/>
        <v>482.07306851378365</v>
      </c>
      <c r="AB1037">
        <f t="shared" ca="1" si="394"/>
        <v>482.07256851378361</v>
      </c>
      <c r="AC1037">
        <f t="shared" ca="1" si="395"/>
        <v>0</v>
      </c>
      <c r="AD1037">
        <f ca="1">IF(V32="Supercritical",L1037,U1037)</f>
        <v>0.05</v>
      </c>
      <c r="AE1037">
        <f t="shared" ca="1" si="396"/>
        <v>632.16849999999999</v>
      </c>
      <c r="AF1037">
        <f t="shared" ca="1" si="397"/>
        <v>2593.2455316486621</v>
      </c>
      <c r="AI1037">
        <v>0</v>
      </c>
      <c r="AJ1037">
        <v>0</v>
      </c>
      <c r="AK1037">
        <f t="shared" si="398"/>
        <v>0</v>
      </c>
      <c r="AL1037">
        <f t="shared" si="406"/>
        <v>0</v>
      </c>
      <c r="AM1037">
        <f t="shared" ca="1" si="399"/>
        <v>280.07692026646265</v>
      </c>
      <c r="AN1037" t="str">
        <f t="shared" ca="1" si="400"/>
        <v>Supercritical</v>
      </c>
      <c r="AO1037">
        <f ca="1">IF(V32="Supercritical",R1037,AA1037)</f>
        <v>482.07306851378365</v>
      </c>
    </row>
    <row r="1038" spans="1:41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174</v>
      </c>
      <c r="I1038">
        <v>0</v>
      </c>
      <c r="J1038">
        <f t="shared" si="401"/>
        <v>1</v>
      </c>
      <c r="K1038">
        <f t="shared" si="402"/>
        <v>51</v>
      </c>
      <c r="L1038">
        <f t="shared" ca="1" si="403"/>
        <v>38818.12061979514</v>
      </c>
      <c r="M1038">
        <f t="shared" ca="1" si="381"/>
        <v>201854.22722293474</v>
      </c>
      <c r="N1038">
        <f t="shared" ca="1" si="382"/>
        <v>2.5998258661897031</v>
      </c>
      <c r="O1038">
        <f t="shared" ca="1" si="383"/>
        <v>2.5265757721127063E-4</v>
      </c>
      <c r="P1038">
        <f t="shared" ca="1" si="384"/>
        <v>39450.238619795142</v>
      </c>
      <c r="Q1038">
        <f t="shared" ca="1" si="385"/>
        <v>39450.238619798394</v>
      </c>
      <c r="R1038">
        <f t="shared" ca="1" si="386"/>
        <v>4.017798561212758E-12</v>
      </c>
      <c r="S1038">
        <f t="shared" ca="1" si="404"/>
        <v>1.086956552171614E-3</v>
      </c>
      <c r="T1038">
        <f t="shared" ca="1" si="405"/>
        <v>0</v>
      </c>
      <c r="U1038">
        <f t="shared" ca="1" si="387"/>
        <v>0.05</v>
      </c>
      <c r="V1038">
        <f t="shared" ca="1" si="388"/>
        <v>0.26</v>
      </c>
      <c r="W1038">
        <f t="shared" ca="1" si="389"/>
        <v>4.9056603773584909E-2</v>
      </c>
      <c r="X1038">
        <f t="shared" ca="1" si="390"/>
        <v>196.15384615384616</v>
      </c>
      <c r="Y1038">
        <f t="shared" ca="1" si="391"/>
        <v>632.16800000000001</v>
      </c>
      <c r="Z1038">
        <f t="shared" ca="1" si="392"/>
        <v>2593.245031648662</v>
      </c>
      <c r="AA1038">
        <f t="shared" ca="1" si="393"/>
        <v>482.07306851378365</v>
      </c>
      <c r="AB1038">
        <f t="shared" ca="1" si="394"/>
        <v>482.07910543722255</v>
      </c>
      <c r="AC1038">
        <f t="shared" ca="1" si="395"/>
        <v>0</v>
      </c>
      <c r="AD1038">
        <f ca="1">IF(V32="Supercritical",L1038,U1038)</f>
        <v>0.05</v>
      </c>
      <c r="AE1038">
        <f t="shared" ca="1" si="396"/>
        <v>632.16800000000001</v>
      </c>
      <c r="AF1038">
        <f t="shared" ca="1" si="397"/>
        <v>2593.245031648662</v>
      </c>
      <c r="AI1038">
        <v>0</v>
      </c>
      <c r="AJ1038">
        <v>0</v>
      </c>
      <c r="AK1038">
        <f t="shared" si="398"/>
        <v>0</v>
      </c>
      <c r="AL1038">
        <f t="shared" si="406"/>
        <v>0</v>
      </c>
      <c r="AM1038">
        <f t="shared" ca="1" si="399"/>
        <v>280.07692026646265</v>
      </c>
      <c r="AN1038" t="str">
        <f t="shared" ca="1" si="400"/>
        <v>Supercritical</v>
      </c>
      <c r="AO1038">
        <f ca="1">IF(V32="Supercritical",R1038,AA1038)</f>
        <v>482.07306851378365</v>
      </c>
    </row>
    <row r="1039" spans="1:41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174</v>
      </c>
      <c r="I1039">
        <v>2E-3</v>
      </c>
      <c r="J1039">
        <f t="shared" si="401"/>
        <v>1</v>
      </c>
      <c r="K1039">
        <f t="shared" si="402"/>
        <v>51</v>
      </c>
      <c r="L1039">
        <f t="shared" ca="1" si="403"/>
        <v>38818.12061979514</v>
      </c>
      <c r="M1039">
        <f t="shared" ca="1" si="381"/>
        <v>201854.22722293474</v>
      </c>
      <c r="N1039">
        <f t="shared" ca="1" si="382"/>
        <v>2.5998258661897031</v>
      </c>
      <c r="O1039">
        <f t="shared" ca="1" si="383"/>
        <v>2.5265757721127063E-4</v>
      </c>
      <c r="P1039">
        <f t="shared" ca="1" si="384"/>
        <v>39450.23811979514</v>
      </c>
      <c r="Q1039">
        <f t="shared" ca="1" si="385"/>
        <v>39450.238119798392</v>
      </c>
      <c r="R1039">
        <f t="shared" ca="1" si="386"/>
        <v>4.017798561212758E-12</v>
      </c>
      <c r="S1039">
        <f t="shared" ca="1" si="404"/>
        <v>4.999999946448952E-4</v>
      </c>
      <c r="T1039">
        <f t="shared" ca="1" si="405"/>
        <v>1</v>
      </c>
      <c r="U1039">
        <f t="shared" ca="1" si="387"/>
        <v>0.05</v>
      </c>
      <c r="V1039">
        <f t="shared" ca="1" si="388"/>
        <v>0.26</v>
      </c>
      <c r="W1039">
        <f t="shared" ca="1" si="389"/>
        <v>4.9056603773584909E-2</v>
      </c>
      <c r="X1039">
        <f t="shared" ca="1" si="390"/>
        <v>196.15384615384616</v>
      </c>
      <c r="Y1039">
        <f t="shared" ca="1" si="391"/>
        <v>632.1674999999999</v>
      </c>
      <c r="Z1039">
        <f t="shared" ca="1" si="392"/>
        <v>2593.2445316486619</v>
      </c>
      <c r="AA1039">
        <f t="shared" ca="1" si="393"/>
        <v>482.07306851378365</v>
      </c>
      <c r="AB1039">
        <f t="shared" ca="1" si="394"/>
        <v>482.75074928545064</v>
      </c>
      <c r="AC1039">
        <f t="shared" ca="1" si="395"/>
        <v>0</v>
      </c>
      <c r="AD1039">
        <f ca="1">IF(V32="Supercritical",L1039,U1039)</f>
        <v>0.05</v>
      </c>
      <c r="AE1039">
        <f t="shared" ca="1" si="396"/>
        <v>632.1674999999999</v>
      </c>
      <c r="AF1039">
        <f t="shared" ca="1" si="397"/>
        <v>2593.2445316486619</v>
      </c>
      <c r="AI1039">
        <v>0</v>
      </c>
      <c r="AJ1039">
        <v>0</v>
      </c>
      <c r="AK1039">
        <f t="shared" si="398"/>
        <v>0</v>
      </c>
      <c r="AL1039">
        <f t="shared" si="406"/>
        <v>0</v>
      </c>
      <c r="AM1039">
        <f t="shared" ca="1" si="399"/>
        <v>280.07692026646265</v>
      </c>
      <c r="AN1039" t="str">
        <f t="shared" ca="1" si="400"/>
        <v>Supercritical</v>
      </c>
      <c r="AO1039">
        <f ca="1">IF(V32="Supercritical",R1039,AA1039)</f>
        <v>482.07306851378365</v>
      </c>
    </row>
    <row r="1040" spans="1:41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174</v>
      </c>
      <c r="I1040">
        <v>0.06</v>
      </c>
      <c r="J1040">
        <f t="shared" si="401"/>
        <v>1.0009999999999764</v>
      </c>
      <c r="K1040">
        <f t="shared" si="402"/>
        <v>51</v>
      </c>
      <c r="L1040">
        <f t="shared" ca="1" si="403"/>
        <v>38818.120032838589</v>
      </c>
      <c r="M1040">
        <f t="shared" ca="1" si="381"/>
        <v>201854.22417076066</v>
      </c>
      <c r="N1040">
        <f t="shared" ca="1" si="382"/>
        <v>2.5998258661870701</v>
      </c>
      <c r="O1040">
        <f t="shared" ca="1" si="383"/>
        <v>2.5265758103162618E-4</v>
      </c>
      <c r="P1040">
        <f t="shared" ca="1" si="384"/>
        <v>39450.237032838588</v>
      </c>
      <c r="Q1040">
        <f t="shared" ca="1" si="385"/>
        <v>39450.23703284184</v>
      </c>
      <c r="R1040">
        <f t="shared" ca="1" si="386"/>
        <v>4.0177986827219145E-12</v>
      </c>
      <c r="S1040">
        <f t="shared" ca="1" si="404"/>
        <v>1.0869565448956564E-3</v>
      </c>
      <c r="T1040">
        <f t="shared" ca="1" si="405"/>
        <v>0</v>
      </c>
      <c r="U1040">
        <f t="shared" ca="1" si="387"/>
        <v>0.05</v>
      </c>
      <c r="V1040">
        <f t="shared" ca="1" si="388"/>
        <v>0.26</v>
      </c>
      <c r="W1040">
        <f t="shared" ca="1" si="389"/>
        <v>4.9056603773584909E-2</v>
      </c>
      <c r="X1040">
        <f t="shared" ca="1" si="390"/>
        <v>196.15384615384616</v>
      </c>
      <c r="Y1040">
        <f t="shared" ca="1" si="391"/>
        <v>632.16699999999992</v>
      </c>
      <c r="Z1040">
        <f t="shared" ca="1" si="392"/>
        <v>2593.2440316486618</v>
      </c>
      <c r="AA1040">
        <f t="shared" ca="1" si="393"/>
        <v>482.07306851378365</v>
      </c>
      <c r="AB1040">
        <f t="shared" ca="1" si="394"/>
        <v>482.25887083179077</v>
      </c>
      <c r="AC1040">
        <f t="shared" ca="1" si="395"/>
        <v>0</v>
      </c>
      <c r="AD1040">
        <f ca="1">IF(V32="Supercritical",L1040,U1040)</f>
        <v>0.05</v>
      </c>
      <c r="AE1040">
        <f t="shared" ca="1" si="396"/>
        <v>632.16699999999992</v>
      </c>
      <c r="AF1040">
        <f t="shared" ca="1" si="397"/>
        <v>2593.2440316486618</v>
      </c>
      <c r="AI1040">
        <v>0</v>
      </c>
      <c r="AJ1040">
        <v>0</v>
      </c>
      <c r="AK1040">
        <f t="shared" si="398"/>
        <v>0</v>
      </c>
      <c r="AL1040">
        <f t="shared" si="406"/>
        <v>0</v>
      </c>
      <c r="AM1040">
        <f t="shared" ca="1" si="399"/>
        <v>280.07692026646265</v>
      </c>
      <c r="AN1040" t="str">
        <f t="shared" ca="1" si="400"/>
        <v>Supercritical</v>
      </c>
      <c r="AO1040">
        <f ca="1">IF(V32="Supercritical",R1040,AA1040)</f>
        <v>482.07306851378365</v>
      </c>
    </row>
    <row r="1041" spans="1:41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174</v>
      </c>
      <c r="I1041">
        <v>5.7000000000000002E-2</v>
      </c>
      <c r="J1041">
        <f t="shared" si="401"/>
        <v>1</v>
      </c>
      <c r="K1041">
        <f t="shared" si="402"/>
        <v>51</v>
      </c>
      <c r="L1041">
        <f t="shared" ca="1" si="403"/>
        <v>38818.120032838589</v>
      </c>
      <c r="M1041">
        <f t="shared" ca="1" si="381"/>
        <v>201854.22417076066</v>
      </c>
      <c r="N1041">
        <f t="shared" ca="1" si="382"/>
        <v>2.5998258661870701</v>
      </c>
      <c r="O1041">
        <f t="shared" ca="1" si="383"/>
        <v>2.5265758103162618E-4</v>
      </c>
      <c r="P1041">
        <f t="shared" ca="1" si="384"/>
        <v>39450.236532838586</v>
      </c>
      <c r="Q1041">
        <f t="shared" ca="1" si="385"/>
        <v>39450.236532841838</v>
      </c>
      <c r="R1041">
        <f t="shared" ca="1" si="386"/>
        <v>4.0177986827219145E-12</v>
      </c>
      <c r="S1041">
        <f t="shared" ca="1" si="404"/>
        <v>4.999999946448952E-4</v>
      </c>
      <c r="T1041">
        <f t="shared" ca="1" si="405"/>
        <v>1</v>
      </c>
      <c r="U1041">
        <f t="shared" ca="1" si="387"/>
        <v>0.05</v>
      </c>
      <c r="V1041">
        <f t="shared" ca="1" si="388"/>
        <v>0.26</v>
      </c>
      <c r="W1041">
        <f t="shared" ca="1" si="389"/>
        <v>4.9056603773584909E-2</v>
      </c>
      <c r="X1041">
        <f t="shared" ca="1" si="390"/>
        <v>196.15384615384616</v>
      </c>
      <c r="Y1041">
        <f t="shared" ca="1" si="391"/>
        <v>632.16649999999993</v>
      </c>
      <c r="Z1041">
        <f t="shared" ca="1" si="392"/>
        <v>2593.2435316486622</v>
      </c>
      <c r="AA1041">
        <f t="shared" ca="1" si="393"/>
        <v>482.07306851378365</v>
      </c>
      <c r="AB1041">
        <f t="shared" ca="1" si="394"/>
        <v>482.07256851378361</v>
      </c>
      <c r="AC1041">
        <f t="shared" ca="1" si="395"/>
        <v>0</v>
      </c>
      <c r="AD1041">
        <f ca="1">IF(V32="Supercritical",L1041,U1041)</f>
        <v>0.05</v>
      </c>
      <c r="AE1041">
        <f t="shared" ca="1" si="396"/>
        <v>632.16649999999993</v>
      </c>
      <c r="AF1041">
        <f t="shared" ca="1" si="397"/>
        <v>2593.2435316486622</v>
      </c>
      <c r="AI1041">
        <v>0</v>
      </c>
      <c r="AJ1041">
        <v>0</v>
      </c>
      <c r="AK1041">
        <f t="shared" si="398"/>
        <v>0</v>
      </c>
      <c r="AL1041">
        <f t="shared" si="406"/>
        <v>0</v>
      </c>
      <c r="AM1041">
        <f t="shared" ca="1" si="399"/>
        <v>280.07692026646265</v>
      </c>
      <c r="AN1041" t="str">
        <f t="shared" ca="1" si="400"/>
        <v>Supercritical</v>
      </c>
      <c r="AO1041">
        <f ca="1">IF(V32="Supercritical",R1041,AA1041)</f>
        <v>482.07306851378365</v>
      </c>
    </row>
    <row r="1042" spans="1:41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174</v>
      </c>
      <c r="I1042">
        <v>0</v>
      </c>
      <c r="J1042">
        <f t="shared" si="401"/>
        <v>1</v>
      </c>
      <c r="K1042">
        <f t="shared" si="402"/>
        <v>51</v>
      </c>
      <c r="L1042">
        <f t="shared" ca="1" si="403"/>
        <v>38818.119445882025</v>
      </c>
      <c r="M1042">
        <f t="shared" ca="1" si="381"/>
        <v>201854.22111858655</v>
      </c>
      <c r="N1042">
        <f t="shared" ca="1" si="382"/>
        <v>2.5998258661844376</v>
      </c>
      <c r="O1042">
        <f t="shared" ca="1" si="383"/>
        <v>2.5265758485198194E-4</v>
      </c>
      <c r="P1042">
        <f t="shared" ca="1" si="384"/>
        <v>39450.235445882026</v>
      </c>
      <c r="Q1042">
        <f t="shared" ca="1" si="385"/>
        <v>39450.235445885279</v>
      </c>
      <c r="R1042">
        <f t="shared" ca="1" si="386"/>
        <v>4.0177988042310783E-12</v>
      </c>
      <c r="S1042">
        <f t="shared" ca="1" si="404"/>
        <v>1.086956552171614E-3</v>
      </c>
      <c r="T1042">
        <f t="shared" ca="1" si="405"/>
        <v>0</v>
      </c>
      <c r="U1042">
        <f t="shared" ca="1" si="387"/>
        <v>0.05</v>
      </c>
      <c r="V1042">
        <f t="shared" ca="1" si="388"/>
        <v>0.26</v>
      </c>
      <c r="W1042">
        <f t="shared" ca="1" si="389"/>
        <v>4.9056603773584909E-2</v>
      </c>
      <c r="X1042">
        <f t="shared" ca="1" si="390"/>
        <v>196.15384615384616</v>
      </c>
      <c r="Y1042">
        <f t="shared" ca="1" si="391"/>
        <v>632.16599999999994</v>
      </c>
      <c r="Z1042">
        <f t="shared" ca="1" si="392"/>
        <v>2593.2430316486621</v>
      </c>
      <c r="AA1042">
        <f t="shared" ca="1" si="393"/>
        <v>482.07306851378365</v>
      </c>
      <c r="AB1042">
        <f t="shared" ca="1" si="394"/>
        <v>481.77679776328796</v>
      </c>
      <c r="AC1042">
        <f t="shared" ca="1" si="395"/>
        <v>0</v>
      </c>
      <c r="AD1042">
        <f ca="1">IF(V32="Supercritical",L1042,U1042)</f>
        <v>0.05</v>
      </c>
      <c r="AE1042">
        <f t="shared" ca="1" si="396"/>
        <v>632.16599999999994</v>
      </c>
      <c r="AF1042">
        <f t="shared" ca="1" si="397"/>
        <v>2593.2430316486621</v>
      </c>
      <c r="AI1042">
        <v>0</v>
      </c>
      <c r="AJ1042">
        <v>0</v>
      </c>
      <c r="AK1042">
        <f t="shared" si="398"/>
        <v>0</v>
      </c>
      <c r="AL1042">
        <f t="shared" si="406"/>
        <v>0</v>
      </c>
      <c r="AM1042">
        <f t="shared" ca="1" si="399"/>
        <v>280.07692026646265</v>
      </c>
      <c r="AN1042" t="str">
        <f t="shared" ca="1" si="400"/>
        <v>Supercritical</v>
      </c>
      <c r="AO1042">
        <f ca="1">IF(V32="Supercritical",R1042,AA1042)</f>
        <v>482.07306851378365</v>
      </c>
    </row>
    <row r="1043" spans="1:41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174</v>
      </c>
      <c r="I1043">
        <v>5.7000000000000002E-2</v>
      </c>
      <c r="J1043">
        <f t="shared" si="401"/>
        <v>0.99900000000002365</v>
      </c>
      <c r="K1043">
        <f t="shared" si="402"/>
        <v>51</v>
      </c>
      <c r="L1043">
        <f t="shared" ca="1" si="403"/>
        <v>38818.119445882025</v>
      </c>
      <c r="M1043">
        <f t="shared" ca="1" si="381"/>
        <v>201854.22111858655</v>
      </c>
      <c r="N1043">
        <f t="shared" ca="1" si="382"/>
        <v>2.5998258661844376</v>
      </c>
      <c r="O1043">
        <f t="shared" ca="1" si="383"/>
        <v>2.5265758485198194E-4</v>
      </c>
      <c r="P1043">
        <f t="shared" ca="1" si="384"/>
        <v>39450.234945882024</v>
      </c>
      <c r="Q1043">
        <f t="shared" ca="1" si="385"/>
        <v>39450.234945885277</v>
      </c>
      <c r="R1043">
        <f t="shared" ca="1" si="386"/>
        <v>4.0177988042310783E-12</v>
      </c>
      <c r="S1043">
        <f t="shared" ca="1" si="404"/>
        <v>4.999999946448952E-4</v>
      </c>
      <c r="T1043">
        <f t="shared" ca="1" si="405"/>
        <v>1</v>
      </c>
      <c r="U1043">
        <f t="shared" ca="1" si="387"/>
        <v>0.05</v>
      </c>
      <c r="V1043">
        <f t="shared" ca="1" si="388"/>
        <v>0.26</v>
      </c>
      <c r="W1043">
        <f t="shared" ca="1" si="389"/>
        <v>4.9056603773584909E-2</v>
      </c>
      <c r="X1043">
        <f t="shared" ca="1" si="390"/>
        <v>196.15384615384616</v>
      </c>
      <c r="Y1043">
        <f t="shared" ca="1" si="391"/>
        <v>632.16549999999995</v>
      </c>
      <c r="Z1043">
        <f t="shared" ca="1" si="392"/>
        <v>2593.242531648662</v>
      </c>
      <c r="AA1043">
        <f t="shared" ca="1" si="393"/>
        <v>482.07306851378365</v>
      </c>
      <c r="AB1043">
        <f t="shared" ca="1" si="394"/>
        <v>482.25887083179077</v>
      </c>
      <c r="AC1043">
        <f t="shared" ca="1" si="395"/>
        <v>0</v>
      </c>
      <c r="AD1043">
        <f ca="1">IF(V32="Supercritical",L1043,U1043)</f>
        <v>0.05</v>
      </c>
      <c r="AE1043">
        <f t="shared" ca="1" si="396"/>
        <v>632.16549999999995</v>
      </c>
      <c r="AF1043">
        <f t="shared" ca="1" si="397"/>
        <v>2593.242531648662</v>
      </c>
      <c r="AI1043">
        <v>0</v>
      </c>
      <c r="AJ1043">
        <v>0</v>
      </c>
      <c r="AK1043">
        <f t="shared" si="398"/>
        <v>0</v>
      </c>
      <c r="AL1043">
        <f t="shared" si="406"/>
        <v>0</v>
      </c>
      <c r="AM1043">
        <f t="shared" ca="1" si="399"/>
        <v>280.07692026646265</v>
      </c>
      <c r="AN1043" t="str">
        <f t="shared" ca="1" si="400"/>
        <v>Supercritical</v>
      </c>
      <c r="AO1043">
        <f ca="1">IF(V32="Supercritical",R1043,AA1043)</f>
        <v>482.07306851378365</v>
      </c>
    </row>
    <row r="1044" spans="1:41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174</v>
      </c>
      <c r="I1044">
        <v>5.7000000000000002E-2</v>
      </c>
      <c r="J1044">
        <f t="shared" si="401"/>
        <v>1</v>
      </c>
      <c r="K1044">
        <f t="shared" si="402"/>
        <v>51</v>
      </c>
      <c r="L1044">
        <f t="shared" ca="1" si="403"/>
        <v>38818.118858925474</v>
      </c>
      <c r="M1044">
        <f t="shared" ca="1" si="381"/>
        <v>201854.21806641246</v>
      </c>
      <c r="N1044">
        <f t="shared" ca="1" si="382"/>
        <v>2.5998258661818046</v>
      </c>
      <c r="O1044">
        <f t="shared" ca="1" si="383"/>
        <v>2.526575886723377E-4</v>
      </c>
      <c r="P1044">
        <f t="shared" ca="1" si="384"/>
        <v>39450.233858925472</v>
      </c>
      <c r="Q1044">
        <f t="shared" ca="1" si="385"/>
        <v>39450.233858928725</v>
      </c>
      <c r="R1044">
        <f t="shared" ca="1" si="386"/>
        <v>4.0177989257402454E-12</v>
      </c>
      <c r="S1044">
        <f t="shared" ca="1" si="404"/>
        <v>1.0869565448956564E-3</v>
      </c>
      <c r="T1044">
        <f t="shared" ca="1" si="405"/>
        <v>0</v>
      </c>
      <c r="U1044">
        <f t="shared" ca="1" si="387"/>
        <v>0.05</v>
      </c>
      <c r="V1044">
        <f t="shared" ca="1" si="388"/>
        <v>0.26</v>
      </c>
      <c r="W1044">
        <f t="shared" ca="1" si="389"/>
        <v>4.9056603773584909E-2</v>
      </c>
      <c r="X1044">
        <f t="shared" ca="1" si="390"/>
        <v>196.15384615384616</v>
      </c>
      <c r="Y1044">
        <f t="shared" ca="1" si="391"/>
        <v>632.16499999999996</v>
      </c>
      <c r="Z1044">
        <f t="shared" ca="1" si="392"/>
        <v>2593.2420316486623</v>
      </c>
      <c r="AA1044">
        <f t="shared" ca="1" si="393"/>
        <v>482.07306851378365</v>
      </c>
      <c r="AB1044">
        <f t="shared" ca="1" si="394"/>
        <v>482.07256851378361</v>
      </c>
      <c r="AC1044">
        <f t="shared" ca="1" si="395"/>
        <v>0</v>
      </c>
      <c r="AD1044">
        <f ca="1">IF(V32="Supercritical",L1044,U1044)</f>
        <v>0.05</v>
      </c>
      <c r="AE1044">
        <f t="shared" ca="1" si="396"/>
        <v>632.16499999999996</v>
      </c>
      <c r="AF1044">
        <f t="shared" ca="1" si="397"/>
        <v>2593.2420316486623</v>
      </c>
      <c r="AI1044">
        <v>0</v>
      </c>
      <c r="AJ1044">
        <v>0</v>
      </c>
      <c r="AK1044">
        <f t="shared" si="398"/>
        <v>0</v>
      </c>
      <c r="AL1044">
        <f t="shared" si="406"/>
        <v>0</v>
      </c>
      <c r="AM1044">
        <f t="shared" ca="1" si="399"/>
        <v>280.07692026646265</v>
      </c>
      <c r="AN1044" t="str">
        <f t="shared" ca="1" si="400"/>
        <v>Supercritical</v>
      </c>
      <c r="AO1044">
        <f ca="1">IF(V32="Supercritical",R1044,AA1044)</f>
        <v>482.07306851378365</v>
      </c>
    </row>
    <row r="1045" spans="1:41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174</v>
      </c>
      <c r="I1045">
        <v>0</v>
      </c>
      <c r="J1045">
        <f t="shared" si="401"/>
        <v>1</v>
      </c>
      <c r="K1045">
        <f t="shared" si="402"/>
        <v>51</v>
      </c>
      <c r="L1045">
        <f t="shared" ca="1" si="403"/>
        <v>38818.118858925474</v>
      </c>
      <c r="M1045">
        <f t="shared" ca="1" si="381"/>
        <v>201854.21806641246</v>
      </c>
      <c r="N1045">
        <f t="shared" ca="1" si="382"/>
        <v>2.5998258661818046</v>
      </c>
      <c r="O1045">
        <f t="shared" ca="1" si="383"/>
        <v>2.526575886723377E-4</v>
      </c>
      <c r="P1045">
        <f t="shared" ca="1" si="384"/>
        <v>39450.233358925478</v>
      </c>
      <c r="Q1045">
        <f t="shared" ca="1" si="385"/>
        <v>39450.23335892873</v>
      </c>
      <c r="R1045">
        <f t="shared" ca="1" si="386"/>
        <v>4.0177989257402454E-12</v>
      </c>
      <c r="S1045">
        <f t="shared" ca="1" si="404"/>
        <v>4.9999998736893758E-4</v>
      </c>
      <c r="T1045">
        <f t="shared" ca="1" si="405"/>
        <v>1</v>
      </c>
      <c r="U1045">
        <f t="shared" ca="1" si="387"/>
        <v>0.05</v>
      </c>
      <c r="V1045">
        <f t="shared" ca="1" si="388"/>
        <v>0.26</v>
      </c>
      <c r="W1045">
        <f t="shared" ca="1" si="389"/>
        <v>4.9056603773584909E-2</v>
      </c>
      <c r="X1045">
        <f t="shared" ca="1" si="390"/>
        <v>196.15384615384616</v>
      </c>
      <c r="Y1045">
        <f t="shared" ca="1" si="391"/>
        <v>632.16449999999998</v>
      </c>
      <c r="Z1045">
        <f t="shared" ca="1" si="392"/>
        <v>2593.2415316486622</v>
      </c>
      <c r="AA1045">
        <f t="shared" ca="1" si="393"/>
        <v>482.07306851378365</v>
      </c>
      <c r="AB1045">
        <f t="shared" ca="1" si="394"/>
        <v>482.07256851378361</v>
      </c>
      <c r="AC1045">
        <f t="shared" ca="1" si="395"/>
        <v>0</v>
      </c>
      <c r="AD1045">
        <f ca="1">IF(V32="Supercritical",L1045,U1045)</f>
        <v>0.05</v>
      </c>
      <c r="AE1045">
        <f t="shared" ca="1" si="396"/>
        <v>632.16449999999998</v>
      </c>
      <c r="AF1045">
        <f t="shared" ca="1" si="397"/>
        <v>2593.2415316486622</v>
      </c>
      <c r="AI1045">
        <v>0</v>
      </c>
      <c r="AJ1045">
        <v>0</v>
      </c>
      <c r="AK1045">
        <f t="shared" si="398"/>
        <v>0</v>
      </c>
      <c r="AL1045">
        <f t="shared" si="406"/>
        <v>0</v>
      </c>
      <c r="AM1045">
        <f t="shared" ca="1" si="399"/>
        <v>280.07692026646265</v>
      </c>
      <c r="AN1045" t="str">
        <f t="shared" ca="1" si="400"/>
        <v>Supercritical</v>
      </c>
      <c r="AO1045">
        <f ca="1">IF(V32="Supercritical",R1045,AA1045)</f>
        <v>482.07306851378365</v>
      </c>
    </row>
    <row r="1046" spans="1:41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174</v>
      </c>
      <c r="I1046">
        <v>0</v>
      </c>
      <c r="J1046">
        <f t="shared" si="401"/>
        <v>1</v>
      </c>
      <c r="K1046">
        <f t="shared" si="402"/>
        <v>51</v>
      </c>
      <c r="L1046">
        <f t="shared" ca="1" si="403"/>
        <v>38818.118271968924</v>
      </c>
      <c r="M1046">
        <f t="shared" ref="M1046:M1109" ca="1" si="407">((F1046)+(G1046)*(L1046))*(L1046)</f>
        <v>201854.21501423841</v>
      </c>
      <c r="N1046">
        <f t="shared" ref="N1046:N1109" ca="1" si="408">(((F1046)+(G1046)*(L1046))*(L1046))/MAX((F1046)+2*(L1046)*SQRT(1+(G1046)^2),0.000001)</f>
        <v>2.5998258661791716</v>
      </c>
      <c r="O1046">
        <f t="shared" ref="O1046:O1109" ca="1" si="409">ABS(K1046)/MAX(((F1046)+(G1046)*(L1046))*(L1046),0.000001)</f>
        <v>2.5265759249269357E-4</v>
      </c>
      <c r="P1046">
        <f t="shared" ref="P1046:P1109" ca="1" si="410">E1046+L1046</f>
        <v>39450.232271968925</v>
      </c>
      <c r="Q1046">
        <f t="shared" ref="Q1046:Q1109" ca="1" si="411">P1046+((ABS(K1046)/MAX(((F1046)+(G1046)*(L1046))*(L1046),0.000001))^2)/(2*$I$5)</f>
        <v>39450.232271972178</v>
      </c>
      <c r="R1046">
        <f t="shared" ref="R1046:R1109" ca="1" si="412">((ABS(K1046)*$D$6)/(MAX(((F1046)+(G1046)*(L1046))*(L1046),0.000001)*MAX(((((F1046)+(G1046)*(L1046))*(L1046))/MAX((F1046)+2*(L1046)*SQRT(1+(G1046)^2),0.000001))^(2/3),0.000001)))^2</f>
        <v>4.017799047249418E-12</v>
      </c>
      <c r="S1046">
        <f t="shared" ca="1" si="404"/>
        <v>1.0869565448956564E-3</v>
      </c>
      <c r="T1046">
        <f t="shared" ca="1" si="405"/>
        <v>0</v>
      </c>
      <c r="U1046">
        <f t="shared" ref="U1046:U1109" ca="1" si="413">IF($D$20=0,U1047,IF(AC1047=0,U1047,IF(U1046=0,U1047,IF(ABS(AB1046)&gt;$D$19,MAX($D$16,U1046+((AB1046)*$D$18*IF((ABS(ABS(K1046)/MAX(((F1046)+(G1046)*(U1046))*(U1046),0.000001))/SQRT($I$5*MAX((((F1046)+(G1046)*(U1046))*(U1046))/MAX((F1046)+2*(G1046)*(U1046),0.000001),0.000001)))&lt;1,1,-1))),U1046))))</f>
        <v>0.05</v>
      </c>
      <c r="V1046">
        <f t="shared" ref="V1046:V1109" ca="1" si="414">((F1046)+(G1046)*(U1046))*(U1046)</f>
        <v>0.26</v>
      </c>
      <c r="W1046">
        <f t="shared" ref="W1046:W1109" ca="1" si="415">(((F1046)+(G1046)*(U1046))*(U1046))/MAX((F1046)+2*(U1046)*SQRT(1+(G1046)^2),0.000001)</f>
        <v>4.9056603773584909E-2</v>
      </c>
      <c r="X1046">
        <f t="shared" ref="X1046:X1109" ca="1" si="416">ABS(K1046)/MAX(((F1046)+(G1046)*(U1046))*(U1046),0.000001)</f>
        <v>196.15384615384616</v>
      </c>
      <c r="Y1046">
        <f t="shared" ref="Y1046:Y1109" ca="1" si="417">E1046+U1046</f>
        <v>632.16399999999999</v>
      </c>
      <c r="Z1046">
        <f t="shared" ref="Z1046:Z1109" ca="1" si="418">Y1046+((ABS(K1046)/MAX(((F1046)+(G1046)*(U1046))*(U1046),0.000001))^2)/(2*$I$5)</f>
        <v>2593.2410316486621</v>
      </c>
      <c r="AA1046">
        <f t="shared" ref="AA1046:AA1109" ca="1" si="419">((ABS(K1046)*$D$6)/(MAX(((F1046)+(G1046)*(U1046))*(U1046),0.000001)*MAX(((((F1046)+(G1046)*(U1046))*(U1046))/MAX((F1046)+2*(U1046)*SQRT(1+(G1046)^2),0.000001))^(2/3),0.000001)))^2</f>
        <v>482.07306851378365</v>
      </c>
      <c r="AB1046">
        <f t="shared" ref="AB1046:AB1109" ca="1" si="420">Z1047+(((AA1046+AA1047)/2)*J1047)+(IF(X1046&gt;X1047,$D$8*((X1046^2-X1047^2)/(2*$I$5)),$D$9*((X1047^2-X1046^2)/(2*$I$5)))+($D$10*(ABS(I1047)/90)*(MAX(X1046^2,X1047^2)/(2*$I$5))))-Z1046</f>
        <v>482.25887083179032</v>
      </c>
      <c r="AC1046">
        <f t="shared" ref="AC1046:AC1109" ca="1" si="421">IF(ABS(AB1046)&lt;$D$19,1,0)</f>
        <v>0</v>
      </c>
      <c r="AD1046">
        <f ca="1">IF(V32="Supercritical",L1046,U1046)</f>
        <v>0.05</v>
      </c>
      <c r="AE1046">
        <f t="shared" ref="AE1046:AE1109" ca="1" si="422">E1046+AD1046</f>
        <v>632.16399999999999</v>
      </c>
      <c r="AF1046">
        <f t="shared" ref="AF1046:AF1109" ca="1" si="423">AE1046+((ABS(K1046)/MAX(((F1046)+(G1046)*(AD1046))*(AD1046),0.000001))^2)/(2*$I$5)</f>
        <v>2593.2410316486621</v>
      </c>
      <c r="AI1046">
        <v>0</v>
      </c>
      <c r="AJ1046">
        <v>0</v>
      </c>
      <c r="AK1046">
        <f t="shared" ref="AK1046:AK1109" si="424">AI1046+AJ1046</f>
        <v>0</v>
      </c>
      <c r="AL1046">
        <f t="shared" si="406"/>
        <v>0</v>
      </c>
      <c r="AM1046">
        <f t="shared" ref="AM1046:AM1109" ca="1" si="425">ABS(ABS(K1046)/MAX(((F1046)+(G1046)*(AD1046))*(AD1046),0.000001))/SQRT($I$5*MAX((((F1046)+(G1046)*(AD1046))*(AD1046))/MAX((F1046)+2*(G1046)*(AD1046),0.000001),0.000001))</f>
        <v>280.07692026646265</v>
      </c>
      <c r="AN1046" t="str">
        <f t="shared" ref="AN1046:AN1109" ca="1" si="426">IF(AM1046&lt;1,"Subcritical","Supercritical")</f>
        <v>Supercritical</v>
      </c>
      <c r="AO1046">
        <f ca="1">IF(V32="Supercritical",R1046,AA1046)</f>
        <v>482.07306851378365</v>
      </c>
    </row>
    <row r="1047" spans="1:41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174</v>
      </c>
      <c r="I1047">
        <v>5.7000000000000002E-2</v>
      </c>
      <c r="J1047">
        <f t="shared" ref="J1047:J1110" si="427">B1047-B1046</f>
        <v>1</v>
      </c>
      <c r="K1047">
        <f t="shared" ref="K1047:K1110" si="428">MAX(0,K1046-AK1046)</f>
        <v>51</v>
      </c>
      <c r="L1047">
        <f t="shared" ref="L1047:L1110" ca="1" si="429">IF($D$20=0,L1046,IF(T1046=0,L1046,IF(L1047=0,L1046,IF(ABS(S1047)&gt;$D$19,MAX($D$16,L1047+((S1047)*$D$18*IF((ABS(ABS(K1047)/MAX(((F1047)+(G1047)*(L1047))*(L1047),0.000001))/SQRT($I$5*MAX((((F1047)+(G1047)*(L1047))*(L1047))/MAX((F1047)+2*(G1047)*(L1047),0.000001),0.000001)))&lt;1,1,-1))),L1047))))</f>
        <v>38818.118271968924</v>
      </c>
      <c r="M1047">
        <f t="shared" ca="1" si="407"/>
        <v>201854.21501423841</v>
      </c>
      <c r="N1047">
        <f t="shared" ca="1" si="408"/>
        <v>2.5998258661791716</v>
      </c>
      <c r="O1047">
        <f t="shared" ca="1" si="409"/>
        <v>2.5265759249269357E-4</v>
      </c>
      <c r="P1047">
        <f t="shared" ca="1" si="410"/>
        <v>39450.231771968924</v>
      </c>
      <c r="Q1047">
        <f t="shared" ca="1" si="411"/>
        <v>39450.231771972176</v>
      </c>
      <c r="R1047">
        <f t="shared" ca="1" si="412"/>
        <v>4.017799047249418E-12</v>
      </c>
      <c r="S1047">
        <f t="shared" ref="S1047:S1110" ca="1" si="430">Q1046-(((R1046+R1047)/2)*J1047)-(IF(O1046&gt;O1047,$D$8*((O1046^2-O1047^2)/(2*$I$5)),$D$9*((O1047^2-O1046^2)/(2*$I$5)))+($D$10*(ABS(I1047)/90)*(MAX(O1046^2,O1047^2)/(2*$I$5))))-Q1047</f>
        <v>4.999999946448952E-4</v>
      </c>
      <c r="T1047">
        <f t="shared" ref="T1047:T1110" ca="1" si="431">IF(ABS(S1047)&lt;$D$19,1,0)</f>
        <v>1</v>
      </c>
      <c r="U1047">
        <f t="shared" ca="1" si="413"/>
        <v>0.05</v>
      </c>
      <c r="V1047">
        <f t="shared" ca="1" si="414"/>
        <v>0.26</v>
      </c>
      <c r="W1047">
        <f t="shared" ca="1" si="415"/>
        <v>4.9056603773584909E-2</v>
      </c>
      <c r="X1047">
        <f t="shared" ca="1" si="416"/>
        <v>196.15384615384616</v>
      </c>
      <c r="Y1047">
        <f t="shared" ca="1" si="417"/>
        <v>632.1635</v>
      </c>
      <c r="Z1047">
        <f t="shared" ca="1" si="418"/>
        <v>2593.240531648662</v>
      </c>
      <c r="AA1047">
        <f t="shared" ca="1" si="419"/>
        <v>482.07306851378365</v>
      </c>
      <c r="AB1047">
        <f t="shared" ca="1" si="420"/>
        <v>482.25887083179032</v>
      </c>
      <c r="AC1047">
        <f t="shared" ca="1" si="421"/>
        <v>0</v>
      </c>
      <c r="AD1047">
        <f ca="1">IF(V32="Supercritical",L1047,U1047)</f>
        <v>0.05</v>
      </c>
      <c r="AE1047">
        <f t="shared" ca="1" si="422"/>
        <v>632.1635</v>
      </c>
      <c r="AF1047">
        <f t="shared" ca="1" si="423"/>
        <v>2593.240531648662</v>
      </c>
      <c r="AI1047">
        <v>0</v>
      </c>
      <c r="AJ1047">
        <v>0</v>
      </c>
      <c r="AK1047">
        <f t="shared" si="424"/>
        <v>0</v>
      </c>
      <c r="AL1047">
        <f t="shared" ref="AL1047:AL1110" si="432">AL1046+AK1047</f>
        <v>0</v>
      </c>
      <c r="AM1047">
        <f t="shared" ca="1" si="425"/>
        <v>280.07692026646265</v>
      </c>
      <c r="AN1047" t="str">
        <f t="shared" ca="1" si="426"/>
        <v>Supercritical</v>
      </c>
      <c r="AO1047">
        <f ca="1">IF(V32="Supercritical",R1047,AA1047)</f>
        <v>482.07306851378365</v>
      </c>
    </row>
    <row r="1048" spans="1:41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174</v>
      </c>
      <c r="I1048">
        <v>5.7000000000000002E-2</v>
      </c>
      <c r="J1048">
        <f t="shared" si="427"/>
        <v>1</v>
      </c>
      <c r="K1048">
        <f t="shared" si="428"/>
        <v>51</v>
      </c>
      <c r="L1048">
        <f t="shared" ca="1" si="429"/>
        <v>38818.117685012374</v>
      </c>
      <c r="M1048">
        <f t="shared" ca="1" si="407"/>
        <v>201854.21196206435</v>
      </c>
      <c r="N1048">
        <f t="shared" ca="1" si="408"/>
        <v>2.599825866176539</v>
      </c>
      <c r="O1048">
        <f t="shared" ca="1" si="409"/>
        <v>2.526575963130496E-4</v>
      </c>
      <c r="P1048">
        <f t="shared" ca="1" si="410"/>
        <v>39450.230685012371</v>
      </c>
      <c r="Q1048">
        <f t="shared" ca="1" si="411"/>
        <v>39450.230685015624</v>
      </c>
      <c r="R1048">
        <f t="shared" ca="1" si="412"/>
        <v>4.0177991687585956E-12</v>
      </c>
      <c r="S1048">
        <f t="shared" ca="1" si="430"/>
        <v>1.0869565448956564E-3</v>
      </c>
      <c r="T1048">
        <f t="shared" ca="1" si="431"/>
        <v>0</v>
      </c>
      <c r="U1048">
        <f t="shared" ca="1" si="413"/>
        <v>0.05</v>
      </c>
      <c r="V1048">
        <f t="shared" ca="1" si="414"/>
        <v>0.26</v>
      </c>
      <c r="W1048">
        <f t="shared" ca="1" si="415"/>
        <v>4.9056603773584909E-2</v>
      </c>
      <c r="X1048">
        <f t="shared" ca="1" si="416"/>
        <v>196.15384615384616</v>
      </c>
      <c r="Y1048">
        <f t="shared" ca="1" si="417"/>
        <v>632.16300000000001</v>
      </c>
      <c r="Z1048">
        <f t="shared" ca="1" si="418"/>
        <v>2593.2400316486619</v>
      </c>
      <c r="AA1048">
        <f t="shared" ca="1" si="419"/>
        <v>482.07306851378365</v>
      </c>
      <c r="AB1048">
        <f t="shared" ca="1" si="420"/>
        <v>482.07910543722255</v>
      </c>
      <c r="AC1048">
        <f t="shared" ca="1" si="421"/>
        <v>0</v>
      </c>
      <c r="AD1048">
        <f ca="1">IF(V32="Supercritical",L1048,U1048)</f>
        <v>0.05</v>
      </c>
      <c r="AE1048">
        <f t="shared" ca="1" si="422"/>
        <v>632.16300000000001</v>
      </c>
      <c r="AF1048">
        <f t="shared" ca="1" si="423"/>
        <v>2593.2400316486619</v>
      </c>
      <c r="AI1048">
        <v>0</v>
      </c>
      <c r="AJ1048">
        <v>0</v>
      </c>
      <c r="AK1048">
        <f t="shared" si="424"/>
        <v>0</v>
      </c>
      <c r="AL1048">
        <f t="shared" si="432"/>
        <v>0</v>
      </c>
      <c r="AM1048">
        <f t="shared" ca="1" si="425"/>
        <v>280.07692026646265</v>
      </c>
      <c r="AN1048" t="str">
        <f t="shared" ca="1" si="426"/>
        <v>Supercritical</v>
      </c>
      <c r="AO1048">
        <f ca="1">IF(V32="Supercritical",R1048,AA1048)</f>
        <v>482.07306851378365</v>
      </c>
    </row>
    <row r="1049" spans="1:41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174</v>
      </c>
      <c r="I1049">
        <v>2E-3</v>
      </c>
      <c r="J1049">
        <f t="shared" si="427"/>
        <v>1</v>
      </c>
      <c r="K1049">
        <f t="shared" si="428"/>
        <v>51</v>
      </c>
      <c r="L1049">
        <f t="shared" ca="1" si="429"/>
        <v>38818.117685012374</v>
      </c>
      <c r="M1049">
        <f t="shared" ca="1" si="407"/>
        <v>201854.21196206435</v>
      </c>
      <c r="N1049">
        <f t="shared" ca="1" si="408"/>
        <v>2.599825866176539</v>
      </c>
      <c r="O1049">
        <f t="shared" ca="1" si="409"/>
        <v>2.526575963130496E-4</v>
      </c>
      <c r="P1049">
        <f t="shared" ca="1" si="410"/>
        <v>39450.230185012377</v>
      </c>
      <c r="Q1049">
        <f t="shared" ca="1" si="411"/>
        <v>39450.230185015629</v>
      </c>
      <c r="R1049">
        <f t="shared" ca="1" si="412"/>
        <v>4.0177991687585956E-12</v>
      </c>
      <c r="S1049">
        <f t="shared" ca="1" si="430"/>
        <v>4.9999998736893758E-4</v>
      </c>
      <c r="T1049">
        <f t="shared" ca="1" si="431"/>
        <v>1</v>
      </c>
      <c r="U1049">
        <f t="shared" ca="1" si="413"/>
        <v>0.05</v>
      </c>
      <c r="V1049">
        <f t="shared" ca="1" si="414"/>
        <v>0.26</v>
      </c>
      <c r="W1049">
        <f t="shared" ca="1" si="415"/>
        <v>4.9056603773584909E-2</v>
      </c>
      <c r="X1049">
        <f t="shared" ca="1" si="416"/>
        <v>196.15384615384616</v>
      </c>
      <c r="Y1049">
        <f t="shared" ca="1" si="417"/>
        <v>632.16249999999991</v>
      </c>
      <c r="Z1049">
        <f t="shared" ca="1" si="418"/>
        <v>2593.2395316486618</v>
      </c>
      <c r="AA1049">
        <f t="shared" ca="1" si="419"/>
        <v>482.07306851378365</v>
      </c>
      <c r="AB1049">
        <f t="shared" ca="1" si="420"/>
        <v>482.56117850572537</v>
      </c>
      <c r="AC1049">
        <f t="shared" ca="1" si="421"/>
        <v>0</v>
      </c>
      <c r="AD1049">
        <f ca="1">IF(V32="Supercritical",L1049,U1049)</f>
        <v>0.05</v>
      </c>
      <c r="AE1049">
        <f t="shared" ca="1" si="422"/>
        <v>632.16249999999991</v>
      </c>
      <c r="AF1049">
        <f t="shared" ca="1" si="423"/>
        <v>2593.2395316486618</v>
      </c>
      <c r="AI1049">
        <v>0</v>
      </c>
      <c r="AJ1049">
        <v>0</v>
      </c>
      <c r="AK1049">
        <f t="shared" si="424"/>
        <v>0</v>
      </c>
      <c r="AL1049">
        <f t="shared" si="432"/>
        <v>0</v>
      </c>
      <c r="AM1049">
        <f t="shared" ca="1" si="425"/>
        <v>280.07692026646265</v>
      </c>
      <c r="AN1049" t="str">
        <f t="shared" ca="1" si="426"/>
        <v>Supercritical</v>
      </c>
      <c r="AO1049">
        <f ca="1">IF(V32="Supercritical",R1049,AA1049)</f>
        <v>482.07306851378365</v>
      </c>
    </row>
    <row r="1050" spans="1:41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174</v>
      </c>
      <c r="I1050">
        <v>2E-3</v>
      </c>
      <c r="J1050">
        <f t="shared" si="427"/>
        <v>1.0009999999999764</v>
      </c>
      <c r="K1050">
        <f t="shared" si="428"/>
        <v>51</v>
      </c>
      <c r="L1050">
        <f t="shared" ca="1" si="429"/>
        <v>38818.117098055824</v>
      </c>
      <c r="M1050">
        <f t="shared" ca="1" si="407"/>
        <v>201854.20890989029</v>
      </c>
      <c r="N1050">
        <f t="shared" ca="1" si="408"/>
        <v>2.599825866173906</v>
      </c>
      <c r="O1050">
        <f t="shared" ca="1" si="409"/>
        <v>2.5265760013340569E-4</v>
      </c>
      <c r="P1050">
        <f t="shared" ca="1" si="410"/>
        <v>39450.229098055825</v>
      </c>
      <c r="Q1050">
        <f t="shared" ca="1" si="411"/>
        <v>39450.229098059077</v>
      </c>
      <c r="R1050">
        <f t="shared" ca="1" si="412"/>
        <v>4.0177992902677787E-12</v>
      </c>
      <c r="S1050">
        <f t="shared" ca="1" si="430"/>
        <v>1.0869565448956564E-3</v>
      </c>
      <c r="T1050">
        <f t="shared" ca="1" si="431"/>
        <v>0</v>
      </c>
      <c r="U1050">
        <f t="shared" ca="1" si="413"/>
        <v>0.05</v>
      </c>
      <c r="V1050">
        <f t="shared" ca="1" si="414"/>
        <v>0.26</v>
      </c>
      <c r="W1050">
        <f t="shared" ca="1" si="415"/>
        <v>4.9056603773584909E-2</v>
      </c>
      <c r="X1050">
        <f t="shared" ca="1" si="416"/>
        <v>196.15384615384616</v>
      </c>
      <c r="Y1050">
        <f t="shared" ca="1" si="417"/>
        <v>632.16199999999992</v>
      </c>
      <c r="Z1050">
        <f t="shared" ca="1" si="418"/>
        <v>2593.2390316486621</v>
      </c>
      <c r="AA1050">
        <f t="shared" ca="1" si="419"/>
        <v>482.07306851378365</v>
      </c>
      <c r="AB1050">
        <f t="shared" ca="1" si="420"/>
        <v>482.25887083179032</v>
      </c>
      <c r="AC1050">
        <f t="shared" ca="1" si="421"/>
        <v>0</v>
      </c>
      <c r="AD1050">
        <f ca="1">IF(V32="Supercritical",L1050,U1050)</f>
        <v>0.05</v>
      </c>
      <c r="AE1050">
        <f t="shared" ca="1" si="422"/>
        <v>632.16199999999992</v>
      </c>
      <c r="AF1050">
        <f t="shared" ca="1" si="423"/>
        <v>2593.2390316486621</v>
      </c>
      <c r="AI1050">
        <v>0</v>
      </c>
      <c r="AJ1050">
        <v>0</v>
      </c>
      <c r="AK1050">
        <f t="shared" si="424"/>
        <v>0</v>
      </c>
      <c r="AL1050">
        <f t="shared" si="432"/>
        <v>0</v>
      </c>
      <c r="AM1050">
        <f t="shared" ca="1" si="425"/>
        <v>280.07692026646265</v>
      </c>
      <c r="AN1050" t="str">
        <f t="shared" ca="1" si="426"/>
        <v>Supercritical</v>
      </c>
      <c r="AO1050">
        <f ca="1">IF(V32="Supercritical",R1050,AA1050)</f>
        <v>482.07306851378365</v>
      </c>
    </row>
    <row r="1051" spans="1:41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174</v>
      </c>
      <c r="I1051">
        <v>5.7000000000000002E-2</v>
      </c>
      <c r="J1051">
        <f t="shared" si="427"/>
        <v>1</v>
      </c>
      <c r="K1051">
        <f t="shared" si="428"/>
        <v>51</v>
      </c>
      <c r="L1051">
        <f t="shared" ca="1" si="429"/>
        <v>38818.117098055824</v>
      </c>
      <c r="M1051">
        <f t="shared" ca="1" si="407"/>
        <v>201854.20890989029</v>
      </c>
      <c r="N1051">
        <f t="shared" ca="1" si="408"/>
        <v>2.599825866173906</v>
      </c>
      <c r="O1051">
        <f t="shared" ca="1" si="409"/>
        <v>2.5265760013340569E-4</v>
      </c>
      <c r="P1051">
        <f t="shared" ca="1" si="410"/>
        <v>39450.228598055823</v>
      </c>
      <c r="Q1051">
        <f t="shared" ca="1" si="411"/>
        <v>39450.228598059075</v>
      </c>
      <c r="R1051">
        <f t="shared" ca="1" si="412"/>
        <v>4.0177992902677787E-12</v>
      </c>
      <c r="S1051">
        <f t="shared" ca="1" si="430"/>
        <v>4.999999946448952E-4</v>
      </c>
      <c r="T1051">
        <f t="shared" ca="1" si="431"/>
        <v>1</v>
      </c>
      <c r="U1051">
        <f t="shared" ca="1" si="413"/>
        <v>0.05</v>
      </c>
      <c r="V1051">
        <f t="shared" ca="1" si="414"/>
        <v>0.26</v>
      </c>
      <c r="W1051">
        <f t="shared" ca="1" si="415"/>
        <v>4.9056603773584909E-2</v>
      </c>
      <c r="X1051">
        <f t="shared" ca="1" si="416"/>
        <v>196.15384615384616</v>
      </c>
      <c r="Y1051">
        <f t="shared" ca="1" si="417"/>
        <v>632.16149999999993</v>
      </c>
      <c r="Z1051">
        <f t="shared" ca="1" si="418"/>
        <v>2593.238531648662</v>
      </c>
      <c r="AA1051">
        <f t="shared" ca="1" si="419"/>
        <v>482.07306851378365</v>
      </c>
      <c r="AB1051">
        <f t="shared" ca="1" si="420"/>
        <v>481.77679776328796</v>
      </c>
      <c r="AC1051">
        <f t="shared" ca="1" si="421"/>
        <v>0</v>
      </c>
      <c r="AD1051">
        <f ca="1">IF(V32="Supercritical",L1051,U1051)</f>
        <v>0.05</v>
      </c>
      <c r="AE1051">
        <f t="shared" ca="1" si="422"/>
        <v>632.16149999999993</v>
      </c>
      <c r="AF1051">
        <f t="shared" ca="1" si="423"/>
        <v>2593.238531648662</v>
      </c>
      <c r="AI1051">
        <v>0</v>
      </c>
      <c r="AJ1051">
        <v>0</v>
      </c>
      <c r="AK1051">
        <f t="shared" si="424"/>
        <v>0</v>
      </c>
      <c r="AL1051">
        <f t="shared" si="432"/>
        <v>0</v>
      </c>
      <c r="AM1051">
        <f t="shared" ca="1" si="425"/>
        <v>280.07692026646265</v>
      </c>
      <c r="AN1051" t="str">
        <f t="shared" ca="1" si="426"/>
        <v>Supercritical</v>
      </c>
      <c r="AO1051">
        <f ca="1">IF(V32="Supercritical",R1051,AA1051)</f>
        <v>482.07306851378365</v>
      </c>
    </row>
    <row r="1052" spans="1:41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174</v>
      </c>
      <c r="I1052">
        <v>5.7000000000000002E-2</v>
      </c>
      <c r="J1052">
        <f t="shared" si="427"/>
        <v>0.99900000000002365</v>
      </c>
      <c r="K1052">
        <f t="shared" si="428"/>
        <v>51</v>
      </c>
      <c r="L1052">
        <f t="shared" ca="1" si="429"/>
        <v>38818.116511099273</v>
      </c>
      <c r="M1052">
        <f t="shared" ca="1" si="407"/>
        <v>201854.20585771624</v>
      </c>
      <c r="N1052">
        <f t="shared" ca="1" si="408"/>
        <v>2.5998258661712734</v>
      </c>
      <c r="O1052">
        <f t="shared" ca="1" si="409"/>
        <v>2.5265760395376194E-4</v>
      </c>
      <c r="P1052">
        <f t="shared" ca="1" si="410"/>
        <v>39450.22751109927</v>
      </c>
      <c r="Q1052">
        <f t="shared" ca="1" si="411"/>
        <v>39450.227511102523</v>
      </c>
      <c r="R1052">
        <f t="shared" ca="1" si="412"/>
        <v>4.0177994117769668E-12</v>
      </c>
      <c r="S1052">
        <f t="shared" ca="1" si="430"/>
        <v>1.0869565448956564E-3</v>
      </c>
      <c r="T1052">
        <f t="shared" ca="1" si="431"/>
        <v>0</v>
      </c>
      <c r="U1052">
        <f t="shared" ca="1" si="413"/>
        <v>0.05</v>
      </c>
      <c r="V1052">
        <f t="shared" ca="1" si="414"/>
        <v>0.26</v>
      </c>
      <c r="W1052">
        <f t="shared" ca="1" si="415"/>
        <v>4.9056603773584909E-2</v>
      </c>
      <c r="X1052">
        <f t="shared" ca="1" si="416"/>
        <v>196.15384615384616</v>
      </c>
      <c r="Y1052">
        <f t="shared" ca="1" si="417"/>
        <v>632.16099999999994</v>
      </c>
      <c r="Z1052">
        <f t="shared" ca="1" si="418"/>
        <v>2593.2380316486619</v>
      </c>
      <c r="AA1052">
        <f t="shared" ca="1" si="419"/>
        <v>482.07306851378365</v>
      </c>
      <c r="AB1052">
        <f t="shared" ca="1" si="420"/>
        <v>482.07256851378406</v>
      </c>
      <c r="AC1052">
        <f t="shared" ca="1" si="421"/>
        <v>0</v>
      </c>
      <c r="AD1052">
        <f ca="1">IF(V32="Supercritical",L1052,U1052)</f>
        <v>0.05</v>
      </c>
      <c r="AE1052">
        <f t="shared" ca="1" si="422"/>
        <v>632.16099999999994</v>
      </c>
      <c r="AF1052">
        <f t="shared" ca="1" si="423"/>
        <v>2593.2380316486619</v>
      </c>
      <c r="AI1052">
        <v>0</v>
      </c>
      <c r="AJ1052">
        <v>0</v>
      </c>
      <c r="AK1052">
        <f t="shared" si="424"/>
        <v>0</v>
      </c>
      <c r="AL1052">
        <f t="shared" si="432"/>
        <v>0</v>
      </c>
      <c r="AM1052">
        <f t="shared" ca="1" si="425"/>
        <v>280.07692026646265</v>
      </c>
      <c r="AN1052" t="str">
        <f t="shared" ca="1" si="426"/>
        <v>Supercritical</v>
      </c>
      <c r="AO1052">
        <f ca="1">IF(V32="Supercritical",R1052,AA1052)</f>
        <v>482.07306851378365</v>
      </c>
    </row>
    <row r="1053" spans="1:41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174</v>
      </c>
      <c r="I1053">
        <v>0</v>
      </c>
      <c r="J1053">
        <f t="shared" si="427"/>
        <v>1</v>
      </c>
      <c r="K1053">
        <f t="shared" si="428"/>
        <v>51</v>
      </c>
      <c r="L1053">
        <f t="shared" ca="1" si="429"/>
        <v>38818.116511099273</v>
      </c>
      <c r="M1053">
        <f t="shared" ca="1" si="407"/>
        <v>201854.20585771624</v>
      </c>
      <c r="N1053">
        <f t="shared" ca="1" si="408"/>
        <v>2.5998258661712734</v>
      </c>
      <c r="O1053">
        <f t="shared" ca="1" si="409"/>
        <v>2.5265760395376194E-4</v>
      </c>
      <c r="P1053">
        <f t="shared" ca="1" si="410"/>
        <v>39450.227011099276</v>
      </c>
      <c r="Q1053">
        <f t="shared" ca="1" si="411"/>
        <v>39450.227011102528</v>
      </c>
      <c r="R1053">
        <f t="shared" ca="1" si="412"/>
        <v>4.0177994117769668E-12</v>
      </c>
      <c r="S1053">
        <f t="shared" ca="1" si="430"/>
        <v>4.9999998736893758E-4</v>
      </c>
      <c r="T1053">
        <f t="shared" ca="1" si="431"/>
        <v>1</v>
      </c>
      <c r="U1053">
        <f t="shared" ca="1" si="413"/>
        <v>0.05</v>
      </c>
      <c r="V1053">
        <f t="shared" ca="1" si="414"/>
        <v>0.26</v>
      </c>
      <c r="W1053">
        <f t="shared" ca="1" si="415"/>
        <v>4.9056603773584909E-2</v>
      </c>
      <c r="X1053">
        <f t="shared" ca="1" si="416"/>
        <v>196.15384615384616</v>
      </c>
      <c r="Y1053">
        <f t="shared" ca="1" si="417"/>
        <v>632.16049999999996</v>
      </c>
      <c r="Z1053">
        <f t="shared" ca="1" si="418"/>
        <v>2593.2375316486623</v>
      </c>
      <c r="AA1053">
        <f t="shared" ca="1" si="419"/>
        <v>482.07306851378365</v>
      </c>
      <c r="AB1053">
        <f t="shared" ca="1" si="420"/>
        <v>482.07256851378361</v>
      </c>
      <c r="AC1053">
        <f t="shared" ca="1" si="421"/>
        <v>0</v>
      </c>
      <c r="AD1053">
        <f ca="1">IF(V32="Supercritical",L1053,U1053)</f>
        <v>0.05</v>
      </c>
      <c r="AE1053">
        <f t="shared" ca="1" si="422"/>
        <v>632.16049999999996</v>
      </c>
      <c r="AF1053">
        <f t="shared" ca="1" si="423"/>
        <v>2593.2375316486623</v>
      </c>
      <c r="AI1053">
        <v>0</v>
      </c>
      <c r="AJ1053">
        <v>0</v>
      </c>
      <c r="AK1053">
        <f t="shared" si="424"/>
        <v>0</v>
      </c>
      <c r="AL1053">
        <f t="shared" si="432"/>
        <v>0</v>
      </c>
      <c r="AM1053">
        <f t="shared" ca="1" si="425"/>
        <v>280.07692026646265</v>
      </c>
      <c r="AN1053" t="str">
        <f t="shared" ca="1" si="426"/>
        <v>Supercritical</v>
      </c>
      <c r="AO1053">
        <f ca="1">IF(V32="Supercritical",R1053,AA1053)</f>
        <v>482.07306851378365</v>
      </c>
    </row>
    <row r="1054" spans="1:41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174</v>
      </c>
      <c r="I1054">
        <v>0</v>
      </c>
      <c r="J1054">
        <f t="shared" si="427"/>
        <v>1</v>
      </c>
      <c r="K1054">
        <f t="shared" si="428"/>
        <v>51</v>
      </c>
      <c r="L1054">
        <f t="shared" ca="1" si="429"/>
        <v>38818.115924142723</v>
      </c>
      <c r="M1054">
        <f t="shared" ca="1" si="407"/>
        <v>201854.20280554215</v>
      </c>
      <c r="N1054">
        <f t="shared" ca="1" si="408"/>
        <v>2.5998258661686404</v>
      </c>
      <c r="O1054">
        <f t="shared" ca="1" si="409"/>
        <v>2.526576077741183E-4</v>
      </c>
      <c r="P1054">
        <f t="shared" ca="1" si="410"/>
        <v>39450.225924142724</v>
      </c>
      <c r="Q1054">
        <f t="shared" ca="1" si="411"/>
        <v>39450.225924145976</v>
      </c>
      <c r="R1054">
        <f t="shared" ca="1" si="412"/>
        <v>4.0177995332861621E-12</v>
      </c>
      <c r="S1054">
        <f t="shared" ca="1" si="430"/>
        <v>1.0869565448956564E-3</v>
      </c>
      <c r="T1054">
        <f t="shared" ca="1" si="431"/>
        <v>0</v>
      </c>
      <c r="U1054">
        <f t="shared" ca="1" si="413"/>
        <v>0.05</v>
      </c>
      <c r="V1054">
        <f t="shared" ca="1" si="414"/>
        <v>0.26</v>
      </c>
      <c r="W1054">
        <f t="shared" ca="1" si="415"/>
        <v>4.9056603773584909E-2</v>
      </c>
      <c r="X1054">
        <f t="shared" ca="1" si="416"/>
        <v>196.15384615384616</v>
      </c>
      <c r="Y1054">
        <f t="shared" ca="1" si="417"/>
        <v>632.16</v>
      </c>
      <c r="Z1054">
        <f t="shared" ca="1" si="418"/>
        <v>2593.2370316486622</v>
      </c>
      <c r="AA1054">
        <f t="shared" ca="1" si="419"/>
        <v>482.07306851378365</v>
      </c>
      <c r="AB1054">
        <f t="shared" ca="1" si="420"/>
        <v>482.25887083179032</v>
      </c>
      <c r="AC1054">
        <f t="shared" ca="1" si="421"/>
        <v>0</v>
      </c>
      <c r="AD1054">
        <f ca="1">IF(V32="Supercritical",L1054,U1054)</f>
        <v>0.05</v>
      </c>
      <c r="AE1054">
        <f t="shared" ca="1" si="422"/>
        <v>632.16</v>
      </c>
      <c r="AF1054">
        <f t="shared" ca="1" si="423"/>
        <v>2593.2370316486622</v>
      </c>
      <c r="AI1054">
        <v>0</v>
      </c>
      <c r="AJ1054">
        <v>0</v>
      </c>
      <c r="AK1054">
        <f t="shared" si="424"/>
        <v>0</v>
      </c>
      <c r="AL1054">
        <f t="shared" si="432"/>
        <v>0</v>
      </c>
      <c r="AM1054">
        <f t="shared" ca="1" si="425"/>
        <v>280.07692026646265</v>
      </c>
      <c r="AN1054" t="str">
        <f t="shared" ca="1" si="426"/>
        <v>Supercritical</v>
      </c>
      <c r="AO1054">
        <f ca="1">IF(V32="Supercritical",R1054,AA1054)</f>
        <v>482.07306851378365</v>
      </c>
    </row>
    <row r="1055" spans="1:41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174</v>
      </c>
      <c r="I1055">
        <v>5.7000000000000002E-2</v>
      </c>
      <c r="J1055">
        <f t="shared" si="427"/>
        <v>1</v>
      </c>
      <c r="K1055">
        <f t="shared" si="428"/>
        <v>51</v>
      </c>
      <c r="L1055">
        <f t="shared" ca="1" si="429"/>
        <v>38818.115924142723</v>
      </c>
      <c r="M1055">
        <f t="shared" ca="1" si="407"/>
        <v>201854.20280554215</v>
      </c>
      <c r="N1055">
        <f t="shared" ca="1" si="408"/>
        <v>2.5998258661686404</v>
      </c>
      <c r="O1055">
        <f t="shared" ca="1" si="409"/>
        <v>2.526576077741183E-4</v>
      </c>
      <c r="P1055">
        <f t="shared" ca="1" si="410"/>
        <v>39450.225424142722</v>
      </c>
      <c r="Q1055">
        <f t="shared" ca="1" si="411"/>
        <v>39450.225424145974</v>
      </c>
      <c r="R1055">
        <f t="shared" ca="1" si="412"/>
        <v>4.0177995332861621E-12</v>
      </c>
      <c r="S1055">
        <f t="shared" ca="1" si="430"/>
        <v>4.999999946448952E-4</v>
      </c>
      <c r="T1055">
        <f t="shared" ca="1" si="431"/>
        <v>1</v>
      </c>
      <c r="U1055">
        <f t="shared" ca="1" si="413"/>
        <v>0.05</v>
      </c>
      <c r="V1055">
        <f t="shared" ca="1" si="414"/>
        <v>0.26</v>
      </c>
      <c r="W1055">
        <f t="shared" ca="1" si="415"/>
        <v>4.9056603773584909E-2</v>
      </c>
      <c r="X1055">
        <f t="shared" ca="1" si="416"/>
        <v>196.15384615384616</v>
      </c>
      <c r="Y1055">
        <f t="shared" ca="1" si="417"/>
        <v>632.15949999999998</v>
      </c>
      <c r="Z1055">
        <f t="shared" ca="1" si="418"/>
        <v>2593.2365316486621</v>
      </c>
      <c r="AA1055">
        <f t="shared" ca="1" si="419"/>
        <v>482.07306851378365</v>
      </c>
      <c r="AB1055">
        <f t="shared" ca="1" si="420"/>
        <v>482.25887083179032</v>
      </c>
      <c r="AC1055">
        <f t="shared" ca="1" si="421"/>
        <v>0</v>
      </c>
      <c r="AD1055">
        <f ca="1">IF(V32="Supercritical",L1055,U1055)</f>
        <v>0.05</v>
      </c>
      <c r="AE1055">
        <f t="shared" ca="1" si="422"/>
        <v>632.15949999999998</v>
      </c>
      <c r="AF1055">
        <f t="shared" ca="1" si="423"/>
        <v>2593.2365316486621</v>
      </c>
      <c r="AI1055">
        <v>0</v>
      </c>
      <c r="AJ1055">
        <v>0</v>
      </c>
      <c r="AK1055">
        <f t="shared" si="424"/>
        <v>0</v>
      </c>
      <c r="AL1055">
        <f t="shared" si="432"/>
        <v>0</v>
      </c>
      <c r="AM1055">
        <f t="shared" ca="1" si="425"/>
        <v>280.07692026646265</v>
      </c>
      <c r="AN1055" t="str">
        <f t="shared" ca="1" si="426"/>
        <v>Supercritical</v>
      </c>
      <c r="AO1055">
        <f ca="1">IF(V32="Supercritical",R1055,AA1055)</f>
        <v>482.07306851378365</v>
      </c>
    </row>
    <row r="1056" spans="1:41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174</v>
      </c>
      <c r="I1056">
        <v>5.7000000000000002E-2</v>
      </c>
      <c r="J1056">
        <f t="shared" si="427"/>
        <v>1</v>
      </c>
      <c r="K1056">
        <f t="shared" si="428"/>
        <v>51</v>
      </c>
      <c r="L1056">
        <f t="shared" ca="1" si="429"/>
        <v>38818.115337186173</v>
      </c>
      <c r="M1056">
        <f t="shared" ca="1" si="407"/>
        <v>201854.1997533681</v>
      </c>
      <c r="N1056">
        <f t="shared" ca="1" si="408"/>
        <v>2.5998258661660074</v>
      </c>
      <c r="O1056">
        <f t="shared" ca="1" si="409"/>
        <v>2.5265761159447476E-4</v>
      </c>
      <c r="P1056">
        <f t="shared" ca="1" si="410"/>
        <v>39450.22433718617</v>
      </c>
      <c r="Q1056">
        <f t="shared" ca="1" si="411"/>
        <v>39450.224337189422</v>
      </c>
      <c r="R1056">
        <f t="shared" ca="1" si="412"/>
        <v>4.0177996547953622E-12</v>
      </c>
      <c r="S1056">
        <f t="shared" ca="1" si="430"/>
        <v>1.0869565448956564E-3</v>
      </c>
      <c r="T1056">
        <f t="shared" ca="1" si="431"/>
        <v>0</v>
      </c>
      <c r="U1056">
        <f t="shared" ca="1" si="413"/>
        <v>0.05</v>
      </c>
      <c r="V1056">
        <f t="shared" ca="1" si="414"/>
        <v>0.26</v>
      </c>
      <c r="W1056">
        <f t="shared" ca="1" si="415"/>
        <v>4.9056603773584909E-2</v>
      </c>
      <c r="X1056">
        <f t="shared" ca="1" si="416"/>
        <v>196.15384615384616</v>
      </c>
      <c r="Y1056">
        <f t="shared" ca="1" si="417"/>
        <v>632.15899999999999</v>
      </c>
      <c r="Z1056">
        <f t="shared" ca="1" si="418"/>
        <v>2593.236031648662</v>
      </c>
      <c r="AA1056">
        <f t="shared" ca="1" si="419"/>
        <v>482.07306851378365</v>
      </c>
      <c r="AB1056">
        <f t="shared" ca="1" si="420"/>
        <v>482.07256851378361</v>
      </c>
      <c r="AC1056">
        <f t="shared" ca="1" si="421"/>
        <v>0</v>
      </c>
      <c r="AD1056">
        <f ca="1">IF(V32="Supercritical",L1056,U1056)</f>
        <v>0.05</v>
      </c>
      <c r="AE1056">
        <f t="shared" ca="1" si="422"/>
        <v>632.15899999999999</v>
      </c>
      <c r="AF1056">
        <f t="shared" ca="1" si="423"/>
        <v>2593.236031648662</v>
      </c>
      <c r="AI1056">
        <v>0</v>
      </c>
      <c r="AJ1056">
        <v>0</v>
      </c>
      <c r="AK1056">
        <f t="shared" si="424"/>
        <v>0</v>
      </c>
      <c r="AL1056">
        <f t="shared" si="432"/>
        <v>0</v>
      </c>
      <c r="AM1056">
        <f t="shared" ca="1" si="425"/>
        <v>280.07692026646265</v>
      </c>
      <c r="AN1056" t="str">
        <f t="shared" ca="1" si="426"/>
        <v>Supercritical</v>
      </c>
      <c r="AO1056">
        <f ca="1">IF(V32="Supercritical",R1056,AA1056)</f>
        <v>482.07306851378365</v>
      </c>
    </row>
    <row r="1057" spans="1:41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174</v>
      </c>
      <c r="I1057">
        <v>0</v>
      </c>
      <c r="J1057">
        <f t="shared" si="427"/>
        <v>1</v>
      </c>
      <c r="K1057">
        <f t="shared" si="428"/>
        <v>51</v>
      </c>
      <c r="L1057">
        <f t="shared" ca="1" si="429"/>
        <v>38818.115337186173</v>
      </c>
      <c r="M1057">
        <f t="shared" ca="1" si="407"/>
        <v>201854.1997533681</v>
      </c>
      <c r="N1057">
        <f t="shared" ca="1" si="408"/>
        <v>2.5998258661660074</v>
      </c>
      <c r="O1057">
        <f t="shared" ca="1" si="409"/>
        <v>2.5265761159447476E-4</v>
      </c>
      <c r="P1057">
        <f t="shared" ca="1" si="410"/>
        <v>39450.223837186175</v>
      </c>
      <c r="Q1057">
        <f t="shared" ca="1" si="411"/>
        <v>39450.223837189427</v>
      </c>
      <c r="R1057">
        <f t="shared" ca="1" si="412"/>
        <v>4.0177996547953622E-12</v>
      </c>
      <c r="S1057">
        <f t="shared" ca="1" si="430"/>
        <v>4.9999998736893758E-4</v>
      </c>
      <c r="T1057">
        <f t="shared" ca="1" si="431"/>
        <v>1</v>
      </c>
      <c r="U1057">
        <f t="shared" ca="1" si="413"/>
        <v>0.05</v>
      </c>
      <c r="V1057">
        <f t="shared" ca="1" si="414"/>
        <v>0.26</v>
      </c>
      <c r="W1057">
        <f t="shared" ca="1" si="415"/>
        <v>4.9056603773584909E-2</v>
      </c>
      <c r="X1057">
        <f t="shared" ca="1" si="416"/>
        <v>196.15384615384616</v>
      </c>
      <c r="Y1057">
        <f t="shared" ca="1" si="417"/>
        <v>632.1585</v>
      </c>
      <c r="Z1057">
        <f t="shared" ca="1" si="418"/>
        <v>2593.2355316486619</v>
      </c>
      <c r="AA1057">
        <f t="shared" ca="1" si="419"/>
        <v>482.07306851378365</v>
      </c>
      <c r="AB1057">
        <f t="shared" ca="1" si="420"/>
        <v>482.07910543722255</v>
      </c>
      <c r="AC1057">
        <f t="shared" ca="1" si="421"/>
        <v>0</v>
      </c>
      <c r="AD1057">
        <f ca="1">IF(V32="Supercritical",L1057,U1057)</f>
        <v>0.05</v>
      </c>
      <c r="AE1057">
        <f t="shared" ca="1" si="422"/>
        <v>632.1585</v>
      </c>
      <c r="AF1057">
        <f t="shared" ca="1" si="423"/>
        <v>2593.2355316486619</v>
      </c>
      <c r="AI1057">
        <v>0</v>
      </c>
      <c r="AJ1057">
        <v>0</v>
      </c>
      <c r="AK1057">
        <f t="shared" si="424"/>
        <v>0</v>
      </c>
      <c r="AL1057">
        <f t="shared" si="432"/>
        <v>0</v>
      </c>
      <c r="AM1057">
        <f t="shared" ca="1" si="425"/>
        <v>280.07692026646265</v>
      </c>
      <c r="AN1057" t="str">
        <f t="shared" ca="1" si="426"/>
        <v>Supercritical</v>
      </c>
      <c r="AO1057">
        <f ca="1">IF(V32="Supercritical",R1057,AA1057)</f>
        <v>482.07306851378365</v>
      </c>
    </row>
    <row r="1058" spans="1:41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174</v>
      </c>
      <c r="I1058">
        <v>2E-3</v>
      </c>
      <c r="J1058">
        <f t="shared" si="427"/>
        <v>1</v>
      </c>
      <c r="K1058">
        <f t="shared" si="428"/>
        <v>51</v>
      </c>
      <c r="L1058">
        <f t="shared" ca="1" si="429"/>
        <v>38818.114750229623</v>
      </c>
      <c r="M1058">
        <f t="shared" ca="1" si="407"/>
        <v>201854.19670119404</v>
      </c>
      <c r="N1058">
        <f t="shared" ca="1" si="408"/>
        <v>2.5998258661633749</v>
      </c>
      <c r="O1058">
        <f t="shared" ca="1" si="409"/>
        <v>2.5265761541483134E-4</v>
      </c>
      <c r="P1058">
        <f t="shared" ca="1" si="410"/>
        <v>39450.222750229623</v>
      </c>
      <c r="Q1058">
        <f t="shared" ca="1" si="411"/>
        <v>39450.222750232875</v>
      </c>
      <c r="R1058">
        <f t="shared" ca="1" si="412"/>
        <v>4.017799776304568E-12</v>
      </c>
      <c r="S1058">
        <f t="shared" ca="1" si="430"/>
        <v>1.0869565448956564E-3</v>
      </c>
      <c r="T1058">
        <f t="shared" ca="1" si="431"/>
        <v>0</v>
      </c>
      <c r="U1058">
        <f t="shared" ca="1" si="413"/>
        <v>0.05</v>
      </c>
      <c r="V1058">
        <f t="shared" ca="1" si="414"/>
        <v>0.26</v>
      </c>
      <c r="W1058">
        <f t="shared" ca="1" si="415"/>
        <v>4.9056603773584909E-2</v>
      </c>
      <c r="X1058">
        <f t="shared" ca="1" si="416"/>
        <v>196.15384615384616</v>
      </c>
      <c r="Y1058">
        <f t="shared" ca="1" si="417"/>
        <v>632.1579999999999</v>
      </c>
      <c r="Z1058">
        <f t="shared" ca="1" si="418"/>
        <v>2593.2350316486618</v>
      </c>
      <c r="AA1058">
        <f t="shared" ca="1" si="419"/>
        <v>482.07306851378365</v>
      </c>
      <c r="AB1058">
        <f t="shared" ca="1" si="420"/>
        <v>482.75074928545109</v>
      </c>
      <c r="AC1058">
        <f t="shared" ca="1" si="421"/>
        <v>0</v>
      </c>
      <c r="AD1058">
        <f ca="1">IF(V32="Supercritical",L1058,U1058)</f>
        <v>0.05</v>
      </c>
      <c r="AE1058">
        <f t="shared" ca="1" si="422"/>
        <v>632.1579999999999</v>
      </c>
      <c r="AF1058">
        <f t="shared" ca="1" si="423"/>
        <v>2593.2350316486618</v>
      </c>
      <c r="AI1058">
        <v>0</v>
      </c>
      <c r="AJ1058">
        <v>0</v>
      </c>
      <c r="AK1058">
        <f t="shared" si="424"/>
        <v>0</v>
      </c>
      <c r="AL1058">
        <f t="shared" si="432"/>
        <v>0</v>
      </c>
      <c r="AM1058">
        <f t="shared" ca="1" si="425"/>
        <v>280.07692026646265</v>
      </c>
      <c r="AN1058" t="str">
        <f t="shared" ca="1" si="426"/>
        <v>Supercritical</v>
      </c>
      <c r="AO1058">
        <f ca="1">IF(V32="Supercritical",R1058,AA1058)</f>
        <v>482.07306851378365</v>
      </c>
    </row>
    <row r="1059" spans="1:41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174</v>
      </c>
      <c r="I1059">
        <v>0.06</v>
      </c>
      <c r="J1059">
        <f t="shared" si="427"/>
        <v>1.0009999999999764</v>
      </c>
      <c r="K1059">
        <f t="shared" si="428"/>
        <v>51</v>
      </c>
      <c r="L1059">
        <f t="shared" ca="1" si="429"/>
        <v>38818.114750229623</v>
      </c>
      <c r="M1059">
        <f t="shared" ca="1" si="407"/>
        <v>201854.19670119404</v>
      </c>
      <c r="N1059">
        <f t="shared" ca="1" si="408"/>
        <v>2.5998258661633749</v>
      </c>
      <c r="O1059">
        <f t="shared" ca="1" si="409"/>
        <v>2.5265761541483134E-4</v>
      </c>
      <c r="P1059">
        <f t="shared" ca="1" si="410"/>
        <v>39450.222250229621</v>
      </c>
      <c r="Q1059">
        <f t="shared" ca="1" si="411"/>
        <v>39450.222250232873</v>
      </c>
      <c r="R1059">
        <f t="shared" ca="1" si="412"/>
        <v>4.017799776304568E-12</v>
      </c>
      <c r="S1059">
        <f t="shared" ca="1" si="430"/>
        <v>4.999999946448952E-4</v>
      </c>
      <c r="T1059">
        <f t="shared" ca="1" si="431"/>
        <v>1</v>
      </c>
      <c r="U1059">
        <f t="shared" ca="1" si="413"/>
        <v>0.05</v>
      </c>
      <c r="V1059">
        <f t="shared" ca="1" si="414"/>
        <v>0.26</v>
      </c>
      <c r="W1059">
        <f t="shared" ca="1" si="415"/>
        <v>4.9056603773584909E-2</v>
      </c>
      <c r="X1059">
        <f t="shared" ca="1" si="416"/>
        <v>196.15384615384616</v>
      </c>
      <c r="Y1059">
        <f t="shared" ca="1" si="417"/>
        <v>632.15749999999991</v>
      </c>
      <c r="Z1059">
        <f t="shared" ca="1" si="418"/>
        <v>2593.2345316486621</v>
      </c>
      <c r="AA1059">
        <f t="shared" ca="1" si="419"/>
        <v>482.07306851378365</v>
      </c>
      <c r="AB1059">
        <f t="shared" ca="1" si="420"/>
        <v>482.25887083179032</v>
      </c>
      <c r="AC1059">
        <f t="shared" ca="1" si="421"/>
        <v>0</v>
      </c>
      <c r="AD1059">
        <f ca="1">IF(V32="Supercritical",L1059,U1059)</f>
        <v>0.05</v>
      </c>
      <c r="AE1059">
        <f t="shared" ca="1" si="422"/>
        <v>632.15749999999991</v>
      </c>
      <c r="AF1059">
        <f t="shared" ca="1" si="423"/>
        <v>2593.2345316486621</v>
      </c>
      <c r="AI1059">
        <v>0</v>
      </c>
      <c r="AJ1059">
        <v>0</v>
      </c>
      <c r="AK1059">
        <f t="shared" si="424"/>
        <v>0</v>
      </c>
      <c r="AL1059">
        <f t="shared" si="432"/>
        <v>0</v>
      </c>
      <c r="AM1059">
        <f t="shared" ca="1" si="425"/>
        <v>280.07692026646265</v>
      </c>
      <c r="AN1059" t="str">
        <f t="shared" ca="1" si="426"/>
        <v>Supercritical</v>
      </c>
      <c r="AO1059">
        <f ca="1">IF(V32="Supercritical",R1059,AA1059)</f>
        <v>482.07306851378365</v>
      </c>
    </row>
    <row r="1060" spans="1:41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174</v>
      </c>
      <c r="I1060">
        <v>5.7000000000000002E-2</v>
      </c>
      <c r="J1060">
        <f t="shared" si="427"/>
        <v>1</v>
      </c>
      <c r="K1060">
        <f t="shared" si="428"/>
        <v>51</v>
      </c>
      <c r="L1060">
        <f t="shared" ca="1" si="429"/>
        <v>38818.114163273065</v>
      </c>
      <c r="M1060">
        <f t="shared" ca="1" si="407"/>
        <v>201854.19364901996</v>
      </c>
      <c r="N1060">
        <f t="shared" ca="1" si="408"/>
        <v>2.5998258661607418</v>
      </c>
      <c r="O1060">
        <f t="shared" ca="1" si="409"/>
        <v>2.5265761923518807E-4</v>
      </c>
      <c r="P1060">
        <f t="shared" ca="1" si="410"/>
        <v>39450.221163273061</v>
      </c>
      <c r="Q1060">
        <f t="shared" ca="1" si="411"/>
        <v>39450.221163276314</v>
      </c>
      <c r="R1060">
        <f t="shared" ca="1" si="412"/>
        <v>4.0177998978137787E-12</v>
      </c>
      <c r="S1060">
        <f t="shared" ca="1" si="430"/>
        <v>1.086956552171614E-3</v>
      </c>
      <c r="T1060">
        <f t="shared" ca="1" si="431"/>
        <v>0</v>
      </c>
      <c r="U1060">
        <f t="shared" ca="1" si="413"/>
        <v>0.05</v>
      </c>
      <c r="V1060">
        <f t="shared" ca="1" si="414"/>
        <v>0.26</v>
      </c>
      <c r="W1060">
        <f t="shared" ca="1" si="415"/>
        <v>4.9056603773584909E-2</v>
      </c>
      <c r="X1060">
        <f t="shared" ca="1" si="416"/>
        <v>196.15384615384616</v>
      </c>
      <c r="Y1060">
        <f t="shared" ca="1" si="417"/>
        <v>632.15699999999993</v>
      </c>
      <c r="Z1060">
        <f t="shared" ca="1" si="418"/>
        <v>2593.234031648662</v>
      </c>
      <c r="AA1060">
        <f t="shared" ca="1" si="419"/>
        <v>482.07306851378365</v>
      </c>
      <c r="AB1060">
        <f t="shared" ca="1" si="420"/>
        <v>482.07256851378361</v>
      </c>
      <c r="AC1060">
        <f t="shared" ca="1" si="421"/>
        <v>0</v>
      </c>
      <c r="AD1060">
        <f ca="1">IF(V32="Supercritical",L1060,U1060)</f>
        <v>0.05</v>
      </c>
      <c r="AE1060">
        <f t="shared" ca="1" si="422"/>
        <v>632.15699999999993</v>
      </c>
      <c r="AF1060">
        <f t="shared" ca="1" si="423"/>
        <v>2593.234031648662</v>
      </c>
      <c r="AI1060">
        <v>0</v>
      </c>
      <c r="AJ1060">
        <v>0</v>
      </c>
      <c r="AK1060">
        <f t="shared" si="424"/>
        <v>0</v>
      </c>
      <c r="AL1060">
        <f t="shared" si="432"/>
        <v>0</v>
      </c>
      <c r="AM1060">
        <f t="shared" ca="1" si="425"/>
        <v>280.07692026646265</v>
      </c>
      <c r="AN1060" t="str">
        <f t="shared" ca="1" si="426"/>
        <v>Supercritical</v>
      </c>
      <c r="AO1060">
        <f ca="1">IF(V32="Supercritical",R1060,AA1060)</f>
        <v>482.07306851378365</v>
      </c>
    </row>
    <row r="1061" spans="1:41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174</v>
      </c>
      <c r="I1061">
        <v>0</v>
      </c>
      <c r="J1061">
        <f t="shared" si="427"/>
        <v>1</v>
      </c>
      <c r="K1061">
        <f t="shared" si="428"/>
        <v>51</v>
      </c>
      <c r="L1061">
        <f t="shared" ca="1" si="429"/>
        <v>38818.114163273065</v>
      </c>
      <c r="M1061">
        <f t="shared" ca="1" si="407"/>
        <v>201854.19364901996</v>
      </c>
      <c r="N1061">
        <f t="shared" ca="1" si="408"/>
        <v>2.5998258661607418</v>
      </c>
      <c r="O1061">
        <f t="shared" ca="1" si="409"/>
        <v>2.5265761923518807E-4</v>
      </c>
      <c r="P1061">
        <f t="shared" ca="1" si="410"/>
        <v>39450.220663273067</v>
      </c>
      <c r="Q1061">
        <f t="shared" ca="1" si="411"/>
        <v>39450.220663276319</v>
      </c>
      <c r="R1061">
        <f t="shared" ca="1" si="412"/>
        <v>4.0177998978137787E-12</v>
      </c>
      <c r="S1061">
        <f t="shared" ca="1" si="430"/>
        <v>4.9999998736893758E-4</v>
      </c>
      <c r="T1061">
        <f t="shared" ca="1" si="431"/>
        <v>1</v>
      </c>
      <c r="U1061">
        <f t="shared" ca="1" si="413"/>
        <v>0.05</v>
      </c>
      <c r="V1061">
        <f t="shared" ca="1" si="414"/>
        <v>0.26</v>
      </c>
      <c r="W1061">
        <f t="shared" ca="1" si="415"/>
        <v>4.9056603773584909E-2</v>
      </c>
      <c r="X1061">
        <f t="shared" ca="1" si="416"/>
        <v>196.15384615384616</v>
      </c>
      <c r="Y1061">
        <f t="shared" ca="1" si="417"/>
        <v>632.15649999999994</v>
      </c>
      <c r="Z1061">
        <f t="shared" ca="1" si="418"/>
        <v>2593.2335316486619</v>
      </c>
      <c r="AA1061">
        <f t="shared" ca="1" si="419"/>
        <v>482.07306851378365</v>
      </c>
      <c r="AB1061">
        <f t="shared" ca="1" si="420"/>
        <v>481.5904954452817</v>
      </c>
      <c r="AC1061">
        <f t="shared" ca="1" si="421"/>
        <v>0</v>
      </c>
      <c r="AD1061">
        <f ca="1">IF(V32="Supercritical",L1061,U1061)</f>
        <v>0.05</v>
      </c>
      <c r="AE1061">
        <f t="shared" ca="1" si="422"/>
        <v>632.15649999999994</v>
      </c>
      <c r="AF1061">
        <f t="shared" ca="1" si="423"/>
        <v>2593.2335316486619</v>
      </c>
      <c r="AI1061">
        <v>0</v>
      </c>
      <c r="AJ1061">
        <v>0</v>
      </c>
      <c r="AK1061">
        <f t="shared" si="424"/>
        <v>0</v>
      </c>
      <c r="AL1061">
        <f t="shared" si="432"/>
        <v>0</v>
      </c>
      <c r="AM1061">
        <f t="shared" ca="1" si="425"/>
        <v>280.07692026646265</v>
      </c>
      <c r="AN1061" t="str">
        <f t="shared" ca="1" si="426"/>
        <v>Supercritical</v>
      </c>
      <c r="AO1061">
        <f ca="1">IF(V32="Supercritical",R1061,AA1061)</f>
        <v>482.07306851378365</v>
      </c>
    </row>
    <row r="1062" spans="1:41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174</v>
      </c>
      <c r="I1062">
        <v>0</v>
      </c>
      <c r="J1062">
        <f t="shared" si="427"/>
        <v>0.99900000000002365</v>
      </c>
      <c r="K1062">
        <f t="shared" si="428"/>
        <v>51</v>
      </c>
      <c r="L1062">
        <f t="shared" ca="1" si="429"/>
        <v>38818.113576316508</v>
      </c>
      <c r="M1062">
        <f t="shared" ca="1" si="407"/>
        <v>201854.19059684584</v>
      </c>
      <c r="N1062">
        <f t="shared" ca="1" si="408"/>
        <v>2.5998258661581088</v>
      </c>
      <c r="O1062">
        <f t="shared" ca="1" si="409"/>
        <v>2.5265762305554492E-4</v>
      </c>
      <c r="P1062">
        <f t="shared" ca="1" si="410"/>
        <v>39450.219576316507</v>
      </c>
      <c r="Q1062">
        <f t="shared" ca="1" si="411"/>
        <v>39450.21957631976</v>
      </c>
      <c r="R1062">
        <f t="shared" ca="1" si="412"/>
        <v>4.0178000193229982E-12</v>
      </c>
      <c r="S1062">
        <f t="shared" ca="1" si="430"/>
        <v>1.086956552171614E-3</v>
      </c>
      <c r="T1062">
        <f t="shared" ca="1" si="431"/>
        <v>0</v>
      </c>
      <c r="U1062">
        <f t="shared" ca="1" si="413"/>
        <v>0.05</v>
      </c>
      <c r="V1062">
        <f t="shared" ca="1" si="414"/>
        <v>0.26</v>
      </c>
      <c r="W1062">
        <f t="shared" ca="1" si="415"/>
        <v>4.9056603773584909E-2</v>
      </c>
      <c r="X1062">
        <f t="shared" ca="1" si="416"/>
        <v>196.15384615384616</v>
      </c>
      <c r="Y1062">
        <f t="shared" ca="1" si="417"/>
        <v>632.15599999999995</v>
      </c>
      <c r="Z1062">
        <f t="shared" ca="1" si="418"/>
        <v>2593.2330316486623</v>
      </c>
      <c r="AA1062">
        <f t="shared" ca="1" si="419"/>
        <v>482.07306851378365</v>
      </c>
      <c r="AB1062">
        <f t="shared" ca="1" si="420"/>
        <v>482.25887083179032</v>
      </c>
      <c r="AC1062">
        <f t="shared" ca="1" si="421"/>
        <v>0</v>
      </c>
      <c r="AD1062">
        <f ca="1">IF(V32="Supercritical",L1062,U1062)</f>
        <v>0.05</v>
      </c>
      <c r="AE1062">
        <f t="shared" ca="1" si="422"/>
        <v>632.15599999999995</v>
      </c>
      <c r="AF1062">
        <f t="shared" ca="1" si="423"/>
        <v>2593.2330316486623</v>
      </c>
      <c r="AI1062">
        <v>0</v>
      </c>
      <c r="AJ1062">
        <v>0</v>
      </c>
      <c r="AK1062">
        <f t="shared" si="424"/>
        <v>0</v>
      </c>
      <c r="AL1062">
        <f t="shared" si="432"/>
        <v>0</v>
      </c>
      <c r="AM1062">
        <f t="shared" ca="1" si="425"/>
        <v>280.07692026646265</v>
      </c>
      <c r="AN1062" t="str">
        <f t="shared" ca="1" si="426"/>
        <v>Supercritical</v>
      </c>
      <c r="AO1062">
        <f ca="1">IF(V32="Supercritical",R1062,AA1062)</f>
        <v>482.07306851378365</v>
      </c>
    </row>
    <row r="1063" spans="1:41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174</v>
      </c>
      <c r="I1063">
        <v>5.7000000000000002E-2</v>
      </c>
      <c r="J1063">
        <f t="shared" si="427"/>
        <v>1</v>
      </c>
      <c r="K1063">
        <f t="shared" si="428"/>
        <v>51</v>
      </c>
      <c r="L1063">
        <f t="shared" ca="1" si="429"/>
        <v>38818.113576316508</v>
      </c>
      <c r="M1063">
        <f t="shared" ca="1" si="407"/>
        <v>201854.19059684584</v>
      </c>
      <c r="N1063">
        <f t="shared" ca="1" si="408"/>
        <v>2.5998258661581088</v>
      </c>
      <c r="O1063">
        <f t="shared" ca="1" si="409"/>
        <v>2.5265762305554492E-4</v>
      </c>
      <c r="P1063">
        <f t="shared" ca="1" si="410"/>
        <v>39450.219076316505</v>
      </c>
      <c r="Q1063">
        <f t="shared" ca="1" si="411"/>
        <v>39450.219076319758</v>
      </c>
      <c r="R1063">
        <f t="shared" ca="1" si="412"/>
        <v>4.0178000193229982E-12</v>
      </c>
      <c r="S1063">
        <f t="shared" ca="1" si="430"/>
        <v>4.999999946448952E-4</v>
      </c>
      <c r="T1063">
        <f t="shared" ca="1" si="431"/>
        <v>1</v>
      </c>
      <c r="U1063">
        <f t="shared" ca="1" si="413"/>
        <v>0.05</v>
      </c>
      <c r="V1063">
        <f t="shared" ca="1" si="414"/>
        <v>0.26</v>
      </c>
      <c r="W1063">
        <f t="shared" ca="1" si="415"/>
        <v>4.9056603773584909E-2</v>
      </c>
      <c r="X1063">
        <f t="shared" ca="1" si="416"/>
        <v>196.15384615384616</v>
      </c>
      <c r="Y1063">
        <f t="shared" ca="1" si="417"/>
        <v>632.15549999999996</v>
      </c>
      <c r="Z1063">
        <f t="shared" ca="1" si="418"/>
        <v>2593.2325316486622</v>
      </c>
      <c r="AA1063">
        <f t="shared" ca="1" si="419"/>
        <v>482.07306851378365</v>
      </c>
      <c r="AB1063">
        <f t="shared" ca="1" si="420"/>
        <v>482.25887083179032</v>
      </c>
      <c r="AC1063">
        <f t="shared" ca="1" si="421"/>
        <v>0</v>
      </c>
      <c r="AD1063">
        <f ca="1">IF(V32="Supercritical",L1063,U1063)</f>
        <v>0.05</v>
      </c>
      <c r="AE1063">
        <f t="shared" ca="1" si="422"/>
        <v>632.15549999999996</v>
      </c>
      <c r="AF1063">
        <f t="shared" ca="1" si="423"/>
        <v>2593.2325316486622</v>
      </c>
      <c r="AI1063">
        <v>0</v>
      </c>
      <c r="AJ1063">
        <v>0</v>
      </c>
      <c r="AK1063">
        <f t="shared" si="424"/>
        <v>0</v>
      </c>
      <c r="AL1063">
        <f t="shared" si="432"/>
        <v>0</v>
      </c>
      <c r="AM1063">
        <f t="shared" ca="1" si="425"/>
        <v>280.07692026646265</v>
      </c>
      <c r="AN1063" t="str">
        <f t="shared" ca="1" si="426"/>
        <v>Supercritical</v>
      </c>
      <c r="AO1063">
        <f ca="1">IF(V32="Supercritical",R1063,AA1063)</f>
        <v>482.07306851378365</v>
      </c>
    </row>
    <row r="1064" spans="1:41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174</v>
      </c>
      <c r="I1064">
        <v>5.7000000000000002E-2</v>
      </c>
      <c r="J1064">
        <f t="shared" si="427"/>
        <v>1</v>
      </c>
      <c r="K1064">
        <f t="shared" si="428"/>
        <v>51</v>
      </c>
      <c r="L1064">
        <f t="shared" ca="1" si="429"/>
        <v>38818.112989359943</v>
      </c>
      <c r="M1064">
        <f t="shared" ca="1" si="407"/>
        <v>201854.1875446717</v>
      </c>
      <c r="N1064">
        <f t="shared" ca="1" si="408"/>
        <v>2.5998258661554763</v>
      </c>
      <c r="O1064">
        <f t="shared" ca="1" si="409"/>
        <v>2.5265762687590198E-4</v>
      </c>
      <c r="P1064">
        <f t="shared" ca="1" si="410"/>
        <v>39450.217989359946</v>
      </c>
      <c r="Q1064">
        <f t="shared" ca="1" si="411"/>
        <v>39450.217989363198</v>
      </c>
      <c r="R1064">
        <f t="shared" ca="1" si="412"/>
        <v>4.0178001408322226E-12</v>
      </c>
      <c r="S1064">
        <f t="shared" ca="1" si="430"/>
        <v>1.086956552171614E-3</v>
      </c>
      <c r="T1064">
        <f t="shared" ca="1" si="431"/>
        <v>0</v>
      </c>
      <c r="U1064">
        <f t="shared" ca="1" si="413"/>
        <v>0.05</v>
      </c>
      <c r="V1064">
        <f t="shared" ca="1" si="414"/>
        <v>0.26</v>
      </c>
      <c r="W1064">
        <f t="shared" ca="1" si="415"/>
        <v>4.9056603773584909E-2</v>
      </c>
      <c r="X1064">
        <f t="shared" ca="1" si="416"/>
        <v>196.15384615384616</v>
      </c>
      <c r="Y1064">
        <f t="shared" ca="1" si="417"/>
        <v>632.15499999999997</v>
      </c>
      <c r="Z1064">
        <f t="shared" ca="1" si="418"/>
        <v>2593.2320316486621</v>
      </c>
      <c r="AA1064">
        <f t="shared" ca="1" si="419"/>
        <v>482.07306851378365</v>
      </c>
      <c r="AB1064">
        <f t="shared" ca="1" si="420"/>
        <v>482.07256851378361</v>
      </c>
      <c r="AC1064">
        <f t="shared" ca="1" si="421"/>
        <v>0</v>
      </c>
      <c r="AD1064">
        <f ca="1">IF(V32="Supercritical",L1064,U1064)</f>
        <v>0.05</v>
      </c>
      <c r="AE1064">
        <f t="shared" ca="1" si="422"/>
        <v>632.15499999999997</v>
      </c>
      <c r="AF1064">
        <f t="shared" ca="1" si="423"/>
        <v>2593.2320316486621</v>
      </c>
      <c r="AI1064">
        <v>0</v>
      </c>
      <c r="AJ1064">
        <v>0</v>
      </c>
      <c r="AK1064">
        <f t="shared" si="424"/>
        <v>0</v>
      </c>
      <c r="AL1064">
        <f t="shared" si="432"/>
        <v>0</v>
      </c>
      <c r="AM1064">
        <f t="shared" ca="1" si="425"/>
        <v>280.07692026646265</v>
      </c>
      <c r="AN1064" t="str">
        <f t="shared" ca="1" si="426"/>
        <v>Supercritical</v>
      </c>
      <c r="AO1064">
        <f ca="1">IF(V32="Supercritical",R1064,AA1064)</f>
        <v>482.07306851378365</v>
      </c>
    </row>
    <row r="1065" spans="1:41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174</v>
      </c>
      <c r="I1065">
        <v>0</v>
      </c>
      <c r="J1065">
        <f t="shared" si="427"/>
        <v>1</v>
      </c>
      <c r="K1065">
        <f t="shared" si="428"/>
        <v>51</v>
      </c>
      <c r="L1065">
        <f t="shared" ca="1" si="429"/>
        <v>38818.112989359943</v>
      </c>
      <c r="M1065">
        <f t="shared" ca="1" si="407"/>
        <v>201854.1875446717</v>
      </c>
      <c r="N1065">
        <f t="shared" ca="1" si="408"/>
        <v>2.5998258661554763</v>
      </c>
      <c r="O1065">
        <f t="shared" ca="1" si="409"/>
        <v>2.5265762687590198E-4</v>
      </c>
      <c r="P1065">
        <f t="shared" ca="1" si="410"/>
        <v>39450.217489359944</v>
      </c>
      <c r="Q1065">
        <f t="shared" ca="1" si="411"/>
        <v>39450.217489363196</v>
      </c>
      <c r="R1065">
        <f t="shared" ca="1" si="412"/>
        <v>4.0178001408322226E-12</v>
      </c>
      <c r="S1065">
        <f t="shared" ca="1" si="430"/>
        <v>4.999999946448952E-4</v>
      </c>
      <c r="T1065">
        <f t="shared" ca="1" si="431"/>
        <v>1</v>
      </c>
      <c r="U1065">
        <f t="shared" ca="1" si="413"/>
        <v>0.05</v>
      </c>
      <c r="V1065">
        <f t="shared" ca="1" si="414"/>
        <v>0.26</v>
      </c>
      <c r="W1065">
        <f t="shared" ca="1" si="415"/>
        <v>4.9056603773584909E-2</v>
      </c>
      <c r="X1065">
        <f t="shared" ca="1" si="416"/>
        <v>196.15384615384616</v>
      </c>
      <c r="Y1065">
        <f t="shared" ca="1" si="417"/>
        <v>632.15449999999998</v>
      </c>
      <c r="Z1065">
        <f t="shared" ca="1" si="418"/>
        <v>2593.231531648662</v>
      </c>
      <c r="AA1065">
        <f t="shared" ca="1" si="419"/>
        <v>482.07306851378365</v>
      </c>
      <c r="AB1065">
        <f t="shared" ca="1" si="420"/>
        <v>482.07256851378361</v>
      </c>
      <c r="AC1065">
        <f t="shared" ca="1" si="421"/>
        <v>0</v>
      </c>
      <c r="AD1065">
        <f ca="1">IF(V32="Supercritical",L1065,U1065)</f>
        <v>0.05</v>
      </c>
      <c r="AE1065">
        <f t="shared" ca="1" si="422"/>
        <v>632.15449999999998</v>
      </c>
      <c r="AF1065">
        <f t="shared" ca="1" si="423"/>
        <v>2593.231531648662</v>
      </c>
      <c r="AI1065">
        <v>0</v>
      </c>
      <c r="AJ1065">
        <v>0</v>
      </c>
      <c r="AK1065">
        <f t="shared" si="424"/>
        <v>0</v>
      </c>
      <c r="AL1065">
        <f t="shared" si="432"/>
        <v>0</v>
      </c>
      <c r="AM1065">
        <f t="shared" ca="1" si="425"/>
        <v>280.07692026646265</v>
      </c>
      <c r="AN1065" t="str">
        <f t="shared" ca="1" si="426"/>
        <v>Supercritical</v>
      </c>
      <c r="AO1065">
        <f ca="1">IF(V32="Supercritical",R1065,AA1065)</f>
        <v>482.07306851378365</v>
      </c>
    </row>
    <row r="1066" spans="1:41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174</v>
      </c>
      <c r="I1066">
        <v>0</v>
      </c>
      <c r="J1066">
        <f t="shared" si="427"/>
        <v>1</v>
      </c>
      <c r="K1066">
        <f t="shared" si="428"/>
        <v>51</v>
      </c>
      <c r="L1066">
        <f t="shared" ca="1" si="429"/>
        <v>38818.112402403392</v>
      </c>
      <c r="M1066">
        <f t="shared" ca="1" si="407"/>
        <v>201854.18449249765</v>
      </c>
      <c r="N1066">
        <f t="shared" ca="1" si="408"/>
        <v>2.5998258661528433</v>
      </c>
      <c r="O1066">
        <f t="shared" ca="1" si="409"/>
        <v>2.5265763069625899E-4</v>
      </c>
      <c r="P1066">
        <f t="shared" ca="1" si="410"/>
        <v>39450.216402403392</v>
      </c>
      <c r="Q1066">
        <f t="shared" ca="1" si="411"/>
        <v>39450.216402406644</v>
      </c>
      <c r="R1066">
        <f t="shared" ca="1" si="412"/>
        <v>4.0178002623414494E-12</v>
      </c>
      <c r="S1066">
        <f t="shared" ca="1" si="430"/>
        <v>1.0869565448956564E-3</v>
      </c>
      <c r="T1066">
        <f t="shared" ca="1" si="431"/>
        <v>0</v>
      </c>
      <c r="U1066">
        <f t="shared" ca="1" si="413"/>
        <v>0.05</v>
      </c>
      <c r="V1066">
        <f t="shared" ca="1" si="414"/>
        <v>0.26</v>
      </c>
      <c r="W1066">
        <f t="shared" ca="1" si="415"/>
        <v>4.9056603773584909E-2</v>
      </c>
      <c r="X1066">
        <f t="shared" ca="1" si="416"/>
        <v>196.15384615384616</v>
      </c>
      <c r="Y1066">
        <f t="shared" ca="1" si="417"/>
        <v>632.154</v>
      </c>
      <c r="Z1066">
        <f t="shared" ca="1" si="418"/>
        <v>2593.2310316486619</v>
      </c>
      <c r="AA1066">
        <f t="shared" ca="1" si="419"/>
        <v>482.07306851378365</v>
      </c>
      <c r="AB1066">
        <f t="shared" ca="1" si="420"/>
        <v>482.25233390835183</v>
      </c>
      <c r="AC1066">
        <f t="shared" ca="1" si="421"/>
        <v>0</v>
      </c>
      <c r="AD1066">
        <f ca="1">IF(V32="Supercritical",L1066,U1066)</f>
        <v>0.05</v>
      </c>
      <c r="AE1066">
        <f t="shared" ca="1" si="422"/>
        <v>632.154</v>
      </c>
      <c r="AF1066">
        <f t="shared" ca="1" si="423"/>
        <v>2593.2310316486619</v>
      </c>
      <c r="AI1066">
        <v>0</v>
      </c>
      <c r="AJ1066">
        <v>0</v>
      </c>
      <c r="AK1066">
        <f t="shared" si="424"/>
        <v>0</v>
      </c>
      <c r="AL1066">
        <f t="shared" si="432"/>
        <v>0</v>
      </c>
      <c r="AM1066">
        <f t="shared" ca="1" si="425"/>
        <v>280.07692026646265</v>
      </c>
      <c r="AN1066" t="str">
        <f t="shared" ca="1" si="426"/>
        <v>Supercritical</v>
      </c>
      <c r="AO1066">
        <f ca="1">IF(V32="Supercritical",R1066,AA1066)</f>
        <v>482.07306851378365</v>
      </c>
    </row>
    <row r="1067" spans="1:41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174</v>
      </c>
      <c r="I1067">
        <v>5.5E-2</v>
      </c>
      <c r="J1067">
        <f t="shared" si="427"/>
        <v>1</v>
      </c>
      <c r="K1067">
        <f t="shared" si="428"/>
        <v>51</v>
      </c>
      <c r="L1067">
        <f t="shared" ca="1" si="429"/>
        <v>38818.112402403392</v>
      </c>
      <c r="M1067">
        <f t="shared" ca="1" si="407"/>
        <v>201854.18449249765</v>
      </c>
      <c r="N1067">
        <f t="shared" ca="1" si="408"/>
        <v>2.5998258661528433</v>
      </c>
      <c r="O1067">
        <f t="shared" ca="1" si="409"/>
        <v>2.5265763069625899E-4</v>
      </c>
      <c r="P1067">
        <f t="shared" ca="1" si="410"/>
        <v>39450.21590240339</v>
      </c>
      <c r="Q1067">
        <f t="shared" ca="1" si="411"/>
        <v>39450.215902406642</v>
      </c>
      <c r="R1067">
        <f t="shared" ca="1" si="412"/>
        <v>4.0178002623414494E-12</v>
      </c>
      <c r="S1067">
        <f t="shared" ca="1" si="430"/>
        <v>4.999999946448952E-4</v>
      </c>
      <c r="T1067">
        <f t="shared" ca="1" si="431"/>
        <v>1</v>
      </c>
      <c r="U1067">
        <f t="shared" ca="1" si="413"/>
        <v>0.05</v>
      </c>
      <c r="V1067">
        <f t="shared" ca="1" si="414"/>
        <v>0.26</v>
      </c>
      <c r="W1067">
        <f t="shared" ca="1" si="415"/>
        <v>4.9056603773584909E-2</v>
      </c>
      <c r="X1067">
        <f t="shared" ca="1" si="416"/>
        <v>196.15384615384616</v>
      </c>
      <c r="Y1067">
        <f t="shared" ca="1" si="417"/>
        <v>632.15350000000001</v>
      </c>
      <c r="Z1067">
        <f t="shared" ca="1" si="418"/>
        <v>2593.2305316486622</v>
      </c>
      <c r="AA1067">
        <f t="shared" ca="1" si="419"/>
        <v>482.07306851378365</v>
      </c>
      <c r="AB1067">
        <f t="shared" ca="1" si="420"/>
        <v>482.73440697685373</v>
      </c>
      <c r="AC1067">
        <f t="shared" ca="1" si="421"/>
        <v>0</v>
      </c>
      <c r="AD1067">
        <f ca="1">IF(V32="Supercritical",L1067,U1067)</f>
        <v>0.05</v>
      </c>
      <c r="AE1067">
        <f t="shared" ca="1" si="422"/>
        <v>632.15350000000001</v>
      </c>
      <c r="AF1067">
        <f t="shared" ca="1" si="423"/>
        <v>2593.2305316486622</v>
      </c>
      <c r="AI1067">
        <v>0</v>
      </c>
      <c r="AJ1067">
        <v>0</v>
      </c>
      <c r="AK1067">
        <f t="shared" si="424"/>
        <v>0</v>
      </c>
      <c r="AL1067">
        <f t="shared" si="432"/>
        <v>0</v>
      </c>
      <c r="AM1067">
        <f t="shared" ca="1" si="425"/>
        <v>280.07692026646265</v>
      </c>
      <c r="AN1067" t="str">
        <f t="shared" ca="1" si="426"/>
        <v>Supercritical</v>
      </c>
      <c r="AO1067">
        <f ca="1">IF(V32="Supercritical",R1067,AA1067)</f>
        <v>482.07306851378365</v>
      </c>
    </row>
    <row r="1068" spans="1:41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174</v>
      </c>
      <c r="I1068">
        <v>5.5E-2</v>
      </c>
      <c r="J1068">
        <f t="shared" si="427"/>
        <v>1.0009999999999764</v>
      </c>
      <c r="K1068">
        <f t="shared" si="428"/>
        <v>51</v>
      </c>
      <c r="L1068">
        <f t="shared" ca="1" si="429"/>
        <v>38818.111815446828</v>
      </c>
      <c r="M1068">
        <f t="shared" ca="1" si="407"/>
        <v>201854.1814403235</v>
      </c>
      <c r="N1068">
        <f t="shared" ca="1" si="408"/>
        <v>2.5998258661502103</v>
      </c>
      <c r="O1068">
        <f t="shared" ca="1" si="409"/>
        <v>2.5265763451661627E-4</v>
      </c>
      <c r="P1068">
        <f t="shared" ca="1" si="410"/>
        <v>39450.21481544683</v>
      </c>
      <c r="Q1068">
        <f t="shared" ca="1" si="411"/>
        <v>39450.214815450083</v>
      </c>
      <c r="R1068">
        <f t="shared" ca="1" si="412"/>
        <v>4.0178003838506867E-12</v>
      </c>
      <c r="S1068">
        <f t="shared" ca="1" si="430"/>
        <v>1.086956552171614E-3</v>
      </c>
      <c r="T1068">
        <f t="shared" ca="1" si="431"/>
        <v>0</v>
      </c>
      <c r="U1068">
        <f t="shared" ca="1" si="413"/>
        <v>0.05</v>
      </c>
      <c r="V1068">
        <f t="shared" ca="1" si="414"/>
        <v>0.26</v>
      </c>
      <c r="W1068">
        <f t="shared" ca="1" si="415"/>
        <v>4.9056603773584909E-2</v>
      </c>
      <c r="X1068">
        <f t="shared" ca="1" si="416"/>
        <v>196.15384615384616</v>
      </c>
      <c r="Y1068">
        <f t="shared" ca="1" si="417"/>
        <v>632.15299999999991</v>
      </c>
      <c r="Z1068">
        <f t="shared" ca="1" si="418"/>
        <v>2593.2300316486621</v>
      </c>
      <c r="AA1068">
        <f t="shared" ca="1" si="419"/>
        <v>482.07306851378365</v>
      </c>
      <c r="AB1068">
        <f t="shared" ca="1" si="420"/>
        <v>482.07256851378361</v>
      </c>
      <c r="AC1068">
        <f t="shared" ca="1" si="421"/>
        <v>0</v>
      </c>
      <c r="AD1068">
        <f ca="1">IF(V32="Supercritical",L1068,U1068)</f>
        <v>0.05</v>
      </c>
      <c r="AE1068">
        <f t="shared" ca="1" si="422"/>
        <v>632.15299999999991</v>
      </c>
      <c r="AF1068">
        <f t="shared" ca="1" si="423"/>
        <v>2593.2300316486621</v>
      </c>
      <c r="AI1068">
        <v>0</v>
      </c>
      <c r="AJ1068">
        <v>0</v>
      </c>
      <c r="AK1068">
        <f t="shared" si="424"/>
        <v>0</v>
      </c>
      <c r="AL1068">
        <f t="shared" si="432"/>
        <v>0</v>
      </c>
      <c r="AM1068">
        <f t="shared" ca="1" si="425"/>
        <v>280.07692026646265</v>
      </c>
      <c r="AN1068" t="str">
        <f t="shared" ca="1" si="426"/>
        <v>Supercritical</v>
      </c>
      <c r="AO1068">
        <f ca="1">IF(V32="Supercritical",R1068,AA1068)</f>
        <v>482.07306851378365</v>
      </c>
    </row>
    <row r="1069" spans="1:41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174</v>
      </c>
      <c r="I1069">
        <v>0</v>
      </c>
      <c r="J1069">
        <f t="shared" si="427"/>
        <v>1</v>
      </c>
      <c r="K1069">
        <f t="shared" si="428"/>
        <v>51</v>
      </c>
      <c r="L1069">
        <f t="shared" ca="1" si="429"/>
        <v>38818.111815446828</v>
      </c>
      <c r="M1069">
        <f t="shared" ca="1" si="407"/>
        <v>201854.1814403235</v>
      </c>
      <c r="N1069">
        <f t="shared" ca="1" si="408"/>
        <v>2.5998258661502103</v>
      </c>
      <c r="O1069">
        <f t="shared" ca="1" si="409"/>
        <v>2.5265763451661627E-4</v>
      </c>
      <c r="P1069">
        <f t="shared" ca="1" si="410"/>
        <v>39450.214315446829</v>
      </c>
      <c r="Q1069">
        <f t="shared" ca="1" si="411"/>
        <v>39450.214315450081</v>
      </c>
      <c r="R1069">
        <f t="shared" ca="1" si="412"/>
        <v>4.0178003838506867E-12</v>
      </c>
      <c r="S1069">
        <f t="shared" ca="1" si="430"/>
        <v>4.999999946448952E-4</v>
      </c>
      <c r="T1069">
        <f t="shared" ca="1" si="431"/>
        <v>1</v>
      </c>
      <c r="U1069">
        <f t="shared" ca="1" si="413"/>
        <v>0.05</v>
      </c>
      <c r="V1069">
        <f t="shared" ca="1" si="414"/>
        <v>0.26</v>
      </c>
      <c r="W1069">
        <f t="shared" ca="1" si="415"/>
        <v>4.9056603773584909E-2</v>
      </c>
      <c r="X1069">
        <f t="shared" ca="1" si="416"/>
        <v>196.15384615384616</v>
      </c>
      <c r="Y1069">
        <f t="shared" ca="1" si="417"/>
        <v>632.15249999999992</v>
      </c>
      <c r="Z1069">
        <f t="shared" ca="1" si="418"/>
        <v>2593.229531648662</v>
      </c>
      <c r="AA1069">
        <f t="shared" ca="1" si="419"/>
        <v>482.07306851378365</v>
      </c>
      <c r="AB1069">
        <f t="shared" ca="1" si="420"/>
        <v>482.25887083179032</v>
      </c>
      <c r="AC1069">
        <f t="shared" ca="1" si="421"/>
        <v>0</v>
      </c>
      <c r="AD1069">
        <f ca="1">IF(V32="Supercritical",L1069,U1069)</f>
        <v>0.05</v>
      </c>
      <c r="AE1069">
        <f t="shared" ca="1" si="422"/>
        <v>632.15249999999992</v>
      </c>
      <c r="AF1069">
        <f t="shared" ca="1" si="423"/>
        <v>2593.229531648662</v>
      </c>
      <c r="AI1069">
        <v>0</v>
      </c>
      <c r="AJ1069">
        <v>0</v>
      </c>
      <c r="AK1069">
        <f t="shared" si="424"/>
        <v>0</v>
      </c>
      <c r="AL1069">
        <f t="shared" si="432"/>
        <v>0</v>
      </c>
      <c r="AM1069">
        <f t="shared" ca="1" si="425"/>
        <v>280.07692026646265</v>
      </c>
      <c r="AN1069" t="str">
        <f t="shared" ca="1" si="426"/>
        <v>Supercritical</v>
      </c>
      <c r="AO1069">
        <f ca="1">IF(V32="Supercritical",R1069,AA1069)</f>
        <v>482.07306851378365</v>
      </c>
    </row>
    <row r="1070" spans="1:41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174</v>
      </c>
      <c r="I1070">
        <v>5.7000000000000002E-2</v>
      </c>
      <c r="J1070">
        <f t="shared" si="427"/>
        <v>1</v>
      </c>
      <c r="K1070">
        <f t="shared" si="428"/>
        <v>51</v>
      </c>
      <c r="L1070">
        <f t="shared" ca="1" si="429"/>
        <v>38818.111228490277</v>
      </c>
      <c r="M1070">
        <f t="shared" ca="1" si="407"/>
        <v>201854.17838814945</v>
      </c>
      <c r="N1070">
        <f t="shared" ca="1" si="408"/>
        <v>2.5998258661475777</v>
      </c>
      <c r="O1070">
        <f t="shared" ca="1" si="409"/>
        <v>2.5265763833697355E-4</v>
      </c>
      <c r="P1070">
        <f t="shared" ca="1" si="410"/>
        <v>39450.213228490276</v>
      </c>
      <c r="Q1070">
        <f t="shared" ca="1" si="411"/>
        <v>39450.213228493529</v>
      </c>
      <c r="R1070">
        <f t="shared" ca="1" si="412"/>
        <v>4.0178005053599232E-12</v>
      </c>
      <c r="S1070">
        <f t="shared" ca="1" si="430"/>
        <v>1.0869565448956564E-3</v>
      </c>
      <c r="T1070">
        <f t="shared" ca="1" si="431"/>
        <v>0</v>
      </c>
      <c r="U1070">
        <f t="shared" ca="1" si="413"/>
        <v>0.05</v>
      </c>
      <c r="V1070">
        <f t="shared" ca="1" si="414"/>
        <v>0.26</v>
      </c>
      <c r="W1070">
        <f t="shared" ca="1" si="415"/>
        <v>4.9056603773584909E-2</v>
      </c>
      <c r="X1070">
        <f t="shared" ca="1" si="416"/>
        <v>196.15384615384616</v>
      </c>
      <c r="Y1070">
        <f t="shared" ca="1" si="417"/>
        <v>632.15199999999993</v>
      </c>
      <c r="Z1070">
        <f t="shared" ca="1" si="418"/>
        <v>2593.2290316486619</v>
      </c>
      <c r="AA1070">
        <f t="shared" ca="1" si="419"/>
        <v>482.07306851378365</v>
      </c>
      <c r="AB1070">
        <f t="shared" ca="1" si="420"/>
        <v>481.77679776328841</v>
      </c>
      <c r="AC1070">
        <f t="shared" ca="1" si="421"/>
        <v>0</v>
      </c>
      <c r="AD1070">
        <f ca="1">IF(V32="Supercritical",L1070,U1070)</f>
        <v>0.05</v>
      </c>
      <c r="AE1070">
        <f t="shared" ca="1" si="422"/>
        <v>632.15199999999993</v>
      </c>
      <c r="AF1070">
        <f t="shared" ca="1" si="423"/>
        <v>2593.2290316486619</v>
      </c>
      <c r="AI1070">
        <v>0</v>
      </c>
      <c r="AJ1070">
        <v>0</v>
      </c>
      <c r="AK1070">
        <f t="shared" si="424"/>
        <v>0</v>
      </c>
      <c r="AL1070">
        <f t="shared" si="432"/>
        <v>0</v>
      </c>
      <c r="AM1070">
        <f t="shared" ca="1" si="425"/>
        <v>280.07692026646265</v>
      </c>
      <c r="AN1070" t="str">
        <f t="shared" ca="1" si="426"/>
        <v>Supercritical</v>
      </c>
      <c r="AO1070">
        <f ca="1">IF(V32="Supercritical",R1070,AA1070)</f>
        <v>482.07306851378365</v>
      </c>
    </row>
    <row r="1071" spans="1:41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174</v>
      </c>
      <c r="I1071">
        <v>5.7000000000000002E-2</v>
      </c>
      <c r="J1071">
        <f t="shared" si="427"/>
        <v>0.99900000000002365</v>
      </c>
      <c r="K1071">
        <f t="shared" si="428"/>
        <v>51</v>
      </c>
      <c r="L1071">
        <f t="shared" ca="1" si="429"/>
        <v>38818.111228490277</v>
      </c>
      <c r="M1071">
        <f t="shared" ca="1" si="407"/>
        <v>201854.17838814945</v>
      </c>
      <c r="N1071">
        <f t="shared" ca="1" si="408"/>
        <v>2.5998258661475777</v>
      </c>
      <c r="O1071">
        <f t="shared" ca="1" si="409"/>
        <v>2.5265763833697355E-4</v>
      </c>
      <c r="P1071">
        <f t="shared" ca="1" si="410"/>
        <v>39450.212728490274</v>
      </c>
      <c r="Q1071">
        <f t="shared" ca="1" si="411"/>
        <v>39450.212728493527</v>
      </c>
      <c r="R1071">
        <f t="shared" ca="1" si="412"/>
        <v>4.0178005053599232E-12</v>
      </c>
      <c r="S1071">
        <f t="shared" ca="1" si="430"/>
        <v>4.999999946448952E-4</v>
      </c>
      <c r="T1071">
        <f t="shared" ca="1" si="431"/>
        <v>1</v>
      </c>
      <c r="U1071">
        <f t="shared" ca="1" si="413"/>
        <v>0.05</v>
      </c>
      <c r="V1071">
        <f t="shared" ca="1" si="414"/>
        <v>0.26</v>
      </c>
      <c r="W1071">
        <f t="shared" ca="1" si="415"/>
        <v>4.9056603773584909E-2</v>
      </c>
      <c r="X1071">
        <f t="shared" ca="1" si="416"/>
        <v>196.15384615384616</v>
      </c>
      <c r="Y1071">
        <f t="shared" ca="1" si="417"/>
        <v>632.15149999999994</v>
      </c>
      <c r="Z1071">
        <f t="shared" ca="1" si="418"/>
        <v>2593.2285316486623</v>
      </c>
      <c r="AA1071">
        <f t="shared" ca="1" si="419"/>
        <v>482.07306851378365</v>
      </c>
      <c r="AB1071">
        <f t="shared" ca="1" si="420"/>
        <v>482.07256851378361</v>
      </c>
      <c r="AC1071">
        <f t="shared" ca="1" si="421"/>
        <v>0</v>
      </c>
      <c r="AD1071">
        <f ca="1">IF(V32="Supercritical",L1071,U1071)</f>
        <v>0.05</v>
      </c>
      <c r="AE1071">
        <f t="shared" ca="1" si="422"/>
        <v>632.15149999999994</v>
      </c>
      <c r="AF1071">
        <f t="shared" ca="1" si="423"/>
        <v>2593.2285316486623</v>
      </c>
      <c r="AI1071">
        <v>0</v>
      </c>
      <c r="AJ1071">
        <v>0</v>
      </c>
      <c r="AK1071">
        <f t="shared" si="424"/>
        <v>0</v>
      </c>
      <c r="AL1071">
        <f t="shared" si="432"/>
        <v>0</v>
      </c>
      <c r="AM1071">
        <f t="shared" ca="1" si="425"/>
        <v>280.07692026646265</v>
      </c>
      <c r="AN1071" t="str">
        <f t="shared" ca="1" si="426"/>
        <v>Supercritical</v>
      </c>
      <c r="AO1071">
        <f ca="1">IF(V32="Supercritical",R1071,AA1071)</f>
        <v>482.07306851378365</v>
      </c>
    </row>
    <row r="1072" spans="1:41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174</v>
      </c>
      <c r="I1072">
        <v>0</v>
      </c>
      <c r="J1072">
        <f t="shared" si="427"/>
        <v>1</v>
      </c>
      <c r="K1072">
        <f t="shared" si="428"/>
        <v>51</v>
      </c>
      <c r="L1072">
        <f t="shared" ca="1" si="429"/>
        <v>38818.110641533727</v>
      </c>
      <c r="M1072">
        <f t="shared" ca="1" si="407"/>
        <v>201854.17533597539</v>
      </c>
      <c r="N1072">
        <f t="shared" ca="1" si="408"/>
        <v>2.5998258661449447</v>
      </c>
      <c r="O1072">
        <f t="shared" ca="1" si="409"/>
        <v>2.5265764215733088E-4</v>
      </c>
      <c r="P1072">
        <f t="shared" ca="1" si="410"/>
        <v>39450.21164153373</v>
      </c>
      <c r="Q1072">
        <f t="shared" ca="1" si="411"/>
        <v>39450.211641536982</v>
      </c>
      <c r="R1072">
        <f t="shared" ca="1" si="412"/>
        <v>4.0178006268691669E-12</v>
      </c>
      <c r="S1072">
        <f t="shared" ca="1" si="430"/>
        <v>1.0869565376196988E-3</v>
      </c>
      <c r="T1072">
        <f t="shared" ca="1" si="431"/>
        <v>0</v>
      </c>
      <c r="U1072">
        <f t="shared" ca="1" si="413"/>
        <v>0.05</v>
      </c>
      <c r="V1072">
        <f t="shared" ca="1" si="414"/>
        <v>0.26</v>
      </c>
      <c r="W1072">
        <f t="shared" ca="1" si="415"/>
        <v>4.9056603773584909E-2</v>
      </c>
      <c r="X1072">
        <f t="shared" ca="1" si="416"/>
        <v>196.15384615384616</v>
      </c>
      <c r="Y1072">
        <f t="shared" ca="1" si="417"/>
        <v>632.15099999999995</v>
      </c>
      <c r="Z1072">
        <f t="shared" ca="1" si="418"/>
        <v>2593.2280316486622</v>
      </c>
      <c r="AA1072">
        <f t="shared" ca="1" si="419"/>
        <v>482.07306851378365</v>
      </c>
      <c r="AB1072">
        <f t="shared" ca="1" si="420"/>
        <v>482.07256851378361</v>
      </c>
      <c r="AC1072">
        <f t="shared" ca="1" si="421"/>
        <v>0</v>
      </c>
      <c r="AD1072">
        <f ca="1">IF(V32="Supercritical",L1072,U1072)</f>
        <v>0.05</v>
      </c>
      <c r="AE1072">
        <f t="shared" ca="1" si="422"/>
        <v>632.15099999999995</v>
      </c>
      <c r="AF1072">
        <f t="shared" ca="1" si="423"/>
        <v>2593.2280316486622</v>
      </c>
      <c r="AI1072">
        <v>0</v>
      </c>
      <c r="AJ1072">
        <v>0</v>
      </c>
      <c r="AK1072">
        <f t="shared" si="424"/>
        <v>0</v>
      </c>
      <c r="AL1072">
        <f t="shared" si="432"/>
        <v>0</v>
      </c>
      <c r="AM1072">
        <f t="shared" ca="1" si="425"/>
        <v>280.07692026646265</v>
      </c>
      <c r="AN1072" t="str">
        <f t="shared" ca="1" si="426"/>
        <v>Supercritical</v>
      </c>
      <c r="AO1072">
        <f ca="1">IF(V32="Supercritical",R1072,AA1072)</f>
        <v>482.07306851378365</v>
      </c>
    </row>
    <row r="1073" spans="1:41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174</v>
      </c>
      <c r="I1073">
        <v>0</v>
      </c>
      <c r="J1073">
        <f t="shared" si="427"/>
        <v>1</v>
      </c>
      <c r="K1073">
        <f t="shared" si="428"/>
        <v>51</v>
      </c>
      <c r="L1073">
        <f t="shared" ca="1" si="429"/>
        <v>38818.110641533727</v>
      </c>
      <c r="M1073">
        <f t="shared" ca="1" si="407"/>
        <v>201854.17533597539</v>
      </c>
      <c r="N1073">
        <f t="shared" ca="1" si="408"/>
        <v>2.5998258661449447</v>
      </c>
      <c r="O1073">
        <f t="shared" ca="1" si="409"/>
        <v>2.5265764215733088E-4</v>
      </c>
      <c r="P1073">
        <f t="shared" ca="1" si="410"/>
        <v>39450.211141533728</v>
      </c>
      <c r="Q1073">
        <f t="shared" ca="1" si="411"/>
        <v>39450.21114153698</v>
      </c>
      <c r="R1073">
        <f t="shared" ca="1" si="412"/>
        <v>4.0178006268691669E-12</v>
      </c>
      <c r="S1073">
        <f t="shared" ca="1" si="430"/>
        <v>4.999999946448952E-4</v>
      </c>
      <c r="T1073">
        <f t="shared" ca="1" si="431"/>
        <v>1</v>
      </c>
      <c r="U1073">
        <f t="shared" ca="1" si="413"/>
        <v>0.05</v>
      </c>
      <c r="V1073">
        <f t="shared" ca="1" si="414"/>
        <v>0.26</v>
      </c>
      <c r="W1073">
        <f t="shared" ca="1" si="415"/>
        <v>4.9056603773584909E-2</v>
      </c>
      <c r="X1073">
        <f t="shared" ca="1" si="416"/>
        <v>196.15384615384616</v>
      </c>
      <c r="Y1073">
        <f t="shared" ca="1" si="417"/>
        <v>632.15049999999997</v>
      </c>
      <c r="Z1073">
        <f t="shared" ca="1" si="418"/>
        <v>2593.2275316486621</v>
      </c>
      <c r="AA1073">
        <f t="shared" ca="1" si="419"/>
        <v>482.07306851378365</v>
      </c>
      <c r="AB1073">
        <f t="shared" ca="1" si="420"/>
        <v>482.25887083179032</v>
      </c>
      <c r="AC1073">
        <f t="shared" ca="1" si="421"/>
        <v>0</v>
      </c>
      <c r="AD1073">
        <f ca="1">IF(V32="Supercritical",L1073,U1073)</f>
        <v>0.05</v>
      </c>
      <c r="AE1073">
        <f t="shared" ca="1" si="422"/>
        <v>632.15049999999997</v>
      </c>
      <c r="AF1073">
        <f t="shared" ca="1" si="423"/>
        <v>2593.2275316486621</v>
      </c>
      <c r="AI1073">
        <v>0</v>
      </c>
      <c r="AJ1073">
        <v>0</v>
      </c>
      <c r="AK1073">
        <f t="shared" si="424"/>
        <v>0</v>
      </c>
      <c r="AL1073">
        <f t="shared" si="432"/>
        <v>0</v>
      </c>
      <c r="AM1073">
        <f t="shared" ca="1" si="425"/>
        <v>280.07692026646265</v>
      </c>
      <c r="AN1073" t="str">
        <f t="shared" ca="1" si="426"/>
        <v>Supercritical</v>
      </c>
      <c r="AO1073">
        <f ca="1">IF(V32="Supercritical",R1073,AA1073)</f>
        <v>482.07306851378365</v>
      </c>
    </row>
    <row r="1074" spans="1:41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174</v>
      </c>
      <c r="I1074">
        <v>5.7000000000000002E-2</v>
      </c>
      <c r="J1074">
        <f t="shared" si="427"/>
        <v>1</v>
      </c>
      <c r="K1074">
        <f t="shared" si="428"/>
        <v>51</v>
      </c>
      <c r="L1074">
        <f t="shared" ca="1" si="429"/>
        <v>38818.110054577191</v>
      </c>
      <c r="M1074">
        <f t="shared" ca="1" si="407"/>
        <v>201854.1722838014</v>
      </c>
      <c r="N1074">
        <f t="shared" ca="1" si="408"/>
        <v>2.5998258661423117</v>
      </c>
      <c r="O1074">
        <f t="shared" ca="1" si="409"/>
        <v>2.5265764597768832E-4</v>
      </c>
      <c r="P1074">
        <f t="shared" ca="1" si="410"/>
        <v>39450.21005457719</v>
      </c>
      <c r="Q1074">
        <f t="shared" ca="1" si="411"/>
        <v>39450.210054580442</v>
      </c>
      <c r="R1074">
        <f t="shared" ca="1" si="412"/>
        <v>4.0178007483784163E-12</v>
      </c>
      <c r="S1074">
        <f t="shared" ca="1" si="430"/>
        <v>1.0869565303437412E-3</v>
      </c>
      <c r="T1074">
        <f t="shared" ca="1" si="431"/>
        <v>0</v>
      </c>
      <c r="U1074">
        <f t="shared" ca="1" si="413"/>
        <v>0.05</v>
      </c>
      <c r="V1074">
        <f t="shared" ca="1" si="414"/>
        <v>0.26</v>
      </c>
      <c r="W1074">
        <f t="shared" ca="1" si="415"/>
        <v>4.9056603773584909E-2</v>
      </c>
      <c r="X1074">
        <f t="shared" ca="1" si="416"/>
        <v>196.15384615384616</v>
      </c>
      <c r="Y1074">
        <f t="shared" ca="1" si="417"/>
        <v>632.15</v>
      </c>
      <c r="Z1074">
        <f t="shared" ca="1" si="418"/>
        <v>2593.227031648662</v>
      </c>
      <c r="AA1074">
        <f t="shared" ca="1" si="419"/>
        <v>482.07306851378365</v>
      </c>
      <c r="AB1074">
        <f t="shared" ca="1" si="420"/>
        <v>482.25887083179032</v>
      </c>
      <c r="AC1074">
        <f t="shared" ca="1" si="421"/>
        <v>0</v>
      </c>
      <c r="AD1074">
        <f ca="1">IF(V32="Supercritical",L1074,U1074)</f>
        <v>0.05</v>
      </c>
      <c r="AE1074">
        <f t="shared" ca="1" si="422"/>
        <v>632.15</v>
      </c>
      <c r="AF1074">
        <f t="shared" ca="1" si="423"/>
        <v>2593.227031648662</v>
      </c>
      <c r="AI1074">
        <v>0</v>
      </c>
      <c r="AJ1074">
        <v>0</v>
      </c>
      <c r="AK1074">
        <f t="shared" si="424"/>
        <v>0</v>
      </c>
      <c r="AL1074">
        <f t="shared" si="432"/>
        <v>0</v>
      </c>
      <c r="AM1074">
        <f t="shared" ca="1" si="425"/>
        <v>280.07692026646265</v>
      </c>
      <c r="AN1074" t="str">
        <f t="shared" ca="1" si="426"/>
        <v>Supercritical</v>
      </c>
      <c r="AO1074">
        <f ca="1">IF(V32="Supercritical",R1074,AA1074)</f>
        <v>482.07306851378365</v>
      </c>
    </row>
    <row r="1075" spans="1:41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174</v>
      </c>
      <c r="I1075">
        <v>5.7000000000000002E-2</v>
      </c>
      <c r="J1075">
        <f t="shared" si="427"/>
        <v>1</v>
      </c>
      <c r="K1075">
        <f t="shared" si="428"/>
        <v>51</v>
      </c>
      <c r="L1075">
        <f t="shared" ca="1" si="429"/>
        <v>38818.110054577191</v>
      </c>
      <c r="M1075">
        <f t="shared" ca="1" si="407"/>
        <v>201854.1722838014</v>
      </c>
      <c r="N1075">
        <f t="shared" ca="1" si="408"/>
        <v>2.5998258661423117</v>
      </c>
      <c r="O1075">
        <f t="shared" ca="1" si="409"/>
        <v>2.5265764597768832E-4</v>
      </c>
      <c r="P1075">
        <f t="shared" ca="1" si="410"/>
        <v>39450.209554577188</v>
      </c>
      <c r="Q1075">
        <f t="shared" ca="1" si="411"/>
        <v>39450.20955458044</v>
      </c>
      <c r="R1075">
        <f t="shared" ca="1" si="412"/>
        <v>4.0178007483784163E-12</v>
      </c>
      <c r="S1075">
        <f t="shared" ca="1" si="430"/>
        <v>4.999999946448952E-4</v>
      </c>
      <c r="T1075">
        <f t="shared" ca="1" si="431"/>
        <v>1</v>
      </c>
      <c r="U1075">
        <f t="shared" ca="1" si="413"/>
        <v>0.05</v>
      </c>
      <c r="V1075">
        <f t="shared" ca="1" si="414"/>
        <v>0.26</v>
      </c>
      <c r="W1075">
        <f t="shared" ca="1" si="415"/>
        <v>4.9056603773584909E-2</v>
      </c>
      <c r="X1075">
        <f t="shared" ca="1" si="416"/>
        <v>196.15384615384616</v>
      </c>
      <c r="Y1075">
        <f t="shared" ca="1" si="417"/>
        <v>632.14949999999999</v>
      </c>
      <c r="Z1075">
        <f t="shared" ca="1" si="418"/>
        <v>2593.2265316486619</v>
      </c>
      <c r="AA1075">
        <f t="shared" ca="1" si="419"/>
        <v>482.07306851378365</v>
      </c>
      <c r="AB1075">
        <f t="shared" ca="1" si="420"/>
        <v>482.07256851378406</v>
      </c>
      <c r="AC1075">
        <f t="shared" ca="1" si="421"/>
        <v>0</v>
      </c>
      <c r="AD1075">
        <f ca="1">IF(V32="Supercritical",L1075,U1075)</f>
        <v>0.05</v>
      </c>
      <c r="AE1075">
        <f t="shared" ca="1" si="422"/>
        <v>632.14949999999999</v>
      </c>
      <c r="AF1075">
        <f t="shared" ca="1" si="423"/>
        <v>2593.2265316486619</v>
      </c>
      <c r="AI1075">
        <v>0</v>
      </c>
      <c r="AJ1075">
        <v>0</v>
      </c>
      <c r="AK1075">
        <f t="shared" si="424"/>
        <v>0</v>
      </c>
      <c r="AL1075">
        <f t="shared" si="432"/>
        <v>0</v>
      </c>
      <c r="AM1075">
        <f t="shared" ca="1" si="425"/>
        <v>280.07692026646265</v>
      </c>
      <c r="AN1075" t="str">
        <f t="shared" ca="1" si="426"/>
        <v>Supercritical</v>
      </c>
      <c r="AO1075">
        <f ca="1">IF(V32="Supercritical",R1075,AA1075)</f>
        <v>482.07306851378365</v>
      </c>
    </row>
    <row r="1076" spans="1:41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174</v>
      </c>
      <c r="I1076">
        <v>0</v>
      </c>
      <c r="J1076">
        <f t="shared" si="427"/>
        <v>1</v>
      </c>
      <c r="K1076">
        <f t="shared" si="428"/>
        <v>51</v>
      </c>
      <c r="L1076">
        <f t="shared" ca="1" si="429"/>
        <v>38818.109467620641</v>
      </c>
      <c r="M1076">
        <f t="shared" ca="1" si="407"/>
        <v>201854.16923162734</v>
      </c>
      <c r="N1076">
        <f t="shared" ca="1" si="408"/>
        <v>2.5998258661396791</v>
      </c>
      <c r="O1076">
        <f t="shared" ca="1" si="409"/>
        <v>2.5265764979804593E-4</v>
      </c>
      <c r="P1076">
        <f t="shared" ca="1" si="410"/>
        <v>39450.208467620643</v>
      </c>
      <c r="Q1076">
        <f t="shared" ca="1" si="411"/>
        <v>39450.208467623896</v>
      </c>
      <c r="R1076">
        <f t="shared" ca="1" si="412"/>
        <v>4.017800869887669E-12</v>
      </c>
      <c r="S1076">
        <f t="shared" ca="1" si="430"/>
        <v>1.0869565376196988E-3</v>
      </c>
      <c r="T1076">
        <f t="shared" ca="1" si="431"/>
        <v>0</v>
      </c>
      <c r="U1076">
        <f t="shared" ca="1" si="413"/>
        <v>0.05</v>
      </c>
      <c r="V1076">
        <f t="shared" ca="1" si="414"/>
        <v>0.26</v>
      </c>
      <c r="W1076">
        <f t="shared" ca="1" si="415"/>
        <v>4.9056603773584909E-2</v>
      </c>
      <c r="X1076">
        <f t="shared" ca="1" si="416"/>
        <v>196.15384615384616</v>
      </c>
      <c r="Y1076">
        <f t="shared" ca="1" si="417"/>
        <v>632.149</v>
      </c>
      <c r="Z1076">
        <f t="shared" ca="1" si="418"/>
        <v>2593.2260316486622</v>
      </c>
      <c r="AA1076">
        <f t="shared" ca="1" si="419"/>
        <v>482.07306851378365</v>
      </c>
      <c r="AB1076">
        <f t="shared" ca="1" si="420"/>
        <v>482.07910543722255</v>
      </c>
      <c r="AC1076">
        <f t="shared" ca="1" si="421"/>
        <v>0</v>
      </c>
      <c r="AD1076">
        <f ca="1">IF(V32="Supercritical",L1076,U1076)</f>
        <v>0.05</v>
      </c>
      <c r="AE1076">
        <f t="shared" ca="1" si="422"/>
        <v>632.149</v>
      </c>
      <c r="AF1076">
        <f t="shared" ca="1" si="423"/>
        <v>2593.2260316486622</v>
      </c>
      <c r="AI1076">
        <v>0</v>
      </c>
      <c r="AJ1076">
        <v>0</v>
      </c>
      <c r="AK1076">
        <f t="shared" si="424"/>
        <v>0</v>
      </c>
      <c r="AL1076">
        <f t="shared" si="432"/>
        <v>0</v>
      </c>
      <c r="AM1076">
        <f t="shared" ca="1" si="425"/>
        <v>280.07692026646265</v>
      </c>
      <c r="AN1076" t="str">
        <f t="shared" ca="1" si="426"/>
        <v>Supercritical</v>
      </c>
      <c r="AO1076">
        <f ca="1">IF(V32="Supercritical",R1076,AA1076)</f>
        <v>482.07306851378365</v>
      </c>
    </row>
    <row r="1077" spans="1:41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174</v>
      </c>
      <c r="I1077">
        <v>2E-3</v>
      </c>
      <c r="J1077">
        <f t="shared" si="427"/>
        <v>1</v>
      </c>
      <c r="K1077">
        <f t="shared" si="428"/>
        <v>51</v>
      </c>
      <c r="L1077">
        <f t="shared" ca="1" si="429"/>
        <v>38818.109467620641</v>
      </c>
      <c r="M1077">
        <f t="shared" ca="1" si="407"/>
        <v>201854.16923162734</v>
      </c>
      <c r="N1077">
        <f t="shared" ca="1" si="408"/>
        <v>2.5998258661396791</v>
      </c>
      <c r="O1077">
        <f t="shared" ca="1" si="409"/>
        <v>2.5265764979804593E-4</v>
      </c>
      <c r="P1077">
        <f t="shared" ca="1" si="410"/>
        <v>39450.207967620641</v>
      </c>
      <c r="Q1077">
        <f t="shared" ca="1" si="411"/>
        <v>39450.207967623894</v>
      </c>
      <c r="R1077">
        <f t="shared" ca="1" si="412"/>
        <v>4.017800869887669E-12</v>
      </c>
      <c r="S1077">
        <f t="shared" ca="1" si="430"/>
        <v>4.999999946448952E-4</v>
      </c>
      <c r="T1077">
        <f t="shared" ca="1" si="431"/>
        <v>1</v>
      </c>
      <c r="U1077">
        <f t="shared" ca="1" si="413"/>
        <v>0.05</v>
      </c>
      <c r="V1077">
        <f t="shared" ca="1" si="414"/>
        <v>0.26</v>
      </c>
      <c r="W1077">
        <f t="shared" ca="1" si="415"/>
        <v>4.9056603773584909E-2</v>
      </c>
      <c r="X1077">
        <f t="shared" ca="1" si="416"/>
        <v>196.15384615384616</v>
      </c>
      <c r="Y1077">
        <f t="shared" ca="1" si="417"/>
        <v>632.1484999999999</v>
      </c>
      <c r="Z1077">
        <f t="shared" ca="1" si="418"/>
        <v>2593.2255316486621</v>
      </c>
      <c r="AA1077">
        <f t="shared" ca="1" si="419"/>
        <v>482.07306851378365</v>
      </c>
      <c r="AB1077">
        <f t="shared" ca="1" si="420"/>
        <v>482.75074928545064</v>
      </c>
      <c r="AC1077">
        <f t="shared" ca="1" si="421"/>
        <v>0</v>
      </c>
      <c r="AD1077">
        <f ca="1">IF(V32="Supercritical",L1077,U1077)</f>
        <v>0.05</v>
      </c>
      <c r="AE1077">
        <f t="shared" ca="1" si="422"/>
        <v>632.1484999999999</v>
      </c>
      <c r="AF1077">
        <f t="shared" ca="1" si="423"/>
        <v>2593.2255316486621</v>
      </c>
      <c r="AI1077">
        <v>0</v>
      </c>
      <c r="AJ1077">
        <v>0</v>
      </c>
      <c r="AK1077">
        <f t="shared" si="424"/>
        <v>0</v>
      </c>
      <c r="AL1077">
        <f t="shared" si="432"/>
        <v>0</v>
      </c>
      <c r="AM1077">
        <f t="shared" ca="1" si="425"/>
        <v>280.07692026646265</v>
      </c>
      <c r="AN1077" t="str">
        <f t="shared" ca="1" si="426"/>
        <v>Supercritical</v>
      </c>
      <c r="AO1077">
        <f ca="1">IF(V32="Supercritical",R1077,AA1077)</f>
        <v>482.07306851378365</v>
      </c>
    </row>
    <row r="1078" spans="1:41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174</v>
      </c>
      <c r="I1078">
        <v>0.06</v>
      </c>
      <c r="J1078">
        <f t="shared" si="427"/>
        <v>1.0009999999999764</v>
      </c>
      <c r="K1078">
        <f t="shared" si="428"/>
        <v>51</v>
      </c>
      <c r="L1078">
        <f t="shared" ca="1" si="429"/>
        <v>38818.108880664135</v>
      </c>
      <c r="M1078">
        <f t="shared" ca="1" si="407"/>
        <v>201854.16617945352</v>
      </c>
      <c r="N1078">
        <f t="shared" ca="1" si="408"/>
        <v>2.5998258661370466</v>
      </c>
      <c r="O1078">
        <f t="shared" ca="1" si="409"/>
        <v>2.5265765361840337E-4</v>
      </c>
      <c r="P1078">
        <f t="shared" ca="1" si="410"/>
        <v>39450.206880664133</v>
      </c>
      <c r="Q1078">
        <f t="shared" ca="1" si="411"/>
        <v>39450.206880667385</v>
      </c>
      <c r="R1078">
        <f t="shared" ca="1" si="412"/>
        <v>4.01780099139692E-12</v>
      </c>
      <c r="S1078">
        <f t="shared" ca="1" si="430"/>
        <v>1.0869565012399107E-3</v>
      </c>
      <c r="T1078">
        <f t="shared" ca="1" si="431"/>
        <v>0</v>
      </c>
      <c r="U1078">
        <f t="shared" ca="1" si="413"/>
        <v>0.05</v>
      </c>
      <c r="V1078">
        <f t="shared" ca="1" si="414"/>
        <v>0.26</v>
      </c>
      <c r="W1078">
        <f t="shared" ca="1" si="415"/>
        <v>4.9056603773584909E-2</v>
      </c>
      <c r="X1078">
        <f t="shared" ca="1" si="416"/>
        <v>196.15384615384616</v>
      </c>
      <c r="Y1078">
        <f t="shared" ca="1" si="417"/>
        <v>632.14799999999991</v>
      </c>
      <c r="Z1078">
        <f t="shared" ca="1" si="418"/>
        <v>2593.225031648662</v>
      </c>
      <c r="AA1078">
        <f t="shared" ca="1" si="419"/>
        <v>482.07306851378365</v>
      </c>
      <c r="AB1078">
        <f t="shared" ca="1" si="420"/>
        <v>482.25887083179032</v>
      </c>
      <c r="AC1078">
        <f t="shared" ca="1" si="421"/>
        <v>0</v>
      </c>
      <c r="AD1078">
        <f ca="1">IF(V32="Supercritical",L1078,U1078)</f>
        <v>0.05</v>
      </c>
      <c r="AE1078">
        <f t="shared" ca="1" si="422"/>
        <v>632.14799999999991</v>
      </c>
      <c r="AF1078">
        <f t="shared" ca="1" si="423"/>
        <v>2593.225031648662</v>
      </c>
      <c r="AI1078">
        <v>0</v>
      </c>
      <c r="AJ1078">
        <v>0</v>
      </c>
      <c r="AK1078">
        <f t="shared" si="424"/>
        <v>0</v>
      </c>
      <c r="AL1078">
        <f t="shared" si="432"/>
        <v>0</v>
      </c>
      <c r="AM1078">
        <f t="shared" ca="1" si="425"/>
        <v>280.07692026646265</v>
      </c>
      <c r="AN1078" t="str">
        <f t="shared" ca="1" si="426"/>
        <v>Supercritical</v>
      </c>
      <c r="AO1078">
        <f ca="1">IF(V32="Supercritical",R1078,AA1078)</f>
        <v>482.07306851378365</v>
      </c>
    </row>
    <row r="1079" spans="1:41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174</v>
      </c>
      <c r="I1079">
        <v>5.7000000000000002E-2</v>
      </c>
      <c r="J1079">
        <f t="shared" si="427"/>
        <v>1</v>
      </c>
      <c r="K1079">
        <f t="shared" si="428"/>
        <v>51</v>
      </c>
      <c r="L1079">
        <f t="shared" ca="1" si="429"/>
        <v>38818.108880664135</v>
      </c>
      <c r="M1079">
        <f t="shared" ca="1" si="407"/>
        <v>201854.16617945352</v>
      </c>
      <c r="N1079">
        <f t="shared" ca="1" si="408"/>
        <v>2.5998258661370466</v>
      </c>
      <c r="O1079">
        <f t="shared" ca="1" si="409"/>
        <v>2.5265765361840337E-4</v>
      </c>
      <c r="P1079">
        <f t="shared" ca="1" si="410"/>
        <v>39450.206380664138</v>
      </c>
      <c r="Q1079">
        <f t="shared" ca="1" si="411"/>
        <v>39450.20638066739</v>
      </c>
      <c r="R1079">
        <f t="shared" ca="1" si="412"/>
        <v>4.01780099139692E-12</v>
      </c>
      <c r="S1079">
        <f t="shared" ca="1" si="430"/>
        <v>4.9999998736893758E-4</v>
      </c>
      <c r="T1079">
        <f t="shared" ca="1" si="431"/>
        <v>1</v>
      </c>
      <c r="U1079">
        <f t="shared" ca="1" si="413"/>
        <v>0.05</v>
      </c>
      <c r="V1079">
        <f t="shared" ca="1" si="414"/>
        <v>0.26</v>
      </c>
      <c r="W1079">
        <f t="shared" ca="1" si="415"/>
        <v>4.9056603773584909E-2</v>
      </c>
      <c r="X1079">
        <f t="shared" ca="1" si="416"/>
        <v>196.15384615384616</v>
      </c>
      <c r="Y1079">
        <f t="shared" ca="1" si="417"/>
        <v>632.14749999999992</v>
      </c>
      <c r="Z1079">
        <f t="shared" ca="1" si="418"/>
        <v>2593.2245316486619</v>
      </c>
      <c r="AA1079">
        <f t="shared" ca="1" si="419"/>
        <v>482.07306851378365</v>
      </c>
      <c r="AB1079">
        <f t="shared" ca="1" si="420"/>
        <v>481.5904954452817</v>
      </c>
      <c r="AC1079">
        <f t="shared" ca="1" si="421"/>
        <v>0</v>
      </c>
      <c r="AD1079">
        <f ca="1">IF(V32="Supercritical",L1079,U1079)</f>
        <v>0.05</v>
      </c>
      <c r="AE1079">
        <f t="shared" ca="1" si="422"/>
        <v>632.14749999999992</v>
      </c>
      <c r="AF1079">
        <f t="shared" ca="1" si="423"/>
        <v>2593.2245316486619</v>
      </c>
      <c r="AI1079">
        <v>0</v>
      </c>
      <c r="AJ1079">
        <v>0</v>
      </c>
      <c r="AK1079">
        <f t="shared" si="424"/>
        <v>0</v>
      </c>
      <c r="AL1079">
        <f t="shared" si="432"/>
        <v>0</v>
      </c>
      <c r="AM1079">
        <f t="shared" ca="1" si="425"/>
        <v>280.07692026646265</v>
      </c>
      <c r="AN1079" t="str">
        <f t="shared" ca="1" si="426"/>
        <v>Supercritical</v>
      </c>
      <c r="AO1079">
        <f ca="1">IF(V32="Supercritical",R1079,AA1079)</f>
        <v>482.07306851378365</v>
      </c>
    </row>
    <row r="1080" spans="1:41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174</v>
      </c>
      <c r="I1080">
        <v>0</v>
      </c>
      <c r="J1080">
        <f t="shared" si="427"/>
        <v>0.99900000000002365</v>
      </c>
      <c r="K1080">
        <f t="shared" si="428"/>
        <v>51</v>
      </c>
      <c r="L1080">
        <f t="shared" ca="1" si="429"/>
        <v>38818.108293707628</v>
      </c>
      <c r="M1080">
        <f t="shared" ca="1" si="407"/>
        <v>201854.16312727967</v>
      </c>
      <c r="N1080">
        <f t="shared" ca="1" si="408"/>
        <v>2.5998258661344131</v>
      </c>
      <c r="O1080">
        <f t="shared" ca="1" si="409"/>
        <v>2.5265765743876097E-4</v>
      </c>
      <c r="P1080">
        <f t="shared" ca="1" si="410"/>
        <v>39450.20529370763</v>
      </c>
      <c r="Q1080">
        <f t="shared" ca="1" si="411"/>
        <v>39450.205293710882</v>
      </c>
      <c r="R1080">
        <f t="shared" ca="1" si="412"/>
        <v>4.0178011129061783E-12</v>
      </c>
      <c r="S1080">
        <f t="shared" ca="1" si="430"/>
        <v>1.0869565012399107E-3</v>
      </c>
      <c r="T1080">
        <f t="shared" ca="1" si="431"/>
        <v>0</v>
      </c>
      <c r="U1080">
        <f t="shared" ca="1" si="413"/>
        <v>0.05</v>
      </c>
      <c r="V1080">
        <f t="shared" ca="1" si="414"/>
        <v>0.26</v>
      </c>
      <c r="W1080">
        <f t="shared" ca="1" si="415"/>
        <v>4.9056603773584909E-2</v>
      </c>
      <c r="X1080">
        <f t="shared" ca="1" si="416"/>
        <v>196.15384615384616</v>
      </c>
      <c r="Y1080">
        <f t="shared" ca="1" si="417"/>
        <v>632.14699999999993</v>
      </c>
      <c r="Z1080">
        <f t="shared" ca="1" si="418"/>
        <v>2593.2240316486623</v>
      </c>
      <c r="AA1080">
        <f t="shared" ca="1" si="419"/>
        <v>482.07306851378365</v>
      </c>
      <c r="AB1080">
        <f t="shared" ca="1" si="420"/>
        <v>482.07256851378361</v>
      </c>
      <c r="AC1080">
        <f t="shared" ca="1" si="421"/>
        <v>0</v>
      </c>
      <c r="AD1080">
        <f ca="1">IF(V32="Supercritical",L1080,U1080)</f>
        <v>0.05</v>
      </c>
      <c r="AE1080">
        <f t="shared" ca="1" si="422"/>
        <v>632.14699999999993</v>
      </c>
      <c r="AF1080">
        <f t="shared" ca="1" si="423"/>
        <v>2593.2240316486623</v>
      </c>
      <c r="AI1080">
        <v>0</v>
      </c>
      <c r="AJ1080">
        <v>0</v>
      </c>
      <c r="AK1080">
        <f t="shared" si="424"/>
        <v>0</v>
      </c>
      <c r="AL1080">
        <f t="shared" si="432"/>
        <v>0</v>
      </c>
      <c r="AM1080">
        <f t="shared" ca="1" si="425"/>
        <v>280.07692026646265</v>
      </c>
      <c r="AN1080" t="str">
        <f t="shared" ca="1" si="426"/>
        <v>Supercritical</v>
      </c>
      <c r="AO1080">
        <f ca="1">IF(V32="Supercritical",R1080,AA1080)</f>
        <v>482.07306851378365</v>
      </c>
    </row>
    <row r="1081" spans="1:41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174</v>
      </c>
      <c r="I1081">
        <v>0</v>
      </c>
      <c r="J1081">
        <f t="shared" si="427"/>
        <v>1</v>
      </c>
      <c r="K1081">
        <f t="shared" si="428"/>
        <v>51</v>
      </c>
      <c r="L1081">
        <f t="shared" ca="1" si="429"/>
        <v>38818.108293707628</v>
      </c>
      <c r="M1081">
        <f t="shared" ca="1" si="407"/>
        <v>201854.16312727967</v>
      </c>
      <c r="N1081">
        <f t="shared" ca="1" si="408"/>
        <v>2.5998258661344131</v>
      </c>
      <c r="O1081">
        <f t="shared" ca="1" si="409"/>
        <v>2.5265765743876097E-4</v>
      </c>
      <c r="P1081">
        <f t="shared" ca="1" si="410"/>
        <v>39450.204793707628</v>
      </c>
      <c r="Q1081">
        <f t="shared" ca="1" si="411"/>
        <v>39450.20479371088</v>
      </c>
      <c r="R1081">
        <f t="shared" ca="1" si="412"/>
        <v>4.0178011129061783E-12</v>
      </c>
      <c r="S1081">
        <f t="shared" ca="1" si="430"/>
        <v>4.999999946448952E-4</v>
      </c>
      <c r="T1081">
        <f t="shared" ca="1" si="431"/>
        <v>1</v>
      </c>
      <c r="U1081">
        <f t="shared" ca="1" si="413"/>
        <v>0.05</v>
      </c>
      <c r="V1081">
        <f t="shared" ca="1" si="414"/>
        <v>0.26</v>
      </c>
      <c r="W1081">
        <f t="shared" ca="1" si="415"/>
        <v>4.9056603773584909E-2</v>
      </c>
      <c r="X1081">
        <f t="shared" ca="1" si="416"/>
        <v>196.15384615384616</v>
      </c>
      <c r="Y1081">
        <f t="shared" ca="1" si="417"/>
        <v>632.14649999999995</v>
      </c>
      <c r="Z1081">
        <f t="shared" ca="1" si="418"/>
        <v>2593.2235316486622</v>
      </c>
      <c r="AA1081">
        <f t="shared" ca="1" si="419"/>
        <v>482.07306851378365</v>
      </c>
      <c r="AB1081">
        <f t="shared" ca="1" si="420"/>
        <v>482.25887083179032</v>
      </c>
      <c r="AC1081">
        <f t="shared" ca="1" si="421"/>
        <v>0</v>
      </c>
      <c r="AD1081">
        <f ca="1">IF(V32="Supercritical",L1081,U1081)</f>
        <v>0.05</v>
      </c>
      <c r="AE1081">
        <f t="shared" ca="1" si="422"/>
        <v>632.14649999999995</v>
      </c>
      <c r="AF1081">
        <f t="shared" ca="1" si="423"/>
        <v>2593.2235316486622</v>
      </c>
      <c r="AI1081">
        <v>0</v>
      </c>
      <c r="AJ1081">
        <v>0</v>
      </c>
      <c r="AK1081">
        <f t="shared" si="424"/>
        <v>0</v>
      </c>
      <c r="AL1081">
        <f t="shared" si="432"/>
        <v>0</v>
      </c>
      <c r="AM1081">
        <f t="shared" ca="1" si="425"/>
        <v>280.07692026646265</v>
      </c>
      <c r="AN1081" t="str">
        <f t="shared" ca="1" si="426"/>
        <v>Supercritical</v>
      </c>
      <c r="AO1081">
        <f ca="1">IF(V32="Supercritical",R1081,AA1081)</f>
        <v>482.07306851378365</v>
      </c>
    </row>
    <row r="1082" spans="1:41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174</v>
      </c>
      <c r="I1082">
        <v>5.7000000000000002E-2</v>
      </c>
      <c r="J1082">
        <f t="shared" si="427"/>
        <v>1</v>
      </c>
      <c r="K1082">
        <f t="shared" si="428"/>
        <v>51</v>
      </c>
      <c r="L1082">
        <f t="shared" ca="1" si="429"/>
        <v>38818.107706751121</v>
      </c>
      <c r="M1082">
        <f t="shared" ca="1" si="407"/>
        <v>201854.16007510584</v>
      </c>
      <c r="N1082">
        <f t="shared" ca="1" si="408"/>
        <v>2.5998258661317806</v>
      </c>
      <c r="O1082">
        <f t="shared" ca="1" si="409"/>
        <v>2.5265766125911863E-4</v>
      </c>
      <c r="P1082">
        <f t="shared" ca="1" si="410"/>
        <v>39450.203706751119</v>
      </c>
      <c r="Q1082">
        <f t="shared" ca="1" si="411"/>
        <v>39450.203706754372</v>
      </c>
      <c r="R1082">
        <f t="shared" ca="1" si="412"/>
        <v>4.0178012344154399E-12</v>
      </c>
      <c r="S1082">
        <f t="shared" ca="1" si="430"/>
        <v>1.0869565012399107E-3</v>
      </c>
      <c r="T1082">
        <f t="shared" ca="1" si="431"/>
        <v>0</v>
      </c>
      <c r="U1082">
        <f t="shared" ca="1" si="413"/>
        <v>0.05</v>
      </c>
      <c r="V1082">
        <f t="shared" ca="1" si="414"/>
        <v>0.26</v>
      </c>
      <c r="W1082">
        <f t="shared" ca="1" si="415"/>
        <v>4.9056603773584909E-2</v>
      </c>
      <c r="X1082">
        <f t="shared" ca="1" si="416"/>
        <v>196.15384615384616</v>
      </c>
      <c r="Y1082">
        <f t="shared" ca="1" si="417"/>
        <v>632.14599999999996</v>
      </c>
      <c r="Z1082">
        <f t="shared" ca="1" si="418"/>
        <v>2593.2230316486621</v>
      </c>
      <c r="AA1082">
        <f t="shared" ca="1" si="419"/>
        <v>482.07306851378365</v>
      </c>
      <c r="AB1082">
        <f t="shared" ca="1" si="420"/>
        <v>482.25887083179032</v>
      </c>
      <c r="AC1082">
        <f t="shared" ca="1" si="421"/>
        <v>0</v>
      </c>
      <c r="AD1082">
        <f ca="1">IF(V32="Supercritical",L1082,U1082)</f>
        <v>0.05</v>
      </c>
      <c r="AE1082">
        <f t="shared" ca="1" si="422"/>
        <v>632.14599999999996</v>
      </c>
      <c r="AF1082">
        <f t="shared" ca="1" si="423"/>
        <v>2593.2230316486621</v>
      </c>
      <c r="AI1082">
        <v>0</v>
      </c>
      <c r="AJ1082">
        <v>0</v>
      </c>
      <c r="AK1082">
        <f t="shared" si="424"/>
        <v>0</v>
      </c>
      <c r="AL1082">
        <f t="shared" si="432"/>
        <v>0</v>
      </c>
      <c r="AM1082">
        <f t="shared" ca="1" si="425"/>
        <v>280.07692026646265</v>
      </c>
      <c r="AN1082" t="str">
        <f t="shared" ca="1" si="426"/>
        <v>Supercritical</v>
      </c>
      <c r="AO1082">
        <f ca="1">IF(V32="Supercritical",R1082,AA1082)</f>
        <v>482.07306851378365</v>
      </c>
    </row>
    <row r="1083" spans="1:41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174</v>
      </c>
      <c r="I1083">
        <v>5.7000000000000002E-2</v>
      </c>
      <c r="J1083">
        <f t="shared" si="427"/>
        <v>1</v>
      </c>
      <c r="K1083">
        <f t="shared" si="428"/>
        <v>51</v>
      </c>
      <c r="L1083">
        <f t="shared" ca="1" si="429"/>
        <v>38818.107706751121</v>
      </c>
      <c r="M1083">
        <f t="shared" ca="1" si="407"/>
        <v>201854.16007510584</v>
      </c>
      <c r="N1083">
        <f t="shared" ca="1" si="408"/>
        <v>2.5998258661317806</v>
      </c>
      <c r="O1083">
        <f t="shared" ca="1" si="409"/>
        <v>2.5265766125911863E-4</v>
      </c>
      <c r="P1083">
        <f t="shared" ca="1" si="410"/>
        <v>39450.203206751125</v>
      </c>
      <c r="Q1083">
        <f t="shared" ca="1" si="411"/>
        <v>39450.203206754377</v>
      </c>
      <c r="R1083">
        <f t="shared" ca="1" si="412"/>
        <v>4.0178012344154399E-12</v>
      </c>
      <c r="S1083">
        <f t="shared" ca="1" si="430"/>
        <v>4.9999998736893758E-4</v>
      </c>
      <c r="T1083">
        <f t="shared" ca="1" si="431"/>
        <v>1</v>
      </c>
      <c r="U1083">
        <f t="shared" ca="1" si="413"/>
        <v>0.05</v>
      </c>
      <c r="V1083">
        <f t="shared" ca="1" si="414"/>
        <v>0.26</v>
      </c>
      <c r="W1083">
        <f t="shared" ca="1" si="415"/>
        <v>4.9056603773584909E-2</v>
      </c>
      <c r="X1083">
        <f t="shared" ca="1" si="416"/>
        <v>196.15384615384616</v>
      </c>
      <c r="Y1083">
        <f t="shared" ca="1" si="417"/>
        <v>632.14549999999997</v>
      </c>
      <c r="Z1083">
        <f t="shared" ca="1" si="418"/>
        <v>2593.222531648662</v>
      </c>
      <c r="AA1083">
        <f t="shared" ca="1" si="419"/>
        <v>482.07306851378365</v>
      </c>
      <c r="AB1083">
        <f t="shared" ca="1" si="420"/>
        <v>482.07256851378361</v>
      </c>
      <c r="AC1083">
        <f t="shared" ca="1" si="421"/>
        <v>0</v>
      </c>
      <c r="AD1083">
        <f ca="1">IF(V32="Supercritical",L1083,U1083)</f>
        <v>0.05</v>
      </c>
      <c r="AE1083">
        <f t="shared" ca="1" si="422"/>
        <v>632.14549999999997</v>
      </c>
      <c r="AF1083">
        <f t="shared" ca="1" si="423"/>
        <v>2593.222531648662</v>
      </c>
      <c r="AI1083">
        <v>0</v>
      </c>
      <c r="AJ1083">
        <v>0</v>
      </c>
      <c r="AK1083">
        <f t="shared" si="424"/>
        <v>0</v>
      </c>
      <c r="AL1083">
        <f t="shared" si="432"/>
        <v>0</v>
      </c>
      <c r="AM1083">
        <f t="shared" ca="1" si="425"/>
        <v>280.07692026646265</v>
      </c>
      <c r="AN1083" t="str">
        <f t="shared" ca="1" si="426"/>
        <v>Supercritical</v>
      </c>
      <c r="AO1083">
        <f ca="1">IF(V32="Supercritical",R1083,AA1083)</f>
        <v>482.07306851378365</v>
      </c>
    </row>
    <row r="1084" spans="1:41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174</v>
      </c>
      <c r="I1084">
        <v>0</v>
      </c>
      <c r="J1084">
        <f t="shared" si="427"/>
        <v>1</v>
      </c>
      <c r="K1084">
        <f t="shared" si="428"/>
        <v>51</v>
      </c>
      <c r="L1084">
        <f t="shared" ca="1" si="429"/>
        <v>38818.107119794593</v>
      </c>
      <c r="M1084">
        <f t="shared" ca="1" si="407"/>
        <v>201854.1570229319</v>
      </c>
      <c r="N1084">
        <f t="shared" ca="1" si="408"/>
        <v>2.599825866129148</v>
      </c>
      <c r="O1084">
        <f t="shared" ca="1" si="409"/>
        <v>2.5265766507947656E-4</v>
      </c>
      <c r="P1084">
        <f t="shared" ca="1" si="410"/>
        <v>39450.202119794594</v>
      </c>
      <c r="Q1084">
        <f t="shared" ca="1" si="411"/>
        <v>39450.202119797847</v>
      </c>
      <c r="R1084">
        <f t="shared" ca="1" si="412"/>
        <v>4.0178013559247119E-12</v>
      </c>
      <c r="S1084">
        <f t="shared" ca="1" si="430"/>
        <v>1.0869565230677836E-3</v>
      </c>
      <c r="T1084">
        <f t="shared" ca="1" si="431"/>
        <v>0</v>
      </c>
      <c r="U1084">
        <f t="shared" ca="1" si="413"/>
        <v>0.05</v>
      </c>
      <c r="V1084">
        <f t="shared" ca="1" si="414"/>
        <v>0.26</v>
      </c>
      <c r="W1084">
        <f t="shared" ca="1" si="415"/>
        <v>4.9056603773584909E-2</v>
      </c>
      <c r="X1084">
        <f t="shared" ca="1" si="416"/>
        <v>196.15384615384616</v>
      </c>
      <c r="Y1084">
        <f t="shared" ca="1" si="417"/>
        <v>632.14499999999998</v>
      </c>
      <c r="Z1084">
        <f t="shared" ca="1" si="418"/>
        <v>2593.2220316486619</v>
      </c>
      <c r="AA1084">
        <f t="shared" ca="1" si="419"/>
        <v>482.07306851378365</v>
      </c>
      <c r="AB1084">
        <f t="shared" ca="1" si="420"/>
        <v>482.07256851378406</v>
      </c>
      <c r="AC1084">
        <f t="shared" ca="1" si="421"/>
        <v>0</v>
      </c>
      <c r="AD1084">
        <f ca="1">IF(V32="Supercritical",L1084,U1084)</f>
        <v>0.05</v>
      </c>
      <c r="AE1084">
        <f t="shared" ca="1" si="422"/>
        <v>632.14499999999998</v>
      </c>
      <c r="AF1084">
        <f t="shared" ca="1" si="423"/>
        <v>2593.2220316486619</v>
      </c>
      <c r="AI1084">
        <v>0</v>
      </c>
      <c r="AJ1084">
        <v>0</v>
      </c>
      <c r="AK1084">
        <f t="shared" si="424"/>
        <v>0</v>
      </c>
      <c r="AL1084">
        <f t="shared" si="432"/>
        <v>0</v>
      </c>
      <c r="AM1084">
        <f t="shared" ca="1" si="425"/>
        <v>280.07692026646265</v>
      </c>
      <c r="AN1084" t="str">
        <f t="shared" ca="1" si="426"/>
        <v>Supercritical</v>
      </c>
      <c r="AO1084">
        <f ca="1">IF(V32="Supercritical",R1084,AA1084)</f>
        <v>482.07306851378365</v>
      </c>
    </row>
    <row r="1085" spans="1:41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174</v>
      </c>
      <c r="I1085">
        <v>0</v>
      </c>
      <c r="J1085">
        <f t="shared" si="427"/>
        <v>1</v>
      </c>
      <c r="K1085">
        <f t="shared" si="428"/>
        <v>51</v>
      </c>
      <c r="L1085">
        <f t="shared" ca="1" si="429"/>
        <v>38818.107119794593</v>
      </c>
      <c r="M1085">
        <f t="shared" ca="1" si="407"/>
        <v>201854.1570229319</v>
      </c>
      <c r="N1085">
        <f t="shared" ca="1" si="408"/>
        <v>2.599825866129148</v>
      </c>
      <c r="O1085">
        <f t="shared" ca="1" si="409"/>
        <v>2.5265766507947656E-4</v>
      </c>
      <c r="P1085">
        <f t="shared" ca="1" si="410"/>
        <v>39450.201619794592</v>
      </c>
      <c r="Q1085">
        <f t="shared" ca="1" si="411"/>
        <v>39450.201619797845</v>
      </c>
      <c r="R1085">
        <f t="shared" ca="1" si="412"/>
        <v>4.0178013559247119E-12</v>
      </c>
      <c r="S1085">
        <f t="shared" ca="1" si="430"/>
        <v>4.999999946448952E-4</v>
      </c>
      <c r="T1085">
        <f t="shared" ca="1" si="431"/>
        <v>1</v>
      </c>
      <c r="U1085">
        <f t="shared" ca="1" si="413"/>
        <v>0.05</v>
      </c>
      <c r="V1085">
        <f t="shared" ca="1" si="414"/>
        <v>0.26</v>
      </c>
      <c r="W1085">
        <f t="shared" ca="1" si="415"/>
        <v>4.9056603773584909E-2</v>
      </c>
      <c r="X1085">
        <f t="shared" ca="1" si="416"/>
        <v>196.15384615384616</v>
      </c>
      <c r="Y1085">
        <f t="shared" ca="1" si="417"/>
        <v>632.14449999999999</v>
      </c>
      <c r="Z1085">
        <f t="shared" ca="1" si="418"/>
        <v>2593.2215316486622</v>
      </c>
      <c r="AA1085">
        <f t="shared" ca="1" si="419"/>
        <v>482.07306851378365</v>
      </c>
      <c r="AB1085">
        <f t="shared" ca="1" si="420"/>
        <v>482.25233390835137</v>
      </c>
      <c r="AC1085">
        <f t="shared" ca="1" si="421"/>
        <v>0</v>
      </c>
      <c r="AD1085">
        <f ca="1">IF(V32="Supercritical",L1085,U1085)</f>
        <v>0.05</v>
      </c>
      <c r="AE1085">
        <f t="shared" ca="1" si="422"/>
        <v>632.14449999999999</v>
      </c>
      <c r="AF1085">
        <f t="shared" ca="1" si="423"/>
        <v>2593.2215316486622</v>
      </c>
      <c r="AI1085">
        <v>0</v>
      </c>
      <c r="AJ1085">
        <v>0</v>
      </c>
      <c r="AK1085">
        <f t="shared" si="424"/>
        <v>0</v>
      </c>
      <c r="AL1085">
        <f t="shared" si="432"/>
        <v>0</v>
      </c>
      <c r="AM1085">
        <f t="shared" ca="1" si="425"/>
        <v>280.07692026646265</v>
      </c>
      <c r="AN1085" t="str">
        <f t="shared" ca="1" si="426"/>
        <v>Supercritical</v>
      </c>
      <c r="AO1085">
        <f ca="1">IF(V32="Supercritical",R1085,AA1085)</f>
        <v>482.07306851378365</v>
      </c>
    </row>
    <row r="1086" spans="1:41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174</v>
      </c>
      <c r="I1086">
        <v>5.5E-2</v>
      </c>
      <c r="J1086">
        <f t="shared" si="427"/>
        <v>1</v>
      </c>
      <c r="K1086">
        <f t="shared" si="428"/>
        <v>51</v>
      </c>
      <c r="L1086">
        <f t="shared" ca="1" si="429"/>
        <v>38818.10653283805</v>
      </c>
      <c r="M1086">
        <f t="shared" ca="1" si="407"/>
        <v>201854.15397075788</v>
      </c>
      <c r="N1086">
        <f t="shared" ca="1" si="408"/>
        <v>2.599825866126515</v>
      </c>
      <c r="O1086">
        <f t="shared" ca="1" si="409"/>
        <v>2.5265766889983471E-4</v>
      </c>
      <c r="P1086">
        <f t="shared" ca="1" si="410"/>
        <v>39450.200532838047</v>
      </c>
      <c r="Q1086">
        <f t="shared" ca="1" si="411"/>
        <v>39450.2005328413</v>
      </c>
      <c r="R1086">
        <f t="shared" ca="1" si="412"/>
        <v>4.017801477433992E-12</v>
      </c>
      <c r="S1086">
        <f t="shared" ca="1" si="430"/>
        <v>1.0869565376196988E-3</v>
      </c>
      <c r="T1086">
        <f t="shared" ca="1" si="431"/>
        <v>0</v>
      </c>
      <c r="U1086">
        <f t="shared" ca="1" si="413"/>
        <v>0.05</v>
      </c>
      <c r="V1086">
        <f t="shared" ca="1" si="414"/>
        <v>0.26</v>
      </c>
      <c r="W1086">
        <f t="shared" ca="1" si="415"/>
        <v>4.9056603773584909E-2</v>
      </c>
      <c r="X1086">
        <f t="shared" ca="1" si="416"/>
        <v>196.15384615384616</v>
      </c>
      <c r="Y1086">
        <f t="shared" ca="1" si="417"/>
        <v>632.14400000000001</v>
      </c>
      <c r="Z1086">
        <f t="shared" ca="1" si="418"/>
        <v>2593.2210316486621</v>
      </c>
      <c r="AA1086">
        <f t="shared" ca="1" si="419"/>
        <v>482.07306851378365</v>
      </c>
      <c r="AB1086">
        <f t="shared" ca="1" si="420"/>
        <v>482.73440697685373</v>
      </c>
      <c r="AC1086">
        <f t="shared" ca="1" si="421"/>
        <v>0</v>
      </c>
      <c r="AD1086">
        <f ca="1">IF(V32="Supercritical",L1086,U1086)</f>
        <v>0.05</v>
      </c>
      <c r="AE1086">
        <f t="shared" ca="1" si="422"/>
        <v>632.14400000000001</v>
      </c>
      <c r="AF1086">
        <f t="shared" ca="1" si="423"/>
        <v>2593.2210316486621</v>
      </c>
      <c r="AI1086">
        <v>0</v>
      </c>
      <c r="AJ1086">
        <v>0</v>
      </c>
      <c r="AK1086">
        <f t="shared" si="424"/>
        <v>0</v>
      </c>
      <c r="AL1086">
        <f t="shared" si="432"/>
        <v>0</v>
      </c>
      <c r="AM1086">
        <f t="shared" ca="1" si="425"/>
        <v>280.07692026646265</v>
      </c>
      <c r="AN1086" t="str">
        <f t="shared" ca="1" si="426"/>
        <v>Supercritical</v>
      </c>
      <c r="AO1086">
        <f ca="1">IF(V32="Supercritical",R1086,AA1086)</f>
        <v>482.07306851378365</v>
      </c>
    </row>
    <row r="1087" spans="1:41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174</v>
      </c>
      <c r="I1087">
        <v>5.5E-2</v>
      </c>
      <c r="J1087">
        <f t="shared" si="427"/>
        <v>1.0009999999999764</v>
      </c>
      <c r="K1087">
        <f t="shared" si="428"/>
        <v>51</v>
      </c>
      <c r="L1087">
        <f t="shared" ca="1" si="429"/>
        <v>38818.10653283805</v>
      </c>
      <c r="M1087">
        <f t="shared" ca="1" si="407"/>
        <v>201854.15397075788</v>
      </c>
      <c r="N1087">
        <f t="shared" ca="1" si="408"/>
        <v>2.599825866126515</v>
      </c>
      <c r="O1087">
        <f t="shared" ca="1" si="409"/>
        <v>2.5265766889983471E-4</v>
      </c>
      <c r="P1087">
        <f t="shared" ca="1" si="410"/>
        <v>39450.200032838053</v>
      </c>
      <c r="Q1087">
        <f t="shared" ca="1" si="411"/>
        <v>39450.200032841305</v>
      </c>
      <c r="R1087">
        <f t="shared" ca="1" si="412"/>
        <v>4.017801477433992E-12</v>
      </c>
      <c r="S1087">
        <f t="shared" ca="1" si="430"/>
        <v>4.9999998736893758E-4</v>
      </c>
      <c r="T1087">
        <f t="shared" ca="1" si="431"/>
        <v>1</v>
      </c>
      <c r="U1087">
        <f t="shared" ca="1" si="413"/>
        <v>0.05</v>
      </c>
      <c r="V1087">
        <f t="shared" ca="1" si="414"/>
        <v>0.26</v>
      </c>
      <c r="W1087">
        <f t="shared" ca="1" si="415"/>
        <v>4.9056603773584909E-2</v>
      </c>
      <c r="X1087">
        <f t="shared" ca="1" si="416"/>
        <v>196.15384615384616</v>
      </c>
      <c r="Y1087">
        <f t="shared" ca="1" si="417"/>
        <v>632.1434999999999</v>
      </c>
      <c r="Z1087">
        <f t="shared" ca="1" si="418"/>
        <v>2593.220531648662</v>
      </c>
      <c r="AA1087">
        <f t="shared" ca="1" si="419"/>
        <v>482.07306851378365</v>
      </c>
      <c r="AB1087">
        <f t="shared" ca="1" si="420"/>
        <v>482.07256851378361</v>
      </c>
      <c r="AC1087">
        <f t="shared" ca="1" si="421"/>
        <v>0</v>
      </c>
      <c r="AD1087">
        <f ca="1">IF(V32="Supercritical",L1087,U1087)</f>
        <v>0.05</v>
      </c>
      <c r="AE1087">
        <f t="shared" ca="1" si="422"/>
        <v>632.1434999999999</v>
      </c>
      <c r="AF1087">
        <f t="shared" ca="1" si="423"/>
        <v>2593.220531648662</v>
      </c>
      <c r="AI1087">
        <v>0</v>
      </c>
      <c r="AJ1087">
        <v>0</v>
      </c>
      <c r="AK1087">
        <f t="shared" si="424"/>
        <v>0</v>
      </c>
      <c r="AL1087">
        <f t="shared" si="432"/>
        <v>0</v>
      </c>
      <c r="AM1087">
        <f t="shared" ca="1" si="425"/>
        <v>280.07692026646265</v>
      </c>
      <c r="AN1087" t="str">
        <f t="shared" ca="1" si="426"/>
        <v>Supercritical</v>
      </c>
      <c r="AO1087">
        <f ca="1">IF(V32="Supercritical",R1087,AA1087)</f>
        <v>482.07306851378365</v>
      </c>
    </row>
    <row r="1088" spans="1:41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174</v>
      </c>
      <c r="I1088">
        <v>0</v>
      </c>
      <c r="J1088">
        <f t="shared" si="427"/>
        <v>1</v>
      </c>
      <c r="K1088">
        <f t="shared" si="428"/>
        <v>51</v>
      </c>
      <c r="L1088">
        <f t="shared" ca="1" si="429"/>
        <v>38818.105945881543</v>
      </c>
      <c r="M1088">
        <f t="shared" ca="1" si="407"/>
        <v>201854.15091858403</v>
      </c>
      <c r="N1088">
        <f t="shared" ca="1" si="408"/>
        <v>2.599825866123882</v>
      </c>
      <c r="O1088">
        <f t="shared" ca="1" si="409"/>
        <v>2.5265767272019275E-4</v>
      </c>
      <c r="P1088">
        <f t="shared" ca="1" si="410"/>
        <v>39450.198945881544</v>
      </c>
      <c r="Q1088">
        <f t="shared" ca="1" si="411"/>
        <v>39450.198945884797</v>
      </c>
      <c r="R1088">
        <f t="shared" ca="1" si="412"/>
        <v>4.017801598943273E-12</v>
      </c>
      <c r="S1088">
        <f t="shared" ca="1" si="430"/>
        <v>1.0869565012399107E-3</v>
      </c>
      <c r="T1088">
        <f t="shared" ca="1" si="431"/>
        <v>0</v>
      </c>
      <c r="U1088">
        <f t="shared" ca="1" si="413"/>
        <v>0.05</v>
      </c>
      <c r="V1088">
        <f t="shared" ca="1" si="414"/>
        <v>0.26</v>
      </c>
      <c r="W1088">
        <f t="shared" ca="1" si="415"/>
        <v>4.9056603773584909E-2</v>
      </c>
      <c r="X1088">
        <f t="shared" ca="1" si="416"/>
        <v>196.15384615384616</v>
      </c>
      <c r="Y1088">
        <f t="shared" ca="1" si="417"/>
        <v>632.14299999999992</v>
      </c>
      <c r="Z1088">
        <f t="shared" ca="1" si="418"/>
        <v>2593.2200316486619</v>
      </c>
      <c r="AA1088">
        <f t="shared" ca="1" si="419"/>
        <v>482.07306851378365</v>
      </c>
      <c r="AB1088">
        <f t="shared" ca="1" si="420"/>
        <v>482.07256851378406</v>
      </c>
      <c r="AC1088">
        <f t="shared" ca="1" si="421"/>
        <v>0</v>
      </c>
      <c r="AD1088">
        <f ca="1">IF(V32="Supercritical",L1088,U1088)</f>
        <v>0.05</v>
      </c>
      <c r="AE1088">
        <f t="shared" ca="1" si="422"/>
        <v>632.14299999999992</v>
      </c>
      <c r="AF1088">
        <f t="shared" ca="1" si="423"/>
        <v>2593.2200316486619</v>
      </c>
      <c r="AI1088">
        <v>0</v>
      </c>
      <c r="AJ1088">
        <v>0</v>
      </c>
      <c r="AK1088">
        <f t="shared" si="424"/>
        <v>0</v>
      </c>
      <c r="AL1088">
        <f t="shared" si="432"/>
        <v>0</v>
      </c>
      <c r="AM1088">
        <f t="shared" ca="1" si="425"/>
        <v>280.07692026646265</v>
      </c>
      <c r="AN1088" t="str">
        <f t="shared" ca="1" si="426"/>
        <v>Supercritical</v>
      </c>
      <c r="AO1088">
        <f ca="1">IF(V32="Supercritical",R1088,AA1088)</f>
        <v>482.07306851378365</v>
      </c>
    </row>
    <row r="1089" spans="1:41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174</v>
      </c>
      <c r="I1089">
        <v>0</v>
      </c>
      <c r="J1089">
        <f t="shared" si="427"/>
        <v>1</v>
      </c>
      <c r="K1089">
        <f t="shared" si="428"/>
        <v>51</v>
      </c>
      <c r="L1089">
        <f t="shared" ca="1" si="429"/>
        <v>38818.105945881543</v>
      </c>
      <c r="M1089">
        <f t="shared" ca="1" si="407"/>
        <v>201854.15091858403</v>
      </c>
      <c r="N1089">
        <f t="shared" ca="1" si="408"/>
        <v>2.599825866123882</v>
      </c>
      <c r="O1089">
        <f t="shared" ca="1" si="409"/>
        <v>2.5265767272019275E-4</v>
      </c>
      <c r="P1089">
        <f t="shared" ca="1" si="410"/>
        <v>39450.198445881542</v>
      </c>
      <c r="Q1089">
        <f t="shared" ca="1" si="411"/>
        <v>39450.198445884795</v>
      </c>
      <c r="R1089">
        <f t="shared" ca="1" si="412"/>
        <v>4.017801598943273E-12</v>
      </c>
      <c r="S1089">
        <f t="shared" ca="1" si="430"/>
        <v>4.999999946448952E-4</v>
      </c>
      <c r="T1089">
        <f t="shared" ca="1" si="431"/>
        <v>1</v>
      </c>
      <c r="U1089">
        <f t="shared" ca="1" si="413"/>
        <v>0.05</v>
      </c>
      <c r="V1089">
        <f t="shared" ca="1" si="414"/>
        <v>0.26</v>
      </c>
      <c r="W1089">
        <f t="shared" ca="1" si="415"/>
        <v>4.9056603773584909E-2</v>
      </c>
      <c r="X1089">
        <f t="shared" ca="1" si="416"/>
        <v>196.15384615384616</v>
      </c>
      <c r="Y1089">
        <f t="shared" ca="1" si="417"/>
        <v>632.14249999999993</v>
      </c>
      <c r="Z1089">
        <f t="shared" ca="1" si="418"/>
        <v>2593.2195316486623</v>
      </c>
      <c r="AA1089">
        <f t="shared" ca="1" si="419"/>
        <v>482.07306851378365</v>
      </c>
      <c r="AB1089">
        <f t="shared" ca="1" si="420"/>
        <v>481.77679776328796</v>
      </c>
      <c r="AC1089">
        <f t="shared" ca="1" si="421"/>
        <v>0</v>
      </c>
      <c r="AD1089">
        <f ca="1">IF(V32="Supercritical",L1089,U1089)</f>
        <v>0.05</v>
      </c>
      <c r="AE1089">
        <f t="shared" ca="1" si="422"/>
        <v>632.14249999999993</v>
      </c>
      <c r="AF1089">
        <f t="shared" ca="1" si="423"/>
        <v>2593.2195316486623</v>
      </c>
      <c r="AI1089">
        <v>0</v>
      </c>
      <c r="AJ1089">
        <v>0</v>
      </c>
      <c r="AK1089">
        <f t="shared" si="424"/>
        <v>0</v>
      </c>
      <c r="AL1089">
        <f t="shared" si="432"/>
        <v>0</v>
      </c>
      <c r="AM1089">
        <f t="shared" ca="1" si="425"/>
        <v>280.07692026646265</v>
      </c>
      <c r="AN1089" t="str">
        <f t="shared" ca="1" si="426"/>
        <v>Supercritical</v>
      </c>
      <c r="AO1089">
        <f ca="1">IF(V32="Supercritical",R1089,AA1089)</f>
        <v>482.07306851378365</v>
      </c>
    </row>
    <row r="1090" spans="1:41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174</v>
      </c>
      <c r="I1090">
        <v>5.7000000000000002E-2</v>
      </c>
      <c r="J1090">
        <f t="shared" si="427"/>
        <v>0.99900000000002365</v>
      </c>
      <c r="K1090">
        <f t="shared" si="428"/>
        <v>51</v>
      </c>
      <c r="L1090">
        <f t="shared" ca="1" si="429"/>
        <v>38818.105358925037</v>
      </c>
      <c r="M1090">
        <f t="shared" ca="1" si="407"/>
        <v>201854.1478664102</v>
      </c>
      <c r="N1090">
        <f t="shared" ca="1" si="408"/>
        <v>2.5998258661212494</v>
      </c>
      <c r="O1090">
        <f t="shared" ca="1" si="409"/>
        <v>2.5265767654055089E-4</v>
      </c>
      <c r="P1090">
        <f t="shared" ca="1" si="410"/>
        <v>39450.197358925034</v>
      </c>
      <c r="Q1090">
        <f t="shared" ca="1" si="411"/>
        <v>39450.197358928286</v>
      </c>
      <c r="R1090">
        <f t="shared" ca="1" si="412"/>
        <v>4.0178017204525571E-12</v>
      </c>
      <c r="S1090">
        <f t="shared" ca="1" si="430"/>
        <v>1.0869565012399107E-3</v>
      </c>
      <c r="T1090">
        <f t="shared" ca="1" si="431"/>
        <v>0</v>
      </c>
      <c r="U1090">
        <f t="shared" ca="1" si="413"/>
        <v>0.05</v>
      </c>
      <c r="V1090">
        <f t="shared" ca="1" si="414"/>
        <v>0.26</v>
      </c>
      <c r="W1090">
        <f t="shared" ca="1" si="415"/>
        <v>4.9056603773584909E-2</v>
      </c>
      <c r="X1090">
        <f t="shared" ca="1" si="416"/>
        <v>196.15384615384616</v>
      </c>
      <c r="Y1090">
        <f t="shared" ca="1" si="417"/>
        <v>632.14199999999994</v>
      </c>
      <c r="Z1090">
        <f t="shared" ca="1" si="418"/>
        <v>2593.2190316486622</v>
      </c>
      <c r="AA1090">
        <f t="shared" ca="1" si="419"/>
        <v>482.07306851378365</v>
      </c>
      <c r="AB1090">
        <f t="shared" ca="1" si="420"/>
        <v>482.25887083179032</v>
      </c>
      <c r="AC1090">
        <f t="shared" ca="1" si="421"/>
        <v>0</v>
      </c>
      <c r="AD1090">
        <f ca="1">IF(V32="Supercritical",L1090,U1090)</f>
        <v>0.05</v>
      </c>
      <c r="AE1090">
        <f t="shared" ca="1" si="422"/>
        <v>632.14199999999994</v>
      </c>
      <c r="AF1090">
        <f t="shared" ca="1" si="423"/>
        <v>2593.2190316486622</v>
      </c>
      <c r="AI1090">
        <v>0</v>
      </c>
      <c r="AJ1090">
        <v>0</v>
      </c>
      <c r="AK1090">
        <f t="shared" si="424"/>
        <v>0</v>
      </c>
      <c r="AL1090">
        <f t="shared" si="432"/>
        <v>0</v>
      </c>
      <c r="AM1090">
        <f t="shared" ca="1" si="425"/>
        <v>280.07692026646265</v>
      </c>
      <c r="AN1090" t="str">
        <f t="shared" ca="1" si="426"/>
        <v>Supercritical</v>
      </c>
      <c r="AO1090">
        <f ca="1">IF(V32="Supercritical",R1090,AA1090)</f>
        <v>482.07306851378365</v>
      </c>
    </row>
    <row r="1091" spans="1:41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174</v>
      </c>
      <c r="I1091">
        <v>5.7000000000000002E-2</v>
      </c>
      <c r="J1091">
        <f t="shared" si="427"/>
        <v>1</v>
      </c>
      <c r="K1091">
        <f t="shared" si="428"/>
        <v>51</v>
      </c>
      <c r="L1091">
        <f t="shared" ca="1" si="429"/>
        <v>38818.105358925037</v>
      </c>
      <c r="M1091">
        <f t="shared" ca="1" si="407"/>
        <v>201854.1478664102</v>
      </c>
      <c r="N1091">
        <f t="shared" ca="1" si="408"/>
        <v>2.5998258661212494</v>
      </c>
      <c r="O1091">
        <f t="shared" ca="1" si="409"/>
        <v>2.5265767654055089E-4</v>
      </c>
      <c r="P1091">
        <f t="shared" ca="1" si="410"/>
        <v>39450.196858925039</v>
      </c>
      <c r="Q1091">
        <f t="shared" ca="1" si="411"/>
        <v>39450.196858928291</v>
      </c>
      <c r="R1091">
        <f t="shared" ca="1" si="412"/>
        <v>4.0178017204525571E-12</v>
      </c>
      <c r="S1091">
        <f t="shared" ca="1" si="430"/>
        <v>4.9999998736893758E-4</v>
      </c>
      <c r="T1091">
        <f t="shared" ca="1" si="431"/>
        <v>1</v>
      </c>
      <c r="U1091">
        <f t="shared" ca="1" si="413"/>
        <v>0.05</v>
      </c>
      <c r="V1091">
        <f t="shared" ca="1" si="414"/>
        <v>0.26</v>
      </c>
      <c r="W1091">
        <f t="shared" ca="1" si="415"/>
        <v>4.9056603773584909E-2</v>
      </c>
      <c r="X1091">
        <f t="shared" ca="1" si="416"/>
        <v>196.15384615384616</v>
      </c>
      <c r="Y1091">
        <f t="shared" ca="1" si="417"/>
        <v>632.14149999999995</v>
      </c>
      <c r="Z1091">
        <f t="shared" ca="1" si="418"/>
        <v>2593.2185316486621</v>
      </c>
      <c r="AA1091">
        <f t="shared" ca="1" si="419"/>
        <v>482.07306851378365</v>
      </c>
      <c r="AB1091">
        <f t="shared" ca="1" si="420"/>
        <v>482.07256851378361</v>
      </c>
      <c r="AC1091">
        <f t="shared" ca="1" si="421"/>
        <v>0</v>
      </c>
      <c r="AD1091">
        <f ca="1">IF(V32="Supercritical",L1091,U1091)</f>
        <v>0.05</v>
      </c>
      <c r="AE1091">
        <f t="shared" ca="1" si="422"/>
        <v>632.14149999999995</v>
      </c>
      <c r="AF1091">
        <f t="shared" ca="1" si="423"/>
        <v>2593.2185316486621</v>
      </c>
      <c r="AI1091">
        <v>0</v>
      </c>
      <c r="AJ1091">
        <v>0</v>
      </c>
      <c r="AK1091">
        <f t="shared" si="424"/>
        <v>0</v>
      </c>
      <c r="AL1091">
        <f t="shared" si="432"/>
        <v>0</v>
      </c>
      <c r="AM1091">
        <f t="shared" ca="1" si="425"/>
        <v>280.07692026646265</v>
      </c>
      <c r="AN1091" t="str">
        <f t="shared" ca="1" si="426"/>
        <v>Supercritical</v>
      </c>
      <c r="AO1091">
        <f ca="1">IF(V32="Supercritical",R1091,AA1091)</f>
        <v>482.07306851378365</v>
      </c>
    </row>
    <row r="1092" spans="1:41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174</v>
      </c>
      <c r="I1092">
        <v>0</v>
      </c>
      <c r="J1092">
        <f t="shared" si="427"/>
        <v>1</v>
      </c>
      <c r="K1092">
        <f t="shared" si="428"/>
        <v>51</v>
      </c>
      <c r="L1092">
        <f t="shared" ca="1" si="429"/>
        <v>38818.10477196853</v>
      </c>
      <c r="M1092">
        <f t="shared" ca="1" si="407"/>
        <v>201854.14481423635</v>
      </c>
      <c r="N1092">
        <f t="shared" ca="1" si="408"/>
        <v>2.599825866118616</v>
      </c>
      <c r="O1092">
        <f t="shared" ca="1" si="409"/>
        <v>2.5265768036090915E-4</v>
      </c>
      <c r="P1092">
        <f t="shared" ca="1" si="410"/>
        <v>39450.195771968531</v>
      </c>
      <c r="Q1092">
        <f t="shared" ca="1" si="411"/>
        <v>39450.195771971783</v>
      </c>
      <c r="R1092">
        <f t="shared" ca="1" si="412"/>
        <v>4.0178018419618501E-12</v>
      </c>
      <c r="S1092">
        <f t="shared" ca="1" si="430"/>
        <v>1.0869565012399107E-3</v>
      </c>
      <c r="T1092">
        <f t="shared" ca="1" si="431"/>
        <v>0</v>
      </c>
      <c r="U1092">
        <f t="shared" ca="1" si="413"/>
        <v>0.05</v>
      </c>
      <c r="V1092">
        <f t="shared" ca="1" si="414"/>
        <v>0.26</v>
      </c>
      <c r="W1092">
        <f t="shared" ca="1" si="415"/>
        <v>4.9056603773584909E-2</v>
      </c>
      <c r="X1092">
        <f t="shared" ca="1" si="416"/>
        <v>196.15384615384616</v>
      </c>
      <c r="Y1092">
        <f t="shared" ca="1" si="417"/>
        <v>632.14099999999996</v>
      </c>
      <c r="Z1092">
        <f t="shared" ca="1" si="418"/>
        <v>2593.218031648662</v>
      </c>
      <c r="AA1092">
        <f t="shared" ca="1" si="419"/>
        <v>482.07306851378365</v>
      </c>
      <c r="AB1092">
        <f t="shared" ca="1" si="420"/>
        <v>482.07256851378361</v>
      </c>
      <c r="AC1092">
        <f t="shared" ca="1" si="421"/>
        <v>0</v>
      </c>
      <c r="AD1092">
        <f ca="1">IF(V32="Supercritical",L1092,U1092)</f>
        <v>0.05</v>
      </c>
      <c r="AE1092">
        <f t="shared" ca="1" si="422"/>
        <v>632.14099999999996</v>
      </c>
      <c r="AF1092">
        <f t="shared" ca="1" si="423"/>
        <v>2593.218031648662</v>
      </c>
      <c r="AI1092">
        <v>0</v>
      </c>
      <c r="AJ1092">
        <v>0</v>
      </c>
      <c r="AK1092">
        <f t="shared" si="424"/>
        <v>0</v>
      </c>
      <c r="AL1092">
        <f t="shared" si="432"/>
        <v>0</v>
      </c>
      <c r="AM1092">
        <f t="shared" ca="1" si="425"/>
        <v>280.07692026646265</v>
      </c>
      <c r="AN1092" t="str">
        <f t="shared" ca="1" si="426"/>
        <v>Supercritical</v>
      </c>
      <c r="AO1092">
        <f ca="1">IF(V32="Supercritical",R1092,AA1092)</f>
        <v>482.07306851378365</v>
      </c>
    </row>
    <row r="1093" spans="1:41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174</v>
      </c>
      <c r="I1093">
        <v>0</v>
      </c>
      <c r="J1093">
        <f t="shared" si="427"/>
        <v>1</v>
      </c>
      <c r="K1093">
        <f t="shared" si="428"/>
        <v>51</v>
      </c>
      <c r="L1093">
        <f t="shared" ca="1" si="429"/>
        <v>38818.10477196853</v>
      </c>
      <c r="M1093">
        <f t="shared" ca="1" si="407"/>
        <v>201854.14481423635</v>
      </c>
      <c r="N1093">
        <f t="shared" ca="1" si="408"/>
        <v>2.599825866118616</v>
      </c>
      <c r="O1093">
        <f t="shared" ca="1" si="409"/>
        <v>2.5265768036090915E-4</v>
      </c>
      <c r="P1093">
        <f t="shared" ca="1" si="410"/>
        <v>39450.195271968529</v>
      </c>
      <c r="Q1093">
        <f t="shared" ca="1" si="411"/>
        <v>39450.195271971781</v>
      </c>
      <c r="R1093">
        <f t="shared" ca="1" si="412"/>
        <v>4.0178018419618501E-12</v>
      </c>
      <c r="S1093">
        <f t="shared" ca="1" si="430"/>
        <v>4.999999946448952E-4</v>
      </c>
      <c r="T1093">
        <f t="shared" ca="1" si="431"/>
        <v>1</v>
      </c>
      <c r="U1093">
        <f t="shared" ca="1" si="413"/>
        <v>0.05</v>
      </c>
      <c r="V1093">
        <f t="shared" ca="1" si="414"/>
        <v>0.26</v>
      </c>
      <c r="W1093">
        <f t="shared" ca="1" si="415"/>
        <v>4.9056603773584909E-2</v>
      </c>
      <c r="X1093">
        <f t="shared" ca="1" si="416"/>
        <v>196.15384615384616</v>
      </c>
      <c r="Y1093">
        <f t="shared" ca="1" si="417"/>
        <v>632.14049999999997</v>
      </c>
      <c r="Z1093">
        <f t="shared" ca="1" si="418"/>
        <v>2593.2175316486619</v>
      </c>
      <c r="AA1093">
        <f t="shared" ca="1" si="419"/>
        <v>482.07306851378365</v>
      </c>
      <c r="AB1093">
        <f t="shared" ca="1" si="420"/>
        <v>482.25887083179077</v>
      </c>
      <c r="AC1093">
        <f t="shared" ca="1" si="421"/>
        <v>0</v>
      </c>
      <c r="AD1093">
        <f ca="1">IF(V32="Supercritical",L1093,U1093)</f>
        <v>0.05</v>
      </c>
      <c r="AE1093">
        <f t="shared" ca="1" si="422"/>
        <v>632.14049999999997</v>
      </c>
      <c r="AF1093">
        <f t="shared" ca="1" si="423"/>
        <v>2593.2175316486619</v>
      </c>
      <c r="AI1093">
        <v>0</v>
      </c>
      <c r="AJ1093">
        <v>0</v>
      </c>
      <c r="AK1093">
        <f t="shared" si="424"/>
        <v>0</v>
      </c>
      <c r="AL1093">
        <f t="shared" si="432"/>
        <v>0</v>
      </c>
      <c r="AM1093">
        <f t="shared" ca="1" si="425"/>
        <v>280.07692026646265</v>
      </c>
      <c r="AN1093" t="str">
        <f t="shared" ca="1" si="426"/>
        <v>Supercritical</v>
      </c>
      <c r="AO1093">
        <f ca="1">IF(V32="Supercritical",R1093,AA1093)</f>
        <v>482.07306851378365</v>
      </c>
    </row>
    <row r="1094" spans="1:41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174</v>
      </c>
      <c r="I1094">
        <v>5.7000000000000002E-2</v>
      </c>
      <c r="J1094">
        <f t="shared" si="427"/>
        <v>1</v>
      </c>
      <c r="K1094">
        <f t="shared" si="428"/>
        <v>51</v>
      </c>
      <c r="L1094">
        <f t="shared" ca="1" si="429"/>
        <v>38818.104185011995</v>
      </c>
      <c r="M1094">
        <f t="shared" ca="1" si="407"/>
        <v>201854.14176206238</v>
      </c>
      <c r="N1094">
        <f t="shared" ca="1" si="408"/>
        <v>2.5998258661159834</v>
      </c>
      <c r="O1094">
        <f t="shared" ca="1" si="409"/>
        <v>2.5265768418126773E-4</v>
      </c>
      <c r="P1094">
        <f t="shared" ca="1" si="410"/>
        <v>39450.194185011991</v>
      </c>
      <c r="Q1094">
        <f t="shared" ca="1" si="411"/>
        <v>39450.194185015243</v>
      </c>
      <c r="R1094">
        <f t="shared" ca="1" si="412"/>
        <v>4.0178019634711496E-12</v>
      </c>
      <c r="S1094">
        <f t="shared" ca="1" si="430"/>
        <v>1.0869565303437412E-3</v>
      </c>
      <c r="T1094">
        <f t="shared" ca="1" si="431"/>
        <v>0</v>
      </c>
      <c r="U1094">
        <f t="shared" ca="1" si="413"/>
        <v>0.05</v>
      </c>
      <c r="V1094">
        <f t="shared" ca="1" si="414"/>
        <v>0.26</v>
      </c>
      <c r="W1094">
        <f t="shared" ca="1" si="415"/>
        <v>4.9056603773584909E-2</v>
      </c>
      <c r="X1094">
        <f t="shared" ca="1" si="416"/>
        <v>196.15384615384616</v>
      </c>
      <c r="Y1094">
        <f t="shared" ca="1" si="417"/>
        <v>632.14</v>
      </c>
      <c r="Z1094">
        <f t="shared" ca="1" si="418"/>
        <v>2593.2170316486622</v>
      </c>
      <c r="AA1094">
        <f t="shared" ca="1" si="419"/>
        <v>482.07306851378365</v>
      </c>
      <c r="AB1094">
        <f t="shared" ca="1" si="420"/>
        <v>482.25887083179032</v>
      </c>
      <c r="AC1094">
        <f t="shared" ca="1" si="421"/>
        <v>0</v>
      </c>
      <c r="AD1094">
        <f ca="1">IF(V32="Supercritical",L1094,U1094)</f>
        <v>0.05</v>
      </c>
      <c r="AE1094">
        <f t="shared" ca="1" si="422"/>
        <v>632.14</v>
      </c>
      <c r="AF1094">
        <f t="shared" ca="1" si="423"/>
        <v>2593.2170316486622</v>
      </c>
      <c r="AI1094">
        <v>0</v>
      </c>
      <c r="AJ1094">
        <v>0</v>
      </c>
      <c r="AK1094">
        <f t="shared" si="424"/>
        <v>0</v>
      </c>
      <c r="AL1094">
        <f t="shared" si="432"/>
        <v>0</v>
      </c>
      <c r="AM1094">
        <f t="shared" ca="1" si="425"/>
        <v>280.07692026646265</v>
      </c>
      <c r="AN1094" t="str">
        <f t="shared" ca="1" si="426"/>
        <v>Supercritical</v>
      </c>
      <c r="AO1094">
        <f ca="1">IF(V32="Supercritical",R1094,AA1094)</f>
        <v>482.07306851378365</v>
      </c>
    </row>
    <row r="1095" spans="1:41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174</v>
      </c>
      <c r="I1095">
        <v>5.7000000000000002E-2</v>
      </c>
      <c r="J1095">
        <f t="shared" si="427"/>
        <v>1</v>
      </c>
      <c r="K1095">
        <f t="shared" si="428"/>
        <v>51</v>
      </c>
      <c r="L1095">
        <f t="shared" ca="1" si="429"/>
        <v>38818.104185011995</v>
      </c>
      <c r="M1095">
        <f t="shared" ca="1" si="407"/>
        <v>201854.14176206238</v>
      </c>
      <c r="N1095">
        <f t="shared" ca="1" si="408"/>
        <v>2.5998258661159834</v>
      </c>
      <c r="O1095">
        <f t="shared" ca="1" si="409"/>
        <v>2.5265768418126773E-4</v>
      </c>
      <c r="P1095">
        <f t="shared" ca="1" si="410"/>
        <v>39450.193685011996</v>
      </c>
      <c r="Q1095">
        <f t="shared" ca="1" si="411"/>
        <v>39450.193685015249</v>
      </c>
      <c r="R1095">
        <f t="shared" ca="1" si="412"/>
        <v>4.0178019634711496E-12</v>
      </c>
      <c r="S1095">
        <f t="shared" ca="1" si="430"/>
        <v>4.9999998736893758E-4</v>
      </c>
      <c r="T1095">
        <f t="shared" ca="1" si="431"/>
        <v>1</v>
      </c>
      <c r="U1095">
        <f t="shared" ca="1" si="413"/>
        <v>0.05</v>
      </c>
      <c r="V1095">
        <f t="shared" ca="1" si="414"/>
        <v>0.26</v>
      </c>
      <c r="W1095">
        <f t="shared" ca="1" si="415"/>
        <v>4.9056603773584909E-2</v>
      </c>
      <c r="X1095">
        <f t="shared" ca="1" si="416"/>
        <v>196.15384615384616</v>
      </c>
      <c r="Y1095">
        <f t="shared" ca="1" si="417"/>
        <v>632.1395</v>
      </c>
      <c r="Z1095">
        <f t="shared" ca="1" si="418"/>
        <v>2593.2165316486621</v>
      </c>
      <c r="AA1095">
        <f t="shared" ca="1" si="419"/>
        <v>482.07306851378365</v>
      </c>
      <c r="AB1095">
        <f t="shared" ca="1" si="420"/>
        <v>482.07910543722255</v>
      </c>
      <c r="AC1095">
        <f t="shared" ca="1" si="421"/>
        <v>0</v>
      </c>
      <c r="AD1095">
        <f ca="1">IF(V32="Supercritical",L1095,U1095)</f>
        <v>0.05</v>
      </c>
      <c r="AE1095">
        <f t="shared" ca="1" si="422"/>
        <v>632.1395</v>
      </c>
      <c r="AF1095">
        <f t="shared" ca="1" si="423"/>
        <v>2593.2165316486621</v>
      </c>
      <c r="AI1095">
        <v>0</v>
      </c>
      <c r="AJ1095">
        <v>0</v>
      </c>
      <c r="AK1095">
        <f t="shared" si="424"/>
        <v>0</v>
      </c>
      <c r="AL1095">
        <f t="shared" si="432"/>
        <v>0</v>
      </c>
      <c r="AM1095">
        <f t="shared" ca="1" si="425"/>
        <v>280.07692026646265</v>
      </c>
      <c r="AN1095" t="str">
        <f t="shared" ca="1" si="426"/>
        <v>Supercritical</v>
      </c>
      <c r="AO1095">
        <f ca="1">IF(V32="Supercritical",R1095,AA1095)</f>
        <v>482.07306851378365</v>
      </c>
    </row>
    <row r="1096" spans="1:41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174</v>
      </c>
      <c r="I1096">
        <v>2E-3</v>
      </c>
      <c r="J1096">
        <f t="shared" si="427"/>
        <v>1</v>
      </c>
      <c r="K1096">
        <f t="shared" si="428"/>
        <v>51</v>
      </c>
      <c r="L1096">
        <f t="shared" ca="1" si="429"/>
        <v>38818.103598055452</v>
      </c>
      <c r="M1096">
        <f t="shared" ca="1" si="407"/>
        <v>201854.13870988836</v>
      </c>
      <c r="N1096">
        <f t="shared" ca="1" si="408"/>
        <v>2.5998258661133509</v>
      </c>
      <c r="O1096">
        <f t="shared" ca="1" si="409"/>
        <v>2.5265768800162647E-4</v>
      </c>
      <c r="P1096">
        <f t="shared" ca="1" si="410"/>
        <v>39450.192598055452</v>
      </c>
      <c r="Q1096">
        <f t="shared" ca="1" si="411"/>
        <v>39450.192598058704</v>
      </c>
      <c r="R1096">
        <f t="shared" ca="1" si="412"/>
        <v>4.0178020849804564E-12</v>
      </c>
      <c r="S1096">
        <f t="shared" ca="1" si="430"/>
        <v>1.0869565376196988E-3</v>
      </c>
      <c r="T1096">
        <f t="shared" ca="1" si="431"/>
        <v>0</v>
      </c>
      <c r="U1096">
        <f t="shared" ca="1" si="413"/>
        <v>0.05</v>
      </c>
      <c r="V1096">
        <f t="shared" ca="1" si="414"/>
        <v>0.26</v>
      </c>
      <c r="W1096">
        <f t="shared" ca="1" si="415"/>
        <v>4.9056603773584909E-2</v>
      </c>
      <c r="X1096">
        <f t="shared" ca="1" si="416"/>
        <v>196.15384615384616</v>
      </c>
      <c r="Y1096">
        <f t="shared" ca="1" si="417"/>
        <v>632.13900000000001</v>
      </c>
      <c r="Z1096">
        <f t="shared" ca="1" si="418"/>
        <v>2593.216031648662</v>
      </c>
      <c r="AA1096">
        <f t="shared" ca="1" si="419"/>
        <v>482.07306851378365</v>
      </c>
      <c r="AB1096">
        <f t="shared" ca="1" si="420"/>
        <v>482.75074928545064</v>
      </c>
      <c r="AC1096">
        <f t="shared" ca="1" si="421"/>
        <v>0</v>
      </c>
      <c r="AD1096">
        <f ca="1">IF(V32="Supercritical",L1096,U1096)</f>
        <v>0.05</v>
      </c>
      <c r="AE1096">
        <f t="shared" ca="1" si="422"/>
        <v>632.13900000000001</v>
      </c>
      <c r="AF1096">
        <f t="shared" ca="1" si="423"/>
        <v>2593.216031648662</v>
      </c>
      <c r="AI1096">
        <v>0</v>
      </c>
      <c r="AJ1096">
        <v>0</v>
      </c>
      <c r="AK1096">
        <f t="shared" si="424"/>
        <v>0</v>
      </c>
      <c r="AL1096">
        <f t="shared" si="432"/>
        <v>0</v>
      </c>
      <c r="AM1096">
        <f t="shared" ca="1" si="425"/>
        <v>280.07692026646265</v>
      </c>
      <c r="AN1096" t="str">
        <f t="shared" ca="1" si="426"/>
        <v>Supercritical</v>
      </c>
      <c r="AO1096">
        <f ca="1">IF(V32="Supercritical",R1096,AA1096)</f>
        <v>482.07306851378365</v>
      </c>
    </row>
    <row r="1097" spans="1:41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174</v>
      </c>
      <c r="I1097">
        <v>0.06</v>
      </c>
      <c r="J1097">
        <f t="shared" si="427"/>
        <v>1.0009999999999764</v>
      </c>
      <c r="K1097">
        <f t="shared" si="428"/>
        <v>51</v>
      </c>
      <c r="L1097">
        <f t="shared" ca="1" si="429"/>
        <v>38818.103598055452</v>
      </c>
      <c r="M1097">
        <f t="shared" ca="1" si="407"/>
        <v>201854.13870988836</v>
      </c>
      <c r="N1097">
        <f t="shared" ca="1" si="408"/>
        <v>2.5998258661133509</v>
      </c>
      <c r="O1097">
        <f t="shared" ca="1" si="409"/>
        <v>2.5265768800162647E-4</v>
      </c>
      <c r="P1097">
        <f t="shared" ca="1" si="410"/>
        <v>39450.19209805545</v>
      </c>
      <c r="Q1097">
        <f t="shared" ca="1" si="411"/>
        <v>39450.192098058702</v>
      </c>
      <c r="R1097">
        <f t="shared" ca="1" si="412"/>
        <v>4.0178020849804564E-12</v>
      </c>
      <c r="S1097">
        <f t="shared" ca="1" si="430"/>
        <v>4.999999946448952E-4</v>
      </c>
      <c r="T1097">
        <f t="shared" ca="1" si="431"/>
        <v>1</v>
      </c>
      <c r="U1097">
        <f t="shared" ca="1" si="413"/>
        <v>0.05</v>
      </c>
      <c r="V1097">
        <f t="shared" ca="1" si="414"/>
        <v>0.26</v>
      </c>
      <c r="W1097">
        <f t="shared" ca="1" si="415"/>
        <v>4.9056603773584909E-2</v>
      </c>
      <c r="X1097">
        <f t="shared" ca="1" si="416"/>
        <v>196.15384615384616</v>
      </c>
      <c r="Y1097">
        <f t="shared" ca="1" si="417"/>
        <v>632.13849999999991</v>
      </c>
      <c r="Z1097">
        <f t="shared" ca="1" si="418"/>
        <v>2593.2155316486619</v>
      </c>
      <c r="AA1097">
        <f t="shared" ca="1" si="419"/>
        <v>482.07306851378365</v>
      </c>
      <c r="AB1097">
        <f t="shared" ca="1" si="420"/>
        <v>482.25887083179077</v>
      </c>
      <c r="AC1097">
        <f t="shared" ca="1" si="421"/>
        <v>0</v>
      </c>
      <c r="AD1097">
        <f ca="1">IF(V32="Supercritical",L1097,U1097)</f>
        <v>0.05</v>
      </c>
      <c r="AE1097">
        <f t="shared" ca="1" si="422"/>
        <v>632.13849999999991</v>
      </c>
      <c r="AF1097">
        <f t="shared" ca="1" si="423"/>
        <v>2593.2155316486619</v>
      </c>
      <c r="AI1097">
        <v>0</v>
      </c>
      <c r="AJ1097">
        <v>0</v>
      </c>
      <c r="AK1097">
        <f t="shared" si="424"/>
        <v>0</v>
      </c>
      <c r="AL1097">
        <f t="shared" si="432"/>
        <v>0</v>
      </c>
      <c r="AM1097">
        <f t="shared" ca="1" si="425"/>
        <v>280.07692026646265</v>
      </c>
      <c r="AN1097" t="str">
        <f t="shared" ca="1" si="426"/>
        <v>Supercritical</v>
      </c>
      <c r="AO1097">
        <f ca="1">IF(V32="Supercritical",R1097,AA1097)</f>
        <v>482.07306851378365</v>
      </c>
    </row>
    <row r="1098" spans="1:41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174</v>
      </c>
      <c r="I1098">
        <v>5.7000000000000002E-2</v>
      </c>
      <c r="J1098">
        <f t="shared" si="427"/>
        <v>1</v>
      </c>
      <c r="K1098">
        <f t="shared" si="428"/>
        <v>51</v>
      </c>
      <c r="L1098">
        <f t="shared" ca="1" si="429"/>
        <v>38818.103011098938</v>
      </c>
      <c r="M1098">
        <f t="shared" ca="1" si="407"/>
        <v>201854.13565771448</v>
      </c>
      <c r="N1098">
        <f t="shared" ca="1" si="408"/>
        <v>2.5998258661107179</v>
      </c>
      <c r="O1098">
        <f t="shared" ca="1" si="409"/>
        <v>2.5265769182198511E-4</v>
      </c>
      <c r="P1098">
        <f t="shared" ca="1" si="410"/>
        <v>39450.191011098941</v>
      </c>
      <c r="Q1098">
        <f t="shared" ca="1" si="411"/>
        <v>39450.191011102193</v>
      </c>
      <c r="R1098">
        <f t="shared" ca="1" si="412"/>
        <v>4.0178022064897672E-12</v>
      </c>
      <c r="S1098">
        <f t="shared" ca="1" si="430"/>
        <v>1.0869565012399107E-3</v>
      </c>
      <c r="T1098">
        <f t="shared" ca="1" si="431"/>
        <v>0</v>
      </c>
      <c r="U1098">
        <f t="shared" ca="1" si="413"/>
        <v>0.05</v>
      </c>
      <c r="V1098">
        <f t="shared" ca="1" si="414"/>
        <v>0.26</v>
      </c>
      <c r="W1098">
        <f t="shared" ca="1" si="415"/>
        <v>4.9056603773584909E-2</v>
      </c>
      <c r="X1098">
        <f t="shared" ca="1" si="416"/>
        <v>196.15384615384616</v>
      </c>
      <c r="Y1098">
        <f t="shared" ca="1" si="417"/>
        <v>632.13799999999992</v>
      </c>
      <c r="Z1098">
        <f t="shared" ca="1" si="418"/>
        <v>2593.2150316486623</v>
      </c>
      <c r="AA1098">
        <f t="shared" ca="1" si="419"/>
        <v>482.07306851378365</v>
      </c>
      <c r="AB1098">
        <f t="shared" ca="1" si="420"/>
        <v>481.59049544528125</v>
      </c>
      <c r="AC1098">
        <f t="shared" ca="1" si="421"/>
        <v>0</v>
      </c>
      <c r="AD1098">
        <f ca="1">IF(V32="Supercritical",L1098,U1098)</f>
        <v>0.05</v>
      </c>
      <c r="AE1098">
        <f t="shared" ca="1" si="422"/>
        <v>632.13799999999992</v>
      </c>
      <c r="AF1098">
        <f t="shared" ca="1" si="423"/>
        <v>2593.2150316486623</v>
      </c>
      <c r="AI1098">
        <v>0</v>
      </c>
      <c r="AJ1098">
        <v>0</v>
      </c>
      <c r="AK1098">
        <f t="shared" si="424"/>
        <v>0</v>
      </c>
      <c r="AL1098">
        <f t="shared" si="432"/>
        <v>0</v>
      </c>
      <c r="AM1098">
        <f t="shared" ca="1" si="425"/>
        <v>280.07692026646265</v>
      </c>
      <c r="AN1098" t="str">
        <f t="shared" ca="1" si="426"/>
        <v>Supercritical</v>
      </c>
      <c r="AO1098">
        <f ca="1">IF(V32="Supercritical",R1098,AA1098)</f>
        <v>482.07306851378365</v>
      </c>
    </row>
    <row r="1099" spans="1:41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174</v>
      </c>
      <c r="I1099">
        <v>0</v>
      </c>
      <c r="J1099">
        <f t="shared" si="427"/>
        <v>0.99900000000002365</v>
      </c>
      <c r="K1099">
        <f t="shared" si="428"/>
        <v>51</v>
      </c>
      <c r="L1099">
        <f t="shared" ca="1" si="429"/>
        <v>38818.103011098938</v>
      </c>
      <c r="M1099">
        <f t="shared" ca="1" si="407"/>
        <v>201854.13565771448</v>
      </c>
      <c r="N1099">
        <f t="shared" ca="1" si="408"/>
        <v>2.5998258661107179</v>
      </c>
      <c r="O1099">
        <f t="shared" ca="1" si="409"/>
        <v>2.5265769182198511E-4</v>
      </c>
      <c r="P1099">
        <f t="shared" ca="1" si="410"/>
        <v>39450.190511098939</v>
      </c>
      <c r="Q1099">
        <f t="shared" ca="1" si="411"/>
        <v>39450.190511102192</v>
      </c>
      <c r="R1099">
        <f t="shared" ca="1" si="412"/>
        <v>4.0178022064897672E-12</v>
      </c>
      <c r="S1099">
        <f t="shared" ca="1" si="430"/>
        <v>4.999999946448952E-4</v>
      </c>
      <c r="T1099">
        <f t="shared" ca="1" si="431"/>
        <v>1</v>
      </c>
      <c r="U1099">
        <f t="shared" ca="1" si="413"/>
        <v>0.05</v>
      </c>
      <c r="V1099">
        <f t="shared" ca="1" si="414"/>
        <v>0.26</v>
      </c>
      <c r="W1099">
        <f t="shared" ca="1" si="415"/>
        <v>4.9056603773584909E-2</v>
      </c>
      <c r="X1099">
        <f t="shared" ca="1" si="416"/>
        <v>196.15384615384616</v>
      </c>
      <c r="Y1099">
        <f t="shared" ca="1" si="417"/>
        <v>632.13749999999993</v>
      </c>
      <c r="Z1099">
        <f t="shared" ca="1" si="418"/>
        <v>2593.2145316486622</v>
      </c>
      <c r="AA1099">
        <f t="shared" ca="1" si="419"/>
        <v>482.07306851378365</v>
      </c>
      <c r="AB1099">
        <f t="shared" ca="1" si="420"/>
        <v>482.07256851378361</v>
      </c>
      <c r="AC1099">
        <f t="shared" ca="1" si="421"/>
        <v>0</v>
      </c>
      <c r="AD1099">
        <f ca="1">IF(V32="Supercritical",L1099,U1099)</f>
        <v>0.05</v>
      </c>
      <c r="AE1099">
        <f t="shared" ca="1" si="422"/>
        <v>632.13749999999993</v>
      </c>
      <c r="AF1099">
        <f t="shared" ca="1" si="423"/>
        <v>2593.2145316486622</v>
      </c>
      <c r="AI1099">
        <v>0</v>
      </c>
      <c r="AJ1099">
        <v>0</v>
      </c>
      <c r="AK1099">
        <f t="shared" si="424"/>
        <v>0</v>
      </c>
      <c r="AL1099">
        <f t="shared" si="432"/>
        <v>0</v>
      </c>
      <c r="AM1099">
        <f t="shared" ca="1" si="425"/>
        <v>280.07692026646265</v>
      </c>
      <c r="AN1099" t="str">
        <f t="shared" ca="1" si="426"/>
        <v>Supercritical</v>
      </c>
      <c r="AO1099">
        <f ca="1">IF(V32="Supercritical",R1099,AA1099)</f>
        <v>482.07306851378365</v>
      </c>
    </row>
    <row r="1100" spans="1:41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174</v>
      </c>
      <c r="I1100">
        <v>0</v>
      </c>
      <c r="J1100">
        <f t="shared" si="427"/>
        <v>1</v>
      </c>
      <c r="K1100">
        <f t="shared" si="428"/>
        <v>51</v>
      </c>
      <c r="L1100">
        <f t="shared" ca="1" si="429"/>
        <v>38818.102424142431</v>
      </c>
      <c r="M1100">
        <f t="shared" ca="1" si="407"/>
        <v>201854.13260554065</v>
      </c>
      <c r="N1100">
        <f t="shared" ca="1" si="408"/>
        <v>2.5998258661080849</v>
      </c>
      <c r="O1100">
        <f t="shared" ca="1" si="409"/>
        <v>2.5265769564234379E-4</v>
      </c>
      <c r="P1100">
        <f t="shared" ca="1" si="410"/>
        <v>39450.189424142431</v>
      </c>
      <c r="Q1100">
        <f t="shared" ca="1" si="411"/>
        <v>39450.189424145683</v>
      </c>
      <c r="R1100">
        <f t="shared" ca="1" si="412"/>
        <v>4.0178023279990789E-12</v>
      </c>
      <c r="S1100">
        <f t="shared" ca="1" si="430"/>
        <v>1.0869565012399107E-3</v>
      </c>
      <c r="T1100">
        <f t="shared" ca="1" si="431"/>
        <v>0</v>
      </c>
      <c r="U1100">
        <f t="shared" ca="1" si="413"/>
        <v>0.05</v>
      </c>
      <c r="V1100">
        <f t="shared" ca="1" si="414"/>
        <v>0.26</v>
      </c>
      <c r="W1100">
        <f t="shared" ca="1" si="415"/>
        <v>4.9056603773584909E-2</v>
      </c>
      <c r="X1100">
        <f t="shared" ca="1" si="416"/>
        <v>196.15384615384616</v>
      </c>
      <c r="Y1100">
        <f t="shared" ca="1" si="417"/>
        <v>632.13699999999994</v>
      </c>
      <c r="Z1100">
        <f t="shared" ca="1" si="418"/>
        <v>2593.2140316486621</v>
      </c>
      <c r="AA1100">
        <f t="shared" ca="1" si="419"/>
        <v>482.07306851378365</v>
      </c>
      <c r="AB1100">
        <f t="shared" ca="1" si="420"/>
        <v>482.25887083179032</v>
      </c>
      <c r="AC1100">
        <f t="shared" ca="1" si="421"/>
        <v>0</v>
      </c>
      <c r="AD1100">
        <f ca="1">IF(V32="Supercritical",L1100,U1100)</f>
        <v>0.05</v>
      </c>
      <c r="AE1100">
        <f t="shared" ca="1" si="422"/>
        <v>632.13699999999994</v>
      </c>
      <c r="AF1100">
        <f t="shared" ca="1" si="423"/>
        <v>2593.2140316486621</v>
      </c>
      <c r="AI1100">
        <v>0</v>
      </c>
      <c r="AJ1100">
        <v>0</v>
      </c>
      <c r="AK1100">
        <f t="shared" si="424"/>
        <v>0</v>
      </c>
      <c r="AL1100">
        <f t="shared" si="432"/>
        <v>0</v>
      </c>
      <c r="AM1100">
        <f t="shared" ca="1" si="425"/>
        <v>280.07692026646265</v>
      </c>
      <c r="AN1100" t="str">
        <f t="shared" ca="1" si="426"/>
        <v>Supercritical</v>
      </c>
      <c r="AO1100">
        <f ca="1">IF(V32="Supercritical",R1100,AA1100)</f>
        <v>482.07306851378365</v>
      </c>
    </row>
    <row r="1101" spans="1:41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174</v>
      </c>
      <c r="I1101">
        <v>5.7000000000000002E-2</v>
      </c>
      <c r="J1101">
        <f t="shared" si="427"/>
        <v>1</v>
      </c>
      <c r="K1101">
        <f t="shared" si="428"/>
        <v>51</v>
      </c>
      <c r="L1101">
        <f t="shared" ca="1" si="429"/>
        <v>38818.102424142431</v>
      </c>
      <c r="M1101">
        <f t="shared" ca="1" si="407"/>
        <v>201854.13260554065</v>
      </c>
      <c r="N1101">
        <f t="shared" ca="1" si="408"/>
        <v>2.5998258661080849</v>
      </c>
      <c r="O1101">
        <f t="shared" ca="1" si="409"/>
        <v>2.5265769564234379E-4</v>
      </c>
      <c r="P1101">
        <f t="shared" ca="1" si="410"/>
        <v>39450.188924142429</v>
      </c>
      <c r="Q1101">
        <f t="shared" ca="1" si="411"/>
        <v>39450.188924145681</v>
      </c>
      <c r="R1101">
        <f t="shared" ca="1" si="412"/>
        <v>4.0178023279990789E-12</v>
      </c>
      <c r="S1101">
        <f t="shared" ca="1" si="430"/>
        <v>4.999999946448952E-4</v>
      </c>
      <c r="T1101">
        <f t="shared" ca="1" si="431"/>
        <v>1</v>
      </c>
      <c r="U1101">
        <f t="shared" ca="1" si="413"/>
        <v>0.05</v>
      </c>
      <c r="V1101">
        <f t="shared" ca="1" si="414"/>
        <v>0.26</v>
      </c>
      <c r="W1101">
        <f t="shared" ca="1" si="415"/>
        <v>4.9056603773584909E-2</v>
      </c>
      <c r="X1101">
        <f t="shared" ca="1" si="416"/>
        <v>196.15384615384616</v>
      </c>
      <c r="Y1101">
        <f t="shared" ca="1" si="417"/>
        <v>632.13649999999996</v>
      </c>
      <c r="Z1101">
        <f t="shared" ca="1" si="418"/>
        <v>2593.213531648662</v>
      </c>
      <c r="AA1101">
        <f t="shared" ca="1" si="419"/>
        <v>482.07306851378365</v>
      </c>
      <c r="AB1101">
        <f t="shared" ca="1" si="420"/>
        <v>482.25887083179032</v>
      </c>
      <c r="AC1101">
        <f t="shared" ca="1" si="421"/>
        <v>0</v>
      </c>
      <c r="AD1101">
        <f ca="1">IF(V32="Supercritical",L1101,U1101)</f>
        <v>0.05</v>
      </c>
      <c r="AE1101">
        <f t="shared" ca="1" si="422"/>
        <v>632.13649999999996</v>
      </c>
      <c r="AF1101">
        <f t="shared" ca="1" si="423"/>
        <v>2593.213531648662</v>
      </c>
      <c r="AI1101">
        <v>0</v>
      </c>
      <c r="AJ1101">
        <v>0</v>
      </c>
      <c r="AK1101">
        <f t="shared" si="424"/>
        <v>0</v>
      </c>
      <c r="AL1101">
        <f t="shared" si="432"/>
        <v>0</v>
      </c>
      <c r="AM1101">
        <f t="shared" ca="1" si="425"/>
        <v>280.07692026646265</v>
      </c>
      <c r="AN1101" t="str">
        <f t="shared" ca="1" si="426"/>
        <v>Supercritical</v>
      </c>
      <c r="AO1101">
        <f ca="1">IF(V32="Supercritical",R1101,AA1101)</f>
        <v>482.07306851378365</v>
      </c>
    </row>
    <row r="1102" spans="1:41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174</v>
      </c>
      <c r="I1102">
        <v>5.7000000000000002E-2</v>
      </c>
      <c r="J1102">
        <f t="shared" si="427"/>
        <v>1</v>
      </c>
      <c r="K1102">
        <f t="shared" si="428"/>
        <v>51</v>
      </c>
      <c r="L1102">
        <f t="shared" ca="1" si="429"/>
        <v>38818.101837185917</v>
      </c>
      <c r="M1102">
        <f t="shared" ca="1" si="407"/>
        <v>201854.12955336677</v>
      </c>
      <c r="N1102">
        <f t="shared" ca="1" si="408"/>
        <v>2.5998258661054519</v>
      </c>
      <c r="O1102">
        <f t="shared" ca="1" si="409"/>
        <v>2.526576994627027E-4</v>
      </c>
      <c r="P1102">
        <f t="shared" ca="1" si="410"/>
        <v>39450.18783718592</v>
      </c>
      <c r="Q1102">
        <f t="shared" ca="1" si="411"/>
        <v>39450.187837189173</v>
      </c>
      <c r="R1102">
        <f t="shared" ca="1" si="412"/>
        <v>4.0178024495083961E-12</v>
      </c>
      <c r="S1102">
        <f t="shared" ca="1" si="430"/>
        <v>1.0869565012399107E-3</v>
      </c>
      <c r="T1102">
        <f t="shared" ca="1" si="431"/>
        <v>0</v>
      </c>
      <c r="U1102">
        <f t="shared" ca="1" si="413"/>
        <v>0.05</v>
      </c>
      <c r="V1102">
        <f t="shared" ca="1" si="414"/>
        <v>0.26</v>
      </c>
      <c r="W1102">
        <f t="shared" ca="1" si="415"/>
        <v>4.9056603773584909E-2</v>
      </c>
      <c r="X1102">
        <f t="shared" ca="1" si="416"/>
        <v>196.15384615384616</v>
      </c>
      <c r="Y1102">
        <f t="shared" ca="1" si="417"/>
        <v>632.13599999999997</v>
      </c>
      <c r="Z1102">
        <f t="shared" ca="1" si="418"/>
        <v>2593.2130316486619</v>
      </c>
      <c r="AA1102">
        <f t="shared" ca="1" si="419"/>
        <v>482.07306851378365</v>
      </c>
      <c r="AB1102">
        <f t="shared" ca="1" si="420"/>
        <v>482.07256851378406</v>
      </c>
      <c r="AC1102">
        <f t="shared" ca="1" si="421"/>
        <v>0</v>
      </c>
      <c r="AD1102">
        <f ca="1">IF(V32="Supercritical",L1102,U1102)</f>
        <v>0.05</v>
      </c>
      <c r="AE1102">
        <f t="shared" ca="1" si="422"/>
        <v>632.13599999999997</v>
      </c>
      <c r="AF1102">
        <f t="shared" ca="1" si="423"/>
        <v>2593.2130316486619</v>
      </c>
      <c r="AI1102">
        <v>0</v>
      </c>
      <c r="AJ1102">
        <v>0</v>
      </c>
      <c r="AK1102">
        <f t="shared" si="424"/>
        <v>0</v>
      </c>
      <c r="AL1102">
        <f t="shared" si="432"/>
        <v>0</v>
      </c>
      <c r="AM1102">
        <f t="shared" ca="1" si="425"/>
        <v>280.07692026646265</v>
      </c>
      <c r="AN1102" t="str">
        <f t="shared" ca="1" si="426"/>
        <v>Supercritical</v>
      </c>
      <c r="AO1102">
        <f ca="1">IF(V32="Supercritical",R1102,AA1102)</f>
        <v>482.07306851378365</v>
      </c>
    </row>
    <row r="1103" spans="1:41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174</v>
      </c>
      <c r="I1103">
        <v>0</v>
      </c>
      <c r="J1103">
        <f t="shared" si="427"/>
        <v>1</v>
      </c>
      <c r="K1103">
        <f t="shared" si="428"/>
        <v>51</v>
      </c>
      <c r="L1103">
        <f t="shared" ca="1" si="429"/>
        <v>38818.101837185917</v>
      </c>
      <c r="M1103">
        <f t="shared" ca="1" si="407"/>
        <v>201854.12955336677</v>
      </c>
      <c r="N1103">
        <f t="shared" ca="1" si="408"/>
        <v>2.5998258661054519</v>
      </c>
      <c r="O1103">
        <f t="shared" ca="1" si="409"/>
        <v>2.526576994627027E-4</v>
      </c>
      <c r="P1103">
        <f t="shared" ca="1" si="410"/>
        <v>39450.187337185918</v>
      </c>
      <c r="Q1103">
        <f t="shared" ca="1" si="411"/>
        <v>39450.187337189171</v>
      </c>
      <c r="R1103">
        <f t="shared" ca="1" si="412"/>
        <v>4.0178024495083961E-12</v>
      </c>
      <c r="S1103">
        <f t="shared" ca="1" si="430"/>
        <v>4.999999946448952E-4</v>
      </c>
      <c r="T1103">
        <f t="shared" ca="1" si="431"/>
        <v>1</v>
      </c>
      <c r="U1103">
        <f t="shared" ca="1" si="413"/>
        <v>0.05</v>
      </c>
      <c r="V1103">
        <f t="shared" ca="1" si="414"/>
        <v>0.26</v>
      </c>
      <c r="W1103">
        <f t="shared" ca="1" si="415"/>
        <v>4.9056603773584909E-2</v>
      </c>
      <c r="X1103">
        <f t="shared" ca="1" si="416"/>
        <v>196.15384615384616</v>
      </c>
      <c r="Y1103">
        <f t="shared" ca="1" si="417"/>
        <v>632.13549999999998</v>
      </c>
      <c r="Z1103">
        <f t="shared" ca="1" si="418"/>
        <v>2593.2125316486622</v>
      </c>
      <c r="AA1103">
        <f t="shared" ca="1" si="419"/>
        <v>482.07306851378365</v>
      </c>
      <c r="AB1103">
        <f t="shared" ca="1" si="420"/>
        <v>482.07256851378361</v>
      </c>
      <c r="AC1103">
        <f t="shared" ca="1" si="421"/>
        <v>0</v>
      </c>
      <c r="AD1103">
        <f ca="1">IF(V32="Supercritical",L1103,U1103)</f>
        <v>0.05</v>
      </c>
      <c r="AE1103">
        <f t="shared" ca="1" si="422"/>
        <v>632.13549999999998</v>
      </c>
      <c r="AF1103">
        <f t="shared" ca="1" si="423"/>
        <v>2593.2125316486622</v>
      </c>
      <c r="AI1103">
        <v>0</v>
      </c>
      <c r="AJ1103">
        <v>0</v>
      </c>
      <c r="AK1103">
        <f t="shared" si="424"/>
        <v>0</v>
      </c>
      <c r="AL1103">
        <f t="shared" si="432"/>
        <v>0</v>
      </c>
      <c r="AM1103">
        <f t="shared" ca="1" si="425"/>
        <v>280.07692026646265</v>
      </c>
      <c r="AN1103" t="str">
        <f t="shared" ca="1" si="426"/>
        <v>Supercritical</v>
      </c>
      <c r="AO1103">
        <f ca="1">IF(V32="Supercritical",R1103,AA1103)</f>
        <v>482.07306851378365</v>
      </c>
    </row>
    <row r="1104" spans="1:41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174</v>
      </c>
      <c r="I1104">
        <v>0</v>
      </c>
      <c r="J1104">
        <f t="shared" si="427"/>
        <v>1</v>
      </c>
      <c r="K1104">
        <f t="shared" si="428"/>
        <v>51</v>
      </c>
      <c r="L1104">
        <f t="shared" ca="1" si="429"/>
        <v>38818.101250229382</v>
      </c>
      <c r="M1104">
        <f t="shared" ca="1" si="407"/>
        <v>201854.1265011928</v>
      </c>
      <c r="N1104">
        <f t="shared" ca="1" si="408"/>
        <v>2.5998258661028193</v>
      </c>
      <c r="O1104">
        <f t="shared" ca="1" si="409"/>
        <v>2.5265770328306182E-4</v>
      </c>
      <c r="P1104">
        <f t="shared" ca="1" si="410"/>
        <v>39450.186250229381</v>
      </c>
      <c r="Q1104">
        <f t="shared" ca="1" si="411"/>
        <v>39450.186250232633</v>
      </c>
      <c r="R1104">
        <f t="shared" ca="1" si="412"/>
        <v>4.0178025710177255E-12</v>
      </c>
      <c r="S1104">
        <f t="shared" ca="1" si="430"/>
        <v>1.0869565303437412E-3</v>
      </c>
      <c r="T1104">
        <f t="shared" ca="1" si="431"/>
        <v>0</v>
      </c>
      <c r="U1104">
        <f t="shared" ca="1" si="413"/>
        <v>0.05</v>
      </c>
      <c r="V1104">
        <f t="shared" ca="1" si="414"/>
        <v>0.26</v>
      </c>
      <c r="W1104">
        <f t="shared" ca="1" si="415"/>
        <v>4.9056603773584909E-2</v>
      </c>
      <c r="X1104">
        <f t="shared" ca="1" si="416"/>
        <v>196.15384615384616</v>
      </c>
      <c r="Y1104">
        <f t="shared" ca="1" si="417"/>
        <v>632.13499999999999</v>
      </c>
      <c r="Z1104">
        <f t="shared" ca="1" si="418"/>
        <v>2593.2120316486621</v>
      </c>
      <c r="AA1104">
        <f t="shared" ca="1" si="419"/>
        <v>482.07306851378365</v>
      </c>
      <c r="AB1104">
        <f t="shared" ca="1" si="420"/>
        <v>482.25233390835137</v>
      </c>
      <c r="AC1104">
        <f t="shared" ca="1" si="421"/>
        <v>0</v>
      </c>
      <c r="AD1104">
        <f ca="1">IF(V32="Supercritical",L1104,U1104)</f>
        <v>0.05</v>
      </c>
      <c r="AE1104">
        <f t="shared" ca="1" si="422"/>
        <v>632.13499999999999</v>
      </c>
      <c r="AF1104">
        <f t="shared" ca="1" si="423"/>
        <v>2593.2120316486621</v>
      </c>
      <c r="AI1104">
        <v>0</v>
      </c>
      <c r="AJ1104">
        <v>0</v>
      </c>
      <c r="AK1104">
        <f t="shared" si="424"/>
        <v>0</v>
      </c>
      <c r="AL1104">
        <f t="shared" si="432"/>
        <v>0</v>
      </c>
      <c r="AM1104">
        <f t="shared" ca="1" si="425"/>
        <v>280.07692026646265</v>
      </c>
      <c r="AN1104" t="str">
        <f t="shared" ca="1" si="426"/>
        <v>Supercritical</v>
      </c>
      <c r="AO1104">
        <f ca="1">IF(V32="Supercritical",R1104,AA1104)</f>
        <v>482.07306851378365</v>
      </c>
    </row>
    <row r="1105" spans="1:41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174</v>
      </c>
      <c r="I1105">
        <v>5.5E-2</v>
      </c>
      <c r="J1105">
        <f t="shared" si="427"/>
        <v>1</v>
      </c>
      <c r="K1105">
        <f t="shared" si="428"/>
        <v>51</v>
      </c>
      <c r="L1105">
        <f t="shared" ca="1" si="429"/>
        <v>38818.101250229382</v>
      </c>
      <c r="M1105">
        <f t="shared" ca="1" si="407"/>
        <v>201854.1265011928</v>
      </c>
      <c r="N1105">
        <f t="shared" ca="1" si="408"/>
        <v>2.5998258661028193</v>
      </c>
      <c r="O1105">
        <f t="shared" ca="1" si="409"/>
        <v>2.5265770328306182E-4</v>
      </c>
      <c r="P1105">
        <f t="shared" ca="1" si="410"/>
        <v>39450.185750229379</v>
      </c>
      <c r="Q1105">
        <f t="shared" ca="1" si="411"/>
        <v>39450.185750232631</v>
      </c>
      <c r="R1105">
        <f t="shared" ca="1" si="412"/>
        <v>4.0178025710177255E-12</v>
      </c>
      <c r="S1105">
        <f t="shared" ca="1" si="430"/>
        <v>4.999999946448952E-4</v>
      </c>
      <c r="T1105">
        <f t="shared" ca="1" si="431"/>
        <v>1</v>
      </c>
      <c r="U1105">
        <f t="shared" ca="1" si="413"/>
        <v>0.05</v>
      </c>
      <c r="V1105">
        <f t="shared" ca="1" si="414"/>
        <v>0.26</v>
      </c>
      <c r="W1105">
        <f t="shared" ca="1" si="415"/>
        <v>4.9056603773584909E-2</v>
      </c>
      <c r="X1105">
        <f t="shared" ca="1" si="416"/>
        <v>196.15384615384616</v>
      </c>
      <c r="Y1105">
        <f t="shared" ca="1" si="417"/>
        <v>632.1345</v>
      </c>
      <c r="Z1105">
        <f t="shared" ca="1" si="418"/>
        <v>2593.211531648662</v>
      </c>
      <c r="AA1105">
        <f t="shared" ca="1" si="419"/>
        <v>482.07306851378365</v>
      </c>
      <c r="AB1105">
        <f t="shared" ca="1" si="420"/>
        <v>482.73440697685373</v>
      </c>
      <c r="AC1105">
        <f t="shared" ca="1" si="421"/>
        <v>0</v>
      </c>
      <c r="AD1105">
        <f ca="1">IF(V32="Supercritical",L1105,U1105)</f>
        <v>0.05</v>
      </c>
      <c r="AE1105">
        <f t="shared" ca="1" si="422"/>
        <v>632.1345</v>
      </c>
      <c r="AF1105">
        <f t="shared" ca="1" si="423"/>
        <v>2593.211531648662</v>
      </c>
      <c r="AI1105">
        <v>0</v>
      </c>
      <c r="AJ1105">
        <v>0</v>
      </c>
      <c r="AK1105">
        <f t="shared" si="424"/>
        <v>0</v>
      </c>
      <c r="AL1105">
        <f t="shared" si="432"/>
        <v>0</v>
      </c>
      <c r="AM1105">
        <f t="shared" ca="1" si="425"/>
        <v>280.07692026646265</v>
      </c>
      <c r="AN1105" t="str">
        <f t="shared" ca="1" si="426"/>
        <v>Supercritical</v>
      </c>
      <c r="AO1105">
        <f ca="1">IF(V32="Supercritical",R1105,AA1105)</f>
        <v>482.07306851378365</v>
      </c>
    </row>
    <row r="1106" spans="1:41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174</v>
      </c>
      <c r="I1106">
        <v>5.5E-2</v>
      </c>
      <c r="J1106">
        <f t="shared" si="427"/>
        <v>1.0009999999999764</v>
      </c>
      <c r="K1106">
        <f t="shared" si="428"/>
        <v>51</v>
      </c>
      <c r="L1106">
        <f t="shared" ca="1" si="429"/>
        <v>38818.100663272831</v>
      </c>
      <c r="M1106">
        <f t="shared" ca="1" si="407"/>
        <v>201854.12344901872</v>
      </c>
      <c r="N1106">
        <f t="shared" ca="1" si="408"/>
        <v>2.5998258661001863</v>
      </c>
      <c r="O1106">
        <f t="shared" ca="1" si="409"/>
        <v>2.5265770710342122E-4</v>
      </c>
      <c r="P1106">
        <f t="shared" ca="1" si="410"/>
        <v>39450.184663272834</v>
      </c>
      <c r="Q1106">
        <f t="shared" ca="1" si="411"/>
        <v>39450.184663276086</v>
      </c>
      <c r="R1106">
        <f t="shared" ca="1" si="412"/>
        <v>4.0178026925270638E-12</v>
      </c>
      <c r="S1106">
        <f t="shared" ca="1" si="430"/>
        <v>1.0869565376196988E-3</v>
      </c>
      <c r="T1106">
        <f t="shared" ca="1" si="431"/>
        <v>0</v>
      </c>
      <c r="U1106">
        <f t="shared" ca="1" si="413"/>
        <v>0.05</v>
      </c>
      <c r="V1106">
        <f t="shared" ca="1" si="414"/>
        <v>0.26</v>
      </c>
      <c r="W1106">
        <f t="shared" ca="1" si="415"/>
        <v>4.9056603773584909E-2</v>
      </c>
      <c r="X1106">
        <f t="shared" ca="1" si="416"/>
        <v>196.15384615384616</v>
      </c>
      <c r="Y1106">
        <f t="shared" ca="1" si="417"/>
        <v>632.1339999999999</v>
      </c>
      <c r="Z1106">
        <f t="shared" ca="1" si="418"/>
        <v>2593.2110316486619</v>
      </c>
      <c r="AA1106">
        <f t="shared" ca="1" si="419"/>
        <v>482.07306851378365</v>
      </c>
      <c r="AB1106">
        <f t="shared" ca="1" si="420"/>
        <v>482.07256851378406</v>
      </c>
      <c r="AC1106">
        <f t="shared" ca="1" si="421"/>
        <v>0</v>
      </c>
      <c r="AD1106">
        <f ca="1">IF(V32="Supercritical",L1106,U1106)</f>
        <v>0.05</v>
      </c>
      <c r="AE1106">
        <f t="shared" ca="1" si="422"/>
        <v>632.1339999999999</v>
      </c>
      <c r="AF1106">
        <f t="shared" ca="1" si="423"/>
        <v>2593.2110316486619</v>
      </c>
      <c r="AI1106">
        <v>0</v>
      </c>
      <c r="AJ1106">
        <v>0</v>
      </c>
      <c r="AK1106">
        <f t="shared" si="424"/>
        <v>0</v>
      </c>
      <c r="AL1106">
        <f t="shared" si="432"/>
        <v>0</v>
      </c>
      <c r="AM1106">
        <f t="shared" ca="1" si="425"/>
        <v>280.07692026646265</v>
      </c>
      <c r="AN1106" t="str">
        <f t="shared" ca="1" si="426"/>
        <v>Supercritical</v>
      </c>
      <c r="AO1106">
        <f ca="1">IF(V32="Supercritical",R1106,AA1106)</f>
        <v>482.07306851378365</v>
      </c>
    </row>
    <row r="1107" spans="1:41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174</v>
      </c>
      <c r="I1107">
        <v>0</v>
      </c>
      <c r="J1107">
        <f t="shared" si="427"/>
        <v>1</v>
      </c>
      <c r="K1107">
        <f t="shared" si="428"/>
        <v>51</v>
      </c>
      <c r="L1107">
        <f t="shared" ca="1" si="429"/>
        <v>38818.100663272831</v>
      </c>
      <c r="M1107">
        <f t="shared" ca="1" si="407"/>
        <v>201854.12344901872</v>
      </c>
      <c r="N1107">
        <f t="shared" ca="1" si="408"/>
        <v>2.5998258661001863</v>
      </c>
      <c r="O1107">
        <f t="shared" ca="1" si="409"/>
        <v>2.5265770710342122E-4</v>
      </c>
      <c r="P1107">
        <f t="shared" ca="1" si="410"/>
        <v>39450.184163272832</v>
      </c>
      <c r="Q1107">
        <f t="shared" ca="1" si="411"/>
        <v>39450.184163276084</v>
      </c>
      <c r="R1107">
        <f t="shared" ca="1" si="412"/>
        <v>4.0178026925270638E-12</v>
      </c>
      <c r="S1107">
        <f t="shared" ca="1" si="430"/>
        <v>4.999999946448952E-4</v>
      </c>
      <c r="T1107">
        <f t="shared" ca="1" si="431"/>
        <v>1</v>
      </c>
      <c r="U1107">
        <f t="shared" ca="1" si="413"/>
        <v>0.05</v>
      </c>
      <c r="V1107">
        <f t="shared" ca="1" si="414"/>
        <v>0.26</v>
      </c>
      <c r="W1107">
        <f t="shared" ca="1" si="415"/>
        <v>4.9056603773584909E-2</v>
      </c>
      <c r="X1107">
        <f t="shared" ca="1" si="416"/>
        <v>196.15384615384616</v>
      </c>
      <c r="Y1107">
        <f t="shared" ca="1" si="417"/>
        <v>632.13349999999991</v>
      </c>
      <c r="Z1107">
        <f t="shared" ca="1" si="418"/>
        <v>2593.2105316486623</v>
      </c>
      <c r="AA1107">
        <f t="shared" ca="1" si="419"/>
        <v>482.07306851378365</v>
      </c>
      <c r="AB1107">
        <f t="shared" ca="1" si="420"/>
        <v>481.59049544528125</v>
      </c>
      <c r="AC1107">
        <f t="shared" ca="1" si="421"/>
        <v>0</v>
      </c>
      <c r="AD1107">
        <f ca="1">IF(V32="Supercritical",L1107,U1107)</f>
        <v>0.05</v>
      </c>
      <c r="AE1107">
        <f t="shared" ca="1" si="422"/>
        <v>632.13349999999991</v>
      </c>
      <c r="AF1107">
        <f t="shared" ca="1" si="423"/>
        <v>2593.2105316486623</v>
      </c>
      <c r="AI1107">
        <v>0</v>
      </c>
      <c r="AJ1107">
        <v>0</v>
      </c>
      <c r="AK1107">
        <f t="shared" si="424"/>
        <v>0</v>
      </c>
      <c r="AL1107">
        <f t="shared" si="432"/>
        <v>0</v>
      </c>
      <c r="AM1107">
        <f t="shared" ca="1" si="425"/>
        <v>280.07692026646265</v>
      </c>
      <c r="AN1107" t="str">
        <f t="shared" ca="1" si="426"/>
        <v>Supercritical</v>
      </c>
      <c r="AO1107">
        <f ca="1">IF(V32="Supercritical",R1107,AA1107)</f>
        <v>482.07306851378365</v>
      </c>
    </row>
    <row r="1108" spans="1:41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174</v>
      </c>
      <c r="I1108">
        <v>0</v>
      </c>
      <c r="J1108">
        <f t="shared" si="427"/>
        <v>0.99900000000002365</v>
      </c>
      <c r="K1108">
        <f t="shared" si="428"/>
        <v>51</v>
      </c>
      <c r="L1108">
        <f t="shared" ca="1" si="429"/>
        <v>38818.100076316325</v>
      </c>
      <c r="M1108">
        <f t="shared" ca="1" si="407"/>
        <v>201854.1203968449</v>
      </c>
      <c r="N1108">
        <f t="shared" ca="1" si="408"/>
        <v>2.5998258660975537</v>
      </c>
      <c r="O1108">
        <f t="shared" ca="1" si="409"/>
        <v>2.5265771092378039E-4</v>
      </c>
      <c r="P1108">
        <f t="shared" ca="1" si="410"/>
        <v>39450.183076316323</v>
      </c>
      <c r="Q1108">
        <f t="shared" ca="1" si="411"/>
        <v>39450.183076319576</v>
      </c>
      <c r="R1108">
        <f t="shared" ca="1" si="412"/>
        <v>4.017802814036398E-12</v>
      </c>
      <c r="S1108">
        <f t="shared" ca="1" si="430"/>
        <v>1.0869565012399107E-3</v>
      </c>
      <c r="T1108">
        <f t="shared" ca="1" si="431"/>
        <v>0</v>
      </c>
      <c r="U1108">
        <f t="shared" ca="1" si="413"/>
        <v>0.05</v>
      </c>
      <c r="V1108">
        <f t="shared" ca="1" si="414"/>
        <v>0.26</v>
      </c>
      <c r="W1108">
        <f t="shared" ca="1" si="415"/>
        <v>4.9056603773584909E-2</v>
      </c>
      <c r="X1108">
        <f t="shared" ca="1" si="416"/>
        <v>196.15384615384616</v>
      </c>
      <c r="Y1108">
        <f t="shared" ca="1" si="417"/>
        <v>632.13299999999992</v>
      </c>
      <c r="Z1108">
        <f t="shared" ca="1" si="418"/>
        <v>2593.2100316486622</v>
      </c>
      <c r="AA1108">
        <f t="shared" ca="1" si="419"/>
        <v>482.07306851378365</v>
      </c>
      <c r="AB1108">
        <f t="shared" ca="1" si="420"/>
        <v>482.25887083179032</v>
      </c>
      <c r="AC1108">
        <f t="shared" ca="1" si="421"/>
        <v>0</v>
      </c>
      <c r="AD1108">
        <f ca="1">IF(V32="Supercritical",L1108,U1108)</f>
        <v>0.05</v>
      </c>
      <c r="AE1108">
        <f t="shared" ca="1" si="422"/>
        <v>632.13299999999992</v>
      </c>
      <c r="AF1108">
        <f t="shared" ca="1" si="423"/>
        <v>2593.2100316486622</v>
      </c>
      <c r="AI1108">
        <v>0</v>
      </c>
      <c r="AJ1108">
        <v>0</v>
      </c>
      <c r="AK1108">
        <f t="shared" si="424"/>
        <v>0</v>
      </c>
      <c r="AL1108">
        <f t="shared" si="432"/>
        <v>0</v>
      </c>
      <c r="AM1108">
        <f t="shared" ca="1" si="425"/>
        <v>280.07692026646265</v>
      </c>
      <c r="AN1108" t="str">
        <f t="shared" ca="1" si="426"/>
        <v>Supercritical</v>
      </c>
      <c r="AO1108">
        <f ca="1">IF(V32="Supercritical",R1108,AA1108)</f>
        <v>482.07306851378365</v>
      </c>
    </row>
    <row r="1109" spans="1:41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174</v>
      </c>
      <c r="I1109">
        <v>5.7000000000000002E-2</v>
      </c>
      <c r="J1109">
        <f t="shared" si="427"/>
        <v>1</v>
      </c>
      <c r="K1109">
        <f t="shared" si="428"/>
        <v>51</v>
      </c>
      <c r="L1109">
        <f t="shared" ca="1" si="429"/>
        <v>38818.100076316325</v>
      </c>
      <c r="M1109">
        <f t="shared" ca="1" si="407"/>
        <v>201854.1203968449</v>
      </c>
      <c r="N1109">
        <f t="shared" ca="1" si="408"/>
        <v>2.5998258660975537</v>
      </c>
      <c r="O1109">
        <f t="shared" ca="1" si="409"/>
        <v>2.5265771092378039E-4</v>
      </c>
      <c r="P1109">
        <f t="shared" ca="1" si="410"/>
        <v>39450.182576316322</v>
      </c>
      <c r="Q1109">
        <f t="shared" ca="1" si="411"/>
        <v>39450.182576319574</v>
      </c>
      <c r="R1109">
        <f t="shared" ca="1" si="412"/>
        <v>4.017802814036398E-12</v>
      </c>
      <c r="S1109">
        <f t="shared" ca="1" si="430"/>
        <v>4.999999946448952E-4</v>
      </c>
      <c r="T1109">
        <f t="shared" ca="1" si="431"/>
        <v>1</v>
      </c>
      <c r="U1109">
        <f t="shared" ca="1" si="413"/>
        <v>0.05</v>
      </c>
      <c r="V1109">
        <f t="shared" ca="1" si="414"/>
        <v>0.26</v>
      </c>
      <c r="W1109">
        <f t="shared" ca="1" si="415"/>
        <v>4.9056603773584909E-2</v>
      </c>
      <c r="X1109">
        <f t="shared" ca="1" si="416"/>
        <v>196.15384615384616</v>
      </c>
      <c r="Y1109">
        <f t="shared" ca="1" si="417"/>
        <v>632.13249999999994</v>
      </c>
      <c r="Z1109">
        <f t="shared" ca="1" si="418"/>
        <v>2593.2095316486621</v>
      </c>
      <c r="AA1109">
        <f t="shared" ca="1" si="419"/>
        <v>482.07306851378365</v>
      </c>
      <c r="AB1109">
        <f t="shared" ca="1" si="420"/>
        <v>482.25887083179032</v>
      </c>
      <c r="AC1109">
        <f t="shared" ca="1" si="421"/>
        <v>0</v>
      </c>
      <c r="AD1109">
        <f ca="1">IF(V32="Supercritical",L1109,U1109)</f>
        <v>0.05</v>
      </c>
      <c r="AE1109">
        <f t="shared" ca="1" si="422"/>
        <v>632.13249999999994</v>
      </c>
      <c r="AF1109">
        <f t="shared" ca="1" si="423"/>
        <v>2593.2095316486621</v>
      </c>
      <c r="AI1109">
        <v>0</v>
      </c>
      <c r="AJ1109">
        <v>0</v>
      </c>
      <c r="AK1109">
        <f t="shared" si="424"/>
        <v>0</v>
      </c>
      <c r="AL1109">
        <f t="shared" si="432"/>
        <v>0</v>
      </c>
      <c r="AM1109">
        <f t="shared" ca="1" si="425"/>
        <v>280.07692026646265</v>
      </c>
      <c r="AN1109" t="str">
        <f t="shared" ca="1" si="426"/>
        <v>Supercritical</v>
      </c>
      <c r="AO1109">
        <f ca="1">IF(V32="Supercritical",R1109,AA1109)</f>
        <v>482.07306851378365</v>
      </c>
    </row>
    <row r="1110" spans="1:41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174</v>
      </c>
      <c r="I1110">
        <v>5.7000000000000002E-2</v>
      </c>
      <c r="J1110">
        <f t="shared" si="427"/>
        <v>1</v>
      </c>
      <c r="K1110">
        <f t="shared" si="428"/>
        <v>51</v>
      </c>
      <c r="L1110">
        <f t="shared" ca="1" si="429"/>
        <v>38818.099489359811</v>
      </c>
      <c r="M1110">
        <f t="shared" ref="M1110:M1173" ca="1" si="433">((F1110)+(G1110)*(L1110))*(L1110)</f>
        <v>201854.11734467102</v>
      </c>
      <c r="N1110">
        <f t="shared" ref="N1110:N1173" ca="1" si="434">(((F1110)+(G1110)*(L1110))*(L1110))/MAX((F1110)+2*(L1110)*SQRT(1+(G1110)^2),0.000001)</f>
        <v>2.5998258660949207</v>
      </c>
      <c r="O1110">
        <f t="shared" ref="O1110:O1173" ca="1" si="435">ABS(K1110)/MAX(((F1110)+(G1110)*(L1110))*(L1110),0.000001)</f>
        <v>2.5265771474413973E-4</v>
      </c>
      <c r="P1110">
        <f t="shared" ref="P1110:P1173" ca="1" si="436">E1110+L1110</f>
        <v>39450.181489359813</v>
      </c>
      <c r="Q1110">
        <f t="shared" ref="Q1110:Q1173" ca="1" si="437">P1110+((ABS(K1110)/MAX(((F1110)+(G1110)*(L1110))*(L1110),0.000001))^2)/(2*$I$5)</f>
        <v>39450.181489363065</v>
      </c>
      <c r="R1110">
        <f t="shared" ref="R1110:R1173" ca="1" si="438">((ABS(K1110)*$D$6)/(MAX(((F1110)+(G1110)*(L1110))*(L1110),0.000001)*MAX(((((F1110)+(G1110)*(L1110))*(L1110))/MAX((F1110)+2*(L1110)*SQRT(1+(G1110)^2),0.000001))^(2/3),0.000001)))^2</f>
        <v>4.0178029355457403E-12</v>
      </c>
      <c r="S1110">
        <f t="shared" ca="1" si="430"/>
        <v>1.0869565012399107E-3</v>
      </c>
      <c r="T1110">
        <f t="shared" ca="1" si="431"/>
        <v>0</v>
      </c>
      <c r="U1110">
        <f t="shared" ref="U1110:U1173" ca="1" si="439">IF($D$20=0,U1111,IF(AC1111=0,U1111,IF(U1110=0,U1111,IF(ABS(AB1110)&gt;$D$19,MAX($D$16,U1110+((AB1110)*$D$18*IF((ABS(ABS(K1110)/MAX(((F1110)+(G1110)*(U1110))*(U1110),0.000001))/SQRT($I$5*MAX((((F1110)+(G1110)*(U1110))*(U1110))/MAX((F1110)+2*(G1110)*(U1110),0.000001),0.000001)))&lt;1,1,-1))),U1110))))</f>
        <v>0.05</v>
      </c>
      <c r="V1110">
        <f t="shared" ref="V1110:V1173" ca="1" si="440">((F1110)+(G1110)*(U1110))*(U1110)</f>
        <v>0.26</v>
      </c>
      <c r="W1110">
        <f t="shared" ref="W1110:W1173" ca="1" si="441">(((F1110)+(G1110)*(U1110))*(U1110))/MAX((F1110)+2*(U1110)*SQRT(1+(G1110)^2),0.000001)</f>
        <v>4.9056603773584909E-2</v>
      </c>
      <c r="X1110">
        <f t="shared" ref="X1110:X1173" ca="1" si="442">ABS(K1110)/MAX(((F1110)+(G1110)*(U1110))*(U1110),0.000001)</f>
        <v>196.15384615384616</v>
      </c>
      <c r="Y1110">
        <f t="shared" ref="Y1110:Y1173" ca="1" si="443">E1110+U1110</f>
        <v>632.13199999999995</v>
      </c>
      <c r="Z1110">
        <f t="shared" ref="Z1110:Z1173" ca="1" si="444">Y1110+((ABS(K1110)/MAX(((F1110)+(G1110)*(U1110))*(U1110),0.000001))^2)/(2*$I$5)</f>
        <v>2593.2090316486619</v>
      </c>
      <c r="AA1110">
        <f t="shared" ref="AA1110:AA1173" ca="1" si="445">((ABS(K1110)*$D$6)/(MAX(((F1110)+(G1110)*(U1110))*(U1110),0.000001)*MAX(((((F1110)+(G1110)*(U1110))*(U1110))/MAX((F1110)+2*(U1110)*SQRT(1+(G1110)^2),0.000001))^(2/3),0.000001)))^2</f>
        <v>482.07306851378365</v>
      </c>
      <c r="AB1110">
        <f t="shared" ref="AB1110:AB1173" ca="1" si="446">Z1111+(((AA1110+AA1111)/2)*J1111)+(IF(X1110&gt;X1111,$D$8*((X1110^2-X1111^2)/(2*$I$5)),$D$9*((X1111^2-X1110^2)/(2*$I$5)))+($D$10*(ABS(I1111)/90)*(MAX(X1110^2,X1111^2)/(2*$I$5))))-Z1110</f>
        <v>482.07256851378361</v>
      </c>
      <c r="AC1110">
        <f t="shared" ref="AC1110:AC1173" ca="1" si="447">IF(ABS(AB1110)&lt;$D$19,1,0)</f>
        <v>0</v>
      </c>
      <c r="AD1110">
        <f ca="1">IF(V32="Supercritical",L1110,U1110)</f>
        <v>0.05</v>
      </c>
      <c r="AE1110">
        <f t="shared" ref="AE1110:AE1173" ca="1" si="448">E1110+AD1110</f>
        <v>632.13199999999995</v>
      </c>
      <c r="AF1110">
        <f t="shared" ref="AF1110:AF1173" ca="1" si="449">AE1110+((ABS(K1110)/MAX(((F1110)+(G1110)*(AD1110))*(AD1110),0.000001))^2)/(2*$I$5)</f>
        <v>2593.2090316486619</v>
      </c>
      <c r="AI1110">
        <v>0</v>
      </c>
      <c r="AJ1110">
        <v>0</v>
      </c>
      <c r="AK1110">
        <f t="shared" ref="AK1110:AK1173" si="450">AI1110+AJ1110</f>
        <v>0</v>
      </c>
      <c r="AL1110">
        <f t="shared" si="432"/>
        <v>0</v>
      </c>
      <c r="AM1110">
        <f t="shared" ref="AM1110:AM1173" ca="1" si="451">ABS(ABS(K1110)/MAX(((F1110)+(G1110)*(AD1110))*(AD1110),0.000001))/SQRT($I$5*MAX((((F1110)+(G1110)*(AD1110))*(AD1110))/MAX((F1110)+2*(G1110)*(AD1110),0.000001),0.000001))</f>
        <v>280.07692026646265</v>
      </c>
      <c r="AN1110" t="str">
        <f t="shared" ref="AN1110:AN1173" ca="1" si="452">IF(AM1110&lt;1,"Subcritical","Supercritical")</f>
        <v>Supercritical</v>
      </c>
      <c r="AO1110">
        <f ca="1">IF(V32="Supercritical",R1110,AA1110)</f>
        <v>482.07306851378365</v>
      </c>
    </row>
    <row r="1111" spans="1:41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174</v>
      </c>
      <c r="I1111">
        <v>0</v>
      </c>
      <c r="J1111">
        <f t="shared" ref="J1111:J1174" si="453">B1111-B1110</f>
        <v>1</v>
      </c>
      <c r="K1111">
        <f t="shared" ref="K1111:K1174" si="454">MAX(0,K1110-AK1110)</f>
        <v>51</v>
      </c>
      <c r="L1111">
        <f t="shared" ref="L1111:L1174" ca="1" si="455">IF($D$20=0,L1110,IF(T1110=0,L1110,IF(L1111=0,L1110,IF(ABS(S1111)&gt;$D$19,MAX($D$16,L1111+((S1111)*$D$18*IF((ABS(ABS(K1111)/MAX(((F1111)+(G1111)*(L1111))*(L1111),0.000001))/SQRT($I$5*MAX((((F1111)+(G1111)*(L1111))*(L1111))/MAX((F1111)+2*(G1111)*(L1111),0.000001),0.000001)))&lt;1,1,-1))),L1111))))</f>
        <v>38818.099489359811</v>
      </c>
      <c r="M1111">
        <f t="shared" ca="1" si="433"/>
        <v>201854.11734467102</v>
      </c>
      <c r="N1111">
        <f t="shared" ca="1" si="434"/>
        <v>2.5998258660949207</v>
      </c>
      <c r="O1111">
        <f t="shared" ca="1" si="435"/>
        <v>2.5265771474413973E-4</v>
      </c>
      <c r="P1111">
        <f t="shared" ca="1" si="436"/>
        <v>39450.180989359811</v>
      </c>
      <c r="Q1111">
        <f t="shared" ca="1" si="437"/>
        <v>39450.180989363063</v>
      </c>
      <c r="R1111">
        <f t="shared" ca="1" si="438"/>
        <v>4.0178029355457403E-12</v>
      </c>
      <c r="S1111">
        <f t="shared" ref="S1111:S1174" ca="1" si="456">Q1110-(((R1110+R1111)/2)*J1111)-(IF(O1110&gt;O1111,$D$8*((O1110^2-O1111^2)/(2*$I$5)),$D$9*((O1111^2-O1110^2)/(2*$I$5)))+($D$10*(ABS(I1111)/90)*(MAX(O1110^2,O1111^2)/(2*$I$5))))-Q1111</f>
        <v>4.999999946448952E-4</v>
      </c>
      <c r="T1111">
        <f t="shared" ref="T1111:T1174" ca="1" si="457">IF(ABS(S1111)&lt;$D$19,1,0)</f>
        <v>1</v>
      </c>
      <c r="U1111">
        <f t="shared" ca="1" si="439"/>
        <v>0.05</v>
      </c>
      <c r="V1111">
        <f t="shared" ca="1" si="440"/>
        <v>0.26</v>
      </c>
      <c r="W1111">
        <f t="shared" ca="1" si="441"/>
        <v>4.9056603773584909E-2</v>
      </c>
      <c r="X1111">
        <f t="shared" ca="1" si="442"/>
        <v>196.15384615384616</v>
      </c>
      <c r="Y1111">
        <f t="shared" ca="1" si="443"/>
        <v>632.13149999999996</v>
      </c>
      <c r="Z1111">
        <f t="shared" ca="1" si="444"/>
        <v>2593.2085316486618</v>
      </c>
      <c r="AA1111">
        <f t="shared" ca="1" si="445"/>
        <v>482.07306851378365</v>
      </c>
      <c r="AB1111">
        <f t="shared" ca="1" si="446"/>
        <v>482.07256851378406</v>
      </c>
      <c r="AC1111">
        <f t="shared" ca="1" si="447"/>
        <v>0</v>
      </c>
      <c r="AD1111">
        <f ca="1">IF(V32="Supercritical",L1111,U1111)</f>
        <v>0.05</v>
      </c>
      <c r="AE1111">
        <f t="shared" ca="1" si="448"/>
        <v>632.13149999999996</v>
      </c>
      <c r="AF1111">
        <f t="shared" ca="1" si="449"/>
        <v>2593.2085316486618</v>
      </c>
      <c r="AI1111">
        <v>0</v>
      </c>
      <c r="AJ1111">
        <v>0</v>
      </c>
      <c r="AK1111">
        <f t="shared" si="450"/>
        <v>0</v>
      </c>
      <c r="AL1111">
        <f t="shared" ref="AL1111:AL1174" si="458">AL1110+AK1111</f>
        <v>0</v>
      </c>
      <c r="AM1111">
        <f t="shared" ca="1" si="451"/>
        <v>280.07692026646265</v>
      </c>
      <c r="AN1111" t="str">
        <f t="shared" ca="1" si="452"/>
        <v>Supercritical</v>
      </c>
      <c r="AO1111">
        <f ca="1">IF(V32="Supercritical",R1111,AA1111)</f>
        <v>482.07306851378365</v>
      </c>
    </row>
    <row r="1112" spans="1:41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174</v>
      </c>
      <c r="I1112">
        <v>0</v>
      </c>
      <c r="J1112">
        <f t="shared" si="453"/>
        <v>1</v>
      </c>
      <c r="K1112">
        <f t="shared" si="454"/>
        <v>51</v>
      </c>
      <c r="L1112">
        <f t="shared" ca="1" si="455"/>
        <v>38818.098902403304</v>
      </c>
      <c r="M1112">
        <f t="shared" ca="1" si="433"/>
        <v>201854.11429249719</v>
      </c>
      <c r="N1112">
        <f t="shared" ca="1" si="434"/>
        <v>2.5998258660922877</v>
      </c>
      <c r="O1112">
        <f t="shared" ca="1" si="435"/>
        <v>2.5265771856449913E-4</v>
      </c>
      <c r="P1112">
        <f t="shared" ca="1" si="436"/>
        <v>39450.179902403303</v>
      </c>
      <c r="Q1112">
        <f t="shared" ca="1" si="437"/>
        <v>39450.179902406555</v>
      </c>
      <c r="R1112">
        <f t="shared" ca="1" si="438"/>
        <v>4.0178030570550851E-12</v>
      </c>
      <c r="S1112">
        <f t="shared" ca="1" si="456"/>
        <v>1.0869565012399107E-3</v>
      </c>
      <c r="T1112">
        <f t="shared" ca="1" si="457"/>
        <v>0</v>
      </c>
      <c r="U1112">
        <f t="shared" ca="1" si="439"/>
        <v>0.05</v>
      </c>
      <c r="V1112">
        <f t="shared" ca="1" si="440"/>
        <v>0.26</v>
      </c>
      <c r="W1112">
        <f t="shared" ca="1" si="441"/>
        <v>4.9056603773584909E-2</v>
      </c>
      <c r="X1112">
        <f t="shared" ca="1" si="442"/>
        <v>196.15384615384616</v>
      </c>
      <c r="Y1112">
        <f t="shared" ca="1" si="443"/>
        <v>632.13099999999997</v>
      </c>
      <c r="Z1112">
        <f t="shared" ca="1" si="444"/>
        <v>2593.2080316486622</v>
      </c>
      <c r="AA1112">
        <f t="shared" ca="1" si="445"/>
        <v>482.07306851378365</v>
      </c>
      <c r="AB1112">
        <f t="shared" ca="1" si="446"/>
        <v>482.25887083179032</v>
      </c>
      <c r="AC1112">
        <f t="shared" ca="1" si="447"/>
        <v>0</v>
      </c>
      <c r="AD1112">
        <f ca="1">IF(V32="Supercritical",L1112,U1112)</f>
        <v>0.05</v>
      </c>
      <c r="AE1112">
        <f t="shared" ca="1" si="448"/>
        <v>632.13099999999997</v>
      </c>
      <c r="AF1112">
        <f t="shared" ca="1" si="449"/>
        <v>2593.2080316486622</v>
      </c>
      <c r="AI1112">
        <v>0</v>
      </c>
      <c r="AJ1112">
        <v>0</v>
      </c>
      <c r="AK1112">
        <f t="shared" si="450"/>
        <v>0</v>
      </c>
      <c r="AL1112">
        <f t="shared" si="458"/>
        <v>0</v>
      </c>
      <c r="AM1112">
        <f t="shared" ca="1" si="451"/>
        <v>280.07692026646265</v>
      </c>
      <c r="AN1112" t="str">
        <f t="shared" ca="1" si="452"/>
        <v>Supercritical</v>
      </c>
      <c r="AO1112">
        <f ca="1">IF(V32="Supercritical",R1112,AA1112)</f>
        <v>482.07306851378365</v>
      </c>
    </row>
    <row r="1113" spans="1:41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174</v>
      </c>
      <c r="I1113">
        <v>5.7000000000000002E-2</v>
      </c>
      <c r="J1113">
        <f t="shared" si="453"/>
        <v>1</v>
      </c>
      <c r="K1113">
        <f t="shared" si="454"/>
        <v>51</v>
      </c>
      <c r="L1113">
        <f t="shared" ca="1" si="455"/>
        <v>38818.098902403304</v>
      </c>
      <c r="M1113">
        <f t="shared" ca="1" si="433"/>
        <v>201854.11429249719</v>
      </c>
      <c r="N1113">
        <f t="shared" ca="1" si="434"/>
        <v>2.5998258660922877</v>
      </c>
      <c r="O1113">
        <f t="shared" ca="1" si="435"/>
        <v>2.5265771856449913E-4</v>
      </c>
      <c r="P1113">
        <f t="shared" ca="1" si="436"/>
        <v>39450.179402403301</v>
      </c>
      <c r="Q1113">
        <f t="shared" ca="1" si="437"/>
        <v>39450.179402406553</v>
      </c>
      <c r="R1113">
        <f t="shared" ca="1" si="438"/>
        <v>4.0178030570550851E-12</v>
      </c>
      <c r="S1113">
        <f t="shared" ca="1" si="456"/>
        <v>4.999999946448952E-4</v>
      </c>
      <c r="T1113">
        <f t="shared" ca="1" si="457"/>
        <v>1</v>
      </c>
      <c r="U1113">
        <f t="shared" ca="1" si="439"/>
        <v>0.05</v>
      </c>
      <c r="V1113">
        <f t="shared" ca="1" si="440"/>
        <v>0.26</v>
      </c>
      <c r="W1113">
        <f t="shared" ca="1" si="441"/>
        <v>4.9056603773584909E-2</v>
      </c>
      <c r="X1113">
        <f t="shared" ca="1" si="442"/>
        <v>196.15384615384616</v>
      </c>
      <c r="Y1113">
        <f t="shared" ca="1" si="443"/>
        <v>632.13049999999998</v>
      </c>
      <c r="Z1113">
        <f t="shared" ca="1" si="444"/>
        <v>2593.2075316486621</v>
      </c>
      <c r="AA1113">
        <f t="shared" ca="1" si="445"/>
        <v>482.07306851378365</v>
      </c>
      <c r="AB1113">
        <f t="shared" ca="1" si="446"/>
        <v>482.26867621694828</v>
      </c>
      <c r="AC1113">
        <f t="shared" ca="1" si="447"/>
        <v>0</v>
      </c>
      <c r="AD1113">
        <f ca="1">IF(V32="Supercritical",L1113,U1113)</f>
        <v>0.05</v>
      </c>
      <c r="AE1113">
        <f t="shared" ca="1" si="448"/>
        <v>632.13049999999998</v>
      </c>
      <c r="AF1113">
        <f t="shared" ca="1" si="449"/>
        <v>2593.2075316486621</v>
      </c>
      <c r="AI1113">
        <v>0</v>
      </c>
      <c r="AJ1113">
        <v>0</v>
      </c>
      <c r="AK1113">
        <f t="shared" si="450"/>
        <v>0</v>
      </c>
      <c r="AL1113">
        <f t="shared" si="458"/>
        <v>0</v>
      </c>
      <c r="AM1113">
        <f t="shared" ca="1" si="451"/>
        <v>280.07692026646265</v>
      </c>
      <c r="AN1113" t="str">
        <f t="shared" ca="1" si="452"/>
        <v>Supercritical</v>
      </c>
      <c r="AO1113">
        <f ca="1">IF(V32="Supercritical",R1113,AA1113)</f>
        <v>482.07306851378365</v>
      </c>
    </row>
    <row r="1114" spans="1:41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174</v>
      </c>
      <c r="I1114">
        <v>0.06</v>
      </c>
      <c r="J1114">
        <f t="shared" si="453"/>
        <v>1</v>
      </c>
      <c r="K1114">
        <f t="shared" si="454"/>
        <v>51</v>
      </c>
      <c r="L1114">
        <f t="shared" ca="1" si="455"/>
        <v>38818.098315446761</v>
      </c>
      <c r="M1114">
        <f t="shared" ca="1" si="433"/>
        <v>201854.11124032317</v>
      </c>
      <c r="N1114">
        <f t="shared" ca="1" si="434"/>
        <v>2.5998258660896552</v>
      </c>
      <c r="O1114">
        <f t="shared" ca="1" si="435"/>
        <v>2.526577223848589E-4</v>
      </c>
      <c r="P1114">
        <f t="shared" ca="1" si="436"/>
        <v>39450.178315446763</v>
      </c>
      <c r="Q1114">
        <f t="shared" ca="1" si="437"/>
        <v>39450.178315450015</v>
      </c>
      <c r="R1114">
        <f t="shared" ca="1" si="438"/>
        <v>4.0178031785644428E-12</v>
      </c>
      <c r="S1114">
        <f t="shared" ca="1" si="456"/>
        <v>1.0869565303437412E-3</v>
      </c>
      <c r="T1114">
        <f t="shared" ca="1" si="457"/>
        <v>0</v>
      </c>
      <c r="U1114">
        <f t="shared" ca="1" si="439"/>
        <v>0.05</v>
      </c>
      <c r="V1114">
        <f t="shared" ca="1" si="440"/>
        <v>0.26</v>
      </c>
      <c r="W1114">
        <f t="shared" ca="1" si="441"/>
        <v>4.9056603773584909E-2</v>
      </c>
      <c r="X1114">
        <f t="shared" ca="1" si="442"/>
        <v>196.15384615384616</v>
      </c>
      <c r="Y1114">
        <f t="shared" ca="1" si="443"/>
        <v>632.13</v>
      </c>
      <c r="Z1114">
        <f t="shared" ca="1" si="444"/>
        <v>2593.207031648662</v>
      </c>
      <c r="AA1114">
        <f t="shared" ca="1" si="445"/>
        <v>482.07306851378365</v>
      </c>
      <c r="AB1114">
        <f t="shared" ca="1" si="446"/>
        <v>482.56117850572537</v>
      </c>
      <c r="AC1114">
        <f t="shared" ca="1" si="447"/>
        <v>0</v>
      </c>
      <c r="AD1114">
        <f ca="1">IF(V32="Supercritical",L1114,U1114)</f>
        <v>0.05</v>
      </c>
      <c r="AE1114">
        <f t="shared" ca="1" si="448"/>
        <v>632.13</v>
      </c>
      <c r="AF1114">
        <f t="shared" ca="1" si="449"/>
        <v>2593.207031648662</v>
      </c>
      <c r="AI1114">
        <v>0</v>
      </c>
      <c r="AJ1114">
        <v>0</v>
      </c>
      <c r="AK1114">
        <f t="shared" si="450"/>
        <v>0</v>
      </c>
      <c r="AL1114">
        <f t="shared" si="458"/>
        <v>0</v>
      </c>
      <c r="AM1114">
        <f t="shared" ca="1" si="451"/>
        <v>280.07692026646265</v>
      </c>
      <c r="AN1114" t="str">
        <f t="shared" ca="1" si="452"/>
        <v>Supercritical</v>
      </c>
      <c r="AO1114">
        <f ca="1">IF(V32="Supercritical",R1114,AA1114)</f>
        <v>482.07306851378365</v>
      </c>
    </row>
    <row r="1115" spans="1:41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174</v>
      </c>
      <c r="I1115">
        <v>2E-3</v>
      </c>
      <c r="J1115">
        <f t="shared" si="453"/>
        <v>1.0009999999999764</v>
      </c>
      <c r="K1115">
        <f t="shared" si="454"/>
        <v>51</v>
      </c>
      <c r="L1115">
        <f t="shared" ca="1" si="455"/>
        <v>38818.098315446761</v>
      </c>
      <c r="M1115">
        <f t="shared" ca="1" si="433"/>
        <v>201854.11124032317</v>
      </c>
      <c r="N1115">
        <f t="shared" ca="1" si="434"/>
        <v>2.5998258660896552</v>
      </c>
      <c r="O1115">
        <f t="shared" ca="1" si="435"/>
        <v>2.526577223848589E-4</v>
      </c>
      <c r="P1115">
        <f t="shared" ca="1" si="436"/>
        <v>39450.177815446761</v>
      </c>
      <c r="Q1115">
        <f t="shared" ca="1" si="437"/>
        <v>39450.177815450013</v>
      </c>
      <c r="R1115">
        <f t="shared" ca="1" si="438"/>
        <v>4.0178031785644428E-12</v>
      </c>
      <c r="S1115">
        <f t="shared" ca="1" si="456"/>
        <v>4.999999946448952E-4</v>
      </c>
      <c r="T1115">
        <f t="shared" ca="1" si="457"/>
        <v>1</v>
      </c>
      <c r="U1115">
        <f t="shared" ca="1" si="439"/>
        <v>0.05</v>
      </c>
      <c r="V1115">
        <f t="shared" ca="1" si="440"/>
        <v>0.26</v>
      </c>
      <c r="W1115">
        <f t="shared" ca="1" si="441"/>
        <v>4.9056603773584909E-2</v>
      </c>
      <c r="X1115">
        <f t="shared" ca="1" si="442"/>
        <v>196.15384615384616</v>
      </c>
      <c r="Y1115">
        <f t="shared" ca="1" si="443"/>
        <v>632.12950000000001</v>
      </c>
      <c r="Z1115">
        <f t="shared" ca="1" si="444"/>
        <v>2593.2065316486623</v>
      </c>
      <c r="AA1115">
        <f t="shared" ca="1" si="445"/>
        <v>482.07306851378365</v>
      </c>
      <c r="AB1115">
        <f t="shared" ca="1" si="446"/>
        <v>482.07256851378361</v>
      </c>
      <c r="AC1115">
        <f t="shared" ca="1" si="447"/>
        <v>0</v>
      </c>
      <c r="AD1115">
        <f ca="1">IF(V32="Supercritical",L1115,U1115)</f>
        <v>0.05</v>
      </c>
      <c r="AE1115">
        <f t="shared" ca="1" si="448"/>
        <v>632.12950000000001</v>
      </c>
      <c r="AF1115">
        <f t="shared" ca="1" si="449"/>
        <v>2593.2065316486623</v>
      </c>
      <c r="AI1115">
        <v>0</v>
      </c>
      <c r="AJ1115">
        <v>0</v>
      </c>
      <c r="AK1115">
        <f t="shared" si="450"/>
        <v>0</v>
      </c>
      <c r="AL1115">
        <f t="shared" si="458"/>
        <v>0</v>
      </c>
      <c r="AM1115">
        <f t="shared" ca="1" si="451"/>
        <v>280.07692026646265</v>
      </c>
      <c r="AN1115" t="str">
        <f t="shared" ca="1" si="452"/>
        <v>Supercritical</v>
      </c>
      <c r="AO1115">
        <f ca="1">IF(V32="Supercritical",R1115,AA1115)</f>
        <v>482.07306851378365</v>
      </c>
    </row>
    <row r="1116" spans="1:41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174</v>
      </c>
      <c r="I1116">
        <v>0</v>
      </c>
      <c r="J1116">
        <f t="shared" si="453"/>
        <v>1</v>
      </c>
      <c r="K1116">
        <f t="shared" si="454"/>
        <v>51</v>
      </c>
      <c r="L1116">
        <f t="shared" ca="1" si="455"/>
        <v>38818.097728490218</v>
      </c>
      <c r="M1116">
        <f t="shared" ca="1" si="433"/>
        <v>201854.10818814914</v>
      </c>
      <c r="N1116">
        <f t="shared" ca="1" si="434"/>
        <v>2.5998258660870222</v>
      </c>
      <c r="O1116">
        <f t="shared" ca="1" si="435"/>
        <v>2.5265772620521878E-4</v>
      </c>
      <c r="P1116">
        <f t="shared" ca="1" si="436"/>
        <v>39450.176728490216</v>
      </c>
      <c r="Q1116">
        <f t="shared" ca="1" si="437"/>
        <v>39450.176728493469</v>
      </c>
      <c r="R1116">
        <f t="shared" ca="1" si="438"/>
        <v>4.0178033000738069E-12</v>
      </c>
      <c r="S1116">
        <f t="shared" ca="1" si="456"/>
        <v>1.0869565376196988E-3</v>
      </c>
      <c r="T1116">
        <f t="shared" ca="1" si="457"/>
        <v>0</v>
      </c>
      <c r="U1116">
        <f t="shared" ca="1" si="439"/>
        <v>0.05</v>
      </c>
      <c r="V1116">
        <f t="shared" ca="1" si="440"/>
        <v>0.26</v>
      </c>
      <c r="W1116">
        <f t="shared" ca="1" si="441"/>
        <v>4.9056603773584909E-2</v>
      </c>
      <c r="X1116">
        <f t="shared" ca="1" si="442"/>
        <v>196.15384615384616</v>
      </c>
      <c r="Y1116">
        <f t="shared" ca="1" si="443"/>
        <v>632.12899999999991</v>
      </c>
      <c r="Z1116">
        <f t="shared" ca="1" si="444"/>
        <v>2593.2060316486622</v>
      </c>
      <c r="AA1116">
        <f t="shared" ca="1" si="445"/>
        <v>482.07306851378365</v>
      </c>
      <c r="AB1116">
        <f t="shared" ca="1" si="446"/>
        <v>482.25887083179032</v>
      </c>
      <c r="AC1116">
        <f t="shared" ca="1" si="447"/>
        <v>0</v>
      </c>
      <c r="AD1116">
        <f ca="1">IF(V32="Supercritical",L1116,U1116)</f>
        <v>0.05</v>
      </c>
      <c r="AE1116">
        <f t="shared" ca="1" si="448"/>
        <v>632.12899999999991</v>
      </c>
      <c r="AF1116">
        <f t="shared" ca="1" si="449"/>
        <v>2593.2060316486622</v>
      </c>
      <c r="AI1116">
        <v>0</v>
      </c>
      <c r="AJ1116">
        <v>0</v>
      </c>
      <c r="AK1116">
        <f t="shared" si="450"/>
        <v>0</v>
      </c>
      <c r="AL1116">
        <f t="shared" si="458"/>
        <v>0</v>
      </c>
      <c r="AM1116">
        <f t="shared" ca="1" si="451"/>
        <v>280.07692026646265</v>
      </c>
      <c r="AN1116" t="str">
        <f t="shared" ca="1" si="452"/>
        <v>Supercritical</v>
      </c>
      <c r="AO1116">
        <f ca="1">IF(V32="Supercritical",R1116,AA1116)</f>
        <v>482.07306851378365</v>
      </c>
    </row>
    <row r="1117" spans="1:41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174</v>
      </c>
      <c r="I1117">
        <v>5.7000000000000002E-2</v>
      </c>
      <c r="J1117">
        <f t="shared" si="453"/>
        <v>1</v>
      </c>
      <c r="K1117">
        <f t="shared" si="454"/>
        <v>51</v>
      </c>
      <c r="L1117">
        <f t="shared" ca="1" si="455"/>
        <v>38818.097728490218</v>
      </c>
      <c r="M1117">
        <f t="shared" ca="1" si="433"/>
        <v>201854.10818814914</v>
      </c>
      <c r="N1117">
        <f t="shared" ca="1" si="434"/>
        <v>2.5998258660870222</v>
      </c>
      <c r="O1117">
        <f t="shared" ca="1" si="435"/>
        <v>2.5265772620521878E-4</v>
      </c>
      <c r="P1117">
        <f t="shared" ca="1" si="436"/>
        <v>39450.176228490222</v>
      </c>
      <c r="Q1117">
        <f t="shared" ca="1" si="437"/>
        <v>39450.176228493474</v>
      </c>
      <c r="R1117">
        <f t="shared" ca="1" si="438"/>
        <v>4.0178033000738069E-12</v>
      </c>
      <c r="S1117">
        <f t="shared" ca="1" si="456"/>
        <v>4.9999998736893758E-4</v>
      </c>
      <c r="T1117">
        <f t="shared" ca="1" si="457"/>
        <v>1</v>
      </c>
      <c r="U1117">
        <f t="shared" ca="1" si="439"/>
        <v>0.05</v>
      </c>
      <c r="V1117">
        <f t="shared" ca="1" si="440"/>
        <v>0.26</v>
      </c>
      <c r="W1117">
        <f t="shared" ca="1" si="441"/>
        <v>4.9056603773584909E-2</v>
      </c>
      <c r="X1117">
        <f t="shared" ca="1" si="442"/>
        <v>196.15384615384616</v>
      </c>
      <c r="Y1117">
        <f t="shared" ca="1" si="443"/>
        <v>632.12849999999992</v>
      </c>
      <c r="Z1117">
        <f t="shared" ca="1" si="444"/>
        <v>2593.2055316486621</v>
      </c>
      <c r="AA1117">
        <f t="shared" ca="1" si="445"/>
        <v>482.07306851378365</v>
      </c>
      <c r="AB1117">
        <f t="shared" ca="1" si="446"/>
        <v>481.77679776328796</v>
      </c>
      <c r="AC1117">
        <f t="shared" ca="1" si="447"/>
        <v>0</v>
      </c>
      <c r="AD1117">
        <f ca="1">IF(V32="Supercritical",L1117,U1117)</f>
        <v>0.05</v>
      </c>
      <c r="AE1117">
        <f t="shared" ca="1" si="448"/>
        <v>632.12849999999992</v>
      </c>
      <c r="AF1117">
        <f t="shared" ca="1" si="449"/>
        <v>2593.2055316486621</v>
      </c>
      <c r="AI1117">
        <v>0</v>
      </c>
      <c r="AJ1117">
        <v>0</v>
      </c>
      <c r="AK1117">
        <f t="shared" si="450"/>
        <v>0</v>
      </c>
      <c r="AL1117">
        <f t="shared" si="458"/>
        <v>0</v>
      </c>
      <c r="AM1117">
        <f t="shared" ca="1" si="451"/>
        <v>280.07692026646265</v>
      </c>
      <c r="AN1117" t="str">
        <f t="shared" ca="1" si="452"/>
        <v>Supercritical</v>
      </c>
      <c r="AO1117">
        <f ca="1">IF(V32="Supercritical",R1117,AA1117)</f>
        <v>482.07306851378365</v>
      </c>
    </row>
    <row r="1118" spans="1:41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174</v>
      </c>
      <c r="I1118">
        <v>5.7000000000000002E-2</v>
      </c>
      <c r="J1118">
        <f t="shared" si="453"/>
        <v>0.99900000000002365</v>
      </c>
      <c r="K1118">
        <f t="shared" si="454"/>
        <v>51</v>
      </c>
      <c r="L1118">
        <f t="shared" ca="1" si="455"/>
        <v>38818.097141533712</v>
      </c>
      <c r="M1118">
        <f t="shared" ca="1" si="433"/>
        <v>201854.10513597532</v>
      </c>
      <c r="N1118">
        <f t="shared" ca="1" si="434"/>
        <v>2.5998258660843896</v>
      </c>
      <c r="O1118">
        <f t="shared" ca="1" si="435"/>
        <v>2.5265773002557855E-4</v>
      </c>
      <c r="P1118">
        <f t="shared" ca="1" si="436"/>
        <v>39450.175141533713</v>
      </c>
      <c r="Q1118">
        <f t="shared" ca="1" si="437"/>
        <v>39450.175141536965</v>
      </c>
      <c r="R1118">
        <f t="shared" ca="1" si="438"/>
        <v>4.0178034215831694E-12</v>
      </c>
      <c r="S1118">
        <f t="shared" ca="1" si="456"/>
        <v>1.0869565012399107E-3</v>
      </c>
      <c r="T1118">
        <f t="shared" ca="1" si="457"/>
        <v>0</v>
      </c>
      <c r="U1118">
        <f t="shared" ca="1" si="439"/>
        <v>0.05</v>
      </c>
      <c r="V1118">
        <f t="shared" ca="1" si="440"/>
        <v>0.26</v>
      </c>
      <c r="W1118">
        <f t="shared" ca="1" si="441"/>
        <v>4.9056603773584909E-2</v>
      </c>
      <c r="X1118">
        <f t="shared" ca="1" si="442"/>
        <v>196.15384615384616</v>
      </c>
      <c r="Y1118">
        <f t="shared" ca="1" si="443"/>
        <v>632.12799999999993</v>
      </c>
      <c r="Z1118">
        <f t="shared" ca="1" si="444"/>
        <v>2593.205031648662</v>
      </c>
      <c r="AA1118">
        <f t="shared" ca="1" si="445"/>
        <v>482.07306851378365</v>
      </c>
      <c r="AB1118">
        <f t="shared" ca="1" si="446"/>
        <v>482.07256851378361</v>
      </c>
      <c r="AC1118">
        <f t="shared" ca="1" si="447"/>
        <v>0</v>
      </c>
      <c r="AD1118">
        <f ca="1">IF(V32="Supercritical",L1118,U1118)</f>
        <v>0.05</v>
      </c>
      <c r="AE1118">
        <f t="shared" ca="1" si="448"/>
        <v>632.12799999999993</v>
      </c>
      <c r="AF1118">
        <f t="shared" ca="1" si="449"/>
        <v>2593.205031648662</v>
      </c>
      <c r="AI1118">
        <v>0</v>
      </c>
      <c r="AJ1118">
        <v>0</v>
      </c>
      <c r="AK1118">
        <f t="shared" si="450"/>
        <v>0</v>
      </c>
      <c r="AL1118">
        <f t="shared" si="458"/>
        <v>0</v>
      </c>
      <c r="AM1118">
        <f t="shared" ca="1" si="451"/>
        <v>280.07692026646265</v>
      </c>
      <c r="AN1118" t="str">
        <f t="shared" ca="1" si="452"/>
        <v>Supercritical</v>
      </c>
      <c r="AO1118">
        <f ca="1">IF(V32="Supercritical",R1118,AA1118)</f>
        <v>482.07306851378365</v>
      </c>
    </row>
    <row r="1119" spans="1:41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174</v>
      </c>
      <c r="I1119">
        <v>0</v>
      </c>
      <c r="J1119">
        <f t="shared" si="453"/>
        <v>1</v>
      </c>
      <c r="K1119">
        <f t="shared" si="454"/>
        <v>51</v>
      </c>
      <c r="L1119">
        <f t="shared" ca="1" si="455"/>
        <v>38818.097141533712</v>
      </c>
      <c r="M1119">
        <f t="shared" ca="1" si="433"/>
        <v>201854.10513597532</v>
      </c>
      <c r="N1119">
        <f t="shared" ca="1" si="434"/>
        <v>2.5998258660843896</v>
      </c>
      <c r="O1119">
        <f t="shared" ca="1" si="435"/>
        <v>2.5265773002557855E-4</v>
      </c>
      <c r="P1119">
        <f t="shared" ca="1" si="436"/>
        <v>39450.174641533711</v>
      </c>
      <c r="Q1119">
        <f t="shared" ca="1" si="437"/>
        <v>39450.174641536963</v>
      </c>
      <c r="R1119">
        <f t="shared" ca="1" si="438"/>
        <v>4.0178034215831694E-12</v>
      </c>
      <c r="S1119">
        <f t="shared" ca="1" si="456"/>
        <v>4.999999946448952E-4</v>
      </c>
      <c r="T1119">
        <f t="shared" ca="1" si="457"/>
        <v>1</v>
      </c>
      <c r="U1119">
        <f t="shared" ca="1" si="439"/>
        <v>0.05</v>
      </c>
      <c r="V1119">
        <f t="shared" ca="1" si="440"/>
        <v>0.26</v>
      </c>
      <c r="W1119">
        <f t="shared" ca="1" si="441"/>
        <v>4.9056603773584909E-2</v>
      </c>
      <c r="X1119">
        <f t="shared" ca="1" si="442"/>
        <v>196.15384615384616</v>
      </c>
      <c r="Y1119">
        <f t="shared" ca="1" si="443"/>
        <v>632.12749999999994</v>
      </c>
      <c r="Z1119">
        <f t="shared" ca="1" si="444"/>
        <v>2593.2045316486619</v>
      </c>
      <c r="AA1119">
        <f t="shared" ca="1" si="445"/>
        <v>482.07306851378365</v>
      </c>
      <c r="AB1119">
        <f t="shared" ca="1" si="446"/>
        <v>482.07256851378361</v>
      </c>
      <c r="AC1119">
        <f t="shared" ca="1" si="447"/>
        <v>0</v>
      </c>
      <c r="AD1119">
        <f ca="1">IF(V32="Supercritical",L1119,U1119)</f>
        <v>0.05</v>
      </c>
      <c r="AE1119">
        <f t="shared" ca="1" si="448"/>
        <v>632.12749999999994</v>
      </c>
      <c r="AF1119">
        <f t="shared" ca="1" si="449"/>
        <v>2593.2045316486619</v>
      </c>
      <c r="AI1119">
        <v>0</v>
      </c>
      <c r="AJ1119">
        <v>0</v>
      </c>
      <c r="AK1119">
        <f t="shared" si="450"/>
        <v>0</v>
      </c>
      <c r="AL1119">
        <f t="shared" si="458"/>
        <v>0</v>
      </c>
      <c r="AM1119">
        <f t="shared" ca="1" si="451"/>
        <v>280.07692026646265</v>
      </c>
      <c r="AN1119" t="str">
        <f t="shared" ca="1" si="452"/>
        <v>Supercritical</v>
      </c>
      <c r="AO1119">
        <f ca="1">IF(V32="Supercritical",R1119,AA1119)</f>
        <v>482.07306851378365</v>
      </c>
    </row>
    <row r="1120" spans="1:41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174</v>
      </c>
      <c r="I1120">
        <v>0</v>
      </c>
      <c r="J1120">
        <f t="shared" si="453"/>
        <v>1</v>
      </c>
      <c r="K1120">
        <f t="shared" si="454"/>
        <v>51</v>
      </c>
      <c r="L1120">
        <f t="shared" ca="1" si="455"/>
        <v>38818.096554577205</v>
      </c>
      <c r="M1120">
        <f t="shared" ca="1" si="433"/>
        <v>201854.10208380147</v>
      </c>
      <c r="N1120">
        <f t="shared" ca="1" si="434"/>
        <v>2.5998258660817561</v>
      </c>
      <c r="O1120">
        <f t="shared" ca="1" si="435"/>
        <v>2.5265773384593843E-4</v>
      </c>
      <c r="P1120">
        <f t="shared" ca="1" si="436"/>
        <v>39450.173554577203</v>
      </c>
      <c r="Q1120">
        <f t="shared" ca="1" si="437"/>
        <v>39450.173554580455</v>
      </c>
      <c r="R1120">
        <f t="shared" ca="1" si="438"/>
        <v>4.0178035430925367E-12</v>
      </c>
      <c r="S1120">
        <f t="shared" ca="1" si="456"/>
        <v>1.0869565012399107E-3</v>
      </c>
      <c r="T1120">
        <f t="shared" ca="1" si="457"/>
        <v>0</v>
      </c>
      <c r="U1120">
        <f t="shared" ca="1" si="439"/>
        <v>0.05</v>
      </c>
      <c r="V1120">
        <f t="shared" ca="1" si="440"/>
        <v>0.26</v>
      </c>
      <c r="W1120">
        <f t="shared" ca="1" si="441"/>
        <v>4.9056603773584909E-2</v>
      </c>
      <c r="X1120">
        <f t="shared" ca="1" si="442"/>
        <v>196.15384615384616</v>
      </c>
      <c r="Y1120">
        <f t="shared" ca="1" si="443"/>
        <v>632.12699999999995</v>
      </c>
      <c r="Z1120">
        <f t="shared" ca="1" si="444"/>
        <v>2593.2040316486618</v>
      </c>
      <c r="AA1120">
        <f t="shared" ca="1" si="445"/>
        <v>482.07306851378365</v>
      </c>
      <c r="AB1120">
        <f t="shared" ca="1" si="446"/>
        <v>482.25887083179077</v>
      </c>
      <c r="AC1120">
        <f t="shared" ca="1" si="447"/>
        <v>0</v>
      </c>
      <c r="AD1120">
        <f ca="1">IF(V32="Supercritical",L1120,U1120)</f>
        <v>0.05</v>
      </c>
      <c r="AE1120">
        <f t="shared" ca="1" si="448"/>
        <v>632.12699999999995</v>
      </c>
      <c r="AF1120">
        <f t="shared" ca="1" si="449"/>
        <v>2593.2040316486618</v>
      </c>
      <c r="AI1120">
        <v>0</v>
      </c>
      <c r="AJ1120">
        <v>0</v>
      </c>
      <c r="AK1120">
        <f t="shared" si="450"/>
        <v>0</v>
      </c>
      <c r="AL1120">
        <f t="shared" si="458"/>
        <v>0</v>
      </c>
      <c r="AM1120">
        <f t="shared" ca="1" si="451"/>
        <v>280.07692026646265</v>
      </c>
      <c r="AN1120" t="str">
        <f t="shared" ca="1" si="452"/>
        <v>Supercritical</v>
      </c>
      <c r="AO1120">
        <f ca="1">IF(V32="Supercritical",R1120,AA1120)</f>
        <v>482.07306851378365</v>
      </c>
    </row>
    <row r="1121" spans="1:41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174</v>
      </c>
      <c r="I1121">
        <v>5.7000000000000002E-2</v>
      </c>
      <c r="J1121">
        <f t="shared" si="453"/>
        <v>1</v>
      </c>
      <c r="K1121">
        <f t="shared" si="454"/>
        <v>51</v>
      </c>
      <c r="L1121">
        <f t="shared" ca="1" si="455"/>
        <v>38818.096554577205</v>
      </c>
      <c r="M1121">
        <f t="shared" ca="1" si="433"/>
        <v>201854.10208380147</v>
      </c>
      <c r="N1121">
        <f t="shared" ca="1" si="434"/>
        <v>2.5998258660817561</v>
      </c>
      <c r="O1121">
        <f t="shared" ca="1" si="435"/>
        <v>2.5265773384593843E-4</v>
      </c>
      <c r="P1121">
        <f t="shared" ca="1" si="436"/>
        <v>39450.173054577208</v>
      </c>
      <c r="Q1121">
        <f t="shared" ca="1" si="437"/>
        <v>39450.17305458046</v>
      </c>
      <c r="R1121">
        <f t="shared" ca="1" si="438"/>
        <v>4.0178035430925367E-12</v>
      </c>
      <c r="S1121">
        <f t="shared" ca="1" si="456"/>
        <v>4.9999998736893758E-4</v>
      </c>
      <c r="T1121">
        <f t="shared" ca="1" si="457"/>
        <v>1</v>
      </c>
      <c r="U1121">
        <f t="shared" ca="1" si="439"/>
        <v>0.05</v>
      </c>
      <c r="V1121">
        <f t="shared" ca="1" si="440"/>
        <v>0.26</v>
      </c>
      <c r="W1121">
        <f t="shared" ca="1" si="441"/>
        <v>4.9056603773584909E-2</v>
      </c>
      <c r="X1121">
        <f t="shared" ca="1" si="442"/>
        <v>196.15384615384616</v>
      </c>
      <c r="Y1121">
        <f t="shared" ca="1" si="443"/>
        <v>632.12649999999996</v>
      </c>
      <c r="Z1121">
        <f t="shared" ca="1" si="444"/>
        <v>2593.2035316486622</v>
      </c>
      <c r="AA1121">
        <f t="shared" ca="1" si="445"/>
        <v>482.07306851378365</v>
      </c>
      <c r="AB1121">
        <f t="shared" ca="1" si="446"/>
        <v>482.25887083179032</v>
      </c>
      <c r="AC1121">
        <f t="shared" ca="1" si="447"/>
        <v>0</v>
      </c>
      <c r="AD1121">
        <f ca="1">IF(V32="Supercritical",L1121,U1121)</f>
        <v>0.05</v>
      </c>
      <c r="AE1121">
        <f t="shared" ca="1" si="448"/>
        <v>632.12649999999996</v>
      </c>
      <c r="AF1121">
        <f t="shared" ca="1" si="449"/>
        <v>2593.2035316486622</v>
      </c>
      <c r="AI1121">
        <v>0</v>
      </c>
      <c r="AJ1121">
        <v>0</v>
      </c>
      <c r="AK1121">
        <f t="shared" si="450"/>
        <v>0</v>
      </c>
      <c r="AL1121">
        <f t="shared" si="458"/>
        <v>0</v>
      </c>
      <c r="AM1121">
        <f t="shared" ca="1" si="451"/>
        <v>280.07692026646265</v>
      </c>
      <c r="AN1121" t="str">
        <f t="shared" ca="1" si="452"/>
        <v>Supercritical</v>
      </c>
      <c r="AO1121">
        <f ca="1">IF(V32="Supercritical",R1121,AA1121)</f>
        <v>482.07306851378365</v>
      </c>
    </row>
    <row r="1122" spans="1:41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174</v>
      </c>
      <c r="I1122">
        <v>5.7000000000000002E-2</v>
      </c>
      <c r="J1122">
        <f t="shared" si="453"/>
        <v>1</v>
      </c>
      <c r="K1122">
        <f t="shared" si="454"/>
        <v>51</v>
      </c>
      <c r="L1122">
        <f t="shared" ca="1" si="455"/>
        <v>38818.095967620699</v>
      </c>
      <c r="M1122">
        <f t="shared" ca="1" si="433"/>
        <v>201854.09903162764</v>
      </c>
      <c r="N1122">
        <f t="shared" ca="1" si="434"/>
        <v>2.5998258660791236</v>
      </c>
      <c r="O1122">
        <f t="shared" ca="1" si="435"/>
        <v>2.5265773766629842E-4</v>
      </c>
      <c r="P1122">
        <f t="shared" ca="1" si="436"/>
        <v>39450.171967620699</v>
      </c>
      <c r="Q1122">
        <f t="shared" ca="1" si="437"/>
        <v>39450.171967623952</v>
      </c>
      <c r="R1122">
        <f t="shared" ca="1" si="438"/>
        <v>4.0178036646019081E-12</v>
      </c>
      <c r="S1122">
        <f t="shared" ca="1" si="456"/>
        <v>1.0869565012399107E-3</v>
      </c>
      <c r="T1122">
        <f t="shared" ca="1" si="457"/>
        <v>0</v>
      </c>
      <c r="U1122">
        <f t="shared" ca="1" si="439"/>
        <v>0.05</v>
      </c>
      <c r="V1122">
        <f t="shared" ca="1" si="440"/>
        <v>0.26</v>
      </c>
      <c r="W1122">
        <f t="shared" ca="1" si="441"/>
        <v>4.9056603773584909E-2</v>
      </c>
      <c r="X1122">
        <f t="shared" ca="1" si="442"/>
        <v>196.15384615384616</v>
      </c>
      <c r="Y1122">
        <f t="shared" ca="1" si="443"/>
        <v>632.12599999999998</v>
      </c>
      <c r="Z1122">
        <f t="shared" ca="1" si="444"/>
        <v>2593.2030316486621</v>
      </c>
      <c r="AA1122">
        <f t="shared" ca="1" si="445"/>
        <v>482.07306851378365</v>
      </c>
      <c r="AB1122">
        <f t="shared" ca="1" si="446"/>
        <v>482.07256851378361</v>
      </c>
      <c r="AC1122">
        <f t="shared" ca="1" si="447"/>
        <v>0</v>
      </c>
      <c r="AD1122">
        <f ca="1">IF(V32="Supercritical",L1122,U1122)</f>
        <v>0.05</v>
      </c>
      <c r="AE1122">
        <f t="shared" ca="1" si="448"/>
        <v>632.12599999999998</v>
      </c>
      <c r="AF1122">
        <f t="shared" ca="1" si="449"/>
        <v>2593.2030316486621</v>
      </c>
      <c r="AI1122">
        <v>0</v>
      </c>
      <c r="AJ1122">
        <v>0</v>
      </c>
      <c r="AK1122">
        <f t="shared" si="450"/>
        <v>0</v>
      </c>
      <c r="AL1122">
        <f t="shared" si="458"/>
        <v>0</v>
      </c>
      <c r="AM1122">
        <f t="shared" ca="1" si="451"/>
        <v>280.07692026646265</v>
      </c>
      <c r="AN1122" t="str">
        <f t="shared" ca="1" si="452"/>
        <v>Supercritical</v>
      </c>
      <c r="AO1122">
        <f ca="1">IF(V32="Supercritical",R1122,AA1122)</f>
        <v>482.07306851378365</v>
      </c>
    </row>
    <row r="1123" spans="1:41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174</v>
      </c>
      <c r="I1123">
        <v>0</v>
      </c>
      <c r="J1123">
        <f t="shared" si="453"/>
        <v>1</v>
      </c>
      <c r="K1123">
        <f t="shared" si="454"/>
        <v>51</v>
      </c>
      <c r="L1123">
        <f t="shared" ca="1" si="455"/>
        <v>38818.095967620699</v>
      </c>
      <c r="M1123">
        <f t="shared" ca="1" si="433"/>
        <v>201854.09903162764</v>
      </c>
      <c r="N1123">
        <f t="shared" ca="1" si="434"/>
        <v>2.5998258660791236</v>
      </c>
      <c r="O1123">
        <f t="shared" ca="1" si="435"/>
        <v>2.5265773766629842E-4</v>
      </c>
      <c r="P1123">
        <f t="shared" ca="1" si="436"/>
        <v>39450.171467620698</v>
      </c>
      <c r="Q1123">
        <f t="shared" ca="1" si="437"/>
        <v>39450.17146762395</v>
      </c>
      <c r="R1123">
        <f t="shared" ca="1" si="438"/>
        <v>4.0178036646019081E-12</v>
      </c>
      <c r="S1123">
        <f t="shared" ca="1" si="456"/>
        <v>4.999999946448952E-4</v>
      </c>
      <c r="T1123">
        <f t="shared" ca="1" si="457"/>
        <v>1</v>
      </c>
      <c r="U1123">
        <f t="shared" ca="1" si="439"/>
        <v>0.05</v>
      </c>
      <c r="V1123">
        <f t="shared" ca="1" si="440"/>
        <v>0.26</v>
      </c>
      <c r="W1123">
        <f t="shared" ca="1" si="441"/>
        <v>4.9056603773584909E-2</v>
      </c>
      <c r="X1123">
        <f t="shared" ca="1" si="442"/>
        <v>196.15384615384616</v>
      </c>
      <c r="Y1123">
        <f t="shared" ca="1" si="443"/>
        <v>632.12549999999999</v>
      </c>
      <c r="Z1123">
        <f t="shared" ca="1" si="444"/>
        <v>2593.202531648662</v>
      </c>
      <c r="AA1123">
        <f t="shared" ca="1" si="445"/>
        <v>482.07306851378365</v>
      </c>
      <c r="AB1123">
        <f t="shared" ca="1" si="446"/>
        <v>482.25233390835183</v>
      </c>
      <c r="AC1123">
        <f t="shared" ca="1" si="447"/>
        <v>0</v>
      </c>
      <c r="AD1123">
        <f ca="1">IF(V32="Supercritical",L1123,U1123)</f>
        <v>0.05</v>
      </c>
      <c r="AE1123">
        <f t="shared" ca="1" si="448"/>
        <v>632.12549999999999</v>
      </c>
      <c r="AF1123">
        <f t="shared" ca="1" si="449"/>
        <v>2593.202531648662</v>
      </c>
      <c r="AI1123">
        <v>0</v>
      </c>
      <c r="AJ1123">
        <v>0</v>
      </c>
      <c r="AK1123">
        <f t="shared" si="450"/>
        <v>0</v>
      </c>
      <c r="AL1123">
        <f t="shared" si="458"/>
        <v>0</v>
      </c>
      <c r="AM1123">
        <f t="shared" ca="1" si="451"/>
        <v>280.07692026646265</v>
      </c>
      <c r="AN1123" t="str">
        <f t="shared" ca="1" si="452"/>
        <v>Supercritical</v>
      </c>
      <c r="AO1123">
        <f ca="1">IF(V32="Supercritical",R1123,AA1123)</f>
        <v>482.07306851378365</v>
      </c>
    </row>
    <row r="1124" spans="1:41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174</v>
      </c>
      <c r="I1124">
        <v>5.5E-2</v>
      </c>
      <c r="J1124">
        <f t="shared" si="453"/>
        <v>1</v>
      </c>
      <c r="K1124">
        <f t="shared" si="454"/>
        <v>51</v>
      </c>
      <c r="L1124">
        <f t="shared" ca="1" si="455"/>
        <v>38818.09538066417</v>
      </c>
      <c r="M1124">
        <f t="shared" ca="1" si="433"/>
        <v>201854.0959794537</v>
      </c>
      <c r="N1124">
        <f t="shared" ca="1" si="434"/>
        <v>2.599825866076491</v>
      </c>
      <c r="O1124">
        <f t="shared" ca="1" si="435"/>
        <v>2.5265774148665868E-4</v>
      </c>
      <c r="P1124">
        <f t="shared" ca="1" si="436"/>
        <v>39450.170380664167</v>
      </c>
      <c r="Q1124">
        <f t="shared" ca="1" si="437"/>
        <v>39450.17038066742</v>
      </c>
      <c r="R1124">
        <f t="shared" ca="1" si="438"/>
        <v>4.01780378611129E-12</v>
      </c>
      <c r="S1124">
        <f t="shared" ca="1" si="456"/>
        <v>1.0869565230677836E-3</v>
      </c>
      <c r="T1124">
        <f t="shared" ca="1" si="457"/>
        <v>0</v>
      </c>
      <c r="U1124">
        <f t="shared" ca="1" si="439"/>
        <v>0.05</v>
      </c>
      <c r="V1124">
        <f t="shared" ca="1" si="440"/>
        <v>0.26</v>
      </c>
      <c r="W1124">
        <f t="shared" ca="1" si="441"/>
        <v>4.9056603773584909E-2</v>
      </c>
      <c r="X1124">
        <f t="shared" ca="1" si="442"/>
        <v>196.15384615384616</v>
      </c>
      <c r="Y1124">
        <f t="shared" ca="1" si="443"/>
        <v>632.125</v>
      </c>
      <c r="Z1124">
        <f t="shared" ca="1" si="444"/>
        <v>2593.2020316486623</v>
      </c>
      <c r="AA1124">
        <f t="shared" ca="1" si="445"/>
        <v>482.07306851378365</v>
      </c>
      <c r="AB1124">
        <f t="shared" ca="1" si="446"/>
        <v>482.73440697685373</v>
      </c>
      <c r="AC1124">
        <f t="shared" ca="1" si="447"/>
        <v>0</v>
      </c>
      <c r="AD1124">
        <f ca="1">IF(V32="Supercritical",L1124,U1124)</f>
        <v>0.05</v>
      </c>
      <c r="AE1124">
        <f t="shared" ca="1" si="448"/>
        <v>632.125</v>
      </c>
      <c r="AF1124">
        <f t="shared" ca="1" si="449"/>
        <v>2593.2020316486623</v>
      </c>
      <c r="AI1124">
        <v>0</v>
      </c>
      <c r="AJ1124">
        <v>0</v>
      </c>
      <c r="AK1124">
        <f t="shared" si="450"/>
        <v>0</v>
      </c>
      <c r="AL1124">
        <f t="shared" si="458"/>
        <v>0</v>
      </c>
      <c r="AM1124">
        <f t="shared" ca="1" si="451"/>
        <v>280.07692026646265</v>
      </c>
      <c r="AN1124" t="str">
        <f t="shared" ca="1" si="452"/>
        <v>Supercritical</v>
      </c>
      <c r="AO1124">
        <f ca="1">IF(V32="Supercritical",R1124,AA1124)</f>
        <v>482.07306851378365</v>
      </c>
    </row>
    <row r="1125" spans="1:41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174</v>
      </c>
      <c r="I1125">
        <v>5.5E-2</v>
      </c>
      <c r="J1125">
        <f t="shared" si="453"/>
        <v>1.0009999999999764</v>
      </c>
      <c r="K1125">
        <f t="shared" si="454"/>
        <v>51</v>
      </c>
      <c r="L1125">
        <f t="shared" ca="1" si="455"/>
        <v>38818.09538066417</v>
      </c>
      <c r="M1125">
        <f t="shared" ca="1" si="433"/>
        <v>201854.0959794537</v>
      </c>
      <c r="N1125">
        <f t="shared" ca="1" si="434"/>
        <v>2.599825866076491</v>
      </c>
      <c r="O1125">
        <f t="shared" ca="1" si="435"/>
        <v>2.5265774148665868E-4</v>
      </c>
      <c r="P1125">
        <f t="shared" ca="1" si="436"/>
        <v>39450.169880664173</v>
      </c>
      <c r="Q1125">
        <f t="shared" ca="1" si="437"/>
        <v>39450.169880667425</v>
      </c>
      <c r="R1125">
        <f t="shared" ca="1" si="438"/>
        <v>4.01780378611129E-12</v>
      </c>
      <c r="S1125">
        <f t="shared" ca="1" si="456"/>
        <v>4.9999998736893758E-4</v>
      </c>
      <c r="T1125">
        <f t="shared" ca="1" si="457"/>
        <v>1</v>
      </c>
      <c r="U1125">
        <f t="shared" ca="1" si="439"/>
        <v>0.05</v>
      </c>
      <c r="V1125">
        <f t="shared" ca="1" si="440"/>
        <v>0.26</v>
      </c>
      <c r="W1125">
        <f t="shared" ca="1" si="441"/>
        <v>4.9056603773584909E-2</v>
      </c>
      <c r="X1125">
        <f t="shared" ca="1" si="442"/>
        <v>196.15384615384616</v>
      </c>
      <c r="Y1125">
        <f t="shared" ca="1" si="443"/>
        <v>632.1244999999999</v>
      </c>
      <c r="Z1125">
        <f t="shared" ca="1" si="444"/>
        <v>2593.2015316486622</v>
      </c>
      <c r="AA1125">
        <f t="shared" ca="1" si="445"/>
        <v>482.07306851378365</v>
      </c>
      <c r="AB1125">
        <f t="shared" ca="1" si="446"/>
        <v>482.07256851378361</v>
      </c>
      <c r="AC1125">
        <f t="shared" ca="1" si="447"/>
        <v>0</v>
      </c>
      <c r="AD1125">
        <f ca="1">IF(V32="Supercritical",L1125,U1125)</f>
        <v>0.05</v>
      </c>
      <c r="AE1125">
        <f t="shared" ca="1" si="448"/>
        <v>632.1244999999999</v>
      </c>
      <c r="AF1125">
        <f t="shared" ca="1" si="449"/>
        <v>2593.2015316486622</v>
      </c>
      <c r="AI1125">
        <v>0</v>
      </c>
      <c r="AJ1125">
        <v>0</v>
      </c>
      <c r="AK1125">
        <f t="shared" si="450"/>
        <v>0</v>
      </c>
      <c r="AL1125">
        <f t="shared" si="458"/>
        <v>0</v>
      </c>
      <c r="AM1125">
        <f t="shared" ca="1" si="451"/>
        <v>280.07692026646265</v>
      </c>
      <c r="AN1125" t="str">
        <f t="shared" ca="1" si="452"/>
        <v>Supercritical</v>
      </c>
      <c r="AO1125">
        <f ca="1">IF(V32="Supercritical",R1125,AA1125)</f>
        <v>482.07306851378365</v>
      </c>
    </row>
    <row r="1126" spans="1:41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174</v>
      </c>
      <c r="I1126">
        <v>0</v>
      </c>
      <c r="J1126">
        <f t="shared" si="453"/>
        <v>1</v>
      </c>
      <c r="K1126">
        <f t="shared" si="454"/>
        <v>51</v>
      </c>
      <c r="L1126">
        <f t="shared" ca="1" si="455"/>
        <v>38818.094793707627</v>
      </c>
      <c r="M1126">
        <f t="shared" ca="1" si="433"/>
        <v>201854.09292727968</v>
      </c>
      <c r="N1126">
        <f t="shared" ca="1" si="434"/>
        <v>2.599825866073858</v>
      </c>
      <c r="O1126">
        <f t="shared" ca="1" si="435"/>
        <v>2.5265774530701911E-4</v>
      </c>
      <c r="P1126">
        <f t="shared" ca="1" si="436"/>
        <v>39450.168793707628</v>
      </c>
      <c r="Q1126">
        <f t="shared" ca="1" si="437"/>
        <v>39450.16879371088</v>
      </c>
      <c r="R1126">
        <f t="shared" ca="1" si="438"/>
        <v>4.0178039076206824E-12</v>
      </c>
      <c r="S1126">
        <f t="shared" ca="1" si="456"/>
        <v>1.0869565376196988E-3</v>
      </c>
      <c r="T1126">
        <f t="shared" ca="1" si="457"/>
        <v>0</v>
      </c>
      <c r="U1126">
        <f t="shared" ca="1" si="439"/>
        <v>0.05</v>
      </c>
      <c r="V1126">
        <f t="shared" ca="1" si="440"/>
        <v>0.26</v>
      </c>
      <c r="W1126">
        <f t="shared" ca="1" si="441"/>
        <v>4.9056603773584909E-2</v>
      </c>
      <c r="X1126">
        <f t="shared" ca="1" si="442"/>
        <v>196.15384615384616</v>
      </c>
      <c r="Y1126">
        <f t="shared" ca="1" si="443"/>
        <v>632.12399999999991</v>
      </c>
      <c r="Z1126">
        <f t="shared" ca="1" si="444"/>
        <v>2593.2010316486621</v>
      </c>
      <c r="AA1126">
        <f t="shared" ca="1" si="445"/>
        <v>482.07306851378365</v>
      </c>
      <c r="AB1126">
        <f t="shared" ca="1" si="446"/>
        <v>481.59049544528125</v>
      </c>
      <c r="AC1126">
        <f t="shared" ca="1" si="447"/>
        <v>0</v>
      </c>
      <c r="AD1126">
        <f ca="1">IF(V32="Supercritical",L1126,U1126)</f>
        <v>0.05</v>
      </c>
      <c r="AE1126">
        <f t="shared" ca="1" si="448"/>
        <v>632.12399999999991</v>
      </c>
      <c r="AF1126">
        <f t="shared" ca="1" si="449"/>
        <v>2593.2010316486621</v>
      </c>
      <c r="AI1126">
        <v>0</v>
      </c>
      <c r="AJ1126">
        <v>0</v>
      </c>
      <c r="AK1126">
        <f t="shared" si="450"/>
        <v>0</v>
      </c>
      <c r="AL1126">
        <f t="shared" si="458"/>
        <v>0</v>
      </c>
      <c r="AM1126">
        <f t="shared" ca="1" si="451"/>
        <v>280.07692026646265</v>
      </c>
      <c r="AN1126" t="str">
        <f t="shared" ca="1" si="452"/>
        <v>Supercritical</v>
      </c>
      <c r="AO1126">
        <f ca="1">IF(V32="Supercritical",R1126,AA1126)</f>
        <v>482.07306851378365</v>
      </c>
    </row>
    <row r="1127" spans="1:41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174</v>
      </c>
      <c r="I1127">
        <v>0</v>
      </c>
      <c r="J1127">
        <f t="shared" si="453"/>
        <v>0.99900000000002365</v>
      </c>
      <c r="K1127">
        <f t="shared" si="454"/>
        <v>51</v>
      </c>
      <c r="L1127">
        <f t="shared" ca="1" si="455"/>
        <v>38818.094793707627</v>
      </c>
      <c r="M1127">
        <f t="shared" ca="1" si="433"/>
        <v>201854.09292727968</v>
      </c>
      <c r="N1127">
        <f t="shared" ca="1" si="434"/>
        <v>2.599825866073858</v>
      </c>
      <c r="O1127">
        <f t="shared" ca="1" si="435"/>
        <v>2.5265774530701911E-4</v>
      </c>
      <c r="P1127">
        <f t="shared" ca="1" si="436"/>
        <v>39450.168293707626</v>
      </c>
      <c r="Q1127">
        <f t="shared" ca="1" si="437"/>
        <v>39450.168293710878</v>
      </c>
      <c r="R1127">
        <f t="shared" ca="1" si="438"/>
        <v>4.0178039076206824E-12</v>
      </c>
      <c r="S1127">
        <f t="shared" ca="1" si="456"/>
        <v>4.999999946448952E-4</v>
      </c>
      <c r="T1127">
        <f t="shared" ca="1" si="457"/>
        <v>1</v>
      </c>
      <c r="U1127">
        <f t="shared" ca="1" si="439"/>
        <v>0.05</v>
      </c>
      <c r="V1127">
        <f t="shared" ca="1" si="440"/>
        <v>0.26</v>
      </c>
      <c r="W1127">
        <f t="shared" ca="1" si="441"/>
        <v>4.9056603773584909E-2</v>
      </c>
      <c r="X1127">
        <f t="shared" ca="1" si="442"/>
        <v>196.15384615384616</v>
      </c>
      <c r="Y1127">
        <f t="shared" ca="1" si="443"/>
        <v>632.12349999999992</v>
      </c>
      <c r="Z1127">
        <f t="shared" ca="1" si="444"/>
        <v>2593.200531648662</v>
      </c>
      <c r="AA1127">
        <f t="shared" ca="1" si="445"/>
        <v>482.07306851378365</v>
      </c>
      <c r="AB1127">
        <f t="shared" ca="1" si="446"/>
        <v>482.25887083179032</v>
      </c>
      <c r="AC1127">
        <f t="shared" ca="1" si="447"/>
        <v>0</v>
      </c>
      <c r="AD1127">
        <f ca="1">IF(V32="Supercritical",L1127,U1127)</f>
        <v>0.05</v>
      </c>
      <c r="AE1127">
        <f t="shared" ca="1" si="448"/>
        <v>632.12349999999992</v>
      </c>
      <c r="AF1127">
        <f t="shared" ca="1" si="449"/>
        <v>2593.200531648662</v>
      </c>
      <c r="AI1127">
        <v>0</v>
      </c>
      <c r="AJ1127">
        <v>0</v>
      </c>
      <c r="AK1127">
        <f t="shared" si="450"/>
        <v>0</v>
      </c>
      <c r="AL1127">
        <f t="shared" si="458"/>
        <v>0</v>
      </c>
      <c r="AM1127">
        <f t="shared" ca="1" si="451"/>
        <v>280.07692026646265</v>
      </c>
      <c r="AN1127" t="str">
        <f t="shared" ca="1" si="452"/>
        <v>Supercritical</v>
      </c>
      <c r="AO1127">
        <f ca="1">IF(V32="Supercritical",R1127,AA1127)</f>
        <v>482.07306851378365</v>
      </c>
    </row>
    <row r="1128" spans="1:41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174</v>
      </c>
      <c r="I1128">
        <v>5.7000000000000002E-2</v>
      </c>
      <c r="J1128">
        <f t="shared" si="453"/>
        <v>1</v>
      </c>
      <c r="K1128">
        <f t="shared" si="454"/>
        <v>51</v>
      </c>
      <c r="L1128">
        <f t="shared" ca="1" si="455"/>
        <v>38818.094206751121</v>
      </c>
      <c r="M1128">
        <f t="shared" ca="1" si="433"/>
        <v>201854.08987510583</v>
      </c>
      <c r="N1128">
        <f t="shared" ca="1" si="434"/>
        <v>2.599825866071225</v>
      </c>
      <c r="O1128">
        <f t="shared" ca="1" si="435"/>
        <v>2.5265774912737948E-4</v>
      </c>
      <c r="P1128">
        <f t="shared" ca="1" si="436"/>
        <v>39450.167206751117</v>
      </c>
      <c r="Q1128">
        <f t="shared" ca="1" si="437"/>
        <v>39450.16720675437</v>
      </c>
      <c r="R1128">
        <f t="shared" ca="1" si="438"/>
        <v>4.0178040291300724E-12</v>
      </c>
      <c r="S1128">
        <f t="shared" ca="1" si="456"/>
        <v>1.0869565012399107E-3</v>
      </c>
      <c r="T1128">
        <f t="shared" ca="1" si="457"/>
        <v>0</v>
      </c>
      <c r="U1128">
        <f t="shared" ca="1" si="439"/>
        <v>0.05</v>
      </c>
      <c r="V1128">
        <f t="shared" ca="1" si="440"/>
        <v>0.26</v>
      </c>
      <c r="W1128">
        <f t="shared" ca="1" si="441"/>
        <v>4.9056603773584909E-2</v>
      </c>
      <c r="X1128">
        <f t="shared" ca="1" si="442"/>
        <v>196.15384615384616</v>
      </c>
      <c r="Y1128">
        <f t="shared" ca="1" si="443"/>
        <v>632.12299999999993</v>
      </c>
      <c r="Z1128">
        <f t="shared" ca="1" si="444"/>
        <v>2593.2000316486619</v>
      </c>
      <c r="AA1128">
        <f t="shared" ca="1" si="445"/>
        <v>482.07306851378365</v>
      </c>
      <c r="AB1128">
        <f t="shared" ca="1" si="446"/>
        <v>482.25887083179032</v>
      </c>
      <c r="AC1128">
        <f t="shared" ca="1" si="447"/>
        <v>0</v>
      </c>
      <c r="AD1128">
        <f ca="1">IF(V32="Supercritical",L1128,U1128)</f>
        <v>0.05</v>
      </c>
      <c r="AE1128">
        <f t="shared" ca="1" si="448"/>
        <v>632.12299999999993</v>
      </c>
      <c r="AF1128">
        <f t="shared" ca="1" si="449"/>
        <v>2593.2000316486619</v>
      </c>
      <c r="AI1128">
        <v>0</v>
      </c>
      <c r="AJ1128">
        <v>0</v>
      </c>
      <c r="AK1128">
        <f t="shared" si="450"/>
        <v>0</v>
      </c>
      <c r="AL1128">
        <f t="shared" si="458"/>
        <v>0</v>
      </c>
      <c r="AM1128">
        <f t="shared" ca="1" si="451"/>
        <v>280.07692026646265</v>
      </c>
      <c r="AN1128" t="str">
        <f t="shared" ca="1" si="452"/>
        <v>Supercritical</v>
      </c>
      <c r="AO1128">
        <f ca="1">IF(V32="Supercritical",R1128,AA1128)</f>
        <v>482.07306851378365</v>
      </c>
    </row>
    <row r="1129" spans="1:41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174</v>
      </c>
      <c r="I1129">
        <v>5.7000000000000002E-2</v>
      </c>
      <c r="J1129">
        <f t="shared" si="453"/>
        <v>1</v>
      </c>
      <c r="K1129">
        <f t="shared" si="454"/>
        <v>51</v>
      </c>
      <c r="L1129">
        <f t="shared" ca="1" si="455"/>
        <v>38818.094206751121</v>
      </c>
      <c r="M1129">
        <f t="shared" ca="1" si="433"/>
        <v>201854.08987510583</v>
      </c>
      <c r="N1129">
        <f t="shared" ca="1" si="434"/>
        <v>2.599825866071225</v>
      </c>
      <c r="O1129">
        <f t="shared" ca="1" si="435"/>
        <v>2.5265774912737948E-4</v>
      </c>
      <c r="P1129">
        <f t="shared" ca="1" si="436"/>
        <v>39450.166706751123</v>
      </c>
      <c r="Q1129">
        <f t="shared" ca="1" si="437"/>
        <v>39450.166706754375</v>
      </c>
      <c r="R1129">
        <f t="shared" ca="1" si="438"/>
        <v>4.0178040291300724E-12</v>
      </c>
      <c r="S1129">
        <f t="shared" ca="1" si="456"/>
        <v>4.9999998736893758E-4</v>
      </c>
      <c r="T1129">
        <f t="shared" ca="1" si="457"/>
        <v>1</v>
      </c>
      <c r="U1129">
        <f t="shared" ca="1" si="439"/>
        <v>0.05</v>
      </c>
      <c r="V1129">
        <f t="shared" ca="1" si="440"/>
        <v>0.26</v>
      </c>
      <c r="W1129">
        <f t="shared" ca="1" si="441"/>
        <v>4.9056603773584909E-2</v>
      </c>
      <c r="X1129">
        <f t="shared" ca="1" si="442"/>
        <v>196.15384615384616</v>
      </c>
      <c r="Y1129">
        <f t="shared" ca="1" si="443"/>
        <v>632.12249999999995</v>
      </c>
      <c r="Z1129">
        <f t="shared" ca="1" si="444"/>
        <v>2593.1995316486618</v>
      </c>
      <c r="AA1129">
        <f t="shared" ca="1" si="445"/>
        <v>482.07306851378365</v>
      </c>
      <c r="AB1129">
        <f t="shared" ca="1" si="446"/>
        <v>482.07256851378406</v>
      </c>
      <c r="AC1129">
        <f t="shared" ca="1" si="447"/>
        <v>0</v>
      </c>
      <c r="AD1129">
        <f ca="1">IF(V32="Supercritical",L1129,U1129)</f>
        <v>0.05</v>
      </c>
      <c r="AE1129">
        <f t="shared" ca="1" si="448"/>
        <v>632.12249999999995</v>
      </c>
      <c r="AF1129">
        <f t="shared" ca="1" si="449"/>
        <v>2593.1995316486618</v>
      </c>
      <c r="AI1129">
        <v>0</v>
      </c>
      <c r="AJ1129">
        <v>0</v>
      </c>
      <c r="AK1129">
        <f t="shared" si="450"/>
        <v>0</v>
      </c>
      <c r="AL1129">
        <f t="shared" si="458"/>
        <v>0</v>
      </c>
      <c r="AM1129">
        <f t="shared" ca="1" si="451"/>
        <v>280.07692026646265</v>
      </c>
      <c r="AN1129" t="str">
        <f t="shared" ca="1" si="452"/>
        <v>Supercritical</v>
      </c>
      <c r="AO1129">
        <f ca="1">IF(V32="Supercritical",R1129,AA1129)</f>
        <v>482.07306851378365</v>
      </c>
    </row>
    <row r="1130" spans="1:41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174</v>
      </c>
      <c r="I1130">
        <v>0</v>
      </c>
      <c r="J1130">
        <f t="shared" si="453"/>
        <v>1</v>
      </c>
      <c r="K1130">
        <f t="shared" si="454"/>
        <v>51</v>
      </c>
      <c r="L1130">
        <f t="shared" ca="1" si="455"/>
        <v>38818.093619794614</v>
      </c>
      <c r="M1130">
        <f t="shared" ca="1" si="433"/>
        <v>201854.086822932</v>
      </c>
      <c r="N1130">
        <f t="shared" ca="1" si="434"/>
        <v>2.5998258660685925</v>
      </c>
      <c r="O1130">
        <f t="shared" ca="1" si="435"/>
        <v>2.5265775294773995E-4</v>
      </c>
      <c r="P1130">
        <f t="shared" ca="1" si="436"/>
        <v>39450.165619794614</v>
      </c>
      <c r="Q1130">
        <f t="shared" ca="1" si="437"/>
        <v>39450.165619797866</v>
      </c>
      <c r="R1130">
        <f t="shared" ca="1" si="438"/>
        <v>4.0178041506394648E-12</v>
      </c>
      <c r="S1130">
        <f t="shared" ca="1" si="456"/>
        <v>1.0869565012399107E-3</v>
      </c>
      <c r="T1130">
        <f t="shared" ca="1" si="457"/>
        <v>0</v>
      </c>
      <c r="U1130">
        <f t="shared" ca="1" si="439"/>
        <v>0.05</v>
      </c>
      <c r="V1130">
        <f t="shared" ca="1" si="440"/>
        <v>0.26</v>
      </c>
      <c r="W1130">
        <f t="shared" ca="1" si="441"/>
        <v>4.9056603773584909E-2</v>
      </c>
      <c r="X1130">
        <f t="shared" ca="1" si="442"/>
        <v>196.15384615384616</v>
      </c>
      <c r="Y1130">
        <f t="shared" ca="1" si="443"/>
        <v>632.12199999999996</v>
      </c>
      <c r="Z1130">
        <f t="shared" ca="1" si="444"/>
        <v>2593.1990316486622</v>
      </c>
      <c r="AA1130">
        <f t="shared" ca="1" si="445"/>
        <v>482.07306851378365</v>
      </c>
      <c r="AB1130">
        <f t="shared" ca="1" si="446"/>
        <v>482.07256851378361</v>
      </c>
      <c r="AC1130">
        <f t="shared" ca="1" si="447"/>
        <v>0</v>
      </c>
      <c r="AD1130">
        <f ca="1">IF(V32="Supercritical",L1130,U1130)</f>
        <v>0.05</v>
      </c>
      <c r="AE1130">
        <f t="shared" ca="1" si="448"/>
        <v>632.12199999999996</v>
      </c>
      <c r="AF1130">
        <f t="shared" ca="1" si="449"/>
        <v>2593.1990316486622</v>
      </c>
      <c r="AI1130">
        <v>0</v>
      </c>
      <c r="AJ1130">
        <v>0</v>
      </c>
      <c r="AK1130">
        <f t="shared" si="450"/>
        <v>0</v>
      </c>
      <c r="AL1130">
        <f t="shared" si="458"/>
        <v>0</v>
      </c>
      <c r="AM1130">
        <f t="shared" ca="1" si="451"/>
        <v>280.07692026646265</v>
      </c>
      <c r="AN1130" t="str">
        <f t="shared" ca="1" si="452"/>
        <v>Supercritical</v>
      </c>
      <c r="AO1130">
        <f ca="1">IF(V32="Supercritical",R1130,AA1130)</f>
        <v>482.07306851378365</v>
      </c>
    </row>
    <row r="1131" spans="1:41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174</v>
      </c>
      <c r="I1131">
        <v>0</v>
      </c>
      <c r="J1131">
        <f t="shared" si="453"/>
        <v>1</v>
      </c>
      <c r="K1131">
        <f t="shared" si="454"/>
        <v>51</v>
      </c>
      <c r="L1131">
        <f t="shared" ca="1" si="455"/>
        <v>38818.093619794614</v>
      </c>
      <c r="M1131">
        <f t="shared" ca="1" si="433"/>
        <v>201854.086822932</v>
      </c>
      <c r="N1131">
        <f t="shared" ca="1" si="434"/>
        <v>2.5998258660685925</v>
      </c>
      <c r="O1131">
        <f t="shared" ca="1" si="435"/>
        <v>2.5265775294773995E-4</v>
      </c>
      <c r="P1131">
        <f t="shared" ca="1" si="436"/>
        <v>39450.165119794612</v>
      </c>
      <c r="Q1131">
        <f t="shared" ca="1" si="437"/>
        <v>39450.165119797864</v>
      </c>
      <c r="R1131">
        <f t="shared" ca="1" si="438"/>
        <v>4.0178041506394648E-12</v>
      </c>
      <c r="S1131">
        <f t="shared" ca="1" si="456"/>
        <v>4.999999946448952E-4</v>
      </c>
      <c r="T1131">
        <f t="shared" ca="1" si="457"/>
        <v>1</v>
      </c>
      <c r="U1131">
        <f t="shared" ca="1" si="439"/>
        <v>0.05</v>
      </c>
      <c r="V1131">
        <f t="shared" ca="1" si="440"/>
        <v>0.26</v>
      </c>
      <c r="W1131">
        <f t="shared" ca="1" si="441"/>
        <v>4.9056603773584909E-2</v>
      </c>
      <c r="X1131">
        <f t="shared" ca="1" si="442"/>
        <v>196.15384615384616</v>
      </c>
      <c r="Y1131">
        <f t="shared" ca="1" si="443"/>
        <v>632.12149999999997</v>
      </c>
      <c r="Z1131">
        <f t="shared" ca="1" si="444"/>
        <v>2593.1985316486621</v>
      </c>
      <c r="AA1131">
        <f t="shared" ca="1" si="445"/>
        <v>482.07306851378365</v>
      </c>
      <c r="AB1131">
        <f t="shared" ca="1" si="446"/>
        <v>482.25887083179032</v>
      </c>
      <c r="AC1131">
        <f t="shared" ca="1" si="447"/>
        <v>0</v>
      </c>
      <c r="AD1131">
        <f ca="1">IF(V32="Supercritical",L1131,U1131)</f>
        <v>0.05</v>
      </c>
      <c r="AE1131">
        <f t="shared" ca="1" si="448"/>
        <v>632.12149999999997</v>
      </c>
      <c r="AF1131">
        <f t="shared" ca="1" si="449"/>
        <v>2593.1985316486621</v>
      </c>
      <c r="AI1131">
        <v>0</v>
      </c>
      <c r="AJ1131">
        <v>0</v>
      </c>
      <c r="AK1131">
        <f t="shared" si="450"/>
        <v>0</v>
      </c>
      <c r="AL1131">
        <f t="shared" si="458"/>
        <v>0</v>
      </c>
      <c r="AM1131">
        <f t="shared" ca="1" si="451"/>
        <v>280.07692026646265</v>
      </c>
      <c r="AN1131" t="str">
        <f t="shared" ca="1" si="452"/>
        <v>Supercritical</v>
      </c>
      <c r="AO1131">
        <f ca="1">IF(V32="Supercritical",R1131,AA1131)</f>
        <v>482.07306851378365</v>
      </c>
    </row>
    <row r="1132" spans="1:41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174</v>
      </c>
      <c r="I1132">
        <v>5.7000000000000002E-2</v>
      </c>
      <c r="J1132">
        <f t="shared" si="453"/>
        <v>1</v>
      </c>
      <c r="K1132">
        <f t="shared" si="454"/>
        <v>51</v>
      </c>
      <c r="L1132">
        <f t="shared" ca="1" si="455"/>
        <v>38818.0930328381</v>
      </c>
      <c r="M1132">
        <f t="shared" ca="1" si="433"/>
        <v>201854.08377075812</v>
      </c>
      <c r="N1132">
        <f t="shared" ca="1" si="434"/>
        <v>2.5998258660659594</v>
      </c>
      <c r="O1132">
        <f t="shared" ca="1" si="435"/>
        <v>2.5265775676810054E-4</v>
      </c>
      <c r="P1132">
        <f t="shared" ca="1" si="436"/>
        <v>39450.164032838104</v>
      </c>
      <c r="Q1132">
        <f t="shared" ca="1" si="437"/>
        <v>39450.164032841356</v>
      </c>
      <c r="R1132">
        <f t="shared" ca="1" si="438"/>
        <v>4.0178042721488693E-12</v>
      </c>
      <c r="S1132">
        <f t="shared" ca="1" si="456"/>
        <v>1.0869565012399107E-3</v>
      </c>
      <c r="T1132">
        <f t="shared" ca="1" si="457"/>
        <v>0</v>
      </c>
      <c r="U1132">
        <f t="shared" ca="1" si="439"/>
        <v>0.05</v>
      </c>
      <c r="V1132">
        <f t="shared" ca="1" si="440"/>
        <v>0.26</v>
      </c>
      <c r="W1132">
        <f t="shared" ca="1" si="441"/>
        <v>4.9056603773584909E-2</v>
      </c>
      <c r="X1132">
        <f t="shared" ca="1" si="442"/>
        <v>196.15384615384616</v>
      </c>
      <c r="Y1132">
        <f t="shared" ca="1" si="443"/>
        <v>632.12099999999998</v>
      </c>
      <c r="Z1132">
        <f t="shared" ca="1" si="444"/>
        <v>2593.198031648662</v>
      </c>
      <c r="AA1132">
        <f t="shared" ca="1" si="445"/>
        <v>482.07306851378365</v>
      </c>
      <c r="AB1132">
        <f t="shared" ca="1" si="446"/>
        <v>482.26867621694873</v>
      </c>
      <c r="AC1132">
        <f t="shared" ca="1" si="447"/>
        <v>0</v>
      </c>
      <c r="AD1132">
        <f ca="1">IF(V32="Supercritical",L1132,U1132)</f>
        <v>0.05</v>
      </c>
      <c r="AE1132">
        <f t="shared" ca="1" si="448"/>
        <v>632.12099999999998</v>
      </c>
      <c r="AF1132">
        <f t="shared" ca="1" si="449"/>
        <v>2593.198031648662</v>
      </c>
      <c r="AI1132">
        <v>0</v>
      </c>
      <c r="AJ1132">
        <v>0</v>
      </c>
      <c r="AK1132">
        <f t="shared" si="450"/>
        <v>0</v>
      </c>
      <c r="AL1132">
        <f t="shared" si="458"/>
        <v>0</v>
      </c>
      <c r="AM1132">
        <f t="shared" ca="1" si="451"/>
        <v>280.07692026646265</v>
      </c>
      <c r="AN1132" t="str">
        <f t="shared" ca="1" si="452"/>
        <v>Supercritical</v>
      </c>
      <c r="AO1132">
        <f ca="1">IF(V32="Supercritical",R1132,AA1132)</f>
        <v>482.07306851378365</v>
      </c>
    </row>
    <row r="1133" spans="1:41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174</v>
      </c>
      <c r="I1133">
        <v>0.06</v>
      </c>
      <c r="J1133">
        <f t="shared" si="453"/>
        <v>1</v>
      </c>
      <c r="K1133">
        <f t="shared" si="454"/>
        <v>51</v>
      </c>
      <c r="L1133">
        <f t="shared" ca="1" si="455"/>
        <v>38818.0930328381</v>
      </c>
      <c r="M1133">
        <f t="shared" ca="1" si="433"/>
        <v>201854.08377075812</v>
      </c>
      <c r="N1133">
        <f t="shared" ca="1" si="434"/>
        <v>2.5998258660659594</v>
      </c>
      <c r="O1133">
        <f t="shared" ca="1" si="435"/>
        <v>2.5265775676810054E-4</v>
      </c>
      <c r="P1133">
        <f t="shared" ca="1" si="436"/>
        <v>39450.163532838102</v>
      </c>
      <c r="Q1133">
        <f t="shared" ca="1" si="437"/>
        <v>39450.163532841354</v>
      </c>
      <c r="R1133">
        <f t="shared" ca="1" si="438"/>
        <v>4.0178042721488693E-12</v>
      </c>
      <c r="S1133">
        <f t="shared" ca="1" si="456"/>
        <v>4.999999946448952E-4</v>
      </c>
      <c r="T1133">
        <f t="shared" ca="1" si="457"/>
        <v>1</v>
      </c>
      <c r="U1133">
        <f t="shared" ca="1" si="439"/>
        <v>0.05</v>
      </c>
      <c r="V1133">
        <f t="shared" ca="1" si="440"/>
        <v>0.26</v>
      </c>
      <c r="W1133">
        <f t="shared" ca="1" si="441"/>
        <v>4.9056603773584909E-2</v>
      </c>
      <c r="X1133">
        <f t="shared" ca="1" si="442"/>
        <v>196.15384615384616</v>
      </c>
      <c r="Y1133">
        <f t="shared" ca="1" si="443"/>
        <v>632.12049999999999</v>
      </c>
      <c r="Z1133">
        <f t="shared" ca="1" si="444"/>
        <v>2593.1975316486623</v>
      </c>
      <c r="AA1133">
        <f t="shared" ca="1" si="445"/>
        <v>482.07306851378365</v>
      </c>
      <c r="AB1133">
        <f t="shared" ca="1" si="446"/>
        <v>482.56117850572491</v>
      </c>
      <c r="AC1133">
        <f t="shared" ca="1" si="447"/>
        <v>0</v>
      </c>
      <c r="AD1133">
        <f ca="1">IF(V32="Supercritical",L1133,U1133)</f>
        <v>0.05</v>
      </c>
      <c r="AE1133">
        <f t="shared" ca="1" si="448"/>
        <v>632.12049999999999</v>
      </c>
      <c r="AF1133">
        <f t="shared" ca="1" si="449"/>
        <v>2593.1975316486623</v>
      </c>
      <c r="AI1133">
        <v>0</v>
      </c>
      <c r="AJ1133">
        <v>0</v>
      </c>
      <c r="AK1133">
        <f t="shared" si="450"/>
        <v>0</v>
      </c>
      <c r="AL1133">
        <f t="shared" si="458"/>
        <v>0</v>
      </c>
      <c r="AM1133">
        <f t="shared" ca="1" si="451"/>
        <v>280.07692026646265</v>
      </c>
      <c r="AN1133" t="str">
        <f t="shared" ca="1" si="452"/>
        <v>Supercritical</v>
      </c>
      <c r="AO1133">
        <f ca="1">IF(V32="Supercritical",R1133,AA1133)</f>
        <v>482.07306851378365</v>
      </c>
    </row>
    <row r="1134" spans="1:41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174</v>
      </c>
      <c r="I1134">
        <v>2E-3</v>
      </c>
      <c r="J1134">
        <f t="shared" si="453"/>
        <v>1.0009999999999764</v>
      </c>
      <c r="K1134">
        <f t="shared" si="454"/>
        <v>51</v>
      </c>
      <c r="L1134">
        <f t="shared" ca="1" si="455"/>
        <v>38818.092445881564</v>
      </c>
      <c r="M1134">
        <f t="shared" ca="1" si="433"/>
        <v>201854.08071858415</v>
      </c>
      <c r="N1134">
        <f t="shared" ca="1" si="434"/>
        <v>2.5998258660633269</v>
      </c>
      <c r="O1134">
        <f t="shared" ca="1" si="435"/>
        <v>2.526577605884614E-4</v>
      </c>
      <c r="P1134">
        <f t="shared" ca="1" si="436"/>
        <v>39450.162445881564</v>
      </c>
      <c r="Q1134">
        <f t="shared" ca="1" si="437"/>
        <v>39450.162445884816</v>
      </c>
      <c r="R1134">
        <f t="shared" ca="1" si="438"/>
        <v>4.0178043936582787E-12</v>
      </c>
      <c r="S1134">
        <f t="shared" ca="1" si="456"/>
        <v>1.0869565303437412E-3</v>
      </c>
      <c r="T1134">
        <f t="shared" ca="1" si="457"/>
        <v>0</v>
      </c>
      <c r="U1134">
        <f t="shared" ca="1" si="439"/>
        <v>0.05</v>
      </c>
      <c r="V1134">
        <f t="shared" ca="1" si="440"/>
        <v>0.26</v>
      </c>
      <c r="W1134">
        <f t="shared" ca="1" si="441"/>
        <v>4.9056603773584909E-2</v>
      </c>
      <c r="X1134">
        <f t="shared" ca="1" si="442"/>
        <v>196.15384615384616</v>
      </c>
      <c r="Y1134">
        <f t="shared" ca="1" si="443"/>
        <v>632.12</v>
      </c>
      <c r="Z1134">
        <f t="shared" ca="1" si="444"/>
        <v>2593.1970316486622</v>
      </c>
      <c r="AA1134">
        <f t="shared" ca="1" si="445"/>
        <v>482.07306851378365</v>
      </c>
      <c r="AB1134">
        <f t="shared" ca="1" si="446"/>
        <v>482.07256851378361</v>
      </c>
      <c r="AC1134">
        <f t="shared" ca="1" si="447"/>
        <v>0</v>
      </c>
      <c r="AD1134">
        <f ca="1">IF(V32="Supercritical",L1134,U1134)</f>
        <v>0.05</v>
      </c>
      <c r="AE1134">
        <f t="shared" ca="1" si="448"/>
        <v>632.12</v>
      </c>
      <c r="AF1134">
        <f t="shared" ca="1" si="449"/>
        <v>2593.1970316486622</v>
      </c>
      <c r="AI1134">
        <v>0</v>
      </c>
      <c r="AJ1134">
        <v>0</v>
      </c>
      <c r="AK1134">
        <f t="shared" si="450"/>
        <v>0</v>
      </c>
      <c r="AL1134">
        <f t="shared" si="458"/>
        <v>0</v>
      </c>
      <c r="AM1134">
        <f t="shared" ca="1" si="451"/>
        <v>280.07692026646265</v>
      </c>
      <c r="AN1134" t="str">
        <f t="shared" ca="1" si="452"/>
        <v>Supercritical</v>
      </c>
      <c r="AO1134">
        <f ca="1">IF(V32="Supercritical",R1134,AA1134)</f>
        <v>482.07306851378365</v>
      </c>
    </row>
    <row r="1135" spans="1:41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174</v>
      </c>
      <c r="I1135">
        <v>0</v>
      </c>
      <c r="J1135">
        <f t="shared" si="453"/>
        <v>1</v>
      </c>
      <c r="K1135">
        <f t="shared" si="454"/>
        <v>51</v>
      </c>
      <c r="L1135">
        <f t="shared" ca="1" si="455"/>
        <v>38818.092445881564</v>
      </c>
      <c r="M1135">
        <f t="shared" ca="1" si="433"/>
        <v>201854.08071858415</v>
      </c>
      <c r="N1135">
        <f t="shared" ca="1" si="434"/>
        <v>2.5998258660633269</v>
      </c>
      <c r="O1135">
        <f t="shared" ca="1" si="435"/>
        <v>2.526577605884614E-4</v>
      </c>
      <c r="P1135">
        <f t="shared" ca="1" si="436"/>
        <v>39450.161945881562</v>
      </c>
      <c r="Q1135">
        <f t="shared" ca="1" si="437"/>
        <v>39450.161945884814</v>
      </c>
      <c r="R1135">
        <f t="shared" ca="1" si="438"/>
        <v>4.0178043936582787E-12</v>
      </c>
      <c r="S1135">
        <f t="shared" ca="1" si="456"/>
        <v>4.999999946448952E-4</v>
      </c>
      <c r="T1135">
        <f t="shared" ca="1" si="457"/>
        <v>1</v>
      </c>
      <c r="U1135">
        <f t="shared" ca="1" si="439"/>
        <v>0.05</v>
      </c>
      <c r="V1135">
        <f t="shared" ca="1" si="440"/>
        <v>0.26</v>
      </c>
      <c r="W1135">
        <f t="shared" ca="1" si="441"/>
        <v>4.9056603773584909E-2</v>
      </c>
      <c r="X1135">
        <f t="shared" ca="1" si="442"/>
        <v>196.15384615384616</v>
      </c>
      <c r="Y1135">
        <f t="shared" ca="1" si="443"/>
        <v>632.1194999999999</v>
      </c>
      <c r="Z1135">
        <f t="shared" ca="1" si="444"/>
        <v>2593.1965316486621</v>
      </c>
      <c r="AA1135">
        <f t="shared" ca="1" si="445"/>
        <v>482.07306851378365</v>
      </c>
      <c r="AB1135">
        <f t="shared" ca="1" si="446"/>
        <v>481.77679776328796</v>
      </c>
      <c r="AC1135">
        <f t="shared" ca="1" si="447"/>
        <v>0</v>
      </c>
      <c r="AD1135">
        <f ca="1">IF(V32="Supercritical",L1135,U1135)</f>
        <v>0.05</v>
      </c>
      <c r="AE1135">
        <f t="shared" ca="1" si="448"/>
        <v>632.1194999999999</v>
      </c>
      <c r="AF1135">
        <f t="shared" ca="1" si="449"/>
        <v>2593.1965316486621</v>
      </c>
      <c r="AI1135">
        <v>0</v>
      </c>
      <c r="AJ1135">
        <v>0</v>
      </c>
      <c r="AK1135">
        <f t="shared" si="450"/>
        <v>0</v>
      </c>
      <c r="AL1135">
        <f t="shared" si="458"/>
        <v>0</v>
      </c>
      <c r="AM1135">
        <f t="shared" ca="1" si="451"/>
        <v>280.07692026646265</v>
      </c>
      <c r="AN1135" t="str">
        <f t="shared" ca="1" si="452"/>
        <v>Supercritical</v>
      </c>
      <c r="AO1135">
        <f ca="1">IF(V32="Supercritical",R1135,AA1135)</f>
        <v>482.07306851378365</v>
      </c>
    </row>
    <row r="1136" spans="1:41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174</v>
      </c>
      <c r="I1136">
        <v>5.7000000000000002E-2</v>
      </c>
      <c r="J1136">
        <f t="shared" si="453"/>
        <v>0.99900000000002365</v>
      </c>
      <c r="K1136">
        <f t="shared" si="454"/>
        <v>51</v>
      </c>
      <c r="L1136">
        <f t="shared" ca="1" si="455"/>
        <v>38818.091858925014</v>
      </c>
      <c r="M1136">
        <f t="shared" ca="1" si="433"/>
        <v>201854.07766641007</v>
      </c>
      <c r="N1136">
        <f t="shared" ca="1" si="434"/>
        <v>2.5998258660606934</v>
      </c>
      <c r="O1136">
        <f t="shared" ca="1" si="435"/>
        <v>2.5265776440882253E-4</v>
      </c>
      <c r="P1136">
        <f t="shared" ca="1" si="436"/>
        <v>39450.160858925017</v>
      </c>
      <c r="Q1136">
        <f t="shared" ca="1" si="437"/>
        <v>39450.16085892827</v>
      </c>
      <c r="R1136">
        <f t="shared" ca="1" si="438"/>
        <v>4.0178045151677002E-12</v>
      </c>
      <c r="S1136">
        <f t="shared" ca="1" si="456"/>
        <v>1.0869565376196988E-3</v>
      </c>
      <c r="T1136">
        <f t="shared" ca="1" si="457"/>
        <v>0</v>
      </c>
      <c r="U1136">
        <f t="shared" ca="1" si="439"/>
        <v>0.05</v>
      </c>
      <c r="V1136">
        <f t="shared" ca="1" si="440"/>
        <v>0.26</v>
      </c>
      <c r="W1136">
        <f t="shared" ca="1" si="441"/>
        <v>4.9056603773584909E-2</v>
      </c>
      <c r="X1136">
        <f t="shared" ca="1" si="442"/>
        <v>196.15384615384616</v>
      </c>
      <c r="Y1136">
        <f t="shared" ca="1" si="443"/>
        <v>632.11899999999991</v>
      </c>
      <c r="Z1136">
        <f t="shared" ca="1" si="444"/>
        <v>2593.196031648662</v>
      </c>
      <c r="AA1136">
        <f t="shared" ca="1" si="445"/>
        <v>482.07306851378365</v>
      </c>
      <c r="AB1136">
        <f t="shared" ca="1" si="446"/>
        <v>482.25887083179032</v>
      </c>
      <c r="AC1136">
        <f t="shared" ca="1" si="447"/>
        <v>0</v>
      </c>
      <c r="AD1136">
        <f ca="1">IF(V32="Supercritical",L1136,U1136)</f>
        <v>0.05</v>
      </c>
      <c r="AE1136">
        <f t="shared" ca="1" si="448"/>
        <v>632.11899999999991</v>
      </c>
      <c r="AF1136">
        <f t="shared" ca="1" si="449"/>
        <v>2593.196031648662</v>
      </c>
      <c r="AI1136">
        <v>0</v>
      </c>
      <c r="AJ1136">
        <v>0</v>
      </c>
      <c r="AK1136">
        <f t="shared" si="450"/>
        <v>0</v>
      </c>
      <c r="AL1136">
        <f t="shared" si="458"/>
        <v>0</v>
      </c>
      <c r="AM1136">
        <f t="shared" ca="1" si="451"/>
        <v>280.07692026646265</v>
      </c>
      <c r="AN1136" t="str">
        <f t="shared" ca="1" si="452"/>
        <v>Supercritical</v>
      </c>
      <c r="AO1136">
        <f ca="1">IF(V32="Supercritical",R1136,AA1136)</f>
        <v>482.07306851378365</v>
      </c>
    </row>
    <row r="1137" spans="1:41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174</v>
      </c>
      <c r="I1137">
        <v>5.7000000000000002E-2</v>
      </c>
      <c r="J1137">
        <f t="shared" si="453"/>
        <v>1</v>
      </c>
      <c r="K1137">
        <f t="shared" si="454"/>
        <v>51</v>
      </c>
      <c r="L1137">
        <f t="shared" ca="1" si="455"/>
        <v>38818.091858925014</v>
      </c>
      <c r="M1137">
        <f t="shared" ca="1" si="433"/>
        <v>201854.07766641007</v>
      </c>
      <c r="N1137">
        <f t="shared" ca="1" si="434"/>
        <v>2.5998258660606934</v>
      </c>
      <c r="O1137">
        <f t="shared" ca="1" si="435"/>
        <v>2.5265776440882253E-4</v>
      </c>
      <c r="P1137">
        <f t="shared" ca="1" si="436"/>
        <v>39450.160358925015</v>
      </c>
      <c r="Q1137">
        <f t="shared" ca="1" si="437"/>
        <v>39450.160358928268</v>
      </c>
      <c r="R1137">
        <f t="shared" ca="1" si="438"/>
        <v>4.0178045151677002E-12</v>
      </c>
      <c r="S1137">
        <f t="shared" ca="1" si="456"/>
        <v>4.999999946448952E-4</v>
      </c>
      <c r="T1137">
        <f t="shared" ca="1" si="457"/>
        <v>1</v>
      </c>
      <c r="U1137">
        <f t="shared" ca="1" si="439"/>
        <v>0.05</v>
      </c>
      <c r="V1137">
        <f t="shared" ca="1" si="440"/>
        <v>0.26</v>
      </c>
      <c r="W1137">
        <f t="shared" ca="1" si="441"/>
        <v>4.9056603773584909E-2</v>
      </c>
      <c r="X1137">
        <f t="shared" ca="1" si="442"/>
        <v>196.15384615384616</v>
      </c>
      <c r="Y1137">
        <f t="shared" ca="1" si="443"/>
        <v>632.11849999999993</v>
      </c>
      <c r="Z1137">
        <f t="shared" ca="1" si="444"/>
        <v>2593.1955316486619</v>
      </c>
      <c r="AA1137">
        <f t="shared" ca="1" si="445"/>
        <v>482.07306851378365</v>
      </c>
      <c r="AB1137">
        <f t="shared" ca="1" si="446"/>
        <v>482.07256851378361</v>
      </c>
      <c r="AC1137">
        <f t="shared" ca="1" si="447"/>
        <v>0</v>
      </c>
      <c r="AD1137">
        <f ca="1">IF(V32="Supercritical",L1137,U1137)</f>
        <v>0.05</v>
      </c>
      <c r="AE1137">
        <f t="shared" ca="1" si="448"/>
        <v>632.11849999999993</v>
      </c>
      <c r="AF1137">
        <f t="shared" ca="1" si="449"/>
        <v>2593.1955316486619</v>
      </c>
      <c r="AI1137">
        <v>0</v>
      </c>
      <c r="AJ1137">
        <v>0</v>
      </c>
      <c r="AK1137">
        <f t="shared" si="450"/>
        <v>0</v>
      </c>
      <c r="AL1137">
        <f t="shared" si="458"/>
        <v>0</v>
      </c>
      <c r="AM1137">
        <f t="shared" ca="1" si="451"/>
        <v>280.07692026646265</v>
      </c>
      <c r="AN1137" t="str">
        <f t="shared" ca="1" si="452"/>
        <v>Supercritical</v>
      </c>
      <c r="AO1137">
        <f ca="1">IF(V32="Supercritical",R1137,AA1137)</f>
        <v>482.07306851378365</v>
      </c>
    </row>
    <row r="1138" spans="1:41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174</v>
      </c>
      <c r="I1138">
        <v>0</v>
      </c>
      <c r="J1138">
        <f t="shared" si="453"/>
        <v>1</v>
      </c>
      <c r="K1138">
        <f t="shared" si="454"/>
        <v>51</v>
      </c>
      <c r="L1138">
        <f t="shared" ca="1" si="455"/>
        <v>38818.091271968507</v>
      </c>
      <c r="M1138">
        <f t="shared" ca="1" si="433"/>
        <v>201854.07461423625</v>
      </c>
      <c r="N1138">
        <f t="shared" ca="1" si="434"/>
        <v>2.5998258660580609</v>
      </c>
      <c r="O1138">
        <f t="shared" ca="1" si="435"/>
        <v>2.5265776822918344E-4</v>
      </c>
      <c r="P1138">
        <f t="shared" ca="1" si="436"/>
        <v>39450.159271968507</v>
      </c>
      <c r="Q1138">
        <f t="shared" ca="1" si="437"/>
        <v>39450.159271971759</v>
      </c>
      <c r="R1138">
        <f t="shared" ca="1" si="438"/>
        <v>4.0178046366771168E-12</v>
      </c>
      <c r="S1138">
        <f t="shared" ca="1" si="456"/>
        <v>1.0869565012399107E-3</v>
      </c>
      <c r="T1138">
        <f t="shared" ca="1" si="457"/>
        <v>0</v>
      </c>
      <c r="U1138">
        <f t="shared" ca="1" si="439"/>
        <v>0.05</v>
      </c>
      <c r="V1138">
        <f t="shared" ca="1" si="440"/>
        <v>0.26</v>
      </c>
      <c r="W1138">
        <f t="shared" ca="1" si="441"/>
        <v>4.9056603773584909E-2</v>
      </c>
      <c r="X1138">
        <f t="shared" ca="1" si="442"/>
        <v>196.15384615384616</v>
      </c>
      <c r="Y1138">
        <f t="shared" ca="1" si="443"/>
        <v>632.11799999999994</v>
      </c>
      <c r="Z1138">
        <f t="shared" ca="1" si="444"/>
        <v>2593.1950316486618</v>
      </c>
      <c r="AA1138">
        <f t="shared" ca="1" si="445"/>
        <v>482.07306851378365</v>
      </c>
      <c r="AB1138">
        <f t="shared" ca="1" si="446"/>
        <v>482.07256851378406</v>
      </c>
      <c r="AC1138">
        <f t="shared" ca="1" si="447"/>
        <v>0</v>
      </c>
      <c r="AD1138">
        <f ca="1">IF(V32="Supercritical",L1138,U1138)</f>
        <v>0.05</v>
      </c>
      <c r="AE1138">
        <f t="shared" ca="1" si="448"/>
        <v>632.11799999999994</v>
      </c>
      <c r="AF1138">
        <f t="shared" ca="1" si="449"/>
        <v>2593.1950316486618</v>
      </c>
      <c r="AI1138">
        <v>0</v>
      </c>
      <c r="AJ1138">
        <v>0</v>
      </c>
      <c r="AK1138">
        <f t="shared" si="450"/>
        <v>0</v>
      </c>
      <c r="AL1138">
        <f t="shared" si="458"/>
        <v>0</v>
      </c>
      <c r="AM1138">
        <f t="shared" ca="1" si="451"/>
        <v>280.07692026646265</v>
      </c>
      <c r="AN1138" t="str">
        <f t="shared" ca="1" si="452"/>
        <v>Supercritical</v>
      </c>
      <c r="AO1138">
        <f ca="1">IF(V32="Supercritical",R1138,AA1138)</f>
        <v>482.07306851378365</v>
      </c>
    </row>
    <row r="1139" spans="1:41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174</v>
      </c>
      <c r="I1139">
        <v>0</v>
      </c>
      <c r="J1139">
        <f t="shared" si="453"/>
        <v>1</v>
      </c>
      <c r="K1139">
        <f t="shared" si="454"/>
        <v>51</v>
      </c>
      <c r="L1139">
        <f t="shared" ca="1" si="455"/>
        <v>38818.091271968507</v>
      </c>
      <c r="M1139">
        <f t="shared" ca="1" si="433"/>
        <v>201854.07461423625</v>
      </c>
      <c r="N1139">
        <f t="shared" ca="1" si="434"/>
        <v>2.5998258660580609</v>
      </c>
      <c r="O1139">
        <f t="shared" ca="1" si="435"/>
        <v>2.5265776822918344E-4</v>
      </c>
      <c r="P1139">
        <f t="shared" ca="1" si="436"/>
        <v>39450.158771968505</v>
      </c>
      <c r="Q1139">
        <f t="shared" ca="1" si="437"/>
        <v>39450.158771971757</v>
      </c>
      <c r="R1139">
        <f t="shared" ca="1" si="438"/>
        <v>4.0178046366771168E-12</v>
      </c>
      <c r="S1139">
        <f t="shared" ca="1" si="456"/>
        <v>4.999999946448952E-4</v>
      </c>
      <c r="T1139">
        <f t="shared" ca="1" si="457"/>
        <v>1</v>
      </c>
      <c r="U1139">
        <f t="shared" ca="1" si="439"/>
        <v>0.05</v>
      </c>
      <c r="V1139">
        <f t="shared" ca="1" si="440"/>
        <v>0.26</v>
      </c>
      <c r="W1139">
        <f t="shared" ca="1" si="441"/>
        <v>4.9056603773584909E-2</v>
      </c>
      <c r="X1139">
        <f t="shared" ca="1" si="442"/>
        <v>196.15384615384616</v>
      </c>
      <c r="Y1139">
        <f t="shared" ca="1" si="443"/>
        <v>632.11749999999995</v>
      </c>
      <c r="Z1139">
        <f t="shared" ca="1" si="444"/>
        <v>2593.1945316486622</v>
      </c>
      <c r="AA1139">
        <f t="shared" ca="1" si="445"/>
        <v>482.07306851378365</v>
      </c>
      <c r="AB1139">
        <f t="shared" ca="1" si="446"/>
        <v>482.25887083179032</v>
      </c>
      <c r="AC1139">
        <f t="shared" ca="1" si="447"/>
        <v>0</v>
      </c>
      <c r="AD1139">
        <f ca="1">IF(V32="Supercritical",L1139,U1139)</f>
        <v>0.05</v>
      </c>
      <c r="AE1139">
        <f t="shared" ca="1" si="448"/>
        <v>632.11749999999995</v>
      </c>
      <c r="AF1139">
        <f t="shared" ca="1" si="449"/>
        <v>2593.1945316486622</v>
      </c>
      <c r="AI1139">
        <v>0</v>
      </c>
      <c r="AJ1139">
        <v>0</v>
      </c>
      <c r="AK1139">
        <f t="shared" si="450"/>
        <v>0</v>
      </c>
      <c r="AL1139">
        <f t="shared" si="458"/>
        <v>0</v>
      </c>
      <c r="AM1139">
        <f t="shared" ca="1" si="451"/>
        <v>280.07692026646265</v>
      </c>
      <c r="AN1139" t="str">
        <f t="shared" ca="1" si="452"/>
        <v>Supercritical</v>
      </c>
      <c r="AO1139">
        <f ca="1">IF(V32="Supercritical",R1139,AA1139)</f>
        <v>482.07306851378365</v>
      </c>
    </row>
    <row r="1140" spans="1:41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174</v>
      </c>
      <c r="I1140">
        <v>5.7000000000000002E-2</v>
      </c>
      <c r="J1140">
        <f t="shared" si="453"/>
        <v>1</v>
      </c>
      <c r="K1140">
        <f t="shared" si="454"/>
        <v>51</v>
      </c>
      <c r="L1140">
        <f t="shared" ca="1" si="455"/>
        <v>38818.090685011994</v>
      </c>
      <c r="M1140">
        <f t="shared" ca="1" si="433"/>
        <v>201854.07156206237</v>
      </c>
      <c r="N1140">
        <f t="shared" ca="1" si="434"/>
        <v>2.5998258660554279</v>
      </c>
      <c r="O1140">
        <f t="shared" ca="1" si="435"/>
        <v>2.5265777204954451E-4</v>
      </c>
      <c r="P1140">
        <f t="shared" ca="1" si="436"/>
        <v>39450.157685011996</v>
      </c>
      <c r="Q1140">
        <f t="shared" ca="1" si="437"/>
        <v>39450.157685015249</v>
      </c>
      <c r="R1140">
        <f t="shared" ca="1" si="438"/>
        <v>4.0178047581865407E-12</v>
      </c>
      <c r="S1140">
        <f t="shared" ca="1" si="456"/>
        <v>1.0869565012399107E-3</v>
      </c>
      <c r="T1140">
        <f t="shared" ca="1" si="457"/>
        <v>0</v>
      </c>
      <c r="U1140">
        <f t="shared" ca="1" si="439"/>
        <v>0.05</v>
      </c>
      <c r="V1140">
        <f t="shared" ca="1" si="440"/>
        <v>0.26</v>
      </c>
      <c r="W1140">
        <f t="shared" ca="1" si="441"/>
        <v>4.9056603773584909E-2</v>
      </c>
      <c r="X1140">
        <f t="shared" ca="1" si="442"/>
        <v>196.15384615384616</v>
      </c>
      <c r="Y1140">
        <f t="shared" ca="1" si="443"/>
        <v>632.11699999999996</v>
      </c>
      <c r="Z1140">
        <f t="shared" ca="1" si="444"/>
        <v>2593.1940316486621</v>
      </c>
      <c r="AA1140">
        <f t="shared" ca="1" si="445"/>
        <v>482.07306851378365</v>
      </c>
      <c r="AB1140">
        <f t="shared" ca="1" si="446"/>
        <v>482.25887083179032</v>
      </c>
      <c r="AC1140">
        <f t="shared" ca="1" si="447"/>
        <v>0</v>
      </c>
      <c r="AD1140">
        <f ca="1">IF(V32="Supercritical",L1140,U1140)</f>
        <v>0.05</v>
      </c>
      <c r="AE1140">
        <f t="shared" ca="1" si="448"/>
        <v>632.11699999999996</v>
      </c>
      <c r="AF1140">
        <f t="shared" ca="1" si="449"/>
        <v>2593.1940316486621</v>
      </c>
      <c r="AI1140">
        <v>0</v>
      </c>
      <c r="AJ1140">
        <v>0</v>
      </c>
      <c r="AK1140">
        <f t="shared" si="450"/>
        <v>0</v>
      </c>
      <c r="AL1140">
        <f t="shared" si="458"/>
        <v>0</v>
      </c>
      <c r="AM1140">
        <f t="shared" ca="1" si="451"/>
        <v>280.07692026646265</v>
      </c>
      <c r="AN1140" t="str">
        <f t="shared" ca="1" si="452"/>
        <v>Supercritical</v>
      </c>
      <c r="AO1140">
        <f ca="1">IF(V32="Supercritical",R1140,AA1140)</f>
        <v>482.07306851378365</v>
      </c>
    </row>
    <row r="1141" spans="1:41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174</v>
      </c>
      <c r="I1141">
        <v>5.7000000000000002E-2</v>
      </c>
      <c r="J1141">
        <f t="shared" si="453"/>
        <v>1</v>
      </c>
      <c r="K1141">
        <f t="shared" si="454"/>
        <v>51</v>
      </c>
      <c r="L1141">
        <f t="shared" ca="1" si="455"/>
        <v>38818.090685011994</v>
      </c>
      <c r="M1141">
        <f t="shared" ca="1" si="433"/>
        <v>201854.07156206237</v>
      </c>
      <c r="N1141">
        <f t="shared" ca="1" si="434"/>
        <v>2.5998258660554279</v>
      </c>
      <c r="O1141">
        <f t="shared" ca="1" si="435"/>
        <v>2.5265777204954451E-4</v>
      </c>
      <c r="P1141">
        <f t="shared" ca="1" si="436"/>
        <v>39450.157185011994</v>
      </c>
      <c r="Q1141">
        <f t="shared" ca="1" si="437"/>
        <v>39450.157185015247</v>
      </c>
      <c r="R1141">
        <f t="shared" ca="1" si="438"/>
        <v>4.0178047581865407E-12</v>
      </c>
      <c r="S1141">
        <f t="shared" ca="1" si="456"/>
        <v>4.999999946448952E-4</v>
      </c>
      <c r="T1141">
        <f t="shared" ca="1" si="457"/>
        <v>1</v>
      </c>
      <c r="U1141">
        <f t="shared" ca="1" si="439"/>
        <v>0.05</v>
      </c>
      <c r="V1141">
        <f t="shared" ca="1" si="440"/>
        <v>0.26</v>
      </c>
      <c r="W1141">
        <f t="shared" ca="1" si="441"/>
        <v>4.9056603773584909E-2</v>
      </c>
      <c r="X1141">
        <f t="shared" ca="1" si="442"/>
        <v>196.15384615384616</v>
      </c>
      <c r="Y1141">
        <f t="shared" ca="1" si="443"/>
        <v>632.11649999999997</v>
      </c>
      <c r="Z1141">
        <f t="shared" ca="1" si="444"/>
        <v>2593.193531648662</v>
      </c>
      <c r="AA1141">
        <f t="shared" ca="1" si="445"/>
        <v>482.07306851378365</v>
      </c>
      <c r="AB1141">
        <f t="shared" ca="1" si="446"/>
        <v>482.07910543722301</v>
      </c>
      <c r="AC1141">
        <f t="shared" ca="1" si="447"/>
        <v>0</v>
      </c>
      <c r="AD1141">
        <f ca="1">IF(V32="Supercritical",L1141,U1141)</f>
        <v>0.05</v>
      </c>
      <c r="AE1141">
        <f t="shared" ca="1" si="448"/>
        <v>632.11649999999997</v>
      </c>
      <c r="AF1141">
        <f t="shared" ca="1" si="449"/>
        <v>2593.193531648662</v>
      </c>
      <c r="AI1141">
        <v>0</v>
      </c>
      <c r="AJ1141">
        <v>0</v>
      </c>
      <c r="AK1141">
        <f t="shared" si="450"/>
        <v>0</v>
      </c>
      <c r="AL1141">
        <f t="shared" si="458"/>
        <v>0</v>
      </c>
      <c r="AM1141">
        <f t="shared" ca="1" si="451"/>
        <v>280.07692026646265</v>
      </c>
      <c r="AN1141" t="str">
        <f t="shared" ca="1" si="452"/>
        <v>Supercritical</v>
      </c>
      <c r="AO1141">
        <f ca="1">IF(V32="Supercritical",R1141,AA1141)</f>
        <v>482.07306851378365</v>
      </c>
    </row>
    <row r="1142" spans="1:41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174</v>
      </c>
      <c r="I1142">
        <v>2E-3</v>
      </c>
      <c r="J1142">
        <f t="shared" si="453"/>
        <v>1</v>
      </c>
      <c r="K1142">
        <f t="shared" si="454"/>
        <v>51</v>
      </c>
      <c r="L1142">
        <f t="shared" ca="1" si="455"/>
        <v>38818.090098055487</v>
      </c>
      <c r="M1142">
        <f t="shared" ca="1" si="433"/>
        <v>201854.06850988854</v>
      </c>
      <c r="N1142">
        <f t="shared" ca="1" si="434"/>
        <v>2.5998258660527953</v>
      </c>
      <c r="O1142">
        <f t="shared" ca="1" si="435"/>
        <v>2.5265777586990564E-4</v>
      </c>
      <c r="P1142">
        <f t="shared" ca="1" si="436"/>
        <v>39450.156098055486</v>
      </c>
      <c r="Q1142">
        <f t="shared" ca="1" si="437"/>
        <v>39450.156098058738</v>
      </c>
      <c r="R1142">
        <f t="shared" ca="1" si="438"/>
        <v>4.0178048796959695E-12</v>
      </c>
      <c r="S1142">
        <f t="shared" ca="1" si="456"/>
        <v>1.0869565012399107E-3</v>
      </c>
      <c r="T1142">
        <f t="shared" ca="1" si="457"/>
        <v>0</v>
      </c>
      <c r="U1142">
        <f t="shared" ca="1" si="439"/>
        <v>0.05</v>
      </c>
      <c r="V1142">
        <f t="shared" ca="1" si="440"/>
        <v>0.26</v>
      </c>
      <c r="W1142">
        <f t="shared" ca="1" si="441"/>
        <v>4.9056603773584909E-2</v>
      </c>
      <c r="X1142">
        <f t="shared" ca="1" si="442"/>
        <v>196.15384615384616</v>
      </c>
      <c r="Y1142">
        <f t="shared" ca="1" si="443"/>
        <v>632.11599999999999</v>
      </c>
      <c r="Z1142">
        <f t="shared" ca="1" si="444"/>
        <v>2593.1930316486623</v>
      </c>
      <c r="AA1142">
        <f t="shared" ca="1" si="445"/>
        <v>482.07306851378365</v>
      </c>
      <c r="AB1142">
        <f t="shared" ca="1" si="446"/>
        <v>482.56117850572491</v>
      </c>
      <c r="AC1142">
        <f t="shared" ca="1" si="447"/>
        <v>0</v>
      </c>
      <c r="AD1142">
        <f ca="1">IF(V32="Supercritical",L1142,U1142)</f>
        <v>0.05</v>
      </c>
      <c r="AE1142">
        <f t="shared" ca="1" si="448"/>
        <v>632.11599999999999</v>
      </c>
      <c r="AF1142">
        <f t="shared" ca="1" si="449"/>
        <v>2593.1930316486623</v>
      </c>
      <c r="AI1142">
        <v>0</v>
      </c>
      <c r="AJ1142">
        <v>0</v>
      </c>
      <c r="AK1142">
        <f t="shared" si="450"/>
        <v>0</v>
      </c>
      <c r="AL1142">
        <f t="shared" si="458"/>
        <v>0</v>
      </c>
      <c r="AM1142">
        <f t="shared" ca="1" si="451"/>
        <v>280.07692026646265</v>
      </c>
      <c r="AN1142" t="str">
        <f t="shared" ca="1" si="452"/>
        <v>Supercritical</v>
      </c>
      <c r="AO1142">
        <f ca="1">IF(V32="Supercritical",R1142,AA1142)</f>
        <v>482.07306851378365</v>
      </c>
    </row>
    <row r="1143" spans="1:41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174</v>
      </c>
      <c r="I1143">
        <v>2E-3</v>
      </c>
      <c r="J1143">
        <f t="shared" si="453"/>
        <v>1.0009999999999764</v>
      </c>
      <c r="K1143">
        <f t="shared" si="454"/>
        <v>51</v>
      </c>
      <c r="L1143">
        <f t="shared" ca="1" si="455"/>
        <v>38818.090098055487</v>
      </c>
      <c r="M1143">
        <f t="shared" ca="1" si="433"/>
        <v>201854.06850988854</v>
      </c>
      <c r="N1143">
        <f t="shared" ca="1" si="434"/>
        <v>2.5998258660527953</v>
      </c>
      <c r="O1143">
        <f t="shared" ca="1" si="435"/>
        <v>2.5265777586990564E-4</v>
      </c>
      <c r="P1143">
        <f t="shared" ca="1" si="436"/>
        <v>39450.155598055484</v>
      </c>
      <c r="Q1143">
        <f t="shared" ca="1" si="437"/>
        <v>39450.155598058736</v>
      </c>
      <c r="R1143">
        <f t="shared" ca="1" si="438"/>
        <v>4.0178048796959695E-12</v>
      </c>
      <c r="S1143">
        <f t="shared" ca="1" si="456"/>
        <v>4.999999946448952E-4</v>
      </c>
      <c r="T1143">
        <f t="shared" ca="1" si="457"/>
        <v>1</v>
      </c>
      <c r="U1143">
        <f t="shared" ca="1" si="439"/>
        <v>0.05</v>
      </c>
      <c r="V1143">
        <f t="shared" ca="1" si="440"/>
        <v>0.26</v>
      </c>
      <c r="W1143">
        <f t="shared" ca="1" si="441"/>
        <v>4.9056603773584909E-2</v>
      </c>
      <c r="X1143">
        <f t="shared" ca="1" si="442"/>
        <v>196.15384615384616</v>
      </c>
      <c r="Y1143">
        <f t="shared" ca="1" si="443"/>
        <v>632.1155</v>
      </c>
      <c r="Z1143">
        <f t="shared" ca="1" si="444"/>
        <v>2593.1925316486622</v>
      </c>
      <c r="AA1143">
        <f t="shared" ca="1" si="445"/>
        <v>482.07306851378365</v>
      </c>
      <c r="AB1143">
        <f t="shared" ca="1" si="446"/>
        <v>482.25887083179032</v>
      </c>
      <c r="AC1143">
        <f t="shared" ca="1" si="447"/>
        <v>0</v>
      </c>
      <c r="AD1143">
        <f ca="1">IF(V32="Supercritical",L1143,U1143)</f>
        <v>0.05</v>
      </c>
      <c r="AE1143">
        <f t="shared" ca="1" si="448"/>
        <v>632.1155</v>
      </c>
      <c r="AF1143">
        <f t="shared" ca="1" si="449"/>
        <v>2593.1925316486622</v>
      </c>
      <c r="AI1143">
        <v>0</v>
      </c>
      <c r="AJ1143">
        <v>0</v>
      </c>
      <c r="AK1143">
        <f t="shared" si="450"/>
        <v>0</v>
      </c>
      <c r="AL1143">
        <f t="shared" si="458"/>
        <v>0</v>
      </c>
      <c r="AM1143">
        <f t="shared" ca="1" si="451"/>
        <v>280.07692026646265</v>
      </c>
      <c r="AN1143" t="str">
        <f t="shared" ca="1" si="452"/>
        <v>Supercritical</v>
      </c>
      <c r="AO1143">
        <f ca="1">IF(V32="Supercritical",R1143,AA1143)</f>
        <v>482.07306851378365</v>
      </c>
    </row>
    <row r="1144" spans="1:41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174</v>
      </c>
      <c r="I1144">
        <v>5.7000000000000002E-2</v>
      </c>
      <c r="J1144">
        <f t="shared" si="453"/>
        <v>1</v>
      </c>
      <c r="K1144">
        <f t="shared" si="454"/>
        <v>51</v>
      </c>
      <c r="L1144">
        <f t="shared" ca="1" si="455"/>
        <v>38818.089511098951</v>
      </c>
      <c r="M1144">
        <f t="shared" ca="1" si="433"/>
        <v>201854.06545771455</v>
      </c>
      <c r="N1144">
        <f t="shared" ca="1" si="434"/>
        <v>2.5998258660501623</v>
      </c>
      <c r="O1144">
        <f t="shared" ca="1" si="435"/>
        <v>2.5265777969026709E-4</v>
      </c>
      <c r="P1144">
        <f t="shared" ca="1" si="436"/>
        <v>39450.154511098954</v>
      </c>
      <c r="Q1144">
        <f t="shared" ca="1" si="437"/>
        <v>39450.154511102206</v>
      </c>
      <c r="R1144">
        <f t="shared" ca="1" si="438"/>
        <v>4.0178050012054079E-12</v>
      </c>
      <c r="S1144">
        <f t="shared" ca="1" si="456"/>
        <v>1.0869565230677836E-3</v>
      </c>
      <c r="T1144">
        <f t="shared" ca="1" si="457"/>
        <v>0</v>
      </c>
      <c r="U1144">
        <f t="shared" ca="1" si="439"/>
        <v>0.05</v>
      </c>
      <c r="V1144">
        <f t="shared" ca="1" si="440"/>
        <v>0.26</v>
      </c>
      <c r="W1144">
        <f t="shared" ca="1" si="441"/>
        <v>4.9056603773584909E-2</v>
      </c>
      <c r="X1144">
        <f t="shared" ca="1" si="442"/>
        <v>196.15384615384616</v>
      </c>
      <c r="Y1144">
        <f t="shared" ca="1" si="443"/>
        <v>632.11500000000001</v>
      </c>
      <c r="Z1144">
        <f t="shared" ca="1" si="444"/>
        <v>2593.1920316486621</v>
      </c>
      <c r="AA1144">
        <f t="shared" ca="1" si="445"/>
        <v>482.07306851378365</v>
      </c>
      <c r="AB1144">
        <f t="shared" ca="1" si="446"/>
        <v>482.25887083179032</v>
      </c>
      <c r="AC1144">
        <f t="shared" ca="1" si="447"/>
        <v>0</v>
      </c>
      <c r="AD1144">
        <f ca="1">IF(V32="Supercritical",L1144,U1144)</f>
        <v>0.05</v>
      </c>
      <c r="AE1144">
        <f t="shared" ca="1" si="448"/>
        <v>632.11500000000001</v>
      </c>
      <c r="AF1144">
        <f t="shared" ca="1" si="449"/>
        <v>2593.1920316486621</v>
      </c>
      <c r="AI1144">
        <v>0</v>
      </c>
      <c r="AJ1144">
        <v>0</v>
      </c>
      <c r="AK1144">
        <f t="shared" si="450"/>
        <v>0</v>
      </c>
      <c r="AL1144">
        <f t="shared" si="458"/>
        <v>0</v>
      </c>
      <c r="AM1144">
        <f t="shared" ca="1" si="451"/>
        <v>280.07692026646265</v>
      </c>
      <c r="AN1144" t="str">
        <f t="shared" ca="1" si="452"/>
        <v>Supercritical</v>
      </c>
      <c r="AO1144">
        <f ca="1">IF(V32="Supercritical",R1144,AA1144)</f>
        <v>482.07306851378365</v>
      </c>
    </row>
    <row r="1145" spans="1:41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174</v>
      </c>
      <c r="I1145">
        <v>5.7000000000000002E-2</v>
      </c>
      <c r="J1145">
        <f t="shared" si="453"/>
        <v>1</v>
      </c>
      <c r="K1145">
        <f t="shared" si="454"/>
        <v>51</v>
      </c>
      <c r="L1145">
        <f t="shared" ca="1" si="455"/>
        <v>38818.089511098951</v>
      </c>
      <c r="M1145">
        <f t="shared" ca="1" si="433"/>
        <v>201854.06545771455</v>
      </c>
      <c r="N1145">
        <f t="shared" ca="1" si="434"/>
        <v>2.5998258660501623</v>
      </c>
      <c r="O1145">
        <f t="shared" ca="1" si="435"/>
        <v>2.5265777969026709E-4</v>
      </c>
      <c r="P1145">
        <f t="shared" ca="1" si="436"/>
        <v>39450.154011098952</v>
      </c>
      <c r="Q1145">
        <f t="shared" ca="1" si="437"/>
        <v>39450.154011102204</v>
      </c>
      <c r="R1145">
        <f t="shared" ca="1" si="438"/>
        <v>4.0178050012054079E-12</v>
      </c>
      <c r="S1145">
        <f t="shared" ca="1" si="456"/>
        <v>4.999999946448952E-4</v>
      </c>
      <c r="T1145">
        <f t="shared" ca="1" si="457"/>
        <v>1</v>
      </c>
      <c r="U1145">
        <f t="shared" ca="1" si="439"/>
        <v>0.05</v>
      </c>
      <c r="V1145">
        <f t="shared" ca="1" si="440"/>
        <v>0.26</v>
      </c>
      <c r="W1145">
        <f t="shared" ca="1" si="441"/>
        <v>4.9056603773584909E-2</v>
      </c>
      <c r="X1145">
        <f t="shared" ca="1" si="442"/>
        <v>196.15384615384616</v>
      </c>
      <c r="Y1145">
        <f t="shared" ca="1" si="443"/>
        <v>632.11449999999991</v>
      </c>
      <c r="Z1145">
        <f t="shared" ca="1" si="444"/>
        <v>2593.191531648662</v>
      </c>
      <c r="AA1145">
        <f t="shared" ca="1" si="445"/>
        <v>482.07306851378365</v>
      </c>
      <c r="AB1145">
        <f t="shared" ca="1" si="446"/>
        <v>481.59049544528125</v>
      </c>
      <c r="AC1145">
        <f t="shared" ca="1" si="447"/>
        <v>0</v>
      </c>
      <c r="AD1145">
        <f ca="1">IF(V32="Supercritical",L1145,U1145)</f>
        <v>0.05</v>
      </c>
      <c r="AE1145">
        <f t="shared" ca="1" si="448"/>
        <v>632.11449999999991</v>
      </c>
      <c r="AF1145">
        <f t="shared" ca="1" si="449"/>
        <v>2593.191531648662</v>
      </c>
      <c r="AI1145">
        <v>0</v>
      </c>
      <c r="AJ1145">
        <v>0</v>
      </c>
      <c r="AK1145">
        <f t="shared" si="450"/>
        <v>0</v>
      </c>
      <c r="AL1145">
        <f t="shared" si="458"/>
        <v>0</v>
      </c>
      <c r="AM1145">
        <f t="shared" ca="1" si="451"/>
        <v>280.07692026646265</v>
      </c>
      <c r="AN1145" t="str">
        <f t="shared" ca="1" si="452"/>
        <v>Supercritical</v>
      </c>
      <c r="AO1145">
        <f ca="1">IF(V32="Supercritical",R1145,AA1145)</f>
        <v>482.07306851378365</v>
      </c>
    </row>
    <row r="1146" spans="1:41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174</v>
      </c>
      <c r="I1146">
        <v>0</v>
      </c>
      <c r="J1146">
        <f t="shared" si="453"/>
        <v>0.99900000000002365</v>
      </c>
      <c r="K1146">
        <f t="shared" si="454"/>
        <v>51</v>
      </c>
      <c r="L1146">
        <f t="shared" ca="1" si="455"/>
        <v>38818.088924142408</v>
      </c>
      <c r="M1146">
        <f t="shared" ca="1" si="433"/>
        <v>201854.06240554052</v>
      </c>
      <c r="N1146">
        <f t="shared" ca="1" si="434"/>
        <v>2.5998258660475293</v>
      </c>
      <c r="O1146">
        <f t="shared" ca="1" si="435"/>
        <v>2.5265778351062876E-4</v>
      </c>
      <c r="P1146">
        <f t="shared" ca="1" si="436"/>
        <v>39450.152924142407</v>
      </c>
      <c r="Q1146">
        <f t="shared" ca="1" si="437"/>
        <v>39450.152924145659</v>
      </c>
      <c r="R1146">
        <f t="shared" ca="1" si="438"/>
        <v>4.0178051227148544E-12</v>
      </c>
      <c r="S1146">
        <f t="shared" ca="1" si="456"/>
        <v>1.0869565376196988E-3</v>
      </c>
      <c r="T1146">
        <f t="shared" ca="1" si="457"/>
        <v>0</v>
      </c>
      <c r="U1146">
        <f t="shared" ca="1" si="439"/>
        <v>0.05</v>
      </c>
      <c r="V1146">
        <f t="shared" ca="1" si="440"/>
        <v>0.26</v>
      </c>
      <c r="W1146">
        <f t="shared" ca="1" si="441"/>
        <v>4.9056603773584909E-2</v>
      </c>
      <c r="X1146">
        <f t="shared" ca="1" si="442"/>
        <v>196.15384615384616</v>
      </c>
      <c r="Y1146">
        <f t="shared" ca="1" si="443"/>
        <v>632.11399999999992</v>
      </c>
      <c r="Z1146">
        <f t="shared" ca="1" si="444"/>
        <v>2593.1910316486619</v>
      </c>
      <c r="AA1146">
        <f t="shared" ca="1" si="445"/>
        <v>482.07306851378365</v>
      </c>
      <c r="AB1146">
        <f t="shared" ca="1" si="446"/>
        <v>482.07256851378361</v>
      </c>
      <c r="AC1146">
        <f t="shared" ca="1" si="447"/>
        <v>0</v>
      </c>
      <c r="AD1146">
        <f ca="1">IF(V32="Supercritical",L1146,U1146)</f>
        <v>0.05</v>
      </c>
      <c r="AE1146">
        <f t="shared" ca="1" si="448"/>
        <v>632.11399999999992</v>
      </c>
      <c r="AF1146">
        <f t="shared" ca="1" si="449"/>
        <v>2593.1910316486619</v>
      </c>
      <c r="AI1146">
        <v>0</v>
      </c>
      <c r="AJ1146">
        <v>0</v>
      </c>
      <c r="AK1146">
        <f t="shared" si="450"/>
        <v>0</v>
      </c>
      <c r="AL1146">
        <f t="shared" si="458"/>
        <v>0</v>
      </c>
      <c r="AM1146">
        <f t="shared" ca="1" si="451"/>
        <v>280.07692026646265</v>
      </c>
      <c r="AN1146" t="str">
        <f t="shared" ca="1" si="452"/>
        <v>Supercritical</v>
      </c>
      <c r="AO1146">
        <f ca="1">IF(V32="Supercritical",R1146,AA1146)</f>
        <v>482.07306851378365</v>
      </c>
    </row>
    <row r="1147" spans="1:41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174</v>
      </c>
      <c r="I1147">
        <v>0</v>
      </c>
      <c r="J1147">
        <f t="shared" si="453"/>
        <v>1</v>
      </c>
      <c r="K1147">
        <f t="shared" si="454"/>
        <v>51</v>
      </c>
      <c r="L1147">
        <f t="shared" ca="1" si="455"/>
        <v>38818.088924142408</v>
      </c>
      <c r="M1147">
        <f t="shared" ca="1" si="433"/>
        <v>201854.06240554052</v>
      </c>
      <c r="N1147">
        <f t="shared" ca="1" si="434"/>
        <v>2.5998258660475293</v>
      </c>
      <c r="O1147">
        <f t="shared" ca="1" si="435"/>
        <v>2.5265778351062876E-4</v>
      </c>
      <c r="P1147">
        <f t="shared" ca="1" si="436"/>
        <v>39450.152424142405</v>
      </c>
      <c r="Q1147">
        <f t="shared" ca="1" si="437"/>
        <v>39450.152424145657</v>
      </c>
      <c r="R1147">
        <f t="shared" ca="1" si="438"/>
        <v>4.0178051227148544E-12</v>
      </c>
      <c r="S1147">
        <f t="shared" ca="1" si="456"/>
        <v>4.999999946448952E-4</v>
      </c>
      <c r="T1147">
        <f t="shared" ca="1" si="457"/>
        <v>1</v>
      </c>
      <c r="U1147">
        <f t="shared" ca="1" si="439"/>
        <v>0.05</v>
      </c>
      <c r="V1147">
        <f t="shared" ca="1" si="440"/>
        <v>0.26</v>
      </c>
      <c r="W1147">
        <f t="shared" ca="1" si="441"/>
        <v>4.9056603773584909E-2</v>
      </c>
      <c r="X1147">
        <f t="shared" ca="1" si="442"/>
        <v>196.15384615384616</v>
      </c>
      <c r="Y1147">
        <f t="shared" ca="1" si="443"/>
        <v>632.11349999999993</v>
      </c>
      <c r="Z1147">
        <f t="shared" ca="1" si="444"/>
        <v>2593.1905316486618</v>
      </c>
      <c r="AA1147">
        <f t="shared" ca="1" si="445"/>
        <v>482.07306851378365</v>
      </c>
      <c r="AB1147">
        <f t="shared" ca="1" si="446"/>
        <v>482.25887083179077</v>
      </c>
      <c r="AC1147">
        <f t="shared" ca="1" si="447"/>
        <v>0</v>
      </c>
      <c r="AD1147">
        <f ca="1">IF(V32="Supercritical",L1147,U1147)</f>
        <v>0.05</v>
      </c>
      <c r="AE1147">
        <f t="shared" ca="1" si="448"/>
        <v>632.11349999999993</v>
      </c>
      <c r="AF1147">
        <f t="shared" ca="1" si="449"/>
        <v>2593.1905316486618</v>
      </c>
      <c r="AI1147">
        <v>0</v>
      </c>
      <c r="AJ1147">
        <v>0</v>
      </c>
      <c r="AK1147">
        <f t="shared" si="450"/>
        <v>0</v>
      </c>
      <c r="AL1147">
        <f t="shared" si="458"/>
        <v>0</v>
      </c>
      <c r="AM1147">
        <f t="shared" ca="1" si="451"/>
        <v>280.07692026646265</v>
      </c>
      <c r="AN1147" t="str">
        <f t="shared" ca="1" si="452"/>
        <v>Supercritical</v>
      </c>
      <c r="AO1147">
        <f ca="1">IF(V32="Supercritical",R1147,AA1147)</f>
        <v>482.07306851378365</v>
      </c>
    </row>
    <row r="1148" spans="1:41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174</v>
      </c>
      <c r="I1148">
        <v>5.7000000000000002E-2</v>
      </c>
      <c r="J1148">
        <f t="shared" si="453"/>
        <v>1</v>
      </c>
      <c r="K1148">
        <f t="shared" si="454"/>
        <v>51</v>
      </c>
      <c r="L1148">
        <f t="shared" ca="1" si="455"/>
        <v>38818.088337185894</v>
      </c>
      <c r="M1148">
        <f t="shared" ca="1" si="433"/>
        <v>201854.05935336667</v>
      </c>
      <c r="N1148">
        <f t="shared" ca="1" si="434"/>
        <v>2.5998258660448967</v>
      </c>
      <c r="O1148">
        <f t="shared" ca="1" si="435"/>
        <v>2.5265778733099027E-4</v>
      </c>
      <c r="P1148">
        <f t="shared" ca="1" si="436"/>
        <v>39450.151337185896</v>
      </c>
      <c r="Q1148">
        <f t="shared" ca="1" si="437"/>
        <v>39450.151337189149</v>
      </c>
      <c r="R1148">
        <f t="shared" ca="1" si="438"/>
        <v>4.0178052442243001E-12</v>
      </c>
      <c r="S1148">
        <f t="shared" ca="1" si="456"/>
        <v>1.0869565012399107E-3</v>
      </c>
      <c r="T1148">
        <f t="shared" ca="1" si="457"/>
        <v>0</v>
      </c>
      <c r="U1148">
        <f t="shared" ca="1" si="439"/>
        <v>0.05</v>
      </c>
      <c r="V1148">
        <f t="shared" ca="1" si="440"/>
        <v>0.26</v>
      </c>
      <c r="W1148">
        <f t="shared" ca="1" si="441"/>
        <v>4.9056603773584909E-2</v>
      </c>
      <c r="X1148">
        <f t="shared" ca="1" si="442"/>
        <v>196.15384615384616</v>
      </c>
      <c r="Y1148">
        <f t="shared" ca="1" si="443"/>
        <v>632.11299999999994</v>
      </c>
      <c r="Z1148">
        <f t="shared" ca="1" si="444"/>
        <v>2593.1900316486622</v>
      </c>
      <c r="AA1148">
        <f t="shared" ca="1" si="445"/>
        <v>482.07306851378365</v>
      </c>
      <c r="AB1148">
        <f t="shared" ca="1" si="446"/>
        <v>482.25887083179032</v>
      </c>
      <c r="AC1148">
        <f t="shared" ca="1" si="447"/>
        <v>0</v>
      </c>
      <c r="AD1148">
        <f ca="1">IF(V32="Supercritical",L1148,U1148)</f>
        <v>0.05</v>
      </c>
      <c r="AE1148">
        <f t="shared" ca="1" si="448"/>
        <v>632.11299999999994</v>
      </c>
      <c r="AF1148">
        <f t="shared" ca="1" si="449"/>
        <v>2593.1900316486622</v>
      </c>
      <c r="AI1148">
        <v>0</v>
      </c>
      <c r="AJ1148">
        <v>0</v>
      </c>
      <c r="AK1148">
        <f t="shared" si="450"/>
        <v>0</v>
      </c>
      <c r="AL1148">
        <f t="shared" si="458"/>
        <v>0</v>
      </c>
      <c r="AM1148">
        <f t="shared" ca="1" si="451"/>
        <v>280.07692026646265</v>
      </c>
      <c r="AN1148" t="str">
        <f t="shared" ca="1" si="452"/>
        <v>Supercritical</v>
      </c>
      <c r="AO1148">
        <f ca="1">IF(V32="Supercritical",R1148,AA1148)</f>
        <v>482.07306851378365</v>
      </c>
    </row>
    <row r="1149" spans="1:41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174</v>
      </c>
      <c r="I1149">
        <v>5.7000000000000002E-2</v>
      </c>
      <c r="J1149">
        <f t="shared" si="453"/>
        <v>1</v>
      </c>
      <c r="K1149">
        <f t="shared" si="454"/>
        <v>51</v>
      </c>
      <c r="L1149">
        <f t="shared" ca="1" si="455"/>
        <v>38818.088337185894</v>
      </c>
      <c r="M1149">
        <f t="shared" ca="1" si="433"/>
        <v>201854.05935336667</v>
      </c>
      <c r="N1149">
        <f t="shared" ca="1" si="434"/>
        <v>2.5998258660448967</v>
      </c>
      <c r="O1149">
        <f t="shared" ca="1" si="435"/>
        <v>2.5265778733099027E-4</v>
      </c>
      <c r="P1149">
        <f t="shared" ca="1" si="436"/>
        <v>39450.150837185894</v>
      </c>
      <c r="Q1149">
        <f t="shared" ca="1" si="437"/>
        <v>39450.150837189147</v>
      </c>
      <c r="R1149">
        <f t="shared" ca="1" si="438"/>
        <v>4.0178052442243001E-12</v>
      </c>
      <c r="S1149">
        <f t="shared" ca="1" si="456"/>
        <v>4.999999946448952E-4</v>
      </c>
      <c r="T1149">
        <f t="shared" ca="1" si="457"/>
        <v>1</v>
      </c>
      <c r="U1149">
        <f t="shared" ca="1" si="439"/>
        <v>0.05</v>
      </c>
      <c r="V1149">
        <f t="shared" ca="1" si="440"/>
        <v>0.26</v>
      </c>
      <c r="W1149">
        <f t="shared" ca="1" si="441"/>
        <v>4.9056603773584909E-2</v>
      </c>
      <c r="X1149">
        <f t="shared" ca="1" si="442"/>
        <v>196.15384615384616</v>
      </c>
      <c r="Y1149">
        <f t="shared" ca="1" si="443"/>
        <v>632.11249999999995</v>
      </c>
      <c r="Z1149">
        <f t="shared" ca="1" si="444"/>
        <v>2593.1895316486621</v>
      </c>
      <c r="AA1149">
        <f t="shared" ca="1" si="445"/>
        <v>482.07306851378365</v>
      </c>
      <c r="AB1149">
        <f t="shared" ca="1" si="446"/>
        <v>482.07256851378361</v>
      </c>
      <c r="AC1149">
        <f t="shared" ca="1" si="447"/>
        <v>0</v>
      </c>
      <c r="AD1149">
        <f ca="1">IF(V32="Supercritical",L1149,U1149)</f>
        <v>0.05</v>
      </c>
      <c r="AE1149">
        <f t="shared" ca="1" si="448"/>
        <v>632.11249999999995</v>
      </c>
      <c r="AF1149">
        <f t="shared" ca="1" si="449"/>
        <v>2593.1895316486621</v>
      </c>
      <c r="AI1149">
        <v>0</v>
      </c>
      <c r="AJ1149">
        <v>0</v>
      </c>
      <c r="AK1149">
        <f t="shared" si="450"/>
        <v>0</v>
      </c>
      <c r="AL1149">
        <f t="shared" si="458"/>
        <v>0</v>
      </c>
      <c r="AM1149">
        <f t="shared" ca="1" si="451"/>
        <v>280.07692026646265</v>
      </c>
      <c r="AN1149" t="str">
        <f t="shared" ca="1" si="452"/>
        <v>Supercritical</v>
      </c>
      <c r="AO1149">
        <f ca="1">IF(V32="Supercritical",R1149,AA1149)</f>
        <v>482.07306851378365</v>
      </c>
    </row>
    <row r="1150" spans="1:41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174</v>
      </c>
      <c r="I1150">
        <v>0</v>
      </c>
      <c r="J1150">
        <f t="shared" si="453"/>
        <v>1</v>
      </c>
      <c r="K1150">
        <f t="shared" si="454"/>
        <v>51</v>
      </c>
      <c r="L1150">
        <f t="shared" ca="1" si="455"/>
        <v>38818.087750229388</v>
      </c>
      <c r="M1150">
        <f t="shared" ca="1" si="433"/>
        <v>201854.05630119282</v>
      </c>
      <c r="N1150">
        <f t="shared" ca="1" si="434"/>
        <v>2.5998258660422637</v>
      </c>
      <c r="O1150">
        <f t="shared" ca="1" si="435"/>
        <v>2.5265779115135189E-4</v>
      </c>
      <c r="P1150">
        <f t="shared" ca="1" si="436"/>
        <v>39450.149750229386</v>
      </c>
      <c r="Q1150">
        <f t="shared" ca="1" si="437"/>
        <v>39450.149750232638</v>
      </c>
      <c r="R1150">
        <f t="shared" ca="1" si="438"/>
        <v>4.0178053657337515E-12</v>
      </c>
      <c r="S1150">
        <f t="shared" ca="1" si="456"/>
        <v>1.0869565012399107E-3</v>
      </c>
      <c r="T1150">
        <f t="shared" ca="1" si="457"/>
        <v>0</v>
      </c>
      <c r="U1150">
        <f t="shared" ca="1" si="439"/>
        <v>0.05</v>
      </c>
      <c r="V1150">
        <f t="shared" ca="1" si="440"/>
        <v>0.26</v>
      </c>
      <c r="W1150">
        <f t="shared" ca="1" si="441"/>
        <v>4.9056603773584909E-2</v>
      </c>
      <c r="X1150">
        <f t="shared" ca="1" si="442"/>
        <v>196.15384615384616</v>
      </c>
      <c r="Y1150">
        <f t="shared" ca="1" si="443"/>
        <v>632.11199999999997</v>
      </c>
      <c r="Z1150">
        <f t="shared" ca="1" si="444"/>
        <v>2593.189031648662</v>
      </c>
      <c r="AA1150">
        <f t="shared" ca="1" si="445"/>
        <v>482.07306851378365</v>
      </c>
      <c r="AB1150">
        <f t="shared" ca="1" si="446"/>
        <v>482.07256851378406</v>
      </c>
      <c r="AC1150">
        <f t="shared" ca="1" si="447"/>
        <v>0</v>
      </c>
      <c r="AD1150">
        <f ca="1">IF(V32="Supercritical",L1150,U1150)</f>
        <v>0.05</v>
      </c>
      <c r="AE1150">
        <f t="shared" ca="1" si="448"/>
        <v>632.11199999999997</v>
      </c>
      <c r="AF1150">
        <f t="shared" ca="1" si="449"/>
        <v>2593.189031648662</v>
      </c>
      <c r="AI1150">
        <v>0</v>
      </c>
      <c r="AJ1150">
        <v>0</v>
      </c>
      <c r="AK1150">
        <f t="shared" si="450"/>
        <v>0</v>
      </c>
      <c r="AL1150">
        <f t="shared" si="458"/>
        <v>0</v>
      </c>
      <c r="AM1150">
        <f t="shared" ca="1" si="451"/>
        <v>280.07692026646265</v>
      </c>
      <c r="AN1150" t="str">
        <f t="shared" ca="1" si="452"/>
        <v>Supercritical</v>
      </c>
      <c r="AO1150">
        <f ca="1">IF(V32="Supercritical",R1150,AA1150)</f>
        <v>482.07306851378365</v>
      </c>
    </row>
    <row r="1151" spans="1:41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174</v>
      </c>
      <c r="I1151">
        <v>0</v>
      </c>
      <c r="J1151">
        <f t="shared" si="453"/>
        <v>1</v>
      </c>
      <c r="K1151">
        <f t="shared" si="454"/>
        <v>51</v>
      </c>
      <c r="L1151">
        <f t="shared" ca="1" si="455"/>
        <v>38818.087750229388</v>
      </c>
      <c r="M1151">
        <f t="shared" ca="1" si="433"/>
        <v>201854.05630119282</v>
      </c>
      <c r="N1151">
        <f t="shared" ca="1" si="434"/>
        <v>2.5998258660422637</v>
      </c>
      <c r="O1151">
        <f t="shared" ca="1" si="435"/>
        <v>2.5265779115135189E-4</v>
      </c>
      <c r="P1151">
        <f t="shared" ca="1" si="436"/>
        <v>39450.149250229391</v>
      </c>
      <c r="Q1151">
        <f t="shared" ca="1" si="437"/>
        <v>39450.149250232644</v>
      </c>
      <c r="R1151">
        <f t="shared" ca="1" si="438"/>
        <v>4.0178053657337515E-12</v>
      </c>
      <c r="S1151">
        <f t="shared" ca="1" si="456"/>
        <v>4.9999998736893758E-4</v>
      </c>
      <c r="T1151">
        <f t="shared" ca="1" si="457"/>
        <v>1</v>
      </c>
      <c r="U1151">
        <f t="shared" ca="1" si="439"/>
        <v>0.05</v>
      </c>
      <c r="V1151">
        <f t="shared" ca="1" si="440"/>
        <v>0.26</v>
      </c>
      <c r="W1151">
        <f t="shared" ca="1" si="441"/>
        <v>4.9056603773584909E-2</v>
      </c>
      <c r="X1151">
        <f t="shared" ca="1" si="442"/>
        <v>196.15384615384616</v>
      </c>
      <c r="Y1151">
        <f t="shared" ca="1" si="443"/>
        <v>632.11149999999998</v>
      </c>
      <c r="Z1151">
        <f t="shared" ca="1" si="444"/>
        <v>2593.1885316486623</v>
      </c>
      <c r="AA1151">
        <f t="shared" ca="1" si="445"/>
        <v>482.07306851378365</v>
      </c>
      <c r="AB1151">
        <f t="shared" ca="1" si="446"/>
        <v>482.25233390835137</v>
      </c>
      <c r="AC1151">
        <f t="shared" ca="1" si="447"/>
        <v>0</v>
      </c>
      <c r="AD1151">
        <f ca="1">IF(V32="Supercritical",L1151,U1151)</f>
        <v>0.05</v>
      </c>
      <c r="AE1151">
        <f t="shared" ca="1" si="448"/>
        <v>632.11149999999998</v>
      </c>
      <c r="AF1151">
        <f t="shared" ca="1" si="449"/>
        <v>2593.1885316486623</v>
      </c>
      <c r="AI1151">
        <v>0</v>
      </c>
      <c r="AJ1151">
        <v>0</v>
      </c>
      <c r="AK1151">
        <f t="shared" si="450"/>
        <v>0</v>
      </c>
      <c r="AL1151">
        <f t="shared" si="458"/>
        <v>0</v>
      </c>
      <c r="AM1151">
        <f t="shared" ca="1" si="451"/>
        <v>280.07692026646265</v>
      </c>
      <c r="AN1151" t="str">
        <f t="shared" ca="1" si="452"/>
        <v>Supercritical</v>
      </c>
      <c r="AO1151">
        <f ca="1">IF(V32="Supercritical",R1151,AA1151)</f>
        <v>482.07306851378365</v>
      </c>
    </row>
    <row r="1152" spans="1:41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174</v>
      </c>
      <c r="I1152">
        <v>5.5E-2</v>
      </c>
      <c r="J1152">
        <f t="shared" si="453"/>
        <v>1</v>
      </c>
      <c r="K1152">
        <f t="shared" si="454"/>
        <v>51</v>
      </c>
      <c r="L1152">
        <f t="shared" ca="1" si="455"/>
        <v>38818.087163272881</v>
      </c>
      <c r="M1152">
        <f t="shared" ca="1" si="433"/>
        <v>201854.05324901899</v>
      </c>
      <c r="N1152">
        <f t="shared" ca="1" si="434"/>
        <v>2.5998258660396307</v>
      </c>
      <c r="O1152">
        <f t="shared" ca="1" si="435"/>
        <v>2.5265779497171361E-4</v>
      </c>
      <c r="P1152">
        <f t="shared" ca="1" si="436"/>
        <v>39450.148163272883</v>
      </c>
      <c r="Q1152">
        <f t="shared" ca="1" si="437"/>
        <v>39450.148163276135</v>
      </c>
      <c r="R1152">
        <f t="shared" ca="1" si="438"/>
        <v>4.0178054872432053E-12</v>
      </c>
      <c r="S1152">
        <f t="shared" ca="1" si="456"/>
        <v>1.0869565012399107E-3</v>
      </c>
      <c r="T1152">
        <f t="shared" ca="1" si="457"/>
        <v>0</v>
      </c>
      <c r="U1152">
        <f t="shared" ca="1" si="439"/>
        <v>0.05</v>
      </c>
      <c r="V1152">
        <f t="shared" ca="1" si="440"/>
        <v>0.26</v>
      </c>
      <c r="W1152">
        <f t="shared" ca="1" si="441"/>
        <v>4.9056603773584909E-2</v>
      </c>
      <c r="X1152">
        <f t="shared" ca="1" si="442"/>
        <v>196.15384615384616</v>
      </c>
      <c r="Y1152">
        <f t="shared" ca="1" si="443"/>
        <v>632.11099999999999</v>
      </c>
      <c r="Z1152">
        <f t="shared" ca="1" si="444"/>
        <v>2593.1880316486622</v>
      </c>
      <c r="AA1152">
        <f t="shared" ca="1" si="445"/>
        <v>482.07306851378365</v>
      </c>
      <c r="AB1152">
        <f t="shared" ca="1" si="446"/>
        <v>482.73440697685373</v>
      </c>
      <c r="AC1152">
        <f t="shared" ca="1" si="447"/>
        <v>0</v>
      </c>
      <c r="AD1152">
        <f ca="1">IF(V32="Supercritical",L1152,U1152)</f>
        <v>0.05</v>
      </c>
      <c r="AE1152">
        <f t="shared" ca="1" si="448"/>
        <v>632.11099999999999</v>
      </c>
      <c r="AF1152">
        <f t="shared" ca="1" si="449"/>
        <v>2593.1880316486622</v>
      </c>
      <c r="AI1152">
        <v>0</v>
      </c>
      <c r="AJ1152">
        <v>0</v>
      </c>
      <c r="AK1152">
        <f t="shared" si="450"/>
        <v>0</v>
      </c>
      <c r="AL1152">
        <f t="shared" si="458"/>
        <v>0</v>
      </c>
      <c r="AM1152">
        <f t="shared" ca="1" si="451"/>
        <v>280.07692026646265</v>
      </c>
      <c r="AN1152" t="str">
        <f t="shared" ca="1" si="452"/>
        <v>Supercritical</v>
      </c>
      <c r="AO1152">
        <f ca="1">IF(V32="Supercritical",R1152,AA1152)</f>
        <v>482.07306851378365</v>
      </c>
    </row>
    <row r="1153" spans="1:41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174</v>
      </c>
      <c r="I1153">
        <v>5.5E-2</v>
      </c>
      <c r="J1153">
        <f t="shared" si="453"/>
        <v>1.0009999999999764</v>
      </c>
      <c r="K1153">
        <f t="shared" si="454"/>
        <v>51</v>
      </c>
      <c r="L1153">
        <f t="shared" ca="1" si="455"/>
        <v>38818.087163272881</v>
      </c>
      <c r="M1153">
        <f t="shared" ca="1" si="433"/>
        <v>201854.05324901899</v>
      </c>
      <c r="N1153">
        <f t="shared" ca="1" si="434"/>
        <v>2.5998258660396307</v>
      </c>
      <c r="O1153">
        <f t="shared" ca="1" si="435"/>
        <v>2.5265779497171361E-4</v>
      </c>
      <c r="P1153">
        <f t="shared" ca="1" si="436"/>
        <v>39450.147663272881</v>
      </c>
      <c r="Q1153">
        <f t="shared" ca="1" si="437"/>
        <v>39450.147663276133</v>
      </c>
      <c r="R1153">
        <f t="shared" ca="1" si="438"/>
        <v>4.0178054872432053E-12</v>
      </c>
      <c r="S1153">
        <f t="shared" ca="1" si="456"/>
        <v>4.999999946448952E-4</v>
      </c>
      <c r="T1153">
        <f t="shared" ca="1" si="457"/>
        <v>1</v>
      </c>
      <c r="U1153">
        <f t="shared" ca="1" si="439"/>
        <v>0.05</v>
      </c>
      <c r="V1153">
        <f t="shared" ca="1" si="440"/>
        <v>0.26</v>
      </c>
      <c r="W1153">
        <f t="shared" ca="1" si="441"/>
        <v>4.9056603773584909E-2</v>
      </c>
      <c r="X1153">
        <f t="shared" ca="1" si="442"/>
        <v>196.15384615384616</v>
      </c>
      <c r="Y1153">
        <f t="shared" ca="1" si="443"/>
        <v>632.1105</v>
      </c>
      <c r="Z1153">
        <f t="shared" ca="1" si="444"/>
        <v>2593.1875316486621</v>
      </c>
      <c r="AA1153">
        <f t="shared" ca="1" si="445"/>
        <v>482.07306851378365</v>
      </c>
      <c r="AB1153">
        <f t="shared" ca="1" si="446"/>
        <v>482.07256851378361</v>
      </c>
      <c r="AC1153">
        <f t="shared" ca="1" si="447"/>
        <v>0</v>
      </c>
      <c r="AD1153">
        <f ca="1">IF(V32="Supercritical",L1153,U1153)</f>
        <v>0.05</v>
      </c>
      <c r="AE1153">
        <f t="shared" ca="1" si="448"/>
        <v>632.1105</v>
      </c>
      <c r="AF1153">
        <f t="shared" ca="1" si="449"/>
        <v>2593.1875316486621</v>
      </c>
      <c r="AI1153">
        <v>0</v>
      </c>
      <c r="AJ1153">
        <v>0</v>
      </c>
      <c r="AK1153">
        <f t="shared" si="450"/>
        <v>0</v>
      </c>
      <c r="AL1153">
        <f t="shared" si="458"/>
        <v>0</v>
      </c>
      <c r="AM1153">
        <f t="shared" ca="1" si="451"/>
        <v>280.07692026646265</v>
      </c>
      <c r="AN1153" t="str">
        <f t="shared" ca="1" si="452"/>
        <v>Supercritical</v>
      </c>
      <c r="AO1153">
        <f ca="1">IF(V32="Supercritical",R1153,AA1153)</f>
        <v>482.07306851378365</v>
      </c>
    </row>
    <row r="1154" spans="1:41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174</v>
      </c>
      <c r="I1154">
        <v>0</v>
      </c>
      <c r="J1154">
        <f t="shared" si="453"/>
        <v>1</v>
      </c>
      <c r="K1154">
        <f t="shared" si="454"/>
        <v>51</v>
      </c>
      <c r="L1154">
        <f t="shared" ca="1" si="455"/>
        <v>38818.086576316353</v>
      </c>
      <c r="M1154">
        <f t="shared" ca="1" si="433"/>
        <v>201854.05019684506</v>
      </c>
      <c r="N1154">
        <f t="shared" ca="1" si="434"/>
        <v>2.5998258660369982</v>
      </c>
      <c r="O1154">
        <f t="shared" ca="1" si="435"/>
        <v>2.5265779879207555E-4</v>
      </c>
      <c r="P1154">
        <f t="shared" ca="1" si="436"/>
        <v>39450.146576316351</v>
      </c>
      <c r="Q1154">
        <f t="shared" ca="1" si="437"/>
        <v>39450.146576319603</v>
      </c>
      <c r="R1154">
        <f t="shared" ca="1" si="438"/>
        <v>4.0178056087526704E-12</v>
      </c>
      <c r="S1154">
        <f t="shared" ca="1" si="456"/>
        <v>1.0869565230677836E-3</v>
      </c>
      <c r="T1154">
        <f t="shared" ca="1" si="457"/>
        <v>0</v>
      </c>
      <c r="U1154">
        <f t="shared" ca="1" si="439"/>
        <v>0.05</v>
      </c>
      <c r="V1154">
        <f t="shared" ca="1" si="440"/>
        <v>0.26</v>
      </c>
      <c r="W1154">
        <f t="shared" ca="1" si="441"/>
        <v>4.9056603773584909E-2</v>
      </c>
      <c r="X1154">
        <f t="shared" ca="1" si="442"/>
        <v>196.15384615384616</v>
      </c>
      <c r="Y1154">
        <f t="shared" ca="1" si="443"/>
        <v>632.1099999999999</v>
      </c>
      <c r="Z1154">
        <f t="shared" ca="1" si="444"/>
        <v>2593.187031648662</v>
      </c>
      <c r="AA1154">
        <f t="shared" ca="1" si="445"/>
        <v>482.07306851378365</v>
      </c>
      <c r="AB1154">
        <f t="shared" ca="1" si="446"/>
        <v>481.77679776328796</v>
      </c>
      <c r="AC1154">
        <f t="shared" ca="1" si="447"/>
        <v>0</v>
      </c>
      <c r="AD1154">
        <f ca="1">IF(V32="Supercritical",L1154,U1154)</f>
        <v>0.05</v>
      </c>
      <c r="AE1154">
        <f t="shared" ca="1" si="448"/>
        <v>632.1099999999999</v>
      </c>
      <c r="AF1154">
        <f t="shared" ca="1" si="449"/>
        <v>2593.187031648662</v>
      </c>
      <c r="AI1154">
        <v>0</v>
      </c>
      <c r="AJ1154">
        <v>0</v>
      </c>
      <c r="AK1154">
        <f t="shared" si="450"/>
        <v>0</v>
      </c>
      <c r="AL1154">
        <f t="shared" si="458"/>
        <v>0</v>
      </c>
      <c r="AM1154">
        <f t="shared" ca="1" si="451"/>
        <v>280.07692026646265</v>
      </c>
      <c r="AN1154" t="str">
        <f t="shared" ca="1" si="452"/>
        <v>Supercritical</v>
      </c>
      <c r="AO1154">
        <f ca="1">IF(V32="Supercritical",R1154,AA1154)</f>
        <v>482.07306851378365</v>
      </c>
    </row>
    <row r="1155" spans="1:41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174</v>
      </c>
      <c r="I1155">
        <v>5.7000000000000002E-2</v>
      </c>
      <c r="J1155">
        <f t="shared" si="453"/>
        <v>0.99900000000002365</v>
      </c>
      <c r="K1155">
        <f t="shared" si="454"/>
        <v>51</v>
      </c>
      <c r="L1155">
        <f t="shared" ca="1" si="455"/>
        <v>38818.086576316353</v>
      </c>
      <c r="M1155">
        <f t="shared" ca="1" si="433"/>
        <v>201854.05019684506</v>
      </c>
      <c r="N1155">
        <f t="shared" ca="1" si="434"/>
        <v>2.5998258660369982</v>
      </c>
      <c r="O1155">
        <f t="shared" ca="1" si="435"/>
        <v>2.5265779879207555E-4</v>
      </c>
      <c r="P1155">
        <f t="shared" ca="1" si="436"/>
        <v>39450.146076316356</v>
      </c>
      <c r="Q1155">
        <f t="shared" ca="1" si="437"/>
        <v>39450.146076319608</v>
      </c>
      <c r="R1155">
        <f t="shared" ca="1" si="438"/>
        <v>4.0178056087526704E-12</v>
      </c>
      <c r="S1155">
        <f t="shared" ca="1" si="456"/>
        <v>4.9999998736893758E-4</v>
      </c>
      <c r="T1155">
        <f t="shared" ca="1" si="457"/>
        <v>1</v>
      </c>
      <c r="U1155">
        <f t="shared" ca="1" si="439"/>
        <v>0.05</v>
      </c>
      <c r="V1155">
        <f t="shared" ca="1" si="440"/>
        <v>0.26</v>
      </c>
      <c r="W1155">
        <f t="shared" ca="1" si="441"/>
        <v>4.9056603773584909E-2</v>
      </c>
      <c r="X1155">
        <f t="shared" ca="1" si="442"/>
        <v>196.15384615384616</v>
      </c>
      <c r="Y1155">
        <f t="shared" ca="1" si="443"/>
        <v>632.10949999999991</v>
      </c>
      <c r="Z1155">
        <f t="shared" ca="1" si="444"/>
        <v>2593.1865316486619</v>
      </c>
      <c r="AA1155">
        <f t="shared" ca="1" si="445"/>
        <v>482.07306851378365</v>
      </c>
      <c r="AB1155">
        <f t="shared" ca="1" si="446"/>
        <v>482.25887083179032</v>
      </c>
      <c r="AC1155">
        <f t="shared" ca="1" si="447"/>
        <v>0</v>
      </c>
      <c r="AD1155">
        <f ca="1">IF(V32="Supercritical",L1155,U1155)</f>
        <v>0.05</v>
      </c>
      <c r="AE1155">
        <f t="shared" ca="1" si="448"/>
        <v>632.10949999999991</v>
      </c>
      <c r="AF1155">
        <f t="shared" ca="1" si="449"/>
        <v>2593.1865316486619</v>
      </c>
      <c r="AI1155">
        <v>0</v>
      </c>
      <c r="AJ1155">
        <v>0</v>
      </c>
      <c r="AK1155">
        <f t="shared" si="450"/>
        <v>0</v>
      </c>
      <c r="AL1155">
        <f t="shared" si="458"/>
        <v>0</v>
      </c>
      <c r="AM1155">
        <f t="shared" ca="1" si="451"/>
        <v>280.07692026646265</v>
      </c>
      <c r="AN1155" t="str">
        <f t="shared" ca="1" si="452"/>
        <v>Supercritical</v>
      </c>
      <c r="AO1155">
        <f ca="1">IF(V32="Supercritical",R1155,AA1155)</f>
        <v>482.07306851378365</v>
      </c>
    </row>
    <row r="1156" spans="1:41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174</v>
      </c>
      <c r="I1156">
        <v>5.7000000000000002E-2</v>
      </c>
      <c r="J1156">
        <f t="shared" si="453"/>
        <v>1</v>
      </c>
      <c r="K1156">
        <f t="shared" si="454"/>
        <v>51</v>
      </c>
      <c r="L1156">
        <f t="shared" ca="1" si="455"/>
        <v>38818.08598935981</v>
      </c>
      <c r="M1156">
        <f t="shared" ca="1" si="433"/>
        <v>201854.04714467103</v>
      </c>
      <c r="N1156">
        <f t="shared" ca="1" si="434"/>
        <v>2.5998258660343652</v>
      </c>
      <c r="O1156">
        <f t="shared" ca="1" si="435"/>
        <v>2.5265780261243776E-4</v>
      </c>
      <c r="P1156">
        <f t="shared" ca="1" si="436"/>
        <v>39450.144989359811</v>
      </c>
      <c r="Q1156">
        <f t="shared" ca="1" si="437"/>
        <v>39450.144989363063</v>
      </c>
      <c r="R1156">
        <f t="shared" ca="1" si="438"/>
        <v>4.017805730262146E-12</v>
      </c>
      <c r="S1156">
        <f t="shared" ca="1" si="456"/>
        <v>1.0869565376196988E-3</v>
      </c>
      <c r="T1156">
        <f t="shared" ca="1" si="457"/>
        <v>0</v>
      </c>
      <c r="U1156">
        <f t="shared" ca="1" si="439"/>
        <v>0.05</v>
      </c>
      <c r="V1156">
        <f t="shared" ca="1" si="440"/>
        <v>0.26</v>
      </c>
      <c r="W1156">
        <f t="shared" ca="1" si="441"/>
        <v>4.9056603773584909E-2</v>
      </c>
      <c r="X1156">
        <f t="shared" ca="1" si="442"/>
        <v>196.15384615384616</v>
      </c>
      <c r="Y1156">
        <f t="shared" ca="1" si="443"/>
        <v>632.10899999999992</v>
      </c>
      <c r="Z1156">
        <f t="shared" ca="1" si="444"/>
        <v>2593.1860316486618</v>
      </c>
      <c r="AA1156">
        <f t="shared" ca="1" si="445"/>
        <v>482.07306851378365</v>
      </c>
      <c r="AB1156">
        <f t="shared" ca="1" si="446"/>
        <v>482.07256851378406</v>
      </c>
      <c r="AC1156">
        <f t="shared" ca="1" si="447"/>
        <v>0</v>
      </c>
      <c r="AD1156">
        <f ca="1">IF(V32="Supercritical",L1156,U1156)</f>
        <v>0.05</v>
      </c>
      <c r="AE1156">
        <f t="shared" ca="1" si="448"/>
        <v>632.10899999999992</v>
      </c>
      <c r="AF1156">
        <f t="shared" ca="1" si="449"/>
        <v>2593.1860316486618</v>
      </c>
      <c r="AI1156">
        <v>0</v>
      </c>
      <c r="AJ1156">
        <v>0</v>
      </c>
      <c r="AK1156">
        <f t="shared" si="450"/>
        <v>0</v>
      </c>
      <c r="AL1156">
        <f t="shared" si="458"/>
        <v>0</v>
      </c>
      <c r="AM1156">
        <f t="shared" ca="1" si="451"/>
        <v>280.07692026646265</v>
      </c>
      <c r="AN1156" t="str">
        <f t="shared" ca="1" si="452"/>
        <v>Supercritical</v>
      </c>
      <c r="AO1156">
        <f ca="1">IF(V32="Supercritical",R1156,AA1156)</f>
        <v>482.07306851378365</v>
      </c>
    </row>
    <row r="1157" spans="1:41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174</v>
      </c>
      <c r="I1157">
        <v>0</v>
      </c>
      <c r="J1157">
        <f t="shared" si="453"/>
        <v>1</v>
      </c>
      <c r="K1157">
        <f t="shared" si="454"/>
        <v>51</v>
      </c>
      <c r="L1157">
        <f t="shared" ca="1" si="455"/>
        <v>38818.08598935981</v>
      </c>
      <c r="M1157">
        <f t="shared" ca="1" si="433"/>
        <v>201854.04714467103</v>
      </c>
      <c r="N1157">
        <f t="shared" ca="1" si="434"/>
        <v>2.5998258660343652</v>
      </c>
      <c r="O1157">
        <f t="shared" ca="1" si="435"/>
        <v>2.5265780261243776E-4</v>
      </c>
      <c r="P1157">
        <f t="shared" ca="1" si="436"/>
        <v>39450.144489359809</v>
      </c>
      <c r="Q1157">
        <f t="shared" ca="1" si="437"/>
        <v>39450.144489363061</v>
      </c>
      <c r="R1157">
        <f t="shared" ca="1" si="438"/>
        <v>4.017805730262146E-12</v>
      </c>
      <c r="S1157">
        <f t="shared" ca="1" si="456"/>
        <v>4.999999946448952E-4</v>
      </c>
      <c r="T1157">
        <f t="shared" ca="1" si="457"/>
        <v>1</v>
      </c>
      <c r="U1157">
        <f t="shared" ca="1" si="439"/>
        <v>0.05</v>
      </c>
      <c r="V1157">
        <f t="shared" ca="1" si="440"/>
        <v>0.26</v>
      </c>
      <c r="W1157">
        <f t="shared" ca="1" si="441"/>
        <v>4.9056603773584909E-2</v>
      </c>
      <c r="X1157">
        <f t="shared" ca="1" si="442"/>
        <v>196.15384615384616</v>
      </c>
      <c r="Y1157">
        <f t="shared" ca="1" si="443"/>
        <v>632.10849999999994</v>
      </c>
      <c r="Z1157">
        <f t="shared" ca="1" si="444"/>
        <v>2593.1855316486622</v>
      </c>
      <c r="AA1157">
        <f t="shared" ca="1" si="445"/>
        <v>482.07306851378365</v>
      </c>
      <c r="AB1157">
        <f t="shared" ca="1" si="446"/>
        <v>482.07256851378361</v>
      </c>
      <c r="AC1157">
        <f t="shared" ca="1" si="447"/>
        <v>0</v>
      </c>
      <c r="AD1157">
        <f ca="1">IF(V32="Supercritical",L1157,U1157)</f>
        <v>0.05</v>
      </c>
      <c r="AE1157">
        <f t="shared" ca="1" si="448"/>
        <v>632.10849999999994</v>
      </c>
      <c r="AF1157">
        <f t="shared" ca="1" si="449"/>
        <v>2593.1855316486622</v>
      </c>
      <c r="AI1157">
        <v>0</v>
      </c>
      <c r="AJ1157">
        <v>0</v>
      </c>
      <c r="AK1157">
        <f t="shared" si="450"/>
        <v>0</v>
      </c>
      <c r="AL1157">
        <f t="shared" si="458"/>
        <v>0</v>
      </c>
      <c r="AM1157">
        <f t="shared" ca="1" si="451"/>
        <v>280.07692026646265</v>
      </c>
      <c r="AN1157" t="str">
        <f t="shared" ca="1" si="452"/>
        <v>Supercritical</v>
      </c>
      <c r="AO1157">
        <f ca="1">IF(V32="Supercritical",R1157,AA1157)</f>
        <v>482.07306851378365</v>
      </c>
    </row>
    <row r="1158" spans="1:41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174</v>
      </c>
      <c r="I1158">
        <v>0</v>
      </c>
      <c r="J1158">
        <f t="shared" si="453"/>
        <v>1</v>
      </c>
      <c r="K1158">
        <f t="shared" si="454"/>
        <v>51</v>
      </c>
      <c r="L1158">
        <f t="shared" ca="1" si="455"/>
        <v>38818.085402403303</v>
      </c>
      <c r="M1158">
        <f t="shared" ca="1" si="433"/>
        <v>201854.04409249718</v>
      </c>
      <c r="N1158">
        <f t="shared" ca="1" si="434"/>
        <v>2.5998258660317322</v>
      </c>
      <c r="O1158">
        <f t="shared" ca="1" si="435"/>
        <v>2.5265780643279987E-4</v>
      </c>
      <c r="P1158">
        <f t="shared" ca="1" si="436"/>
        <v>39450.143402403301</v>
      </c>
      <c r="Q1158">
        <f t="shared" ca="1" si="437"/>
        <v>39450.143402406553</v>
      </c>
      <c r="R1158">
        <f t="shared" ca="1" si="438"/>
        <v>4.0178058517716184E-12</v>
      </c>
      <c r="S1158">
        <f t="shared" ca="1" si="456"/>
        <v>1.0869565012399107E-3</v>
      </c>
      <c r="T1158">
        <f t="shared" ca="1" si="457"/>
        <v>0</v>
      </c>
      <c r="U1158">
        <f t="shared" ca="1" si="439"/>
        <v>0.05</v>
      </c>
      <c r="V1158">
        <f t="shared" ca="1" si="440"/>
        <v>0.26</v>
      </c>
      <c r="W1158">
        <f t="shared" ca="1" si="441"/>
        <v>4.9056603773584909E-2</v>
      </c>
      <c r="X1158">
        <f t="shared" ca="1" si="442"/>
        <v>196.15384615384616</v>
      </c>
      <c r="Y1158">
        <f t="shared" ca="1" si="443"/>
        <v>632.10799999999995</v>
      </c>
      <c r="Z1158">
        <f t="shared" ca="1" si="444"/>
        <v>2593.1850316486621</v>
      </c>
      <c r="AA1158">
        <f t="shared" ca="1" si="445"/>
        <v>482.07306851378365</v>
      </c>
      <c r="AB1158">
        <f t="shared" ca="1" si="446"/>
        <v>482.25887083179032</v>
      </c>
      <c r="AC1158">
        <f t="shared" ca="1" si="447"/>
        <v>0</v>
      </c>
      <c r="AD1158">
        <f ca="1">IF(V32="Supercritical",L1158,U1158)</f>
        <v>0.05</v>
      </c>
      <c r="AE1158">
        <f t="shared" ca="1" si="448"/>
        <v>632.10799999999995</v>
      </c>
      <c r="AF1158">
        <f t="shared" ca="1" si="449"/>
        <v>2593.1850316486621</v>
      </c>
      <c r="AI1158">
        <v>0</v>
      </c>
      <c r="AJ1158">
        <v>0</v>
      </c>
      <c r="AK1158">
        <f t="shared" si="450"/>
        <v>0</v>
      </c>
      <c r="AL1158">
        <f t="shared" si="458"/>
        <v>0</v>
      </c>
      <c r="AM1158">
        <f t="shared" ca="1" si="451"/>
        <v>280.07692026646265</v>
      </c>
      <c r="AN1158" t="str">
        <f t="shared" ca="1" si="452"/>
        <v>Supercritical</v>
      </c>
      <c r="AO1158">
        <f ca="1">IF(V32="Supercritical",R1158,AA1158)</f>
        <v>482.07306851378365</v>
      </c>
    </row>
    <row r="1159" spans="1:41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174</v>
      </c>
      <c r="I1159">
        <v>5.7000000000000002E-2</v>
      </c>
      <c r="J1159">
        <f t="shared" si="453"/>
        <v>1</v>
      </c>
      <c r="K1159">
        <f t="shared" si="454"/>
        <v>51</v>
      </c>
      <c r="L1159">
        <f t="shared" ca="1" si="455"/>
        <v>38818.085402403303</v>
      </c>
      <c r="M1159">
        <f t="shared" ca="1" si="433"/>
        <v>201854.04409249718</v>
      </c>
      <c r="N1159">
        <f t="shared" ca="1" si="434"/>
        <v>2.5998258660317322</v>
      </c>
      <c r="O1159">
        <f t="shared" ca="1" si="435"/>
        <v>2.5265780643279987E-4</v>
      </c>
      <c r="P1159">
        <f t="shared" ca="1" si="436"/>
        <v>39450.142902403306</v>
      </c>
      <c r="Q1159">
        <f t="shared" ca="1" si="437"/>
        <v>39450.142902406558</v>
      </c>
      <c r="R1159">
        <f t="shared" ca="1" si="438"/>
        <v>4.0178058517716184E-12</v>
      </c>
      <c r="S1159">
        <f t="shared" ca="1" si="456"/>
        <v>4.9999998736893758E-4</v>
      </c>
      <c r="T1159">
        <f t="shared" ca="1" si="457"/>
        <v>1</v>
      </c>
      <c r="U1159">
        <f t="shared" ca="1" si="439"/>
        <v>0.05</v>
      </c>
      <c r="V1159">
        <f t="shared" ca="1" si="440"/>
        <v>0.26</v>
      </c>
      <c r="W1159">
        <f t="shared" ca="1" si="441"/>
        <v>4.9056603773584909E-2</v>
      </c>
      <c r="X1159">
        <f t="shared" ca="1" si="442"/>
        <v>196.15384615384616</v>
      </c>
      <c r="Y1159">
        <f t="shared" ca="1" si="443"/>
        <v>632.10749999999996</v>
      </c>
      <c r="Z1159">
        <f t="shared" ca="1" si="444"/>
        <v>2593.184531648662</v>
      </c>
      <c r="AA1159">
        <f t="shared" ca="1" si="445"/>
        <v>482.07306851378365</v>
      </c>
      <c r="AB1159">
        <f t="shared" ca="1" si="446"/>
        <v>482.25887083179077</v>
      </c>
      <c r="AC1159">
        <f t="shared" ca="1" si="447"/>
        <v>0</v>
      </c>
      <c r="AD1159">
        <f ca="1">IF(V32="Supercritical",L1159,U1159)</f>
        <v>0.05</v>
      </c>
      <c r="AE1159">
        <f t="shared" ca="1" si="448"/>
        <v>632.10749999999996</v>
      </c>
      <c r="AF1159">
        <f t="shared" ca="1" si="449"/>
        <v>2593.184531648662</v>
      </c>
      <c r="AI1159">
        <v>0</v>
      </c>
      <c r="AJ1159">
        <v>0</v>
      </c>
      <c r="AK1159">
        <f t="shared" si="450"/>
        <v>0</v>
      </c>
      <c r="AL1159">
        <f t="shared" si="458"/>
        <v>0</v>
      </c>
      <c r="AM1159">
        <f t="shared" ca="1" si="451"/>
        <v>280.07692026646265</v>
      </c>
      <c r="AN1159" t="str">
        <f t="shared" ca="1" si="452"/>
        <v>Supercritical</v>
      </c>
      <c r="AO1159">
        <f ca="1">IF(V32="Supercritical",R1159,AA1159)</f>
        <v>482.07306851378365</v>
      </c>
    </row>
    <row r="1160" spans="1:41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174</v>
      </c>
      <c r="I1160">
        <v>5.7000000000000002E-2</v>
      </c>
      <c r="J1160">
        <f t="shared" si="453"/>
        <v>1</v>
      </c>
      <c r="K1160">
        <f t="shared" si="454"/>
        <v>51</v>
      </c>
      <c r="L1160">
        <f t="shared" ca="1" si="455"/>
        <v>38818.084815446797</v>
      </c>
      <c r="M1160">
        <f t="shared" ca="1" si="433"/>
        <v>201854.04104032335</v>
      </c>
      <c r="N1160">
        <f t="shared" ca="1" si="434"/>
        <v>2.5998258660290996</v>
      </c>
      <c r="O1160">
        <f t="shared" ca="1" si="435"/>
        <v>2.5265781025316203E-4</v>
      </c>
      <c r="P1160">
        <f t="shared" ca="1" si="436"/>
        <v>39450.141815446797</v>
      </c>
      <c r="Q1160">
        <f t="shared" ca="1" si="437"/>
        <v>39450.14181545005</v>
      </c>
      <c r="R1160">
        <f t="shared" ca="1" si="438"/>
        <v>4.0178059732810956E-12</v>
      </c>
      <c r="S1160">
        <f t="shared" ca="1" si="456"/>
        <v>1.0869565012399107E-3</v>
      </c>
      <c r="T1160">
        <f t="shared" ca="1" si="457"/>
        <v>0</v>
      </c>
      <c r="U1160">
        <f t="shared" ca="1" si="439"/>
        <v>0.05</v>
      </c>
      <c r="V1160">
        <f t="shared" ca="1" si="440"/>
        <v>0.26</v>
      </c>
      <c r="W1160">
        <f t="shared" ca="1" si="441"/>
        <v>4.9056603773584909E-2</v>
      </c>
      <c r="X1160">
        <f t="shared" ca="1" si="442"/>
        <v>196.15384615384616</v>
      </c>
      <c r="Y1160">
        <f t="shared" ca="1" si="443"/>
        <v>632.10699999999997</v>
      </c>
      <c r="Z1160">
        <f t="shared" ca="1" si="444"/>
        <v>2593.1840316486623</v>
      </c>
      <c r="AA1160">
        <f t="shared" ca="1" si="445"/>
        <v>482.07306851378365</v>
      </c>
      <c r="AB1160">
        <f t="shared" ca="1" si="446"/>
        <v>482.07910543722255</v>
      </c>
      <c r="AC1160">
        <f t="shared" ca="1" si="447"/>
        <v>0</v>
      </c>
      <c r="AD1160">
        <f ca="1">IF(V32="Supercritical",L1160,U1160)</f>
        <v>0.05</v>
      </c>
      <c r="AE1160">
        <f t="shared" ca="1" si="448"/>
        <v>632.10699999999997</v>
      </c>
      <c r="AF1160">
        <f t="shared" ca="1" si="449"/>
        <v>2593.1840316486623</v>
      </c>
      <c r="AI1160">
        <v>0</v>
      </c>
      <c r="AJ1160">
        <v>0</v>
      </c>
      <c r="AK1160">
        <f t="shared" si="450"/>
        <v>0</v>
      </c>
      <c r="AL1160">
        <f t="shared" si="458"/>
        <v>0</v>
      </c>
      <c r="AM1160">
        <f t="shared" ca="1" si="451"/>
        <v>280.07692026646265</v>
      </c>
      <c r="AN1160" t="str">
        <f t="shared" ca="1" si="452"/>
        <v>Supercritical</v>
      </c>
      <c r="AO1160">
        <f ca="1">IF(V32="Supercritical",R1160,AA1160)</f>
        <v>482.07306851378365</v>
      </c>
    </row>
    <row r="1161" spans="1:41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174</v>
      </c>
      <c r="I1161">
        <v>2E-3</v>
      </c>
      <c r="J1161">
        <f t="shared" si="453"/>
        <v>1</v>
      </c>
      <c r="K1161">
        <f t="shared" si="454"/>
        <v>51</v>
      </c>
      <c r="L1161">
        <f t="shared" ca="1" si="455"/>
        <v>38818.084815446797</v>
      </c>
      <c r="M1161">
        <f t="shared" ca="1" si="433"/>
        <v>201854.04104032335</v>
      </c>
      <c r="N1161">
        <f t="shared" ca="1" si="434"/>
        <v>2.5998258660290996</v>
      </c>
      <c r="O1161">
        <f t="shared" ca="1" si="435"/>
        <v>2.5265781025316203E-4</v>
      </c>
      <c r="P1161">
        <f t="shared" ca="1" si="436"/>
        <v>39450.141315446795</v>
      </c>
      <c r="Q1161">
        <f t="shared" ca="1" si="437"/>
        <v>39450.141315450048</v>
      </c>
      <c r="R1161">
        <f t="shared" ca="1" si="438"/>
        <v>4.0178059732810956E-12</v>
      </c>
      <c r="S1161">
        <f t="shared" ca="1" si="456"/>
        <v>4.999999946448952E-4</v>
      </c>
      <c r="T1161">
        <f t="shared" ca="1" si="457"/>
        <v>1</v>
      </c>
      <c r="U1161">
        <f t="shared" ca="1" si="439"/>
        <v>0.05</v>
      </c>
      <c r="V1161">
        <f t="shared" ca="1" si="440"/>
        <v>0.26</v>
      </c>
      <c r="W1161">
        <f t="shared" ca="1" si="441"/>
        <v>4.9056603773584909E-2</v>
      </c>
      <c r="X1161">
        <f t="shared" ca="1" si="442"/>
        <v>196.15384615384616</v>
      </c>
      <c r="Y1161">
        <f t="shared" ca="1" si="443"/>
        <v>632.10649999999998</v>
      </c>
      <c r="Z1161">
        <f t="shared" ca="1" si="444"/>
        <v>2593.1835316486622</v>
      </c>
      <c r="AA1161">
        <f t="shared" ca="1" si="445"/>
        <v>482.07306851378365</v>
      </c>
      <c r="AB1161">
        <f t="shared" ca="1" si="446"/>
        <v>482.56117850572491</v>
      </c>
      <c r="AC1161">
        <f t="shared" ca="1" si="447"/>
        <v>0</v>
      </c>
      <c r="AD1161">
        <f ca="1">IF(V32="Supercritical",L1161,U1161)</f>
        <v>0.05</v>
      </c>
      <c r="AE1161">
        <f t="shared" ca="1" si="448"/>
        <v>632.10649999999998</v>
      </c>
      <c r="AF1161">
        <f t="shared" ca="1" si="449"/>
        <v>2593.1835316486622</v>
      </c>
      <c r="AI1161">
        <v>0</v>
      </c>
      <c r="AJ1161">
        <v>0</v>
      </c>
      <c r="AK1161">
        <f t="shared" si="450"/>
        <v>0</v>
      </c>
      <c r="AL1161">
        <f t="shared" si="458"/>
        <v>0</v>
      </c>
      <c r="AM1161">
        <f t="shared" ca="1" si="451"/>
        <v>280.07692026646265</v>
      </c>
      <c r="AN1161" t="str">
        <f t="shared" ca="1" si="452"/>
        <v>Supercritical</v>
      </c>
      <c r="AO1161">
        <f ca="1">IF(V32="Supercritical",R1161,AA1161)</f>
        <v>482.07306851378365</v>
      </c>
    </row>
    <row r="1162" spans="1:41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174</v>
      </c>
      <c r="I1162">
        <v>2E-3</v>
      </c>
      <c r="J1162">
        <f t="shared" si="453"/>
        <v>1.0009999999999764</v>
      </c>
      <c r="K1162">
        <f t="shared" si="454"/>
        <v>51</v>
      </c>
      <c r="L1162">
        <f t="shared" ca="1" si="455"/>
        <v>38818.08422849029</v>
      </c>
      <c r="M1162">
        <f t="shared" ca="1" si="433"/>
        <v>201854.0379881495</v>
      </c>
      <c r="N1162">
        <f t="shared" ca="1" si="434"/>
        <v>2.5998258660264666</v>
      </c>
      <c r="O1162">
        <f t="shared" ca="1" si="435"/>
        <v>2.5265781407352435E-4</v>
      </c>
      <c r="P1162">
        <f t="shared" ca="1" si="436"/>
        <v>39450.140228490287</v>
      </c>
      <c r="Q1162">
        <f t="shared" ca="1" si="437"/>
        <v>39450.140228493539</v>
      </c>
      <c r="R1162">
        <f t="shared" ca="1" si="438"/>
        <v>4.0178060947905785E-12</v>
      </c>
      <c r="S1162">
        <f t="shared" ca="1" si="456"/>
        <v>1.0869565012399107E-3</v>
      </c>
      <c r="T1162">
        <f t="shared" ca="1" si="457"/>
        <v>0</v>
      </c>
      <c r="U1162">
        <f t="shared" ca="1" si="439"/>
        <v>0.05</v>
      </c>
      <c r="V1162">
        <f t="shared" ca="1" si="440"/>
        <v>0.26</v>
      </c>
      <c r="W1162">
        <f t="shared" ca="1" si="441"/>
        <v>4.9056603773584909E-2</v>
      </c>
      <c r="X1162">
        <f t="shared" ca="1" si="442"/>
        <v>196.15384615384616</v>
      </c>
      <c r="Y1162">
        <f t="shared" ca="1" si="443"/>
        <v>632.10599999999999</v>
      </c>
      <c r="Z1162">
        <f t="shared" ca="1" si="444"/>
        <v>2593.1830316486621</v>
      </c>
      <c r="AA1162">
        <f t="shared" ca="1" si="445"/>
        <v>482.07306851378365</v>
      </c>
      <c r="AB1162">
        <f t="shared" ca="1" si="446"/>
        <v>482.25887083179032</v>
      </c>
      <c r="AC1162">
        <f t="shared" ca="1" si="447"/>
        <v>0</v>
      </c>
      <c r="AD1162">
        <f ca="1">IF(V32="Supercritical",L1162,U1162)</f>
        <v>0.05</v>
      </c>
      <c r="AE1162">
        <f t="shared" ca="1" si="448"/>
        <v>632.10599999999999</v>
      </c>
      <c r="AF1162">
        <f t="shared" ca="1" si="449"/>
        <v>2593.1830316486621</v>
      </c>
      <c r="AI1162">
        <v>0</v>
      </c>
      <c r="AJ1162">
        <v>0</v>
      </c>
      <c r="AK1162">
        <f t="shared" si="450"/>
        <v>0</v>
      </c>
      <c r="AL1162">
        <f t="shared" si="458"/>
        <v>0</v>
      </c>
      <c r="AM1162">
        <f t="shared" ca="1" si="451"/>
        <v>280.07692026646265</v>
      </c>
      <c r="AN1162" t="str">
        <f t="shared" ca="1" si="452"/>
        <v>Supercritical</v>
      </c>
      <c r="AO1162">
        <f ca="1">IF(V32="Supercritical",R1162,AA1162)</f>
        <v>482.07306851378365</v>
      </c>
    </row>
    <row r="1163" spans="1:41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174</v>
      </c>
      <c r="I1163">
        <v>5.7000000000000002E-2</v>
      </c>
      <c r="J1163">
        <f t="shared" si="453"/>
        <v>1</v>
      </c>
      <c r="K1163">
        <f t="shared" si="454"/>
        <v>51</v>
      </c>
      <c r="L1163">
        <f t="shared" ca="1" si="455"/>
        <v>38818.08422849029</v>
      </c>
      <c r="M1163">
        <f t="shared" ca="1" si="433"/>
        <v>201854.0379881495</v>
      </c>
      <c r="N1163">
        <f t="shared" ca="1" si="434"/>
        <v>2.5998258660264666</v>
      </c>
      <c r="O1163">
        <f t="shared" ca="1" si="435"/>
        <v>2.5265781407352435E-4</v>
      </c>
      <c r="P1163">
        <f t="shared" ca="1" si="436"/>
        <v>39450.139728490292</v>
      </c>
      <c r="Q1163">
        <f t="shared" ca="1" si="437"/>
        <v>39450.139728493545</v>
      </c>
      <c r="R1163">
        <f t="shared" ca="1" si="438"/>
        <v>4.0178060947905785E-12</v>
      </c>
      <c r="S1163">
        <f t="shared" ca="1" si="456"/>
        <v>4.9999998736893758E-4</v>
      </c>
      <c r="T1163">
        <f t="shared" ca="1" si="457"/>
        <v>1</v>
      </c>
      <c r="U1163">
        <f t="shared" ca="1" si="439"/>
        <v>0.05</v>
      </c>
      <c r="V1163">
        <f t="shared" ca="1" si="440"/>
        <v>0.26</v>
      </c>
      <c r="W1163">
        <f t="shared" ca="1" si="441"/>
        <v>4.9056603773584909E-2</v>
      </c>
      <c r="X1163">
        <f t="shared" ca="1" si="442"/>
        <v>196.15384615384616</v>
      </c>
      <c r="Y1163">
        <f t="shared" ca="1" si="443"/>
        <v>632.10550000000001</v>
      </c>
      <c r="Z1163">
        <f t="shared" ca="1" si="444"/>
        <v>2593.182531648662</v>
      </c>
      <c r="AA1163">
        <f t="shared" ca="1" si="445"/>
        <v>482.07306851378365</v>
      </c>
      <c r="AB1163">
        <f t="shared" ca="1" si="446"/>
        <v>482.25887083179032</v>
      </c>
      <c r="AC1163">
        <f t="shared" ca="1" si="447"/>
        <v>0</v>
      </c>
      <c r="AD1163">
        <f ca="1">IF(V32="Supercritical",L1163,U1163)</f>
        <v>0.05</v>
      </c>
      <c r="AE1163">
        <f t="shared" ca="1" si="448"/>
        <v>632.10550000000001</v>
      </c>
      <c r="AF1163">
        <f t="shared" ca="1" si="449"/>
        <v>2593.182531648662</v>
      </c>
      <c r="AI1163">
        <v>0</v>
      </c>
      <c r="AJ1163">
        <v>0</v>
      </c>
      <c r="AK1163">
        <f t="shared" si="450"/>
        <v>0</v>
      </c>
      <c r="AL1163">
        <f t="shared" si="458"/>
        <v>0</v>
      </c>
      <c r="AM1163">
        <f t="shared" ca="1" si="451"/>
        <v>280.07692026646265</v>
      </c>
      <c r="AN1163" t="str">
        <f t="shared" ca="1" si="452"/>
        <v>Supercritical</v>
      </c>
      <c r="AO1163">
        <f ca="1">IF(V32="Supercritical",R1163,AA1163)</f>
        <v>482.07306851378365</v>
      </c>
    </row>
    <row r="1164" spans="1:41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174</v>
      </c>
      <c r="I1164">
        <v>5.7000000000000002E-2</v>
      </c>
      <c r="J1164">
        <f t="shared" si="453"/>
        <v>1</v>
      </c>
      <c r="K1164">
        <f t="shared" si="454"/>
        <v>51</v>
      </c>
      <c r="L1164">
        <f t="shared" ca="1" si="455"/>
        <v>38818.083641533762</v>
      </c>
      <c r="M1164">
        <f t="shared" ca="1" si="433"/>
        <v>201854.03493597556</v>
      </c>
      <c r="N1164">
        <f t="shared" ca="1" si="434"/>
        <v>2.5998258660238336</v>
      </c>
      <c r="O1164">
        <f t="shared" ca="1" si="435"/>
        <v>2.5265781789388688E-4</v>
      </c>
      <c r="P1164">
        <f t="shared" ca="1" si="436"/>
        <v>39450.138641533762</v>
      </c>
      <c r="Q1164">
        <f t="shared" ca="1" si="437"/>
        <v>39450.138641537014</v>
      </c>
      <c r="R1164">
        <f t="shared" ca="1" si="438"/>
        <v>4.0178062163000718E-12</v>
      </c>
      <c r="S1164">
        <f t="shared" ca="1" si="456"/>
        <v>1.0869565230677836E-3</v>
      </c>
      <c r="T1164">
        <f t="shared" ca="1" si="457"/>
        <v>0</v>
      </c>
      <c r="U1164">
        <f t="shared" ca="1" si="439"/>
        <v>0.05</v>
      </c>
      <c r="V1164">
        <f t="shared" ca="1" si="440"/>
        <v>0.26</v>
      </c>
      <c r="W1164">
        <f t="shared" ca="1" si="441"/>
        <v>4.9056603773584909E-2</v>
      </c>
      <c r="X1164">
        <f t="shared" ca="1" si="442"/>
        <v>196.15384615384616</v>
      </c>
      <c r="Y1164">
        <f t="shared" ca="1" si="443"/>
        <v>632.1049999999999</v>
      </c>
      <c r="Z1164">
        <f t="shared" ca="1" si="444"/>
        <v>2593.1820316486619</v>
      </c>
      <c r="AA1164">
        <f t="shared" ca="1" si="445"/>
        <v>482.07306851378365</v>
      </c>
      <c r="AB1164">
        <f t="shared" ca="1" si="446"/>
        <v>481.59049544528125</v>
      </c>
      <c r="AC1164">
        <f t="shared" ca="1" si="447"/>
        <v>0</v>
      </c>
      <c r="AD1164">
        <f ca="1">IF(V32="Supercritical",L1164,U1164)</f>
        <v>0.05</v>
      </c>
      <c r="AE1164">
        <f t="shared" ca="1" si="448"/>
        <v>632.1049999999999</v>
      </c>
      <c r="AF1164">
        <f t="shared" ca="1" si="449"/>
        <v>2593.1820316486619</v>
      </c>
      <c r="AI1164">
        <v>0</v>
      </c>
      <c r="AJ1164">
        <v>0</v>
      </c>
      <c r="AK1164">
        <f t="shared" si="450"/>
        <v>0</v>
      </c>
      <c r="AL1164">
        <f t="shared" si="458"/>
        <v>0</v>
      </c>
      <c r="AM1164">
        <f t="shared" ca="1" si="451"/>
        <v>280.07692026646265</v>
      </c>
      <c r="AN1164" t="str">
        <f t="shared" ca="1" si="452"/>
        <v>Supercritical</v>
      </c>
      <c r="AO1164">
        <f ca="1">IF(V32="Supercritical",R1164,AA1164)</f>
        <v>482.07306851378365</v>
      </c>
    </row>
    <row r="1165" spans="1:41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174</v>
      </c>
      <c r="I1165">
        <v>0</v>
      </c>
      <c r="J1165">
        <f t="shared" si="453"/>
        <v>0.99900000000002365</v>
      </c>
      <c r="K1165">
        <f t="shared" si="454"/>
        <v>51</v>
      </c>
      <c r="L1165">
        <f t="shared" ca="1" si="455"/>
        <v>38818.083641533762</v>
      </c>
      <c r="M1165">
        <f t="shared" ca="1" si="433"/>
        <v>201854.03493597556</v>
      </c>
      <c r="N1165">
        <f t="shared" ca="1" si="434"/>
        <v>2.5998258660238336</v>
      </c>
      <c r="O1165">
        <f t="shared" ca="1" si="435"/>
        <v>2.5265781789388688E-4</v>
      </c>
      <c r="P1165">
        <f t="shared" ca="1" si="436"/>
        <v>39450.13814153376</v>
      </c>
      <c r="Q1165">
        <f t="shared" ca="1" si="437"/>
        <v>39450.138141537012</v>
      </c>
      <c r="R1165">
        <f t="shared" ca="1" si="438"/>
        <v>4.0178062163000718E-12</v>
      </c>
      <c r="S1165">
        <f t="shared" ca="1" si="456"/>
        <v>4.999999946448952E-4</v>
      </c>
      <c r="T1165">
        <f t="shared" ca="1" si="457"/>
        <v>1</v>
      </c>
      <c r="U1165">
        <f t="shared" ca="1" si="439"/>
        <v>0.05</v>
      </c>
      <c r="V1165">
        <f t="shared" ca="1" si="440"/>
        <v>0.26</v>
      </c>
      <c r="W1165">
        <f t="shared" ca="1" si="441"/>
        <v>4.9056603773584909E-2</v>
      </c>
      <c r="X1165">
        <f t="shared" ca="1" si="442"/>
        <v>196.15384615384616</v>
      </c>
      <c r="Y1165">
        <f t="shared" ca="1" si="443"/>
        <v>632.10449999999992</v>
      </c>
      <c r="Z1165">
        <f t="shared" ca="1" si="444"/>
        <v>2593.1815316486618</v>
      </c>
      <c r="AA1165">
        <f t="shared" ca="1" si="445"/>
        <v>482.07306851378365</v>
      </c>
      <c r="AB1165">
        <f t="shared" ca="1" si="446"/>
        <v>482.07256851378406</v>
      </c>
      <c r="AC1165">
        <f t="shared" ca="1" si="447"/>
        <v>0</v>
      </c>
      <c r="AD1165">
        <f ca="1">IF(V32="Supercritical",L1165,U1165)</f>
        <v>0.05</v>
      </c>
      <c r="AE1165">
        <f t="shared" ca="1" si="448"/>
        <v>632.10449999999992</v>
      </c>
      <c r="AF1165">
        <f t="shared" ca="1" si="449"/>
        <v>2593.1815316486618</v>
      </c>
      <c r="AI1165">
        <v>0</v>
      </c>
      <c r="AJ1165">
        <v>0</v>
      </c>
      <c r="AK1165">
        <f t="shared" si="450"/>
        <v>0</v>
      </c>
      <c r="AL1165">
        <f t="shared" si="458"/>
        <v>0</v>
      </c>
      <c r="AM1165">
        <f t="shared" ca="1" si="451"/>
        <v>280.07692026646265</v>
      </c>
      <c r="AN1165" t="str">
        <f t="shared" ca="1" si="452"/>
        <v>Supercritical</v>
      </c>
      <c r="AO1165">
        <f ca="1">IF(V32="Supercritical",R1165,AA1165)</f>
        <v>482.07306851378365</v>
      </c>
    </row>
    <row r="1166" spans="1:41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174</v>
      </c>
      <c r="I1166">
        <v>0</v>
      </c>
      <c r="J1166">
        <f t="shared" si="453"/>
        <v>1</v>
      </c>
      <c r="K1166">
        <f t="shared" si="454"/>
        <v>51</v>
      </c>
      <c r="L1166">
        <f t="shared" ca="1" si="455"/>
        <v>38818.083054577219</v>
      </c>
      <c r="M1166">
        <f t="shared" ca="1" si="433"/>
        <v>201854.03188380154</v>
      </c>
      <c r="N1166">
        <f t="shared" ca="1" si="434"/>
        <v>2.5998258660212006</v>
      </c>
      <c r="O1166">
        <f t="shared" ca="1" si="435"/>
        <v>2.5265782171424969E-4</v>
      </c>
      <c r="P1166">
        <f t="shared" ca="1" si="436"/>
        <v>39450.137054577215</v>
      </c>
      <c r="Q1166">
        <f t="shared" ca="1" si="437"/>
        <v>39450.137054580468</v>
      </c>
      <c r="R1166">
        <f t="shared" ca="1" si="438"/>
        <v>4.0178063378095733E-12</v>
      </c>
      <c r="S1166">
        <f t="shared" ca="1" si="456"/>
        <v>1.0869565376196988E-3</v>
      </c>
      <c r="T1166">
        <f t="shared" ca="1" si="457"/>
        <v>0</v>
      </c>
      <c r="U1166">
        <f t="shared" ca="1" si="439"/>
        <v>0.05</v>
      </c>
      <c r="V1166">
        <f t="shared" ca="1" si="440"/>
        <v>0.26</v>
      </c>
      <c r="W1166">
        <f t="shared" ca="1" si="441"/>
        <v>4.9056603773584909E-2</v>
      </c>
      <c r="X1166">
        <f t="shared" ca="1" si="442"/>
        <v>196.15384615384616</v>
      </c>
      <c r="Y1166">
        <f t="shared" ca="1" si="443"/>
        <v>632.10399999999993</v>
      </c>
      <c r="Z1166">
        <f t="shared" ca="1" si="444"/>
        <v>2593.1810316486622</v>
      </c>
      <c r="AA1166">
        <f t="shared" ca="1" si="445"/>
        <v>482.07306851378365</v>
      </c>
      <c r="AB1166">
        <f t="shared" ca="1" si="446"/>
        <v>482.25887083179032</v>
      </c>
      <c r="AC1166">
        <f t="shared" ca="1" si="447"/>
        <v>0</v>
      </c>
      <c r="AD1166">
        <f ca="1">IF(V32="Supercritical",L1166,U1166)</f>
        <v>0.05</v>
      </c>
      <c r="AE1166">
        <f t="shared" ca="1" si="448"/>
        <v>632.10399999999993</v>
      </c>
      <c r="AF1166">
        <f t="shared" ca="1" si="449"/>
        <v>2593.1810316486622</v>
      </c>
      <c r="AI1166">
        <v>0</v>
      </c>
      <c r="AJ1166">
        <v>0</v>
      </c>
      <c r="AK1166">
        <f t="shared" si="450"/>
        <v>0</v>
      </c>
      <c r="AL1166">
        <f t="shared" si="458"/>
        <v>0</v>
      </c>
      <c r="AM1166">
        <f t="shared" ca="1" si="451"/>
        <v>280.07692026646265</v>
      </c>
      <c r="AN1166" t="str">
        <f t="shared" ca="1" si="452"/>
        <v>Supercritical</v>
      </c>
      <c r="AO1166">
        <f ca="1">IF(V32="Supercritical",R1166,AA1166)</f>
        <v>482.07306851378365</v>
      </c>
    </row>
    <row r="1167" spans="1:41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174</v>
      </c>
      <c r="I1167">
        <v>5.7000000000000002E-2</v>
      </c>
      <c r="J1167">
        <f t="shared" si="453"/>
        <v>1</v>
      </c>
      <c r="K1167">
        <f t="shared" si="454"/>
        <v>51</v>
      </c>
      <c r="L1167">
        <f t="shared" ca="1" si="455"/>
        <v>38818.083054577219</v>
      </c>
      <c r="M1167">
        <f t="shared" ca="1" si="433"/>
        <v>201854.03188380154</v>
      </c>
      <c r="N1167">
        <f t="shared" ca="1" si="434"/>
        <v>2.5998258660212006</v>
      </c>
      <c r="O1167">
        <f t="shared" ca="1" si="435"/>
        <v>2.5265782171424969E-4</v>
      </c>
      <c r="P1167">
        <f t="shared" ca="1" si="436"/>
        <v>39450.136554577221</v>
      </c>
      <c r="Q1167">
        <f t="shared" ca="1" si="437"/>
        <v>39450.136554580473</v>
      </c>
      <c r="R1167">
        <f t="shared" ca="1" si="438"/>
        <v>4.0178063378095733E-12</v>
      </c>
      <c r="S1167">
        <f t="shared" ca="1" si="456"/>
        <v>4.9999998736893758E-4</v>
      </c>
      <c r="T1167">
        <f t="shared" ca="1" si="457"/>
        <v>1</v>
      </c>
      <c r="U1167">
        <f t="shared" ca="1" si="439"/>
        <v>0.05</v>
      </c>
      <c r="V1167">
        <f t="shared" ca="1" si="440"/>
        <v>0.26</v>
      </c>
      <c r="W1167">
        <f t="shared" ca="1" si="441"/>
        <v>4.9056603773584909E-2</v>
      </c>
      <c r="X1167">
        <f t="shared" ca="1" si="442"/>
        <v>196.15384615384616</v>
      </c>
      <c r="Y1167">
        <f t="shared" ca="1" si="443"/>
        <v>632.10349999999994</v>
      </c>
      <c r="Z1167">
        <f t="shared" ca="1" si="444"/>
        <v>2593.1805316486621</v>
      </c>
      <c r="AA1167">
        <f t="shared" ca="1" si="445"/>
        <v>482.07306851378365</v>
      </c>
      <c r="AB1167">
        <f t="shared" ca="1" si="446"/>
        <v>482.25887083179032</v>
      </c>
      <c r="AC1167">
        <f t="shared" ca="1" si="447"/>
        <v>0</v>
      </c>
      <c r="AD1167">
        <f ca="1">IF(V32="Supercritical",L1167,U1167)</f>
        <v>0.05</v>
      </c>
      <c r="AE1167">
        <f t="shared" ca="1" si="448"/>
        <v>632.10349999999994</v>
      </c>
      <c r="AF1167">
        <f t="shared" ca="1" si="449"/>
        <v>2593.1805316486621</v>
      </c>
      <c r="AI1167">
        <v>0</v>
      </c>
      <c r="AJ1167">
        <v>0</v>
      </c>
      <c r="AK1167">
        <f t="shared" si="450"/>
        <v>0</v>
      </c>
      <c r="AL1167">
        <f t="shared" si="458"/>
        <v>0</v>
      </c>
      <c r="AM1167">
        <f t="shared" ca="1" si="451"/>
        <v>280.07692026646265</v>
      </c>
      <c r="AN1167" t="str">
        <f t="shared" ca="1" si="452"/>
        <v>Supercritical</v>
      </c>
      <c r="AO1167">
        <f ca="1">IF(V32="Supercritical",R1167,AA1167)</f>
        <v>482.07306851378365</v>
      </c>
    </row>
    <row r="1168" spans="1:41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174</v>
      </c>
      <c r="I1168">
        <v>5.7000000000000002E-2</v>
      </c>
      <c r="J1168">
        <f t="shared" si="453"/>
        <v>1</v>
      </c>
      <c r="K1168">
        <f t="shared" si="454"/>
        <v>51</v>
      </c>
      <c r="L1168">
        <f t="shared" ca="1" si="455"/>
        <v>38818.082467620712</v>
      </c>
      <c r="M1168">
        <f t="shared" ca="1" si="433"/>
        <v>201854.02883162771</v>
      </c>
      <c r="N1168">
        <f t="shared" ca="1" si="434"/>
        <v>2.599825866018568</v>
      </c>
      <c r="O1168">
        <f t="shared" ca="1" si="435"/>
        <v>2.5265782553461234E-4</v>
      </c>
      <c r="P1168">
        <f t="shared" ca="1" si="436"/>
        <v>39450.135467620712</v>
      </c>
      <c r="Q1168">
        <f t="shared" ca="1" si="437"/>
        <v>39450.135467623964</v>
      </c>
      <c r="R1168">
        <f t="shared" ca="1" si="438"/>
        <v>4.0178064593190723E-12</v>
      </c>
      <c r="S1168">
        <f t="shared" ca="1" si="456"/>
        <v>1.0869565012399107E-3</v>
      </c>
      <c r="T1168">
        <f t="shared" ca="1" si="457"/>
        <v>0</v>
      </c>
      <c r="U1168">
        <f t="shared" ca="1" si="439"/>
        <v>0.05</v>
      </c>
      <c r="V1168">
        <f t="shared" ca="1" si="440"/>
        <v>0.26</v>
      </c>
      <c r="W1168">
        <f t="shared" ca="1" si="441"/>
        <v>4.9056603773584909E-2</v>
      </c>
      <c r="X1168">
        <f t="shared" ca="1" si="442"/>
        <v>196.15384615384616</v>
      </c>
      <c r="Y1168">
        <f t="shared" ca="1" si="443"/>
        <v>632.10299999999995</v>
      </c>
      <c r="Z1168">
        <f t="shared" ca="1" si="444"/>
        <v>2593.180031648662</v>
      </c>
      <c r="AA1168">
        <f t="shared" ca="1" si="445"/>
        <v>482.07306851378365</v>
      </c>
      <c r="AB1168">
        <f t="shared" ca="1" si="446"/>
        <v>482.07256851378406</v>
      </c>
      <c r="AC1168">
        <f t="shared" ca="1" si="447"/>
        <v>0</v>
      </c>
      <c r="AD1168">
        <f ca="1">IF(V32="Supercritical",L1168,U1168)</f>
        <v>0.05</v>
      </c>
      <c r="AE1168">
        <f t="shared" ca="1" si="448"/>
        <v>632.10299999999995</v>
      </c>
      <c r="AF1168">
        <f t="shared" ca="1" si="449"/>
        <v>2593.180031648662</v>
      </c>
      <c r="AI1168">
        <v>0</v>
      </c>
      <c r="AJ1168">
        <v>0</v>
      </c>
      <c r="AK1168">
        <f t="shared" si="450"/>
        <v>0</v>
      </c>
      <c r="AL1168">
        <f t="shared" si="458"/>
        <v>0</v>
      </c>
      <c r="AM1168">
        <f t="shared" ca="1" si="451"/>
        <v>280.07692026646265</v>
      </c>
      <c r="AN1168" t="str">
        <f t="shared" ca="1" si="452"/>
        <v>Supercritical</v>
      </c>
      <c r="AO1168">
        <f ca="1">IF(V32="Supercritical",R1168,AA1168)</f>
        <v>482.07306851378365</v>
      </c>
    </row>
    <row r="1169" spans="1:41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174</v>
      </c>
      <c r="I1169">
        <v>0</v>
      </c>
      <c r="J1169">
        <f t="shared" si="453"/>
        <v>1</v>
      </c>
      <c r="K1169">
        <f t="shared" si="454"/>
        <v>51</v>
      </c>
      <c r="L1169">
        <f t="shared" ca="1" si="455"/>
        <v>38818.082467620712</v>
      </c>
      <c r="M1169">
        <f t="shared" ca="1" si="433"/>
        <v>201854.02883162771</v>
      </c>
      <c r="N1169">
        <f t="shared" ca="1" si="434"/>
        <v>2.599825866018568</v>
      </c>
      <c r="O1169">
        <f t="shared" ca="1" si="435"/>
        <v>2.5265782553461234E-4</v>
      </c>
      <c r="P1169">
        <f t="shared" ca="1" si="436"/>
        <v>39450.13496762071</v>
      </c>
      <c r="Q1169">
        <f t="shared" ca="1" si="437"/>
        <v>39450.134967623962</v>
      </c>
      <c r="R1169">
        <f t="shared" ca="1" si="438"/>
        <v>4.0178064593190723E-12</v>
      </c>
      <c r="S1169">
        <f t="shared" ca="1" si="456"/>
        <v>4.999999946448952E-4</v>
      </c>
      <c r="T1169">
        <f t="shared" ca="1" si="457"/>
        <v>1</v>
      </c>
      <c r="U1169">
        <f t="shared" ca="1" si="439"/>
        <v>0.05</v>
      </c>
      <c r="V1169">
        <f t="shared" ca="1" si="440"/>
        <v>0.26</v>
      </c>
      <c r="W1169">
        <f t="shared" ca="1" si="441"/>
        <v>4.9056603773584909E-2</v>
      </c>
      <c r="X1169">
        <f t="shared" ca="1" si="442"/>
        <v>196.15384615384616</v>
      </c>
      <c r="Y1169">
        <f t="shared" ca="1" si="443"/>
        <v>632.10249999999996</v>
      </c>
      <c r="Z1169">
        <f t="shared" ca="1" si="444"/>
        <v>2593.1795316486623</v>
      </c>
      <c r="AA1169">
        <f t="shared" ca="1" si="445"/>
        <v>482.07306851378365</v>
      </c>
      <c r="AB1169">
        <f t="shared" ca="1" si="446"/>
        <v>482.07256851378361</v>
      </c>
      <c r="AC1169">
        <f t="shared" ca="1" si="447"/>
        <v>0</v>
      </c>
      <c r="AD1169">
        <f ca="1">IF(V32="Supercritical",L1169,U1169)</f>
        <v>0.05</v>
      </c>
      <c r="AE1169">
        <f t="shared" ca="1" si="448"/>
        <v>632.10249999999996</v>
      </c>
      <c r="AF1169">
        <f t="shared" ca="1" si="449"/>
        <v>2593.1795316486623</v>
      </c>
      <c r="AI1169">
        <v>0</v>
      </c>
      <c r="AJ1169">
        <v>0</v>
      </c>
      <c r="AK1169">
        <f t="shared" si="450"/>
        <v>0</v>
      </c>
      <c r="AL1169">
        <f t="shared" si="458"/>
        <v>0</v>
      </c>
      <c r="AM1169">
        <f t="shared" ca="1" si="451"/>
        <v>280.07692026646265</v>
      </c>
      <c r="AN1169" t="str">
        <f t="shared" ca="1" si="452"/>
        <v>Supercritical</v>
      </c>
      <c r="AO1169">
        <f ca="1">IF(V32="Supercritical",R1169,AA1169)</f>
        <v>482.07306851378365</v>
      </c>
    </row>
    <row r="1170" spans="1:41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174</v>
      </c>
      <c r="I1170">
        <v>0</v>
      </c>
      <c r="J1170">
        <f t="shared" si="453"/>
        <v>1</v>
      </c>
      <c r="K1170">
        <f t="shared" si="454"/>
        <v>51</v>
      </c>
      <c r="L1170">
        <f t="shared" ca="1" si="455"/>
        <v>38818.081880664198</v>
      </c>
      <c r="M1170">
        <f t="shared" ca="1" si="433"/>
        <v>201854.02577945383</v>
      </c>
      <c r="N1170">
        <f t="shared" ca="1" si="434"/>
        <v>2.599825866015935</v>
      </c>
      <c r="O1170">
        <f t="shared" ca="1" si="435"/>
        <v>2.5265782935497515E-4</v>
      </c>
      <c r="P1170">
        <f t="shared" ca="1" si="436"/>
        <v>39450.133880664202</v>
      </c>
      <c r="Q1170">
        <f t="shared" ca="1" si="437"/>
        <v>39450.133880667454</v>
      </c>
      <c r="R1170">
        <f t="shared" ca="1" si="438"/>
        <v>4.0178065808285794E-12</v>
      </c>
      <c r="S1170">
        <f t="shared" ca="1" si="456"/>
        <v>1.0869565012399107E-3</v>
      </c>
      <c r="T1170">
        <f t="shared" ca="1" si="457"/>
        <v>0</v>
      </c>
      <c r="U1170">
        <f t="shared" ca="1" si="439"/>
        <v>0.05</v>
      </c>
      <c r="V1170">
        <f t="shared" ca="1" si="440"/>
        <v>0.26</v>
      </c>
      <c r="W1170">
        <f t="shared" ca="1" si="441"/>
        <v>4.9056603773584909E-2</v>
      </c>
      <c r="X1170">
        <f t="shared" ca="1" si="442"/>
        <v>196.15384615384616</v>
      </c>
      <c r="Y1170">
        <f t="shared" ca="1" si="443"/>
        <v>632.10199999999998</v>
      </c>
      <c r="Z1170">
        <f t="shared" ca="1" si="444"/>
        <v>2593.1790316486622</v>
      </c>
      <c r="AA1170">
        <f t="shared" ca="1" si="445"/>
        <v>482.07306851378365</v>
      </c>
      <c r="AB1170">
        <f t="shared" ca="1" si="446"/>
        <v>482.25233390835137</v>
      </c>
      <c r="AC1170">
        <f t="shared" ca="1" si="447"/>
        <v>0</v>
      </c>
      <c r="AD1170">
        <f ca="1">IF(V32="Supercritical",L1170,U1170)</f>
        <v>0.05</v>
      </c>
      <c r="AE1170">
        <f t="shared" ca="1" si="448"/>
        <v>632.10199999999998</v>
      </c>
      <c r="AF1170">
        <f t="shared" ca="1" si="449"/>
        <v>2593.1790316486622</v>
      </c>
      <c r="AI1170">
        <v>0</v>
      </c>
      <c r="AJ1170">
        <v>0</v>
      </c>
      <c r="AK1170">
        <f t="shared" si="450"/>
        <v>0</v>
      </c>
      <c r="AL1170">
        <f t="shared" si="458"/>
        <v>0</v>
      </c>
      <c r="AM1170">
        <f t="shared" ca="1" si="451"/>
        <v>280.07692026646265</v>
      </c>
      <c r="AN1170" t="str">
        <f t="shared" ca="1" si="452"/>
        <v>Supercritical</v>
      </c>
      <c r="AO1170">
        <f ca="1">IF(V32="Supercritical",R1170,AA1170)</f>
        <v>482.07306851378365</v>
      </c>
    </row>
    <row r="1171" spans="1:41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174</v>
      </c>
      <c r="I1171">
        <v>5.5E-2</v>
      </c>
      <c r="J1171">
        <f t="shared" si="453"/>
        <v>1</v>
      </c>
      <c r="K1171">
        <f t="shared" si="454"/>
        <v>51</v>
      </c>
      <c r="L1171">
        <f t="shared" ca="1" si="455"/>
        <v>38818.081880664198</v>
      </c>
      <c r="M1171">
        <f t="shared" ca="1" si="433"/>
        <v>201854.02577945383</v>
      </c>
      <c r="N1171">
        <f t="shared" ca="1" si="434"/>
        <v>2.599825866015935</v>
      </c>
      <c r="O1171">
        <f t="shared" ca="1" si="435"/>
        <v>2.5265782935497515E-4</v>
      </c>
      <c r="P1171">
        <f t="shared" ca="1" si="436"/>
        <v>39450.1333806642</v>
      </c>
      <c r="Q1171">
        <f t="shared" ca="1" si="437"/>
        <v>39450.133380667452</v>
      </c>
      <c r="R1171">
        <f t="shared" ca="1" si="438"/>
        <v>4.0178065808285794E-12</v>
      </c>
      <c r="S1171">
        <f t="shared" ca="1" si="456"/>
        <v>4.999999946448952E-4</v>
      </c>
      <c r="T1171">
        <f t="shared" ca="1" si="457"/>
        <v>1</v>
      </c>
      <c r="U1171">
        <f t="shared" ca="1" si="439"/>
        <v>0.05</v>
      </c>
      <c r="V1171">
        <f t="shared" ca="1" si="440"/>
        <v>0.26</v>
      </c>
      <c r="W1171">
        <f t="shared" ca="1" si="441"/>
        <v>4.9056603773584909E-2</v>
      </c>
      <c r="X1171">
        <f t="shared" ca="1" si="442"/>
        <v>196.15384615384616</v>
      </c>
      <c r="Y1171">
        <f t="shared" ca="1" si="443"/>
        <v>632.10149999999999</v>
      </c>
      <c r="Z1171">
        <f t="shared" ca="1" si="444"/>
        <v>2593.1785316486621</v>
      </c>
      <c r="AA1171">
        <f t="shared" ca="1" si="445"/>
        <v>482.07306851378365</v>
      </c>
      <c r="AB1171">
        <f t="shared" ca="1" si="446"/>
        <v>482.73440697685373</v>
      </c>
      <c r="AC1171">
        <f t="shared" ca="1" si="447"/>
        <v>0</v>
      </c>
      <c r="AD1171">
        <f ca="1">IF(V32="Supercritical",L1171,U1171)</f>
        <v>0.05</v>
      </c>
      <c r="AE1171">
        <f t="shared" ca="1" si="448"/>
        <v>632.10149999999999</v>
      </c>
      <c r="AF1171">
        <f t="shared" ca="1" si="449"/>
        <v>2593.1785316486621</v>
      </c>
      <c r="AI1171">
        <v>0</v>
      </c>
      <c r="AJ1171">
        <v>0</v>
      </c>
      <c r="AK1171">
        <f t="shared" si="450"/>
        <v>0</v>
      </c>
      <c r="AL1171">
        <f t="shared" si="458"/>
        <v>0</v>
      </c>
      <c r="AM1171">
        <f t="shared" ca="1" si="451"/>
        <v>280.07692026646265</v>
      </c>
      <c r="AN1171" t="str">
        <f t="shared" ca="1" si="452"/>
        <v>Supercritical</v>
      </c>
      <c r="AO1171">
        <f ca="1">IF(V32="Supercritical",R1171,AA1171)</f>
        <v>482.07306851378365</v>
      </c>
    </row>
    <row r="1172" spans="1:41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174</v>
      </c>
      <c r="I1172">
        <v>5.5E-2</v>
      </c>
      <c r="J1172">
        <f t="shared" si="453"/>
        <v>1.0009999999999764</v>
      </c>
      <c r="K1172">
        <f t="shared" si="454"/>
        <v>51</v>
      </c>
      <c r="L1172">
        <f t="shared" ca="1" si="455"/>
        <v>38818.081293707692</v>
      </c>
      <c r="M1172">
        <f t="shared" ca="1" si="433"/>
        <v>201854.02272728001</v>
      </c>
      <c r="N1172">
        <f t="shared" ca="1" si="434"/>
        <v>2.5998258660133025</v>
      </c>
      <c r="O1172">
        <f t="shared" ca="1" si="435"/>
        <v>2.5265783317533801E-4</v>
      </c>
      <c r="P1172">
        <f t="shared" ca="1" si="436"/>
        <v>39450.132293707691</v>
      </c>
      <c r="Q1172">
        <f t="shared" ca="1" si="437"/>
        <v>39450.132293710943</v>
      </c>
      <c r="R1172">
        <f t="shared" ca="1" si="438"/>
        <v>4.0178067023380881E-12</v>
      </c>
      <c r="S1172">
        <f t="shared" ca="1" si="456"/>
        <v>1.0869565012399107E-3</v>
      </c>
      <c r="T1172">
        <f t="shared" ca="1" si="457"/>
        <v>0</v>
      </c>
      <c r="U1172">
        <f t="shared" ca="1" si="439"/>
        <v>0.05</v>
      </c>
      <c r="V1172">
        <f t="shared" ca="1" si="440"/>
        <v>0.26</v>
      </c>
      <c r="W1172">
        <f t="shared" ca="1" si="441"/>
        <v>4.9056603773584909E-2</v>
      </c>
      <c r="X1172">
        <f t="shared" ca="1" si="442"/>
        <v>196.15384615384616</v>
      </c>
      <c r="Y1172">
        <f t="shared" ca="1" si="443"/>
        <v>632.101</v>
      </c>
      <c r="Z1172">
        <f t="shared" ca="1" si="444"/>
        <v>2593.178031648662</v>
      </c>
      <c r="AA1172">
        <f t="shared" ca="1" si="445"/>
        <v>482.07306851378365</v>
      </c>
      <c r="AB1172">
        <f t="shared" ca="1" si="446"/>
        <v>482.07256851378361</v>
      </c>
      <c r="AC1172">
        <f t="shared" ca="1" si="447"/>
        <v>0</v>
      </c>
      <c r="AD1172">
        <f ca="1">IF(V32="Supercritical",L1172,U1172)</f>
        <v>0.05</v>
      </c>
      <c r="AE1172">
        <f t="shared" ca="1" si="448"/>
        <v>632.101</v>
      </c>
      <c r="AF1172">
        <f t="shared" ca="1" si="449"/>
        <v>2593.178031648662</v>
      </c>
      <c r="AI1172">
        <v>0</v>
      </c>
      <c r="AJ1172">
        <v>0</v>
      </c>
      <c r="AK1172">
        <f t="shared" si="450"/>
        <v>0</v>
      </c>
      <c r="AL1172">
        <f t="shared" si="458"/>
        <v>0</v>
      </c>
      <c r="AM1172">
        <f t="shared" ca="1" si="451"/>
        <v>280.07692026646265</v>
      </c>
      <c r="AN1172" t="str">
        <f t="shared" ca="1" si="452"/>
        <v>Supercritical</v>
      </c>
      <c r="AO1172">
        <f ca="1">IF(V32="Supercritical",R1172,AA1172)</f>
        <v>482.07306851378365</v>
      </c>
    </row>
    <row r="1173" spans="1:41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174</v>
      </c>
      <c r="I1173">
        <v>0</v>
      </c>
      <c r="J1173">
        <f t="shared" si="453"/>
        <v>1</v>
      </c>
      <c r="K1173">
        <f t="shared" si="454"/>
        <v>51</v>
      </c>
      <c r="L1173">
        <f t="shared" ca="1" si="455"/>
        <v>38818.081293707692</v>
      </c>
      <c r="M1173">
        <f t="shared" ca="1" si="433"/>
        <v>201854.02272728001</v>
      </c>
      <c r="N1173">
        <f t="shared" ca="1" si="434"/>
        <v>2.5998258660133025</v>
      </c>
      <c r="O1173">
        <f t="shared" ca="1" si="435"/>
        <v>2.5265783317533801E-4</v>
      </c>
      <c r="P1173">
        <f t="shared" ca="1" si="436"/>
        <v>39450.131793707689</v>
      </c>
      <c r="Q1173">
        <f t="shared" ca="1" si="437"/>
        <v>39450.131793710942</v>
      </c>
      <c r="R1173">
        <f t="shared" ca="1" si="438"/>
        <v>4.0178067023380881E-12</v>
      </c>
      <c r="S1173">
        <f t="shared" ca="1" si="456"/>
        <v>4.999999946448952E-4</v>
      </c>
      <c r="T1173">
        <f t="shared" ca="1" si="457"/>
        <v>1</v>
      </c>
      <c r="U1173">
        <f t="shared" ca="1" si="439"/>
        <v>0.05</v>
      </c>
      <c r="V1173">
        <f t="shared" ca="1" si="440"/>
        <v>0.26</v>
      </c>
      <c r="W1173">
        <f t="shared" ca="1" si="441"/>
        <v>4.9056603773584909E-2</v>
      </c>
      <c r="X1173">
        <f t="shared" ca="1" si="442"/>
        <v>196.15384615384616</v>
      </c>
      <c r="Y1173">
        <f t="shared" ca="1" si="443"/>
        <v>632.10050000000001</v>
      </c>
      <c r="Z1173">
        <f t="shared" ca="1" si="444"/>
        <v>2593.1775316486619</v>
      </c>
      <c r="AA1173">
        <f t="shared" ca="1" si="445"/>
        <v>482.07306851378365</v>
      </c>
      <c r="AB1173">
        <f t="shared" ca="1" si="446"/>
        <v>481.59049544528125</v>
      </c>
      <c r="AC1173">
        <f t="shared" ca="1" si="447"/>
        <v>0</v>
      </c>
      <c r="AD1173">
        <f ca="1">IF(V32="Supercritical",L1173,U1173)</f>
        <v>0.05</v>
      </c>
      <c r="AE1173">
        <f t="shared" ca="1" si="448"/>
        <v>632.10050000000001</v>
      </c>
      <c r="AF1173">
        <f t="shared" ca="1" si="449"/>
        <v>2593.1775316486619</v>
      </c>
      <c r="AI1173">
        <v>0</v>
      </c>
      <c r="AJ1173">
        <v>0</v>
      </c>
      <c r="AK1173">
        <f t="shared" si="450"/>
        <v>0</v>
      </c>
      <c r="AL1173">
        <f t="shared" si="458"/>
        <v>0</v>
      </c>
      <c r="AM1173">
        <f t="shared" ca="1" si="451"/>
        <v>280.07692026646265</v>
      </c>
      <c r="AN1173" t="str">
        <f t="shared" ca="1" si="452"/>
        <v>Supercritical</v>
      </c>
      <c r="AO1173">
        <f ca="1">IF(V32="Supercritical",R1173,AA1173)</f>
        <v>482.07306851378365</v>
      </c>
    </row>
    <row r="1174" spans="1:41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174</v>
      </c>
      <c r="I1174">
        <v>0</v>
      </c>
      <c r="J1174">
        <f t="shared" si="453"/>
        <v>0.99900000000002365</v>
      </c>
      <c r="K1174">
        <f t="shared" si="454"/>
        <v>51</v>
      </c>
      <c r="L1174">
        <f t="shared" ca="1" si="455"/>
        <v>38818.080706751149</v>
      </c>
      <c r="M1174">
        <f t="shared" ref="M1174:M1237" ca="1" si="459">((F1174)+(G1174)*(L1174))*(L1174)</f>
        <v>201854.01967510598</v>
      </c>
      <c r="N1174">
        <f t="shared" ref="N1174:N1237" ca="1" si="460">(((F1174)+(G1174)*(L1174))*(L1174))/MAX((F1174)+2*(L1174)*SQRT(1+(G1174)^2),0.000001)</f>
        <v>2.5998258660106695</v>
      </c>
      <c r="O1174">
        <f t="shared" ref="O1174:O1237" ca="1" si="461">ABS(K1174)/MAX(((F1174)+(G1174)*(L1174))*(L1174),0.000001)</f>
        <v>2.5265783699570125E-4</v>
      </c>
      <c r="P1174">
        <f t="shared" ref="P1174:P1237" ca="1" si="462">E1174+L1174</f>
        <v>39450.130706751152</v>
      </c>
      <c r="Q1174">
        <f t="shared" ref="Q1174:Q1237" ca="1" si="463">P1174+((ABS(K1174)/MAX(((F1174)+(G1174)*(L1174))*(L1174),0.000001))^2)/(2*$I$5)</f>
        <v>39450.130706754404</v>
      </c>
      <c r="R1174">
        <f t="shared" ref="R1174:R1237" ca="1" si="464">((ABS(K1174)*$D$6)/(MAX(((F1174)+(G1174)*(L1174))*(L1174),0.000001)*MAX(((((F1174)+(G1174)*(L1174))*(L1174))/MAX((F1174)+2*(L1174)*SQRT(1+(G1174)^2),0.000001))^(2/3),0.000001)))^2</f>
        <v>4.017806823847613E-12</v>
      </c>
      <c r="S1174">
        <f t="shared" ca="1" si="456"/>
        <v>1.0869565303437412E-3</v>
      </c>
      <c r="T1174">
        <f t="shared" ca="1" si="457"/>
        <v>0</v>
      </c>
      <c r="U1174">
        <f t="shared" ref="U1174:U1237" ca="1" si="465">IF($D$20=0,U1175,IF(AC1175=0,U1175,IF(U1174=0,U1175,IF(ABS(AB1174)&gt;$D$19,MAX($D$16,U1174+((AB1174)*$D$18*IF((ABS(ABS(K1174)/MAX(((F1174)+(G1174)*(U1174))*(U1174),0.000001))/SQRT($I$5*MAX((((F1174)+(G1174)*(U1174))*(U1174))/MAX((F1174)+2*(G1174)*(U1174),0.000001),0.000001)))&lt;1,1,-1))),U1174))))</f>
        <v>0.05</v>
      </c>
      <c r="V1174">
        <f t="shared" ref="V1174:V1237" ca="1" si="466">((F1174)+(G1174)*(U1174))*(U1174)</f>
        <v>0.26</v>
      </c>
      <c r="W1174">
        <f t="shared" ref="W1174:W1237" ca="1" si="467">(((F1174)+(G1174)*(U1174))*(U1174))/MAX((F1174)+2*(U1174)*SQRT(1+(G1174)^2),0.000001)</f>
        <v>4.9056603773584909E-2</v>
      </c>
      <c r="X1174">
        <f t="shared" ref="X1174:X1237" ca="1" si="468">ABS(K1174)/MAX(((F1174)+(G1174)*(U1174))*(U1174),0.000001)</f>
        <v>196.15384615384616</v>
      </c>
      <c r="Y1174">
        <f t="shared" ref="Y1174:Y1237" ca="1" si="469">E1174+U1174</f>
        <v>632.09999999999991</v>
      </c>
      <c r="Z1174">
        <f t="shared" ref="Z1174:Z1237" ca="1" si="470">Y1174+((ABS(K1174)/MAX(((F1174)+(G1174)*(U1174))*(U1174),0.000001))^2)/(2*$I$5)</f>
        <v>2593.1770316486618</v>
      </c>
      <c r="AA1174">
        <f t="shared" ref="AA1174:AA1237" ca="1" si="471">((ABS(K1174)*$D$6)/(MAX(((F1174)+(G1174)*(U1174))*(U1174),0.000001)*MAX(((((F1174)+(G1174)*(U1174))*(U1174))/MAX((F1174)+2*(U1174)*SQRT(1+(G1174)^2),0.000001))^(2/3),0.000001)))^2</f>
        <v>482.07306851378365</v>
      </c>
      <c r="AB1174">
        <f t="shared" ref="AB1174:AB1237" ca="1" si="472">Z1175+(((AA1174+AA1175)/2)*J1175)+(IF(X1174&gt;X1175,$D$8*((X1174^2-X1175^2)/(2*$I$5)),$D$9*((X1175^2-X1174^2)/(2*$I$5)))+($D$10*(ABS(I1175)/90)*(MAX(X1174^2,X1175^2)/(2*$I$5))))-Z1174</f>
        <v>482.25887083173575</v>
      </c>
      <c r="AC1174">
        <f t="shared" ref="AC1174:AC1237" ca="1" si="473">IF(ABS(AB1174)&lt;$D$19,1,0)</f>
        <v>0</v>
      </c>
      <c r="AD1174">
        <f ca="1">IF(V32="Supercritical",L1174,U1174)</f>
        <v>0.05</v>
      </c>
      <c r="AE1174">
        <f t="shared" ref="AE1174:AE1237" ca="1" si="474">E1174+AD1174</f>
        <v>632.09999999999991</v>
      </c>
      <c r="AF1174">
        <f t="shared" ref="AF1174:AF1237" ca="1" si="475">AE1174+((ABS(K1174)/MAX(((F1174)+(G1174)*(AD1174))*(AD1174),0.000001))^2)/(2*$I$5)</f>
        <v>2593.1770316486618</v>
      </c>
      <c r="AI1174">
        <v>0</v>
      </c>
      <c r="AJ1174">
        <v>0</v>
      </c>
      <c r="AK1174">
        <f t="shared" ref="AK1174:AK1237" si="476">AI1174+AJ1174</f>
        <v>0</v>
      </c>
      <c r="AL1174">
        <f t="shared" si="458"/>
        <v>0</v>
      </c>
      <c r="AM1174">
        <f t="shared" ref="AM1174:AM1237" ca="1" si="477">ABS(ABS(K1174)/MAX(((F1174)+(G1174)*(AD1174))*(AD1174),0.000001))/SQRT($I$5*MAX((((F1174)+(G1174)*(AD1174))*(AD1174))/MAX((F1174)+2*(G1174)*(AD1174),0.000001),0.000001))</f>
        <v>280.07692026646265</v>
      </c>
      <c r="AN1174" t="str">
        <f t="shared" ref="AN1174:AN1237" ca="1" si="478">IF(AM1174&lt;1,"Subcritical","Supercritical")</f>
        <v>Supercritical</v>
      </c>
      <c r="AO1174">
        <f ca="1">IF(V32="Supercritical",R1174,AA1174)</f>
        <v>482.07306851378365</v>
      </c>
    </row>
    <row r="1175" spans="1:41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174</v>
      </c>
      <c r="I1175">
        <v>5.7000000000000002E-2</v>
      </c>
      <c r="J1175">
        <f t="shared" ref="J1175:J1238" si="479">B1175-B1174</f>
        <v>0.99999999999988631</v>
      </c>
      <c r="K1175">
        <f t="shared" ref="K1175:K1238" si="480">MAX(0,K1174-AK1174)</f>
        <v>51</v>
      </c>
      <c r="L1175">
        <f t="shared" ref="L1175:L1238" ca="1" si="481">IF($D$20=0,L1174,IF(T1174=0,L1174,IF(L1175=0,L1174,IF(ABS(S1175)&gt;$D$19,MAX($D$16,L1175+((S1175)*$D$18*IF((ABS(ABS(K1175)/MAX(((F1175)+(G1175)*(L1175))*(L1175),0.000001))/SQRT($I$5*MAX((((F1175)+(G1175)*(L1175))*(L1175))/MAX((F1175)+2*(G1175)*(L1175),0.000001),0.000001)))&lt;1,1,-1))),L1175))))</f>
        <v>38818.080706751149</v>
      </c>
      <c r="M1175">
        <f t="shared" ca="1" si="459"/>
        <v>201854.01967510598</v>
      </c>
      <c r="N1175">
        <f t="shared" ca="1" si="460"/>
        <v>2.5998258660106695</v>
      </c>
      <c r="O1175">
        <f t="shared" ca="1" si="461"/>
        <v>2.5265783699570125E-4</v>
      </c>
      <c r="P1175">
        <f t="shared" ca="1" si="462"/>
        <v>39450.13020675115</v>
      </c>
      <c r="Q1175">
        <f t="shared" ca="1" si="463"/>
        <v>39450.130206754402</v>
      </c>
      <c r="R1175">
        <f t="shared" ca="1" si="464"/>
        <v>4.017806823847613E-12</v>
      </c>
      <c r="S1175">
        <f t="shared" ref="S1175:S1238" ca="1" si="482">Q1174-(((R1174+R1175)/2)*J1175)-(IF(O1174&gt;O1175,$D$8*((O1174^2-O1175^2)/(2*$I$5)),$D$9*((O1175^2-O1174^2)/(2*$I$5)))+($D$10*(ABS(I1175)/90)*(MAX(O1174^2,O1175^2)/(2*$I$5))))-Q1175</f>
        <v>4.999999946448952E-4</v>
      </c>
      <c r="T1175">
        <f t="shared" ref="T1175:T1238" ca="1" si="483">IF(ABS(S1175)&lt;$D$19,1,0)</f>
        <v>1</v>
      </c>
      <c r="U1175">
        <f t="shared" ca="1" si="465"/>
        <v>0.05</v>
      </c>
      <c r="V1175">
        <f t="shared" ca="1" si="466"/>
        <v>0.26</v>
      </c>
      <c r="W1175">
        <f t="shared" ca="1" si="467"/>
        <v>4.9056603773584909E-2</v>
      </c>
      <c r="X1175">
        <f t="shared" ca="1" si="468"/>
        <v>196.15384615384616</v>
      </c>
      <c r="Y1175">
        <f t="shared" ca="1" si="469"/>
        <v>632.09949999999992</v>
      </c>
      <c r="Z1175">
        <f t="shared" ca="1" si="470"/>
        <v>2593.1765316486621</v>
      </c>
      <c r="AA1175">
        <f t="shared" ca="1" si="471"/>
        <v>482.07306851378365</v>
      </c>
      <c r="AB1175">
        <f t="shared" ca="1" si="472"/>
        <v>482.25887083179032</v>
      </c>
      <c r="AC1175">
        <f t="shared" ca="1" si="473"/>
        <v>0</v>
      </c>
      <c r="AD1175">
        <f ca="1">IF(V32="Supercritical",L1175,U1175)</f>
        <v>0.05</v>
      </c>
      <c r="AE1175">
        <f t="shared" ca="1" si="474"/>
        <v>632.09949999999992</v>
      </c>
      <c r="AF1175">
        <f t="shared" ca="1" si="475"/>
        <v>2593.1765316486621</v>
      </c>
      <c r="AI1175">
        <v>0</v>
      </c>
      <c r="AJ1175">
        <v>0</v>
      </c>
      <c r="AK1175">
        <f t="shared" si="476"/>
        <v>0</v>
      </c>
      <c r="AL1175">
        <f t="shared" ref="AL1175:AL1238" si="484">AL1174+AK1175</f>
        <v>0</v>
      </c>
      <c r="AM1175">
        <f t="shared" ca="1" si="477"/>
        <v>280.07692026646265</v>
      </c>
      <c r="AN1175" t="str">
        <f t="shared" ca="1" si="478"/>
        <v>Supercritical</v>
      </c>
      <c r="AO1175">
        <f ca="1">IF(V32="Supercritical",R1175,AA1175)</f>
        <v>482.07306851378365</v>
      </c>
    </row>
    <row r="1176" spans="1:41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174</v>
      </c>
      <c r="I1176">
        <v>5.7000000000000002E-2</v>
      </c>
      <c r="J1176">
        <f t="shared" si="479"/>
        <v>1</v>
      </c>
      <c r="K1176">
        <f t="shared" si="480"/>
        <v>51</v>
      </c>
      <c r="L1176">
        <f t="shared" ca="1" si="481"/>
        <v>38818.080119794606</v>
      </c>
      <c r="M1176">
        <f t="shared" ca="1" si="459"/>
        <v>201854.01662293196</v>
      </c>
      <c r="N1176">
        <f t="shared" ca="1" si="460"/>
        <v>2.5998258660080364</v>
      </c>
      <c r="O1176">
        <f t="shared" ca="1" si="461"/>
        <v>2.526578408160646E-4</v>
      </c>
      <c r="P1176">
        <f t="shared" ca="1" si="462"/>
        <v>39450.129119794605</v>
      </c>
      <c r="Q1176">
        <f t="shared" ca="1" si="463"/>
        <v>39450.129119797857</v>
      </c>
      <c r="R1176">
        <f t="shared" ca="1" si="464"/>
        <v>4.0178069453571419E-12</v>
      </c>
      <c r="S1176">
        <f t="shared" ca="1" si="482"/>
        <v>1.0869565376196988E-3</v>
      </c>
      <c r="T1176">
        <f t="shared" ca="1" si="483"/>
        <v>0</v>
      </c>
      <c r="U1176">
        <f t="shared" ca="1" si="465"/>
        <v>0.05</v>
      </c>
      <c r="V1176">
        <f t="shared" ca="1" si="466"/>
        <v>0.26</v>
      </c>
      <c r="W1176">
        <f t="shared" ca="1" si="467"/>
        <v>4.9056603773584909E-2</v>
      </c>
      <c r="X1176">
        <f t="shared" ca="1" si="468"/>
        <v>196.15384615384616</v>
      </c>
      <c r="Y1176">
        <f t="shared" ca="1" si="469"/>
        <v>632.09899999999993</v>
      </c>
      <c r="Z1176">
        <f t="shared" ca="1" si="470"/>
        <v>2593.176031648662</v>
      </c>
      <c r="AA1176">
        <f t="shared" ca="1" si="471"/>
        <v>482.07306851378365</v>
      </c>
      <c r="AB1176">
        <f t="shared" ca="1" si="472"/>
        <v>482.07256851378361</v>
      </c>
      <c r="AC1176">
        <f t="shared" ca="1" si="473"/>
        <v>0</v>
      </c>
      <c r="AD1176">
        <f ca="1">IF(V32="Supercritical",L1176,U1176)</f>
        <v>0.05</v>
      </c>
      <c r="AE1176">
        <f t="shared" ca="1" si="474"/>
        <v>632.09899999999993</v>
      </c>
      <c r="AF1176">
        <f t="shared" ca="1" si="475"/>
        <v>2593.176031648662</v>
      </c>
      <c r="AI1176">
        <v>0</v>
      </c>
      <c r="AJ1176">
        <v>0</v>
      </c>
      <c r="AK1176">
        <f t="shared" si="476"/>
        <v>0</v>
      </c>
      <c r="AL1176">
        <f t="shared" si="484"/>
        <v>0</v>
      </c>
      <c r="AM1176">
        <f t="shared" ca="1" si="477"/>
        <v>280.07692026646265</v>
      </c>
      <c r="AN1176" t="str">
        <f t="shared" ca="1" si="478"/>
        <v>Supercritical</v>
      </c>
      <c r="AO1176">
        <f ca="1">IF(V32="Supercritical",R1176,AA1176)</f>
        <v>482.07306851378365</v>
      </c>
    </row>
    <row r="1177" spans="1:41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174</v>
      </c>
      <c r="I1177">
        <v>0</v>
      </c>
      <c r="J1177">
        <f t="shared" si="479"/>
        <v>1</v>
      </c>
      <c r="K1177">
        <f t="shared" si="480"/>
        <v>51</v>
      </c>
      <c r="L1177">
        <f t="shared" ca="1" si="481"/>
        <v>38818.080119794606</v>
      </c>
      <c r="M1177">
        <f t="shared" ca="1" si="459"/>
        <v>201854.01662293196</v>
      </c>
      <c r="N1177">
        <f t="shared" ca="1" si="460"/>
        <v>2.5998258660080364</v>
      </c>
      <c r="O1177">
        <f t="shared" ca="1" si="461"/>
        <v>2.526578408160646E-4</v>
      </c>
      <c r="P1177">
        <f t="shared" ca="1" si="462"/>
        <v>39450.128619794603</v>
      </c>
      <c r="Q1177">
        <f t="shared" ca="1" si="463"/>
        <v>39450.128619797855</v>
      </c>
      <c r="R1177">
        <f t="shared" ca="1" si="464"/>
        <v>4.0178069453571419E-12</v>
      </c>
      <c r="S1177">
        <f t="shared" ca="1" si="482"/>
        <v>4.999999946448952E-4</v>
      </c>
      <c r="T1177">
        <f t="shared" ca="1" si="483"/>
        <v>1</v>
      </c>
      <c r="U1177">
        <f t="shared" ca="1" si="465"/>
        <v>0.05</v>
      </c>
      <c r="V1177">
        <f t="shared" ca="1" si="466"/>
        <v>0.26</v>
      </c>
      <c r="W1177">
        <f t="shared" ca="1" si="467"/>
        <v>4.9056603773584909E-2</v>
      </c>
      <c r="X1177">
        <f t="shared" ca="1" si="468"/>
        <v>196.15384615384616</v>
      </c>
      <c r="Y1177">
        <f t="shared" ca="1" si="469"/>
        <v>632.09849999999994</v>
      </c>
      <c r="Z1177">
        <f t="shared" ca="1" si="470"/>
        <v>2593.1755316486619</v>
      </c>
      <c r="AA1177">
        <f t="shared" ca="1" si="471"/>
        <v>482.07306851378365</v>
      </c>
      <c r="AB1177">
        <f t="shared" ca="1" si="472"/>
        <v>482.07256851378406</v>
      </c>
      <c r="AC1177">
        <f t="shared" ca="1" si="473"/>
        <v>0</v>
      </c>
      <c r="AD1177">
        <f ca="1">IF(V32="Supercritical",L1177,U1177)</f>
        <v>0.05</v>
      </c>
      <c r="AE1177">
        <f t="shared" ca="1" si="474"/>
        <v>632.09849999999994</v>
      </c>
      <c r="AF1177">
        <f t="shared" ca="1" si="475"/>
        <v>2593.1755316486619</v>
      </c>
      <c r="AI1177">
        <v>0</v>
      </c>
      <c r="AJ1177">
        <v>0</v>
      </c>
      <c r="AK1177">
        <f t="shared" si="476"/>
        <v>0</v>
      </c>
      <c r="AL1177">
        <f t="shared" si="484"/>
        <v>0</v>
      </c>
      <c r="AM1177">
        <f t="shared" ca="1" si="477"/>
        <v>280.07692026646265</v>
      </c>
      <c r="AN1177" t="str">
        <f t="shared" ca="1" si="478"/>
        <v>Supercritical</v>
      </c>
      <c r="AO1177">
        <f ca="1">IF(V32="Supercritical",R1177,AA1177)</f>
        <v>482.07306851378365</v>
      </c>
    </row>
    <row r="1178" spans="1:41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174</v>
      </c>
      <c r="I1178">
        <v>0</v>
      </c>
      <c r="J1178">
        <f t="shared" si="479"/>
        <v>1</v>
      </c>
      <c r="K1178">
        <f t="shared" si="480"/>
        <v>51</v>
      </c>
      <c r="L1178">
        <f t="shared" ca="1" si="481"/>
        <v>38818.079532838092</v>
      </c>
      <c r="M1178">
        <f t="shared" ca="1" si="459"/>
        <v>201854.01357075808</v>
      </c>
      <c r="N1178">
        <f t="shared" ca="1" si="460"/>
        <v>2.5998258660054039</v>
      </c>
      <c r="O1178">
        <f t="shared" ca="1" si="461"/>
        <v>2.526578446364279E-4</v>
      </c>
      <c r="P1178">
        <f t="shared" ca="1" si="462"/>
        <v>39450.127532838094</v>
      </c>
      <c r="Q1178">
        <f t="shared" ca="1" si="463"/>
        <v>39450.127532841347</v>
      </c>
      <c r="R1178">
        <f t="shared" ca="1" si="464"/>
        <v>4.01780706686667E-12</v>
      </c>
      <c r="S1178">
        <f t="shared" ca="1" si="482"/>
        <v>1.0869565012399107E-3</v>
      </c>
      <c r="T1178">
        <f t="shared" ca="1" si="483"/>
        <v>0</v>
      </c>
      <c r="U1178">
        <f t="shared" ca="1" si="465"/>
        <v>0.05</v>
      </c>
      <c r="V1178">
        <f t="shared" ca="1" si="466"/>
        <v>0.26</v>
      </c>
      <c r="W1178">
        <f t="shared" ca="1" si="467"/>
        <v>4.9056603773584909E-2</v>
      </c>
      <c r="X1178">
        <f t="shared" ca="1" si="468"/>
        <v>196.15384615384616</v>
      </c>
      <c r="Y1178">
        <f t="shared" ca="1" si="469"/>
        <v>632.09799999999996</v>
      </c>
      <c r="Z1178">
        <f t="shared" ca="1" si="470"/>
        <v>2593.1750316486623</v>
      </c>
      <c r="AA1178">
        <f t="shared" ca="1" si="471"/>
        <v>482.07306851378365</v>
      </c>
      <c r="AB1178">
        <f t="shared" ca="1" si="472"/>
        <v>482.25887083179032</v>
      </c>
      <c r="AC1178">
        <f t="shared" ca="1" si="473"/>
        <v>0</v>
      </c>
      <c r="AD1178">
        <f ca="1">IF(V32="Supercritical",L1178,U1178)</f>
        <v>0.05</v>
      </c>
      <c r="AE1178">
        <f t="shared" ca="1" si="474"/>
        <v>632.09799999999996</v>
      </c>
      <c r="AF1178">
        <f t="shared" ca="1" si="475"/>
        <v>2593.1750316486623</v>
      </c>
      <c r="AI1178">
        <v>0</v>
      </c>
      <c r="AJ1178">
        <v>0</v>
      </c>
      <c r="AK1178">
        <f t="shared" si="476"/>
        <v>0</v>
      </c>
      <c r="AL1178">
        <f t="shared" si="484"/>
        <v>0</v>
      </c>
      <c r="AM1178">
        <f t="shared" ca="1" si="477"/>
        <v>280.07692026646265</v>
      </c>
      <c r="AN1178" t="str">
        <f t="shared" ca="1" si="478"/>
        <v>Supercritical</v>
      </c>
      <c r="AO1178">
        <f ca="1">IF(V32="Supercritical",R1178,AA1178)</f>
        <v>482.07306851378365</v>
      </c>
    </row>
    <row r="1179" spans="1:41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174</v>
      </c>
      <c r="I1179">
        <v>5.7000000000000002E-2</v>
      </c>
      <c r="J1179">
        <f t="shared" si="479"/>
        <v>1</v>
      </c>
      <c r="K1179">
        <f t="shared" si="480"/>
        <v>51</v>
      </c>
      <c r="L1179">
        <f t="shared" ca="1" si="481"/>
        <v>38818.079532838092</v>
      </c>
      <c r="M1179">
        <f t="shared" ca="1" si="459"/>
        <v>201854.01357075808</v>
      </c>
      <c r="N1179">
        <f t="shared" ca="1" si="460"/>
        <v>2.5998258660054039</v>
      </c>
      <c r="O1179">
        <f t="shared" ca="1" si="461"/>
        <v>2.526578446364279E-4</v>
      </c>
      <c r="P1179">
        <f t="shared" ca="1" si="462"/>
        <v>39450.127032838092</v>
      </c>
      <c r="Q1179">
        <f t="shared" ca="1" si="463"/>
        <v>39450.127032841345</v>
      </c>
      <c r="R1179">
        <f t="shared" ca="1" si="464"/>
        <v>4.01780706686667E-12</v>
      </c>
      <c r="S1179">
        <f t="shared" ca="1" si="482"/>
        <v>4.999999946448952E-4</v>
      </c>
      <c r="T1179">
        <f t="shared" ca="1" si="483"/>
        <v>1</v>
      </c>
      <c r="U1179">
        <f t="shared" ca="1" si="465"/>
        <v>0.05</v>
      </c>
      <c r="V1179">
        <f t="shared" ca="1" si="466"/>
        <v>0.26</v>
      </c>
      <c r="W1179">
        <f t="shared" ca="1" si="467"/>
        <v>4.9056603773584909E-2</v>
      </c>
      <c r="X1179">
        <f t="shared" ca="1" si="468"/>
        <v>196.15384615384616</v>
      </c>
      <c r="Y1179">
        <f t="shared" ca="1" si="469"/>
        <v>632.09749999999997</v>
      </c>
      <c r="Z1179">
        <f t="shared" ca="1" si="470"/>
        <v>2593.1745316486622</v>
      </c>
      <c r="AA1179">
        <f t="shared" ca="1" si="471"/>
        <v>482.07306851378365</v>
      </c>
      <c r="AB1179">
        <f t="shared" ca="1" si="472"/>
        <v>482.26867621694828</v>
      </c>
      <c r="AC1179">
        <f t="shared" ca="1" si="473"/>
        <v>0</v>
      </c>
      <c r="AD1179">
        <f ca="1">IF(V32="Supercritical",L1179,U1179)</f>
        <v>0.05</v>
      </c>
      <c r="AE1179">
        <f t="shared" ca="1" si="474"/>
        <v>632.09749999999997</v>
      </c>
      <c r="AF1179">
        <f t="shared" ca="1" si="475"/>
        <v>2593.1745316486622</v>
      </c>
      <c r="AI1179">
        <v>0</v>
      </c>
      <c r="AJ1179">
        <v>0</v>
      </c>
      <c r="AK1179">
        <f t="shared" si="476"/>
        <v>0</v>
      </c>
      <c r="AL1179">
        <f t="shared" si="484"/>
        <v>0</v>
      </c>
      <c r="AM1179">
        <f t="shared" ca="1" si="477"/>
        <v>280.07692026646265</v>
      </c>
      <c r="AN1179" t="str">
        <f t="shared" ca="1" si="478"/>
        <v>Supercritical</v>
      </c>
      <c r="AO1179">
        <f ca="1">IF(V32="Supercritical",R1179,AA1179)</f>
        <v>482.07306851378365</v>
      </c>
    </row>
    <row r="1180" spans="1:41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174</v>
      </c>
      <c r="I1180">
        <v>0.06</v>
      </c>
      <c r="J1180">
        <f t="shared" si="479"/>
        <v>1</v>
      </c>
      <c r="K1180">
        <f t="shared" si="480"/>
        <v>51</v>
      </c>
      <c r="L1180">
        <f t="shared" ca="1" si="481"/>
        <v>38818.078945881585</v>
      </c>
      <c r="M1180">
        <f t="shared" ca="1" si="459"/>
        <v>201854.01051858425</v>
      </c>
      <c r="N1180">
        <f t="shared" ca="1" si="460"/>
        <v>2.5998258660027709</v>
      </c>
      <c r="O1180">
        <f t="shared" ca="1" si="461"/>
        <v>2.526578484567912E-4</v>
      </c>
      <c r="P1180">
        <f t="shared" ca="1" si="462"/>
        <v>39450.125945881584</v>
      </c>
      <c r="Q1180">
        <f t="shared" ca="1" si="463"/>
        <v>39450.125945884836</v>
      </c>
      <c r="R1180">
        <f t="shared" ca="1" si="464"/>
        <v>4.0178071883762022E-12</v>
      </c>
      <c r="S1180">
        <f t="shared" ca="1" si="482"/>
        <v>1.0869565012399107E-3</v>
      </c>
      <c r="T1180">
        <f t="shared" ca="1" si="483"/>
        <v>0</v>
      </c>
      <c r="U1180">
        <f t="shared" ca="1" si="465"/>
        <v>0.05</v>
      </c>
      <c r="V1180">
        <f t="shared" ca="1" si="466"/>
        <v>0.26</v>
      </c>
      <c r="W1180">
        <f t="shared" ca="1" si="467"/>
        <v>4.9056603773584909E-2</v>
      </c>
      <c r="X1180">
        <f t="shared" ca="1" si="468"/>
        <v>196.15384615384616</v>
      </c>
      <c r="Y1180">
        <f t="shared" ca="1" si="469"/>
        <v>632.09699999999998</v>
      </c>
      <c r="Z1180">
        <f t="shared" ca="1" si="470"/>
        <v>2593.1740316486621</v>
      </c>
      <c r="AA1180">
        <f t="shared" ca="1" si="471"/>
        <v>482.07306851378365</v>
      </c>
      <c r="AB1180">
        <f t="shared" ca="1" si="472"/>
        <v>482.5611785058345</v>
      </c>
      <c r="AC1180">
        <f t="shared" ca="1" si="473"/>
        <v>0</v>
      </c>
      <c r="AD1180">
        <f ca="1">IF(V32="Supercritical",L1180,U1180)</f>
        <v>0.05</v>
      </c>
      <c r="AE1180">
        <f t="shared" ca="1" si="474"/>
        <v>632.09699999999998</v>
      </c>
      <c r="AF1180">
        <f t="shared" ca="1" si="475"/>
        <v>2593.1740316486621</v>
      </c>
      <c r="AI1180">
        <v>0</v>
      </c>
      <c r="AJ1180">
        <v>0</v>
      </c>
      <c r="AK1180">
        <f t="shared" si="476"/>
        <v>0</v>
      </c>
      <c r="AL1180">
        <f t="shared" si="484"/>
        <v>0</v>
      </c>
      <c r="AM1180">
        <f t="shared" ca="1" si="477"/>
        <v>280.07692026646265</v>
      </c>
      <c r="AN1180" t="str">
        <f t="shared" ca="1" si="478"/>
        <v>Supercritical</v>
      </c>
      <c r="AO1180">
        <f ca="1">IF(V32="Supercritical",R1180,AA1180)</f>
        <v>482.07306851378365</v>
      </c>
    </row>
    <row r="1181" spans="1:41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174</v>
      </c>
      <c r="I1181">
        <v>2E-3</v>
      </c>
      <c r="J1181">
        <f t="shared" si="479"/>
        <v>1.0010000000002037</v>
      </c>
      <c r="K1181">
        <f t="shared" si="480"/>
        <v>51</v>
      </c>
      <c r="L1181">
        <f t="shared" ca="1" si="481"/>
        <v>38818.078945881585</v>
      </c>
      <c r="M1181">
        <f t="shared" ca="1" si="459"/>
        <v>201854.01051858425</v>
      </c>
      <c r="N1181">
        <f t="shared" ca="1" si="460"/>
        <v>2.5998258660027709</v>
      </c>
      <c r="O1181">
        <f t="shared" ca="1" si="461"/>
        <v>2.526578484567912E-4</v>
      </c>
      <c r="P1181">
        <f t="shared" ca="1" si="462"/>
        <v>39450.125445881582</v>
      </c>
      <c r="Q1181">
        <f t="shared" ca="1" si="463"/>
        <v>39450.125445884834</v>
      </c>
      <c r="R1181">
        <f t="shared" ca="1" si="464"/>
        <v>4.0178071883762022E-12</v>
      </c>
      <c r="S1181">
        <f t="shared" ca="1" si="482"/>
        <v>4.999999946448952E-4</v>
      </c>
      <c r="T1181">
        <f t="shared" ca="1" si="483"/>
        <v>1</v>
      </c>
      <c r="U1181">
        <f t="shared" ca="1" si="465"/>
        <v>0.05</v>
      </c>
      <c r="V1181">
        <f t="shared" ca="1" si="466"/>
        <v>0.26</v>
      </c>
      <c r="W1181">
        <f t="shared" ca="1" si="467"/>
        <v>4.9056603773584909E-2</v>
      </c>
      <c r="X1181">
        <f t="shared" ca="1" si="468"/>
        <v>196.15384615384616</v>
      </c>
      <c r="Y1181">
        <f t="shared" ca="1" si="469"/>
        <v>632.09649999999999</v>
      </c>
      <c r="Z1181">
        <f t="shared" ca="1" si="470"/>
        <v>2593.173531648662</v>
      </c>
      <c r="AA1181">
        <f t="shared" ca="1" si="471"/>
        <v>482.07306851378365</v>
      </c>
      <c r="AB1181">
        <f t="shared" ca="1" si="472"/>
        <v>482.25887083179032</v>
      </c>
      <c r="AC1181">
        <f t="shared" ca="1" si="473"/>
        <v>0</v>
      </c>
      <c r="AD1181">
        <f ca="1">IF(V32="Supercritical",L1181,U1181)</f>
        <v>0.05</v>
      </c>
      <c r="AE1181">
        <f t="shared" ca="1" si="474"/>
        <v>632.09649999999999</v>
      </c>
      <c r="AF1181">
        <f t="shared" ca="1" si="475"/>
        <v>2593.173531648662</v>
      </c>
      <c r="AI1181">
        <v>0</v>
      </c>
      <c r="AJ1181">
        <v>0</v>
      </c>
      <c r="AK1181">
        <f t="shared" si="476"/>
        <v>0</v>
      </c>
      <c r="AL1181">
        <f t="shared" si="484"/>
        <v>0</v>
      </c>
      <c r="AM1181">
        <f t="shared" ca="1" si="477"/>
        <v>280.07692026646265</v>
      </c>
      <c r="AN1181" t="str">
        <f t="shared" ca="1" si="478"/>
        <v>Supercritical</v>
      </c>
      <c r="AO1181">
        <f ca="1">IF(V32="Supercritical",R1181,AA1181)</f>
        <v>482.07306851378365</v>
      </c>
    </row>
    <row r="1182" spans="1:41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174</v>
      </c>
      <c r="I1182">
        <v>5.7000000000000002E-2</v>
      </c>
      <c r="J1182">
        <f t="shared" si="479"/>
        <v>1</v>
      </c>
      <c r="K1182">
        <f t="shared" si="480"/>
        <v>51</v>
      </c>
      <c r="L1182">
        <f t="shared" ca="1" si="481"/>
        <v>38818.078358925071</v>
      </c>
      <c r="M1182">
        <f t="shared" ca="1" si="459"/>
        <v>201854.00746641037</v>
      </c>
      <c r="N1182">
        <f t="shared" ca="1" si="460"/>
        <v>2.5998258660001379</v>
      </c>
      <c r="O1182">
        <f t="shared" ca="1" si="461"/>
        <v>2.5265785227715471E-4</v>
      </c>
      <c r="P1182">
        <f t="shared" ca="1" si="462"/>
        <v>39450.124358925073</v>
      </c>
      <c r="Q1182">
        <f t="shared" ca="1" si="463"/>
        <v>39450.124358928326</v>
      </c>
      <c r="R1182">
        <f t="shared" ca="1" si="464"/>
        <v>4.017807309885744E-12</v>
      </c>
      <c r="S1182">
        <f t="shared" ca="1" si="482"/>
        <v>1.0869565012399107E-3</v>
      </c>
      <c r="T1182">
        <f t="shared" ca="1" si="483"/>
        <v>0</v>
      </c>
      <c r="U1182">
        <f t="shared" ca="1" si="465"/>
        <v>0.05</v>
      </c>
      <c r="V1182">
        <f t="shared" ca="1" si="466"/>
        <v>0.26</v>
      </c>
      <c r="W1182">
        <f t="shared" ca="1" si="467"/>
        <v>4.9056603773584909E-2</v>
      </c>
      <c r="X1182">
        <f t="shared" ca="1" si="468"/>
        <v>196.15384615384616</v>
      </c>
      <c r="Y1182">
        <f t="shared" ca="1" si="469"/>
        <v>632.096</v>
      </c>
      <c r="Z1182">
        <f t="shared" ca="1" si="470"/>
        <v>2593.1730316486619</v>
      </c>
      <c r="AA1182">
        <f t="shared" ca="1" si="471"/>
        <v>482.07306851378365</v>
      </c>
      <c r="AB1182">
        <f t="shared" ca="1" si="472"/>
        <v>482.25887083179032</v>
      </c>
      <c r="AC1182">
        <f t="shared" ca="1" si="473"/>
        <v>0</v>
      </c>
      <c r="AD1182">
        <f ca="1">IF(V32="Supercritical",L1182,U1182)</f>
        <v>0.05</v>
      </c>
      <c r="AE1182">
        <f t="shared" ca="1" si="474"/>
        <v>632.096</v>
      </c>
      <c r="AF1182">
        <f t="shared" ca="1" si="475"/>
        <v>2593.1730316486619</v>
      </c>
      <c r="AI1182">
        <v>0</v>
      </c>
      <c r="AJ1182">
        <v>0</v>
      </c>
      <c r="AK1182">
        <f t="shared" si="476"/>
        <v>0</v>
      </c>
      <c r="AL1182">
        <f t="shared" si="484"/>
        <v>0</v>
      </c>
      <c r="AM1182">
        <f t="shared" ca="1" si="477"/>
        <v>280.07692026646265</v>
      </c>
      <c r="AN1182" t="str">
        <f t="shared" ca="1" si="478"/>
        <v>Supercritical</v>
      </c>
      <c r="AO1182">
        <f ca="1">IF(V32="Supercritical",R1182,AA1182)</f>
        <v>482.07306851378365</v>
      </c>
    </row>
    <row r="1183" spans="1:41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174</v>
      </c>
      <c r="I1183">
        <v>5.7000000000000002E-2</v>
      </c>
      <c r="J1183">
        <f t="shared" si="479"/>
        <v>1</v>
      </c>
      <c r="K1183">
        <f t="shared" si="480"/>
        <v>51</v>
      </c>
      <c r="L1183">
        <f t="shared" ca="1" si="481"/>
        <v>38818.078358925071</v>
      </c>
      <c r="M1183">
        <f t="shared" ca="1" si="459"/>
        <v>201854.00746641037</v>
      </c>
      <c r="N1183">
        <f t="shared" ca="1" si="460"/>
        <v>2.5998258660001379</v>
      </c>
      <c r="O1183">
        <f t="shared" ca="1" si="461"/>
        <v>2.5265785227715471E-4</v>
      </c>
      <c r="P1183">
        <f t="shared" ca="1" si="462"/>
        <v>39450.123858925072</v>
      </c>
      <c r="Q1183">
        <f t="shared" ca="1" si="463"/>
        <v>39450.123858928324</v>
      </c>
      <c r="R1183">
        <f t="shared" ca="1" si="464"/>
        <v>4.017807309885744E-12</v>
      </c>
      <c r="S1183">
        <f t="shared" ca="1" si="482"/>
        <v>4.999999946448952E-4</v>
      </c>
      <c r="T1183">
        <f t="shared" ca="1" si="483"/>
        <v>1</v>
      </c>
      <c r="U1183">
        <f t="shared" ca="1" si="465"/>
        <v>0.05</v>
      </c>
      <c r="V1183">
        <f t="shared" ca="1" si="466"/>
        <v>0.26</v>
      </c>
      <c r="W1183">
        <f t="shared" ca="1" si="467"/>
        <v>4.9056603773584909E-2</v>
      </c>
      <c r="X1183">
        <f t="shared" ca="1" si="468"/>
        <v>196.15384615384616</v>
      </c>
      <c r="Y1183">
        <f t="shared" ca="1" si="469"/>
        <v>632.0954999999999</v>
      </c>
      <c r="Z1183">
        <f t="shared" ca="1" si="470"/>
        <v>2593.1725316486618</v>
      </c>
      <c r="AA1183">
        <f t="shared" ca="1" si="471"/>
        <v>482.07306851378365</v>
      </c>
      <c r="AB1183">
        <f t="shared" ca="1" si="472"/>
        <v>481.59049544517211</v>
      </c>
      <c r="AC1183">
        <f t="shared" ca="1" si="473"/>
        <v>0</v>
      </c>
      <c r="AD1183">
        <f ca="1">IF(V32="Supercritical",L1183,U1183)</f>
        <v>0.05</v>
      </c>
      <c r="AE1183">
        <f t="shared" ca="1" si="474"/>
        <v>632.0954999999999</v>
      </c>
      <c r="AF1183">
        <f t="shared" ca="1" si="475"/>
        <v>2593.1725316486618</v>
      </c>
      <c r="AI1183">
        <v>0</v>
      </c>
      <c r="AJ1183">
        <v>0</v>
      </c>
      <c r="AK1183">
        <f t="shared" si="476"/>
        <v>0</v>
      </c>
      <c r="AL1183">
        <f t="shared" si="484"/>
        <v>0</v>
      </c>
      <c r="AM1183">
        <f t="shared" ca="1" si="477"/>
        <v>280.07692026646265</v>
      </c>
      <c r="AN1183" t="str">
        <f t="shared" ca="1" si="478"/>
        <v>Supercritical</v>
      </c>
      <c r="AO1183">
        <f ca="1">IF(V32="Supercritical",R1183,AA1183)</f>
        <v>482.07306851378365</v>
      </c>
    </row>
    <row r="1184" spans="1:41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174</v>
      </c>
      <c r="I1184">
        <v>0</v>
      </c>
      <c r="J1184">
        <f t="shared" si="479"/>
        <v>0.99899999999979627</v>
      </c>
      <c r="K1184">
        <f t="shared" si="480"/>
        <v>51</v>
      </c>
      <c r="L1184">
        <f t="shared" ca="1" si="481"/>
        <v>38818.077771968528</v>
      </c>
      <c r="M1184">
        <f t="shared" ca="1" si="459"/>
        <v>201854.00441423635</v>
      </c>
      <c r="N1184">
        <f t="shared" ca="1" si="460"/>
        <v>2.5998258659975053</v>
      </c>
      <c r="O1184">
        <f t="shared" ca="1" si="461"/>
        <v>2.5265785609751855E-4</v>
      </c>
      <c r="P1184">
        <f t="shared" ca="1" si="462"/>
        <v>39450.122771968527</v>
      </c>
      <c r="Q1184">
        <f t="shared" ca="1" si="463"/>
        <v>39450.122771971779</v>
      </c>
      <c r="R1184">
        <f t="shared" ca="1" si="464"/>
        <v>4.0178074313952948E-12</v>
      </c>
      <c r="S1184">
        <f t="shared" ca="1" si="482"/>
        <v>1.0869565376196988E-3</v>
      </c>
      <c r="T1184">
        <f t="shared" ca="1" si="483"/>
        <v>0</v>
      </c>
      <c r="U1184">
        <f t="shared" ca="1" si="465"/>
        <v>0.05</v>
      </c>
      <c r="V1184">
        <f t="shared" ca="1" si="466"/>
        <v>0.26</v>
      </c>
      <c r="W1184">
        <f t="shared" ca="1" si="467"/>
        <v>4.9056603773584909E-2</v>
      </c>
      <c r="X1184">
        <f t="shared" ca="1" si="468"/>
        <v>196.15384615384616</v>
      </c>
      <c r="Y1184">
        <f t="shared" ca="1" si="469"/>
        <v>632.09499999999991</v>
      </c>
      <c r="Z1184">
        <f t="shared" ca="1" si="470"/>
        <v>2593.1720316486621</v>
      </c>
      <c r="AA1184">
        <f t="shared" ca="1" si="471"/>
        <v>482.07306851378365</v>
      </c>
      <c r="AB1184">
        <f t="shared" ca="1" si="472"/>
        <v>482.07256851378361</v>
      </c>
      <c r="AC1184">
        <f t="shared" ca="1" si="473"/>
        <v>0</v>
      </c>
      <c r="AD1184">
        <f ca="1">IF(V32="Supercritical",L1184,U1184)</f>
        <v>0.05</v>
      </c>
      <c r="AE1184">
        <f t="shared" ca="1" si="474"/>
        <v>632.09499999999991</v>
      </c>
      <c r="AF1184">
        <f t="shared" ca="1" si="475"/>
        <v>2593.1720316486621</v>
      </c>
      <c r="AI1184">
        <v>0</v>
      </c>
      <c r="AJ1184">
        <v>0</v>
      </c>
      <c r="AK1184">
        <f t="shared" si="476"/>
        <v>0</v>
      </c>
      <c r="AL1184">
        <f t="shared" si="484"/>
        <v>0</v>
      </c>
      <c r="AM1184">
        <f t="shared" ca="1" si="477"/>
        <v>280.07692026646265</v>
      </c>
      <c r="AN1184" t="str">
        <f t="shared" ca="1" si="478"/>
        <v>Supercritical</v>
      </c>
      <c r="AO1184">
        <f ca="1">IF(V32="Supercritical",R1184,AA1184)</f>
        <v>482.07306851378365</v>
      </c>
    </row>
    <row r="1185" spans="1:41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174</v>
      </c>
      <c r="I1185">
        <v>0</v>
      </c>
      <c r="J1185">
        <f t="shared" si="479"/>
        <v>1</v>
      </c>
      <c r="K1185">
        <f t="shared" si="480"/>
        <v>51</v>
      </c>
      <c r="L1185">
        <f t="shared" ca="1" si="481"/>
        <v>38818.077771968528</v>
      </c>
      <c r="M1185">
        <f t="shared" ca="1" si="459"/>
        <v>201854.00441423635</v>
      </c>
      <c r="N1185">
        <f t="shared" ca="1" si="460"/>
        <v>2.5998258659975053</v>
      </c>
      <c r="O1185">
        <f t="shared" ca="1" si="461"/>
        <v>2.5265785609751855E-4</v>
      </c>
      <c r="P1185">
        <f t="shared" ca="1" si="462"/>
        <v>39450.122271968532</v>
      </c>
      <c r="Q1185">
        <f t="shared" ca="1" si="463"/>
        <v>39450.122271971784</v>
      </c>
      <c r="R1185">
        <f t="shared" ca="1" si="464"/>
        <v>4.0178074313952948E-12</v>
      </c>
      <c r="S1185">
        <f t="shared" ca="1" si="482"/>
        <v>4.9999998736893758E-4</v>
      </c>
      <c r="T1185">
        <f t="shared" ca="1" si="483"/>
        <v>1</v>
      </c>
      <c r="U1185">
        <f t="shared" ca="1" si="465"/>
        <v>0.05</v>
      </c>
      <c r="V1185">
        <f t="shared" ca="1" si="466"/>
        <v>0.26</v>
      </c>
      <c r="W1185">
        <f t="shared" ca="1" si="467"/>
        <v>4.9056603773584909E-2</v>
      </c>
      <c r="X1185">
        <f t="shared" ca="1" si="468"/>
        <v>196.15384615384616</v>
      </c>
      <c r="Y1185">
        <f t="shared" ca="1" si="469"/>
        <v>632.09449999999993</v>
      </c>
      <c r="Z1185">
        <f t="shared" ca="1" si="470"/>
        <v>2593.171531648662</v>
      </c>
      <c r="AA1185">
        <f t="shared" ca="1" si="471"/>
        <v>482.07306851378365</v>
      </c>
      <c r="AB1185">
        <f t="shared" ca="1" si="472"/>
        <v>482.25887083179032</v>
      </c>
      <c r="AC1185">
        <f t="shared" ca="1" si="473"/>
        <v>0</v>
      </c>
      <c r="AD1185">
        <f ca="1">IF(V32="Supercritical",L1185,U1185)</f>
        <v>0.05</v>
      </c>
      <c r="AE1185">
        <f t="shared" ca="1" si="474"/>
        <v>632.09449999999993</v>
      </c>
      <c r="AF1185">
        <f t="shared" ca="1" si="475"/>
        <v>2593.171531648662</v>
      </c>
      <c r="AI1185">
        <v>0</v>
      </c>
      <c r="AJ1185">
        <v>0</v>
      </c>
      <c r="AK1185">
        <f t="shared" si="476"/>
        <v>0</v>
      </c>
      <c r="AL1185">
        <f t="shared" si="484"/>
        <v>0</v>
      </c>
      <c r="AM1185">
        <f t="shared" ca="1" si="477"/>
        <v>280.07692026646265</v>
      </c>
      <c r="AN1185" t="str">
        <f t="shared" ca="1" si="478"/>
        <v>Supercritical</v>
      </c>
      <c r="AO1185">
        <f ca="1">IF(V32="Supercritical",R1185,AA1185)</f>
        <v>482.07306851378365</v>
      </c>
    </row>
    <row r="1186" spans="1:41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174</v>
      </c>
      <c r="I1186">
        <v>5.7000000000000002E-2</v>
      </c>
      <c r="J1186">
        <f t="shared" si="479"/>
        <v>1</v>
      </c>
      <c r="K1186">
        <f t="shared" si="480"/>
        <v>51</v>
      </c>
      <c r="L1186">
        <f t="shared" ca="1" si="481"/>
        <v>38818.077185011985</v>
      </c>
      <c r="M1186">
        <f t="shared" ca="1" si="459"/>
        <v>201854.00136206232</v>
      </c>
      <c r="N1186">
        <f t="shared" ca="1" si="460"/>
        <v>2.5998258659948723</v>
      </c>
      <c r="O1186">
        <f t="shared" ca="1" si="461"/>
        <v>2.526578599178825E-4</v>
      </c>
      <c r="P1186">
        <f t="shared" ca="1" si="462"/>
        <v>39450.121185011987</v>
      </c>
      <c r="Q1186">
        <f t="shared" ca="1" si="463"/>
        <v>39450.121185015239</v>
      </c>
      <c r="R1186">
        <f t="shared" ca="1" si="464"/>
        <v>4.0178075529048503E-12</v>
      </c>
      <c r="S1186">
        <f t="shared" ca="1" si="482"/>
        <v>1.0869565376196988E-3</v>
      </c>
      <c r="T1186">
        <f t="shared" ca="1" si="483"/>
        <v>0</v>
      </c>
      <c r="U1186">
        <f t="shared" ca="1" si="465"/>
        <v>0.05</v>
      </c>
      <c r="V1186">
        <f t="shared" ca="1" si="466"/>
        <v>0.26</v>
      </c>
      <c r="W1186">
        <f t="shared" ca="1" si="467"/>
        <v>4.9056603773584909E-2</v>
      </c>
      <c r="X1186">
        <f t="shared" ca="1" si="468"/>
        <v>196.15384615384616</v>
      </c>
      <c r="Y1186">
        <f t="shared" ca="1" si="469"/>
        <v>632.09399999999994</v>
      </c>
      <c r="Z1186">
        <f t="shared" ca="1" si="470"/>
        <v>2593.1710316486619</v>
      </c>
      <c r="AA1186">
        <f t="shared" ca="1" si="471"/>
        <v>482.07306851378365</v>
      </c>
      <c r="AB1186">
        <f t="shared" ca="1" si="472"/>
        <v>482.25887083179077</v>
      </c>
      <c r="AC1186">
        <f t="shared" ca="1" si="473"/>
        <v>0</v>
      </c>
      <c r="AD1186">
        <f ca="1">IF(V32="Supercritical",L1186,U1186)</f>
        <v>0.05</v>
      </c>
      <c r="AE1186">
        <f t="shared" ca="1" si="474"/>
        <v>632.09399999999994</v>
      </c>
      <c r="AF1186">
        <f t="shared" ca="1" si="475"/>
        <v>2593.1710316486619</v>
      </c>
      <c r="AI1186">
        <v>0</v>
      </c>
      <c r="AJ1186">
        <v>0</v>
      </c>
      <c r="AK1186">
        <f t="shared" si="476"/>
        <v>0</v>
      </c>
      <c r="AL1186">
        <f t="shared" si="484"/>
        <v>0</v>
      </c>
      <c r="AM1186">
        <f t="shared" ca="1" si="477"/>
        <v>280.07692026646265</v>
      </c>
      <c r="AN1186" t="str">
        <f t="shared" ca="1" si="478"/>
        <v>Supercritical</v>
      </c>
      <c r="AO1186">
        <f ca="1">IF(V32="Supercritical",R1186,AA1186)</f>
        <v>482.07306851378365</v>
      </c>
    </row>
    <row r="1187" spans="1:41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174</v>
      </c>
      <c r="I1187">
        <v>5.7000000000000002E-2</v>
      </c>
      <c r="J1187">
        <f t="shared" si="479"/>
        <v>1</v>
      </c>
      <c r="K1187">
        <f t="shared" si="480"/>
        <v>51</v>
      </c>
      <c r="L1187">
        <f t="shared" ca="1" si="481"/>
        <v>38818.077185011985</v>
      </c>
      <c r="M1187">
        <f t="shared" ca="1" si="459"/>
        <v>201854.00136206232</v>
      </c>
      <c r="N1187">
        <f t="shared" ca="1" si="460"/>
        <v>2.5998258659948723</v>
      </c>
      <c r="O1187">
        <f t="shared" ca="1" si="461"/>
        <v>2.526578599178825E-4</v>
      </c>
      <c r="P1187">
        <f t="shared" ca="1" si="462"/>
        <v>39450.120685011985</v>
      </c>
      <c r="Q1187">
        <f t="shared" ca="1" si="463"/>
        <v>39450.120685015238</v>
      </c>
      <c r="R1187">
        <f t="shared" ca="1" si="464"/>
        <v>4.0178075529048503E-12</v>
      </c>
      <c r="S1187">
        <f t="shared" ca="1" si="482"/>
        <v>4.999999946448952E-4</v>
      </c>
      <c r="T1187">
        <f t="shared" ca="1" si="483"/>
        <v>1</v>
      </c>
      <c r="U1187">
        <f t="shared" ca="1" si="465"/>
        <v>0.05</v>
      </c>
      <c r="V1187">
        <f t="shared" ca="1" si="466"/>
        <v>0.26</v>
      </c>
      <c r="W1187">
        <f t="shared" ca="1" si="467"/>
        <v>4.9056603773584909E-2</v>
      </c>
      <c r="X1187">
        <f t="shared" ca="1" si="468"/>
        <v>196.15384615384616</v>
      </c>
      <c r="Y1187">
        <f t="shared" ca="1" si="469"/>
        <v>632.09349999999995</v>
      </c>
      <c r="Z1187">
        <f t="shared" ca="1" si="470"/>
        <v>2593.1705316486623</v>
      </c>
      <c r="AA1187">
        <f t="shared" ca="1" si="471"/>
        <v>482.07306851378365</v>
      </c>
      <c r="AB1187">
        <f t="shared" ca="1" si="472"/>
        <v>482.07256851378361</v>
      </c>
      <c r="AC1187">
        <f t="shared" ca="1" si="473"/>
        <v>0</v>
      </c>
      <c r="AD1187">
        <f ca="1">IF(V32="Supercritical",L1187,U1187)</f>
        <v>0.05</v>
      </c>
      <c r="AE1187">
        <f t="shared" ca="1" si="474"/>
        <v>632.09349999999995</v>
      </c>
      <c r="AF1187">
        <f t="shared" ca="1" si="475"/>
        <v>2593.1705316486623</v>
      </c>
      <c r="AI1187">
        <v>0</v>
      </c>
      <c r="AJ1187">
        <v>0</v>
      </c>
      <c r="AK1187">
        <f t="shared" si="476"/>
        <v>0</v>
      </c>
      <c r="AL1187">
        <f t="shared" si="484"/>
        <v>0</v>
      </c>
      <c r="AM1187">
        <f t="shared" ca="1" si="477"/>
        <v>280.07692026646265</v>
      </c>
      <c r="AN1187" t="str">
        <f t="shared" ca="1" si="478"/>
        <v>Supercritical</v>
      </c>
      <c r="AO1187">
        <f ca="1">IF(V32="Supercritical",R1187,AA1187)</f>
        <v>482.07306851378365</v>
      </c>
    </row>
    <row r="1188" spans="1:41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174</v>
      </c>
      <c r="I1188">
        <v>0</v>
      </c>
      <c r="J1188">
        <f t="shared" si="479"/>
        <v>1</v>
      </c>
      <c r="K1188">
        <f t="shared" si="480"/>
        <v>51</v>
      </c>
      <c r="L1188">
        <f t="shared" ca="1" si="481"/>
        <v>38818.076598055479</v>
      </c>
      <c r="M1188">
        <f t="shared" ca="1" si="459"/>
        <v>201853.9983098885</v>
      </c>
      <c r="N1188">
        <f t="shared" ca="1" si="460"/>
        <v>2.5998258659922397</v>
      </c>
      <c r="O1188">
        <f t="shared" ca="1" si="461"/>
        <v>2.5265786373824628E-4</v>
      </c>
      <c r="P1188">
        <f t="shared" ca="1" si="462"/>
        <v>39450.119598055477</v>
      </c>
      <c r="Q1188">
        <f t="shared" ca="1" si="463"/>
        <v>39450.119598058729</v>
      </c>
      <c r="R1188">
        <f t="shared" ca="1" si="464"/>
        <v>4.0178076744144043E-12</v>
      </c>
      <c r="S1188">
        <f t="shared" ca="1" si="482"/>
        <v>1.0869565012399107E-3</v>
      </c>
      <c r="T1188">
        <f t="shared" ca="1" si="483"/>
        <v>0</v>
      </c>
      <c r="U1188">
        <f t="shared" ca="1" si="465"/>
        <v>0.05</v>
      </c>
      <c r="V1188">
        <f t="shared" ca="1" si="466"/>
        <v>0.26</v>
      </c>
      <c r="W1188">
        <f t="shared" ca="1" si="467"/>
        <v>4.9056603773584909E-2</v>
      </c>
      <c r="X1188">
        <f t="shared" ca="1" si="468"/>
        <v>196.15384615384616</v>
      </c>
      <c r="Y1188">
        <f t="shared" ca="1" si="469"/>
        <v>632.09299999999996</v>
      </c>
      <c r="Z1188">
        <f t="shared" ca="1" si="470"/>
        <v>2593.1700316486622</v>
      </c>
      <c r="AA1188">
        <f t="shared" ca="1" si="471"/>
        <v>482.07306851378365</v>
      </c>
      <c r="AB1188">
        <f t="shared" ca="1" si="472"/>
        <v>482.07910543722255</v>
      </c>
      <c r="AC1188">
        <f t="shared" ca="1" si="473"/>
        <v>0</v>
      </c>
      <c r="AD1188">
        <f ca="1">IF(V32="Supercritical",L1188,U1188)</f>
        <v>0.05</v>
      </c>
      <c r="AE1188">
        <f t="shared" ca="1" si="474"/>
        <v>632.09299999999996</v>
      </c>
      <c r="AF1188">
        <f t="shared" ca="1" si="475"/>
        <v>2593.1700316486622</v>
      </c>
      <c r="AI1188">
        <v>0</v>
      </c>
      <c r="AJ1188">
        <v>0</v>
      </c>
      <c r="AK1188">
        <f t="shared" si="476"/>
        <v>0</v>
      </c>
      <c r="AL1188">
        <f t="shared" si="484"/>
        <v>0</v>
      </c>
      <c r="AM1188">
        <f t="shared" ca="1" si="477"/>
        <v>280.07692026646265</v>
      </c>
      <c r="AN1188" t="str">
        <f t="shared" ca="1" si="478"/>
        <v>Supercritical</v>
      </c>
      <c r="AO1188">
        <f ca="1">IF(V32="Supercritical",R1188,AA1188)</f>
        <v>482.07306851378365</v>
      </c>
    </row>
    <row r="1189" spans="1:41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174</v>
      </c>
      <c r="I1189">
        <v>2E-3</v>
      </c>
      <c r="J1189">
        <f t="shared" si="479"/>
        <v>1</v>
      </c>
      <c r="K1189">
        <f t="shared" si="480"/>
        <v>51</v>
      </c>
      <c r="L1189">
        <f t="shared" ca="1" si="481"/>
        <v>38818.076598055479</v>
      </c>
      <c r="M1189">
        <f t="shared" ca="1" si="459"/>
        <v>201853.9983098885</v>
      </c>
      <c r="N1189">
        <f t="shared" ca="1" si="460"/>
        <v>2.5998258659922397</v>
      </c>
      <c r="O1189">
        <f t="shared" ca="1" si="461"/>
        <v>2.5265786373824628E-4</v>
      </c>
      <c r="P1189">
        <f t="shared" ca="1" si="462"/>
        <v>39450.119098055482</v>
      </c>
      <c r="Q1189">
        <f t="shared" ca="1" si="463"/>
        <v>39450.119098058734</v>
      </c>
      <c r="R1189">
        <f t="shared" ca="1" si="464"/>
        <v>4.0178076744144043E-12</v>
      </c>
      <c r="S1189">
        <f t="shared" ca="1" si="482"/>
        <v>4.9999998736893758E-4</v>
      </c>
      <c r="T1189">
        <f t="shared" ca="1" si="483"/>
        <v>1</v>
      </c>
      <c r="U1189">
        <f t="shared" ca="1" si="465"/>
        <v>0.05</v>
      </c>
      <c r="V1189">
        <f t="shared" ca="1" si="466"/>
        <v>0.26</v>
      </c>
      <c r="W1189">
        <f t="shared" ca="1" si="467"/>
        <v>4.9056603773584909E-2</v>
      </c>
      <c r="X1189">
        <f t="shared" ca="1" si="468"/>
        <v>196.15384615384616</v>
      </c>
      <c r="Y1189">
        <f t="shared" ca="1" si="469"/>
        <v>632.09249999999997</v>
      </c>
      <c r="Z1189">
        <f t="shared" ca="1" si="470"/>
        <v>2593.1695316486621</v>
      </c>
      <c r="AA1189">
        <f t="shared" ca="1" si="471"/>
        <v>482.07306851378365</v>
      </c>
      <c r="AB1189">
        <f t="shared" ca="1" si="472"/>
        <v>482.75074928556023</v>
      </c>
      <c r="AC1189">
        <f t="shared" ca="1" si="473"/>
        <v>0</v>
      </c>
      <c r="AD1189">
        <f ca="1">IF(V32="Supercritical",L1189,U1189)</f>
        <v>0.05</v>
      </c>
      <c r="AE1189">
        <f t="shared" ca="1" si="474"/>
        <v>632.09249999999997</v>
      </c>
      <c r="AF1189">
        <f t="shared" ca="1" si="475"/>
        <v>2593.1695316486621</v>
      </c>
      <c r="AI1189">
        <v>0</v>
      </c>
      <c r="AJ1189">
        <v>0</v>
      </c>
      <c r="AK1189">
        <f t="shared" si="476"/>
        <v>0</v>
      </c>
      <c r="AL1189">
        <f t="shared" si="484"/>
        <v>0</v>
      </c>
      <c r="AM1189">
        <f t="shared" ca="1" si="477"/>
        <v>280.07692026646265</v>
      </c>
      <c r="AN1189" t="str">
        <f t="shared" ca="1" si="478"/>
        <v>Supercritical</v>
      </c>
      <c r="AO1189">
        <f ca="1">IF(V32="Supercritical",R1189,AA1189)</f>
        <v>482.07306851378365</v>
      </c>
    </row>
    <row r="1190" spans="1:41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174</v>
      </c>
      <c r="I1190">
        <v>0.06</v>
      </c>
      <c r="J1190">
        <f t="shared" si="479"/>
        <v>1.0010000000002037</v>
      </c>
      <c r="K1190">
        <f t="shared" si="480"/>
        <v>51</v>
      </c>
      <c r="L1190">
        <f t="shared" ca="1" si="481"/>
        <v>38818.076011098972</v>
      </c>
      <c r="M1190">
        <f t="shared" ca="1" si="459"/>
        <v>201853.99525771468</v>
      </c>
      <c r="N1190">
        <f t="shared" ca="1" si="460"/>
        <v>2.5998258659896067</v>
      </c>
      <c r="O1190">
        <f t="shared" ca="1" si="461"/>
        <v>2.5265786755861017E-4</v>
      </c>
      <c r="P1190">
        <f t="shared" ca="1" si="462"/>
        <v>39450.118011098974</v>
      </c>
      <c r="Q1190">
        <f t="shared" ca="1" si="463"/>
        <v>39450.118011102226</v>
      </c>
      <c r="R1190">
        <f t="shared" ca="1" si="464"/>
        <v>4.0178077959239639E-12</v>
      </c>
      <c r="S1190">
        <f t="shared" ca="1" si="482"/>
        <v>1.0869565012399107E-3</v>
      </c>
      <c r="T1190">
        <f t="shared" ca="1" si="483"/>
        <v>0</v>
      </c>
      <c r="U1190">
        <f t="shared" ca="1" si="465"/>
        <v>0.05</v>
      </c>
      <c r="V1190">
        <f t="shared" ca="1" si="466"/>
        <v>0.26</v>
      </c>
      <c r="W1190">
        <f t="shared" ca="1" si="467"/>
        <v>4.9056603773584909E-2</v>
      </c>
      <c r="X1190">
        <f t="shared" ca="1" si="468"/>
        <v>196.15384615384616</v>
      </c>
      <c r="Y1190">
        <f t="shared" ca="1" si="469"/>
        <v>632.09199999999998</v>
      </c>
      <c r="Z1190">
        <f t="shared" ca="1" si="470"/>
        <v>2593.169031648662</v>
      </c>
      <c r="AA1190">
        <f t="shared" ca="1" si="471"/>
        <v>482.07306851378365</v>
      </c>
      <c r="AB1190">
        <f t="shared" ca="1" si="472"/>
        <v>482.25887083179032</v>
      </c>
      <c r="AC1190">
        <f t="shared" ca="1" si="473"/>
        <v>0</v>
      </c>
      <c r="AD1190">
        <f ca="1">IF(V32="Supercritical",L1190,U1190)</f>
        <v>0.05</v>
      </c>
      <c r="AE1190">
        <f t="shared" ca="1" si="474"/>
        <v>632.09199999999998</v>
      </c>
      <c r="AF1190">
        <f t="shared" ca="1" si="475"/>
        <v>2593.169031648662</v>
      </c>
      <c r="AI1190">
        <v>0</v>
      </c>
      <c r="AJ1190">
        <v>0</v>
      </c>
      <c r="AK1190">
        <f t="shared" si="476"/>
        <v>0</v>
      </c>
      <c r="AL1190">
        <f t="shared" si="484"/>
        <v>0</v>
      </c>
      <c r="AM1190">
        <f t="shared" ca="1" si="477"/>
        <v>280.07692026646265</v>
      </c>
      <c r="AN1190" t="str">
        <f t="shared" ca="1" si="478"/>
        <v>Supercritical</v>
      </c>
      <c r="AO1190">
        <f ca="1">IF(V32="Supercritical",R1190,AA1190)</f>
        <v>482.07306851378365</v>
      </c>
    </row>
    <row r="1191" spans="1:41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174</v>
      </c>
      <c r="I1191">
        <v>5.7000000000000002E-2</v>
      </c>
      <c r="J1191">
        <f t="shared" si="479"/>
        <v>1</v>
      </c>
      <c r="K1191">
        <f t="shared" si="480"/>
        <v>51</v>
      </c>
      <c r="L1191">
        <f t="shared" ca="1" si="481"/>
        <v>38818.076011098972</v>
      </c>
      <c r="M1191">
        <f t="shared" ca="1" si="459"/>
        <v>201853.99525771468</v>
      </c>
      <c r="N1191">
        <f t="shared" ca="1" si="460"/>
        <v>2.5998258659896067</v>
      </c>
      <c r="O1191">
        <f t="shared" ca="1" si="461"/>
        <v>2.5265786755861017E-4</v>
      </c>
      <c r="P1191">
        <f t="shared" ca="1" si="462"/>
        <v>39450.117511098972</v>
      </c>
      <c r="Q1191">
        <f t="shared" ca="1" si="463"/>
        <v>39450.117511102224</v>
      </c>
      <c r="R1191">
        <f t="shared" ca="1" si="464"/>
        <v>4.0178077959239639E-12</v>
      </c>
      <c r="S1191">
        <f t="shared" ca="1" si="482"/>
        <v>4.999999946448952E-4</v>
      </c>
      <c r="T1191">
        <f t="shared" ca="1" si="483"/>
        <v>1</v>
      </c>
      <c r="U1191">
        <f t="shared" ca="1" si="465"/>
        <v>0.05</v>
      </c>
      <c r="V1191">
        <f t="shared" ca="1" si="466"/>
        <v>0.26</v>
      </c>
      <c r="W1191">
        <f t="shared" ca="1" si="467"/>
        <v>4.9056603773584909E-2</v>
      </c>
      <c r="X1191">
        <f t="shared" ca="1" si="468"/>
        <v>196.15384615384616</v>
      </c>
      <c r="Y1191">
        <f t="shared" ca="1" si="469"/>
        <v>632.0915</v>
      </c>
      <c r="Z1191">
        <f t="shared" ca="1" si="470"/>
        <v>2593.1685316486619</v>
      </c>
      <c r="AA1191">
        <f t="shared" ca="1" si="471"/>
        <v>482.07306851378365</v>
      </c>
      <c r="AB1191">
        <f t="shared" ca="1" si="472"/>
        <v>482.07256851378406</v>
      </c>
      <c r="AC1191">
        <f t="shared" ca="1" si="473"/>
        <v>0</v>
      </c>
      <c r="AD1191">
        <f ca="1">IF(V32="Supercritical",L1191,U1191)</f>
        <v>0.05</v>
      </c>
      <c r="AE1191">
        <f t="shared" ca="1" si="474"/>
        <v>632.0915</v>
      </c>
      <c r="AF1191">
        <f t="shared" ca="1" si="475"/>
        <v>2593.1685316486619</v>
      </c>
      <c r="AI1191">
        <v>0</v>
      </c>
      <c r="AJ1191">
        <v>0</v>
      </c>
      <c r="AK1191">
        <f t="shared" si="476"/>
        <v>0</v>
      </c>
      <c r="AL1191">
        <f t="shared" si="484"/>
        <v>0</v>
      </c>
      <c r="AM1191">
        <f t="shared" ca="1" si="477"/>
        <v>280.07692026646265</v>
      </c>
      <c r="AN1191" t="str">
        <f t="shared" ca="1" si="478"/>
        <v>Supercritical</v>
      </c>
      <c r="AO1191">
        <f ca="1">IF(V32="Supercritical",R1191,AA1191)</f>
        <v>482.07306851378365</v>
      </c>
    </row>
    <row r="1192" spans="1:41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174</v>
      </c>
      <c r="I1192">
        <v>0</v>
      </c>
      <c r="J1192">
        <f t="shared" si="479"/>
        <v>1</v>
      </c>
      <c r="K1192">
        <f t="shared" si="480"/>
        <v>51</v>
      </c>
      <c r="L1192">
        <f t="shared" ca="1" si="481"/>
        <v>38818.075424142466</v>
      </c>
      <c r="M1192">
        <f t="shared" ca="1" si="459"/>
        <v>201853.99220554082</v>
      </c>
      <c r="N1192">
        <f t="shared" ca="1" si="460"/>
        <v>2.5998258659869737</v>
      </c>
      <c r="O1192">
        <f t="shared" ca="1" si="461"/>
        <v>2.5265787137897423E-4</v>
      </c>
      <c r="P1192">
        <f t="shared" ca="1" si="462"/>
        <v>39450.116424142463</v>
      </c>
      <c r="Q1192">
        <f t="shared" ca="1" si="463"/>
        <v>39450.116424145715</v>
      </c>
      <c r="R1192">
        <f t="shared" ca="1" si="464"/>
        <v>4.01780791743353E-12</v>
      </c>
      <c r="S1192">
        <f t="shared" ca="1" si="482"/>
        <v>1.0869565012399107E-3</v>
      </c>
      <c r="T1192">
        <f t="shared" ca="1" si="483"/>
        <v>0</v>
      </c>
      <c r="U1192">
        <f t="shared" ca="1" si="465"/>
        <v>0.05</v>
      </c>
      <c r="V1192">
        <f t="shared" ca="1" si="466"/>
        <v>0.26</v>
      </c>
      <c r="W1192">
        <f t="shared" ca="1" si="467"/>
        <v>4.9056603773584909E-2</v>
      </c>
      <c r="X1192">
        <f t="shared" ca="1" si="468"/>
        <v>196.15384615384616</v>
      </c>
      <c r="Y1192">
        <f t="shared" ca="1" si="469"/>
        <v>632.09100000000001</v>
      </c>
      <c r="Z1192">
        <f t="shared" ca="1" si="470"/>
        <v>2593.1680316486622</v>
      </c>
      <c r="AA1192">
        <f t="shared" ca="1" si="471"/>
        <v>482.07306851378365</v>
      </c>
      <c r="AB1192">
        <f t="shared" ca="1" si="472"/>
        <v>481.59049544517165</v>
      </c>
      <c r="AC1192">
        <f t="shared" ca="1" si="473"/>
        <v>0</v>
      </c>
      <c r="AD1192">
        <f ca="1">IF(V32="Supercritical",L1192,U1192)</f>
        <v>0.05</v>
      </c>
      <c r="AE1192">
        <f t="shared" ca="1" si="474"/>
        <v>632.09100000000001</v>
      </c>
      <c r="AF1192">
        <f t="shared" ca="1" si="475"/>
        <v>2593.1680316486622</v>
      </c>
      <c r="AI1192">
        <v>0</v>
      </c>
      <c r="AJ1192">
        <v>0</v>
      </c>
      <c r="AK1192">
        <f t="shared" si="476"/>
        <v>0</v>
      </c>
      <c r="AL1192">
        <f t="shared" si="484"/>
        <v>0</v>
      </c>
      <c r="AM1192">
        <f t="shared" ca="1" si="477"/>
        <v>280.07692026646265</v>
      </c>
      <c r="AN1192" t="str">
        <f t="shared" ca="1" si="478"/>
        <v>Supercritical</v>
      </c>
      <c r="AO1192">
        <f ca="1">IF(V32="Supercritical",R1192,AA1192)</f>
        <v>482.07306851378365</v>
      </c>
    </row>
    <row r="1193" spans="1:41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174</v>
      </c>
      <c r="I1193">
        <v>0</v>
      </c>
      <c r="J1193">
        <f t="shared" si="479"/>
        <v>0.99899999999979627</v>
      </c>
      <c r="K1193">
        <f t="shared" si="480"/>
        <v>51</v>
      </c>
      <c r="L1193">
        <f t="shared" ca="1" si="481"/>
        <v>38818.075424142466</v>
      </c>
      <c r="M1193">
        <f t="shared" ca="1" si="459"/>
        <v>201853.99220554082</v>
      </c>
      <c r="N1193">
        <f t="shared" ca="1" si="460"/>
        <v>2.5998258659869737</v>
      </c>
      <c r="O1193">
        <f t="shared" ca="1" si="461"/>
        <v>2.5265787137897423E-4</v>
      </c>
      <c r="P1193">
        <f t="shared" ca="1" si="462"/>
        <v>39450.115924142468</v>
      </c>
      <c r="Q1193">
        <f t="shared" ca="1" si="463"/>
        <v>39450.115924145721</v>
      </c>
      <c r="R1193">
        <f t="shared" ca="1" si="464"/>
        <v>4.01780791743353E-12</v>
      </c>
      <c r="S1193">
        <f t="shared" ca="1" si="482"/>
        <v>4.9999998736893758E-4</v>
      </c>
      <c r="T1193">
        <f t="shared" ca="1" si="483"/>
        <v>1</v>
      </c>
      <c r="U1193">
        <f t="shared" ca="1" si="465"/>
        <v>0.05</v>
      </c>
      <c r="V1193">
        <f t="shared" ca="1" si="466"/>
        <v>0.26</v>
      </c>
      <c r="W1193">
        <f t="shared" ca="1" si="467"/>
        <v>4.9056603773584909E-2</v>
      </c>
      <c r="X1193">
        <f t="shared" ca="1" si="468"/>
        <v>196.15384615384616</v>
      </c>
      <c r="Y1193">
        <f t="shared" ca="1" si="469"/>
        <v>632.09049999999991</v>
      </c>
      <c r="Z1193">
        <f t="shared" ca="1" si="470"/>
        <v>2593.1675316486621</v>
      </c>
      <c r="AA1193">
        <f t="shared" ca="1" si="471"/>
        <v>482.07306851378365</v>
      </c>
      <c r="AB1193">
        <f t="shared" ca="1" si="472"/>
        <v>482.25887083179032</v>
      </c>
      <c r="AC1193">
        <f t="shared" ca="1" si="473"/>
        <v>0</v>
      </c>
      <c r="AD1193">
        <f ca="1">IF(V32="Supercritical",L1193,U1193)</f>
        <v>0.05</v>
      </c>
      <c r="AE1193">
        <f t="shared" ca="1" si="474"/>
        <v>632.09049999999991</v>
      </c>
      <c r="AF1193">
        <f t="shared" ca="1" si="475"/>
        <v>2593.1675316486621</v>
      </c>
      <c r="AI1193">
        <v>0</v>
      </c>
      <c r="AJ1193">
        <v>0</v>
      </c>
      <c r="AK1193">
        <f t="shared" si="476"/>
        <v>0</v>
      </c>
      <c r="AL1193">
        <f t="shared" si="484"/>
        <v>0</v>
      </c>
      <c r="AM1193">
        <f t="shared" ca="1" si="477"/>
        <v>280.07692026646265</v>
      </c>
      <c r="AN1193" t="str">
        <f t="shared" ca="1" si="478"/>
        <v>Supercritical</v>
      </c>
      <c r="AO1193">
        <f ca="1">IF(V32="Supercritical",R1193,AA1193)</f>
        <v>482.07306851378365</v>
      </c>
    </row>
    <row r="1194" spans="1:41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174</v>
      </c>
      <c r="I1194">
        <v>5.7000000000000002E-2</v>
      </c>
      <c r="J1194">
        <f t="shared" si="479"/>
        <v>1</v>
      </c>
      <c r="K1194">
        <f t="shared" si="480"/>
        <v>51</v>
      </c>
      <c r="L1194">
        <f t="shared" ca="1" si="481"/>
        <v>38818.07483718593</v>
      </c>
      <c r="M1194">
        <f t="shared" ca="1" si="459"/>
        <v>201853.98915336686</v>
      </c>
      <c r="N1194">
        <f t="shared" ca="1" si="460"/>
        <v>2.5998258659843412</v>
      </c>
      <c r="O1194">
        <f t="shared" ca="1" si="461"/>
        <v>2.5265787519933856E-4</v>
      </c>
      <c r="P1194">
        <f t="shared" ca="1" si="462"/>
        <v>39450.114837185931</v>
      </c>
      <c r="Q1194">
        <f t="shared" ca="1" si="463"/>
        <v>39450.114837189183</v>
      </c>
      <c r="R1194">
        <f t="shared" ca="1" si="464"/>
        <v>4.0178080389431074E-12</v>
      </c>
      <c r="S1194">
        <f t="shared" ca="1" si="482"/>
        <v>1.0869565303437412E-3</v>
      </c>
      <c r="T1194">
        <f t="shared" ca="1" si="483"/>
        <v>0</v>
      </c>
      <c r="U1194">
        <f t="shared" ca="1" si="465"/>
        <v>0.05</v>
      </c>
      <c r="V1194">
        <f t="shared" ca="1" si="466"/>
        <v>0.26</v>
      </c>
      <c r="W1194">
        <f t="shared" ca="1" si="467"/>
        <v>4.9056603773584909E-2</v>
      </c>
      <c r="X1194">
        <f t="shared" ca="1" si="468"/>
        <v>196.15384615384616</v>
      </c>
      <c r="Y1194">
        <f t="shared" ca="1" si="469"/>
        <v>632.08999999999992</v>
      </c>
      <c r="Z1194">
        <f t="shared" ca="1" si="470"/>
        <v>2593.167031648662</v>
      </c>
      <c r="AA1194">
        <f t="shared" ca="1" si="471"/>
        <v>482.07306851378365</v>
      </c>
      <c r="AB1194">
        <f t="shared" ca="1" si="472"/>
        <v>482.25887083179032</v>
      </c>
      <c r="AC1194">
        <f t="shared" ca="1" si="473"/>
        <v>0</v>
      </c>
      <c r="AD1194">
        <f ca="1">IF(V32="Supercritical",L1194,U1194)</f>
        <v>0.05</v>
      </c>
      <c r="AE1194">
        <f t="shared" ca="1" si="474"/>
        <v>632.08999999999992</v>
      </c>
      <c r="AF1194">
        <f t="shared" ca="1" si="475"/>
        <v>2593.167031648662</v>
      </c>
      <c r="AI1194">
        <v>0</v>
      </c>
      <c r="AJ1194">
        <v>0</v>
      </c>
      <c r="AK1194">
        <f t="shared" si="476"/>
        <v>0</v>
      </c>
      <c r="AL1194">
        <f t="shared" si="484"/>
        <v>0</v>
      </c>
      <c r="AM1194">
        <f t="shared" ca="1" si="477"/>
        <v>280.07692026646265</v>
      </c>
      <c r="AN1194" t="str">
        <f t="shared" ca="1" si="478"/>
        <v>Supercritical</v>
      </c>
      <c r="AO1194">
        <f ca="1">IF(V32="Supercritical",R1194,AA1194)</f>
        <v>482.07306851378365</v>
      </c>
    </row>
    <row r="1195" spans="1:41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174</v>
      </c>
      <c r="I1195">
        <v>5.7000000000000002E-2</v>
      </c>
      <c r="J1195">
        <f t="shared" si="479"/>
        <v>1</v>
      </c>
      <c r="K1195">
        <f t="shared" si="480"/>
        <v>51</v>
      </c>
      <c r="L1195">
        <f t="shared" ca="1" si="481"/>
        <v>38818.07483718593</v>
      </c>
      <c r="M1195">
        <f t="shared" ca="1" si="459"/>
        <v>201853.98915336686</v>
      </c>
      <c r="N1195">
        <f t="shared" ca="1" si="460"/>
        <v>2.5998258659843412</v>
      </c>
      <c r="O1195">
        <f t="shared" ca="1" si="461"/>
        <v>2.5265787519933856E-4</v>
      </c>
      <c r="P1195">
        <f t="shared" ca="1" si="462"/>
        <v>39450.114337185929</v>
      </c>
      <c r="Q1195">
        <f t="shared" ca="1" si="463"/>
        <v>39450.114337189181</v>
      </c>
      <c r="R1195">
        <f t="shared" ca="1" si="464"/>
        <v>4.0178080389431074E-12</v>
      </c>
      <c r="S1195">
        <f t="shared" ca="1" si="482"/>
        <v>4.999999946448952E-4</v>
      </c>
      <c r="T1195">
        <f t="shared" ca="1" si="483"/>
        <v>1</v>
      </c>
      <c r="U1195">
        <f t="shared" ca="1" si="465"/>
        <v>0.05</v>
      </c>
      <c r="V1195">
        <f t="shared" ca="1" si="466"/>
        <v>0.26</v>
      </c>
      <c r="W1195">
        <f t="shared" ca="1" si="467"/>
        <v>4.9056603773584909E-2</v>
      </c>
      <c r="X1195">
        <f t="shared" ca="1" si="468"/>
        <v>196.15384615384616</v>
      </c>
      <c r="Y1195">
        <f t="shared" ca="1" si="469"/>
        <v>632.08949999999993</v>
      </c>
      <c r="Z1195">
        <f t="shared" ca="1" si="470"/>
        <v>2593.1665316486619</v>
      </c>
      <c r="AA1195">
        <f t="shared" ca="1" si="471"/>
        <v>482.07306851378365</v>
      </c>
      <c r="AB1195">
        <f t="shared" ca="1" si="472"/>
        <v>482.07256851378406</v>
      </c>
      <c r="AC1195">
        <f t="shared" ca="1" si="473"/>
        <v>0</v>
      </c>
      <c r="AD1195">
        <f ca="1">IF(V32="Supercritical",L1195,U1195)</f>
        <v>0.05</v>
      </c>
      <c r="AE1195">
        <f t="shared" ca="1" si="474"/>
        <v>632.08949999999993</v>
      </c>
      <c r="AF1195">
        <f t="shared" ca="1" si="475"/>
        <v>2593.1665316486619</v>
      </c>
      <c r="AI1195">
        <v>0</v>
      </c>
      <c r="AJ1195">
        <v>0</v>
      </c>
      <c r="AK1195">
        <f t="shared" si="476"/>
        <v>0</v>
      </c>
      <c r="AL1195">
        <f t="shared" si="484"/>
        <v>0</v>
      </c>
      <c r="AM1195">
        <f t="shared" ca="1" si="477"/>
        <v>280.07692026646265</v>
      </c>
      <c r="AN1195" t="str">
        <f t="shared" ca="1" si="478"/>
        <v>Supercritical</v>
      </c>
      <c r="AO1195">
        <f ca="1">IF(V32="Supercritical",R1195,AA1195)</f>
        <v>482.07306851378365</v>
      </c>
    </row>
    <row r="1196" spans="1:41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174</v>
      </c>
      <c r="I1196">
        <v>0</v>
      </c>
      <c r="J1196">
        <f t="shared" si="479"/>
        <v>1</v>
      </c>
      <c r="K1196">
        <f t="shared" si="480"/>
        <v>51</v>
      </c>
      <c r="L1196">
        <f t="shared" ca="1" si="481"/>
        <v>38818.074250229387</v>
      </c>
      <c r="M1196">
        <f t="shared" ca="1" si="459"/>
        <v>201853.98610119283</v>
      </c>
      <c r="N1196">
        <f t="shared" ca="1" si="460"/>
        <v>2.5998258659817082</v>
      </c>
      <c r="O1196">
        <f t="shared" ca="1" si="461"/>
        <v>2.5265787901970304E-4</v>
      </c>
      <c r="P1196">
        <f t="shared" ca="1" si="462"/>
        <v>39450.113250229384</v>
      </c>
      <c r="Q1196">
        <f t="shared" ca="1" si="463"/>
        <v>39450.113250232636</v>
      </c>
      <c r="R1196">
        <f t="shared" ca="1" si="464"/>
        <v>4.0178081604526904E-12</v>
      </c>
      <c r="S1196">
        <f t="shared" ca="1" si="482"/>
        <v>1.0869565376196988E-3</v>
      </c>
      <c r="T1196">
        <f t="shared" ca="1" si="483"/>
        <v>0</v>
      </c>
      <c r="U1196">
        <f t="shared" ca="1" si="465"/>
        <v>0.05</v>
      </c>
      <c r="V1196">
        <f t="shared" ca="1" si="466"/>
        <v>0.26</v>
      </c>
      <c r="W1196">
        <f t="shared" ca="1" si="467"/>
        <v>4.9056603773584909E-2</v>
      </c>
      <c r="X1196">
        <f t="shared" ca="1" si="468"/>
        <v>196.15384615384616</v>
      </c>
      <c r="Y1196">
        <f t="shared" ca="1" si="469"/>
        <v>632.08899999999994</v>
      </c>
      <c r="Z1196">
        <f t="shared" ca="1" si="470"/>
        <v>2593.1660316486623</v>
      </c>
      <c r="AA1196">
        <f t="shared" ca="1" si="471"/>
        <v>482.07306851378365</v>
      </c>
      <c r="AB1196">
        <f t="shared" ca="1" si="472"/>
        <v>482.07256851378361</v>
      </c>
      <c r="AC1196">
        <f t="shared" ca="1" si="473"/>
        <v>0</v>
      </c>
      <c r="AD1196">
        <f ca="1">IF(V32="Supercritical",L1196,U1196)</f>
        <v>0.05</v>
      </c>
      <c r="AE1196">
        <f t="shared" ca="1" si="474"/>
        <v>632.08899999999994</v>
      </c>
      <c r="AF1196">
        <f t="shared" ca="1" si="475"/>
        <v>2593.1660316486623</v>
      </c>
      <c r="AI1196">
        <v>0</v>
      </c>
      <c r="AJ1196">
        <v>0</v>
      </c>
      <c r="AK1196">
        <f t="shared" si="476"/>
        <v>0</v>
      </c>
      <c r="AL1196">
        <f t="shared" si="484"/>
        <v>0</v>
      </c>
      <c r="AM1196">
        <f t="shared" ca="1" si="477"/>
        <v>280.07692026646265</v>
      </c>
      <c r="AN1196" t="str">
        <f t="shared" ca="1" si="478"/>
        <v>Supercritical</v>
      </c>
      <c r="AO1196">
        <f ca="1">IF(V32="Supercritical",R1196,AA1196)</f>
        <v>482.07306851378365</v>
      </c>
    </row>
    <row r="1197" spans="1:41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174</v>
      </c>
      <c r="I1197">
        <v>0</v>
      </c>
      <c r="J1197">
        <f t="shared" si="479"/>
        <v>1</v>
      </c>
      <c r="K1197">
        <f t="shared" si="480"/>
        <v>51</v>
      </c>
      <c r="L1197">
        <f t="shared" ca="1" si="481"/>
        <v>38818.074250229387</v>
      </c>
      <c r="M1197">
        <f t="shared" ca="1" si="459"/>
        <v>201853.98610119283</v>
      </c>
      <c r="N1197">
        <f t="shared" ca="1" si="460"/>
        <v>2.5998258659817082</v>
      </c>
      <c r="O1197">
        <f t="shared" ca="1" si="461"/>
        <v>2.5265787901970304E-4</v>
      </c>
      <c r="P1197">
        <f t="shared" ca="1" si="462"/>
        <v>39450.112750229389</v>
      </c>
      <c r="Q1197">
        <f t="shared" ca="1" si="463"/>
        <v>39450.112750232642</v>
      </c>
      <c r="R1197">
        <f t="shared" ca="1" si="464"/>
        <v>4.0178081604526904E-12</v>
      </c>
      <c r="S1197">
        <f t="shared" ca="1" si="482"/>
        <v>4.9999998736893758E-4</v>
      </c>
      <c r="T1197">
        <f t="shared" ca="1" si="483"/>
        <v>1</v>
      </c>
      <c r="U1197">
        <f t="shared" ca="1" si="465"/>
        <v>0.05</v>
      </c>
      <c r="V1197">
        <f t="shared" ca="1" si="466"/>
        <v>0.26</v>
      </c>
      <c r="W1197">
        <f t="shared" ca="1" si="467"/>
        <v>4.9056603773584909E-2</v>
      </c>
      <c r="X1197">
        <f t="shared" ca="1" si="468"/>
        <v>196.15384615384616</v>
      </c>
      <c r="Y1197">
        <f t="shared" ca="1" si="469"/>
        <v>632.08849999999995</v>
      </c>
      <c r="Z1197">
        <f t="shared" ca="1" si="470"/>
        <v>2593.1655316486622</v>
      </c>
      <c r="AA1197">
        <f t="shared" ca="1" si="471"/>
        <v>482.07306851378365</v>
      </c>
      <c r="AB1197">
        <f t="shared" ca="1" si="472"/>
        <v>482.25887083179032</v>
      </c>
      <c r="AC1197">
        <f t="shared" ca="1" si="473"/>
        <v>0</v>
      </c>
      <c r="AD1197">
        <f ca="1">IF(V32="Supercritical",L1197,U1197)</f>
        <v>0.05</v>
      </c>
      <c r="AE1197">
        <f t="shared" ca="1" si="474"/>
        <v>632.08849999999995</v>
      </c>
      <c r="AF1197">
        <f t="shared" ca="1" si="475"/>
        <v>2593.1655316486622</v>
      </c>
      <c r="AI1197">
        <v>0</v>
      </c>
      <c r="AJ1197">
        <v>0</v>
      </c>
      <c r="AK1197">
        <f t="shared" si="476"/>
        <v>0</v>
      </c>
      <c r="AL1197">
        <f t="shared" si="484"/>
        <v>0</v>
      </c>
      <c r="AM1197">
        <f t="shared" ca="1" si="477"/>
        <v>280.07692026646265</v>
      </c>
      <c r="AN1197" t="str">
        <f t="shared" ca="1" si="478"/>
        <v>Supercritical</v>
      </c>
      <c r="AO1197">
        <f ca="1">IF(V32="Supercritical",R1197,AA1197)</f>
        <v>482.07306851378365</v>
      </c>
    </row>
    <row r="1198" spans="1:41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174</v>
      </c>
      <c r="I1198">
        <v>5.7000000000000002E-2</v>
      </c>
      <c r="J1198">
        <f t="shared" si="479"/>
        <v>1</v>
      </c>
      <c r="K1198">
        <f t="shared" si="480"/>
        <v>51</v>
      </c>
      <c r="L1198">
        <f t="shared" ca="1" si="481"/>
        <v>38818.07366327288</v>
      </c>
      <c r="M1198">
        <f t="shared" ca="1" si="459"/>
        <v>201853.98304901898</v>
      </c>
      <c r="N1198">
        <f t="shared" ca="1" si="460"/>
        <v>2.5998258659790752</v>
      </c>
      <c r="O1198">
        <f t="shared" ca="1" si="461"/>
        <v>2.5265788284006748E-4</v>
      </c>
      <c r="P1198">
        <f t="shared" ca="1" si="462"/>
        <v>39450.111663272881</v>
      </c>
      <c r="Q1198">
        <f t="shared" ca="1" si="463"/>
        <v>39450.111663276133</v>
      </c>
      <c r="R1198">
        <f t="shared" ca="1" si="464"/>
        <v>4.0178082819622759E-12</v>
      </c>
      <c r="S1198">
        <f t="shared" ca="1" si="482"/>
        <v>1.0869565012399107E-3</v>
      </c>
      <c r="T1198">
        <f t="shared" ca="1" si="483"/>
        <v>0</v>
      </c>
      <c r="U1198">
        <f t="shared" ca="1" si="465"/>
        <v>0.05</v>
      </c>
      <c r="V1198">
        <f t="shared" ca="1" si="466"/>
        <v>0.26</v>
      </c>
      <c r="W1198">
        <f t="shared" ca="1" si="467"/>
        <v>4.9056603773584909E-2</v>
      </c>
      <c r="X1198">
        <f t="shared" ca="1" si="468"/>
        <v>196.15384615384616</v>
      </c>
      <c r="Y1198">
        <f t="shared" ca="1" si="469"/>
        <v>632.08799999999997</v>
      </c>
      <c r="Z1198">
        <f t="shared" ca="1" si="470"/>
        <v>2593.1650316486621</v>
      </c>
      <c r="AA1198">
        <f t="shared" ca="1" si="471"/>
        <v>482.07306851378365</v>
      </c>
      <c r="AB1198">
        <f t="shared" ca="1" si="472"/>
        <v>482.26867621694828</v>
      </c>
      <c r="AC1198">
        <f t="shared" ca="1" si="473"/>
        <v>0</v>
      </c>
      <c r="AD1198">
        <f ca="1">IF(V32="Supercritical",L1198,U1198)</f>
        <v>0.05</v>
      </c>
      <c r="AE1198">
        <f t="shared" ca="1" si="474"/>
        <v>632.08799999999997</v>
      </c>
      <c r="AF1198">
        <f t="shared" ca="1" si="475"/>
        <v>2593.1650316486621</v>
      </c>
      <c r="AI1198">
        <v>0</v>
      </c>
      <c r="AJ1198">
        <v>0</v>
      </c>
      <c r="AK1198">
        <f t="shared" si="476"/>
        <v>0</v>
      </c>
      <c r="AL1198">
        <f t="shared" si="484"/>
        <v>0</v>
      </c>
      <c r="AM1198">
        <f t="shared" ca="1" si="477"/>
        <v>280.07692026646265</v>
      </c>
      <c r="AN1198" t="str">
        <f t="shared" ca="1" si="478"/>
        <v>Supercritical</v>
      </c>
      <c r="AO1198">
        <f ca="1">IF(V32="Supercritical",R1198,AA1198)</f>
        <v>482.07306851378365</v>
      </c>
    </row>
    <row r="1199" spans="1:41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174</v>
      </c>
      <c r="I1199">
        <v>0.06</v>
      </c>
      <c r="J1199">
        <f t="shared" si="479"/>
        <v>1</v>
      </c>
      <c r="K1199">
        <f t="shared" si="480"/>
        <v>51</v>
      </c>
      <c r="L1199">
        <f t="shared" ca="1" si="481"/>
        <v>38818.07366327288</v>
      </c>
      <c r="M1199">
        <f t="shared" ca="1" si="459"/>
        <v>201853.98304901898</v>
      </c>
      <c r="N1199">
        <f t="shared" ca="1" si="460"/>
        <v>2.5998258659790752</v>
      </c>
      <c r="O1199">
        <f t="shared" ca="1" si="461"/>
        <v>2.5265788284006748E-4</v>
      </c>
      <c r="P1199">
        <f t="shared" ca="1" si="462"/>
        <v>39450.111163272879</v>
      </c>
      <c r="Q1199">
        <f t="shared" ca="1" si="463"/>
        <v>39450.111163276131</v>
      </c>
      <c r="R1199">
        <f t="shared" ca="1" si="464"/>
        <v>4.0178082819622759E-12</v>
      </c>
      <c r="S1199">
        <f t="shared" ca="1" si="482"/>
        <v>4.999999946448952E-4</v>
      </c>
      <c r="T1199">
        <f t="shared" ca="1" si="483"/>
        <v>1</v>
      </c>
      <c r="U1199">
        <f t="shared" ca="1" si="465"/>
        <v>0.05</v>
      </c>
      <c r="V1199">
        <f t="shared" ca="1" si="466"/>
        <v>0.26</v>
      </c>
      <c r="W1199">
        <f t="shared" ca="1" si="467"/>
        <v>4.9056603773584909E-2</v>
      </c>
      <c r="X1199">
        <f t="shared" ca="1" si="468"/>
        <v>196.15384615384616</v>
      </c>
      <c r="Y1199">
        <f t="shared" ca="1" si="469"/>
        <v>632.08749999999998</v>
      </c>
      <c r="Z1199">
        <f t="shared" ca="1" si="470"/>
        <v>2593.164531648662</v>
      </c>
      <c r="AA1199">
        <f t="shared" ca="1" si="471"/>
        <v>482.07306851378365</v>
      </c>
      <c r="AB1199">
        <f t="shared" ca="1" si="472"/>
        <v>482.5611785058345</v>
      </c>
      <c r="AC1199">
        <f t="shared" ca="1" si="473"/>
        <v>0</v>
      </c>
      <c r="AD1199">
        <f ca="1">IF(V32="Supercritical",L1199,U1199)</f>
        <v>0.05</v>
      </c>
      <c r="AE1199">
        <f t="shared" ca="1" si="474"/>
        <v>632.08749999999998</v>
      </c>
      <c r="AF1199">
        <f t="shared" ca="1" si="475"/>
        <v>2593.164531648662</v>
      </c>
      <c r="AI1199">
        <v>0</v>
      </c>
      <c r="AJ1199">
        <v>0</v>
      </c>
      <c r="AK1199">
        <f t="shared" si="476"/>
        <v>0</v>
      </c>
      <c r="AL1199">
        <f t="shared" si="484"/>
        <v>0</v>
      </c>
      <c r="AM1199">
        <f t="shared" ca="1" si="477"/>
        <v>280.07692026646265</v>
      </c>
      <c r="AN1199" t="str">
        <f t="shared" ca="1" si="478"/>
        <v>Supercritical</v>
      </c>
      <c r="AO1199">
        <f ca="1">IF(V32="Supercritical",R1199,AA1199)</f>
        <v>482.07306851378365</v>
      </c>
    </row>
    <row r="1200" spans="1:41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174</v>
      </c>
      <c r="I1200">
        <v>2E-3</v>
      </c>
      <c r="J1200">
        <f t="shared" si="479"/>
        <v>1.0010000000002037</v>
      </c>
      <c r="K1200">
        <f t="shared" si="480"/>
        <v>51</v>
      </c>
      <c r="L1200">
        <f t="shared" ca="1" si="481"/>
        <v>38818.073076316374</v>
      </c>
      <c r="M1200">
        <f t="shared" ca="1" si="459"/>
        <v>201853.97999684516</v>
      </c>
      <c r="N1200">
        <f t="shared" ca="1" si="460"/>
        <v>2.5998258659764426</v>
      </c>
      <c r="O1200">
        <f t="shared" ca="1" si="461"/>
        <v>2.5265788666043197E-4</v>
      </c>
      <c r="P1200">
        <f t="shared" ca="1" si="462"/>
        <v>39450.11007631637</v>
      </c>
      <c r="Q1200">
        <f t="shared" ca="1" si="463"/>
        <v>39450.110076319623</v>
      </c>
      <c r="R1200">
        <f t="shared" ca="1" si="464"/>
        <v>4.0178084034718621E-12</v>
      </c>
      <c r="S1200">
        <f t="shared" ca="1" si="482"/>
        <v>1.0869565012399107E-3</v>
      </c>
      <c r="T1200">
        <f t="shared" ca="1" si="483"/>
        <v>0</v>
      </c>
      <c r="U1200">
        <f t="shared" ca="1" si="465"/>
        <v>0.05</v>
      </c>
      <c r="V1200">
        <f t="shared" ca="1" si="466"/>
        <v>0.26</v>
      </c>
      <c r="W1200">
        <f t="shared" ca="1" si="467"/>
        <v>4.9056603773584909E-2</v>
      </c>
      <c r="X1200">
        <f t="shared" ca="1" si="468"/>
        <v>196.15384615384616</v>
      </c>
      <c r="Y1200">
        <f t="shared" ca="1" si="469"/>
        <v>632.08699999999999</v>
      </c>
      <c r="Z1200">
        <f t="shared" ca="1" si="470"/>
        <v>2593.1640316486619</v>
      </c>
      <c r="AA1200">
        <f t="shared" ca="1" si="471"/>
        <v>482.07306851378365</v>
      </c>
      <c r="AB1200">
        <f t="shared" ca="1" si="472"/>
        <v>482.07256851378406</v>
      </c>
      <c r="AC1200">
        <f t="shared" ca="1" si="473"/>
        <v>0</v>
      </c>
      <c r="AD1200">
        <f ca="1">IF(V32="Supercritical",L1200,U1200)</f>
        <v>0.05</v>
      </c>
      <c r="AE1200">
        <f t="shared" ca="1" si="474"/>
        <v>632.08699999999999</v>
      </c>
      <c r="AF1200">
        <f t="shared" ca="1" si="475"/>
        <v>2593.1640316486619</v>
      </c>
      <c r="AI1200">
        <v>0</v>
      </c>
      <c r="AJ1200">
        <v>0</v>
      </c>
      <c r="AK1200">
        <f t="shared" si="476"/>
        <v>0</v>
      </c>
      <c r="AL1200">
        <f t="shared" si="484"/>
        <v>0</v>
      </c>
      <c r="AM1200">
        <f t="shared" ca="1" si="477"/>
        <v>280.07692026646265</v>
      </c>
      <c r="AN1200" t="str">
        <f t="shared" ca="1" si="478"/>
        <v>Supercritical</v>
      </c>
      <c r="AO1200">
        <f ca="1">IF(V32="Supercritical",R1200,AA1200)</f>
        <v>482.07306851378365</v>
      </c>
    </row>
    <row r="1201" spans="1:41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174</v>
      </c>
      <c r="I1201">
        <v>0</v>
      </c>
      <c r="J1201">
        <f t="shared" si="479"/>
        <v>1</v>
      </c>
      <c r="K1201">
        <f t="shared" si="480"/>
        <v>51</v>
      </c>
      <c r="L1201">
        <f t="shared" ca="1" si="481"/>
        <v>38818.073076316374</v>
      </c>
      <c r="M1201">
        <f t="shared" ca="1" si="459"/>
        <v>201853.97999684516</v>
      </c>
      <c r="N1201">
        <f t="shared" ca="1" si="460"/>
        <v>2.5998258659764426</v>
      </c>
      <c r="O1201">
        <f t="shared" ca="1" si="461"/>
        <v>2.5265788666043197E-4</v>
      </c>
      <c r="P1201">
        <f t="shared" ca="1" si="462"/>
        <v>39450.109576316376</v>
      </c>
      <c r="Q1201">
        <f t="shared" ca="1" si="463"/>
        <v>39450.109576319628</v>
      </c>
      <c r="R1201">
        <f t="shared" ca="1" si="464"/>
        <v>4.0178084034718621E-12</v>
      </c>
      <c r="S1201">
        <f t="shared" ca="1" si="482"/>
        <v>4.9999998736893758E-4</v>
      </c>
      <c r="T1201">
        <f t="shared" ca="1" si="483"/>
        <v>1</v>
      </c>
      <c r="U1201">
        <f t="shared" ca="1" si="465"/>
        <v>0.05</v>
      </c>
      <c r="V1201">
        <f t="shared" ca="1" si="466"/>
        <v>0.26</v>
      </c>
      <c r="W1201">
        <f t="shared" ca="1" si="467"/>
        <v>4.9056603773584909E-2</v>
      </c>
      <c r="X1201">
        <f t="shared" ca="1" si="468"/>
        <v>196.15384615384616</v>
      </c>
      <c r="Y1201">
        <f t="shared" ca="1" si="469"/>
        <v>632.0865</v>
      </c>
      <c r="Z1201">
        <f t="shared" ca="1" si="470"/>
        <v>2593.1635316486622</v>
      </c>
      <c r="AA1201">
        <f t="shared" ca="1" si="471"/>
        <v>482.07306851378365</v>
      </c>
      <c r="AB1201">
        <f t="shared" ca="1" si="472"/>
        <v>481.77679776317837</v>
      </c>
      <c r="AC1201">
        <f t="shared" ca="1" si="473"/>
        <v>0</v>
      </c>
      <c r="AD1201">
        <f ca="1">IF(V32="Supercritical",L1201,U1201)</f>
        <v>0.05</v>
      </c>
      <c r="AE1201">
        <f t="shared" ca="1" si="474"/>
        <v>632.0865</v>
      </c>
      <c r="AF1201">
        <f t="shared" ca="1" si="475"/>
        <v>2593.1635316486622</v>
      </c>
      <c r="AI1201">
        <v>0</v>
      </c>
      <c r="AJ1201">
        <v>0</v>
      </c>
      <c r="AK1201">
        <f t="shared" si="476"/>
        <v>0</v>
      </c>
      <c r="AL1201">
        <f t="shared" si="484"/>
        <v>0</v>
      </c>
      <c r="AM1201">
        <f t="shared" ca="1" si="477"/>
        <v>280.07692026646265</v>
      </c>
      <c r="AN1201" t="str">
        <f t="shared" ca="1" si="478"/>
        <v>Supercritical</v>
      </c>
      <c r="AO1201">
        <f ca="1">IF(V32="Supercritical",R1201,AA1201)</f>
        <v>482.07306851378365</v>
      </c>
    </row>
    <row r="1202" spans="1:41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174</v>
      </c>
      <c r="I1202">
        <v>5.7000000000000002E-2</v>
      </c>
      <c r="J1202">
        <f t="shared" si="479"/>
        <v>0.99899999999979627</v>
      </c>
      <c r="K1202">
        <f t="shared" si="480"/>
        <v>51</v>
      </c>
      <c r="L1202">
        <f t="shared" ca="1" si="481"/>
        <v>38818.072489359867</v>
      </c>
      <c r="M1202">
        <f t="shared" ca="1" si="459"/>
        <v>201853.9769446713</v>
      </c>
      <c r="N1202">
        <f t="shared" ca="1" si="460"/>
        <v>2.5998258659738096</v>
      </c>
      <c r="O1202">
        <f t="shared" ca="1" si="461"/>
        <v>2.5265789048079657E-4</v>
      </c>
      <c r="P1202">
        <f t="shared" ca="1" si="462"/>
        <v>39450.108489359867</v>
      </c>
      <c r="Q1202">
        <f t="shared" ca="1" si="463"/>
        <v>39450.10848936312</v>
      </c>
      <c r="R1202">
        <f t="shared" ca="1" si="464"/>
        <v>4.0178085249814581E-12</v>
      </c>
      <c r="S1202">
        <f t="shared" ca="1" si="482"/>
        <v>1.0869565012399107E-3</v>
      </c>
      <c r="T1202">
        <f t="shared" ca="1" si="483"/>
        <v>0</v>
      </c>
      <c r="U1202">
        <f t="shared" ca="1" si="465"/>
        <v>0.05</v>
      </c>
      <c r="V1202">
        <f t="shared" ca="1" si="466"/>
        <v>0.26</v>
      </c>
      <c r="W1202">
        <f t="shared" ca="1" si="467"/>
        <v>4.9056603773584909E-2</v>
      </c>
      <c r="X1202">
        <f t="shared" ca="1" si="468"/>
        <v>196.15384615384616</v>
      </c>
      <c r="Y1202">
        <f t="shared" ca="1" si="469"/>
        <v>632.0859999999999</v>
      </c>
      <c r="Z1202">
        <f t="shared" ca="1" si="470"/>
        <v>2593.1630316486621</v>
      </c>
      <c r="AA1202">
        <f t="shared" ca="1" si="471"/>
        <v>482.07306851378365</v>
      </c>
      <c r="AB1202">
        <f t="shared" ca="1" si="472"/>
        <v>482.25887083179032</v>
      </c>
      <c r="AC1202">
        <f t="shared" ca="1" si="473"/>
        <v>0</v>
      </c>
      <c r="AD1202">
        <f ca="1">IF(V32="Supercritical",L1202,U1202)</f>
        <v>0.05</v>
      </c>
      <c r="AE1202">
        <f t="shared" ca="1" si="474"/>
        <v>632.0859999999999</v>
      </c>
      <c r="AF1202">
        <f t="shared" ca="1" si="475"/>
        <v>2593.1630316486621</v>
      </c>
      <c r="AI1202">
        <v>0</v>
      </c>
      <c r="AJ1202">
        <v>0</v>
      </c>
      <c r="AK1202">
        <f t="shared" si="476"/>
        <v>0</v>
      </c>
      <c r="AL1202">
        <f t="shared" si="484"/>
        <v>0</v>
      </c>
      <c r="AM1202">
        <f t="shared" ca="1" si="477"/>
        <v>280.07692026646265</v>
      </c>
      <c r="AN1202" t="str">
        <f t="shared" ca="1" si="478"/>
        <v>Supercritical</v>
      </c>
      <c r="AO1202">
        <f ca="1">IF(V32="Supercritical",R1202,AA1202)</f>
        <v>482.07306851378365</v>
      </c>
    </row>
    <row r="1203" spans="1:41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174</v>
      </c>
      <c r="I1203">
        <v>5.7000000000000002E-2</v>
      </c>
      <c r="J1203">
        <f t="shared" si="479"/>
        <v>1</v>
      </c>
      <c r="K1203">
        <f t="shared" si="480"/>
        <v>51</v>
      </c>
      <c r="L1203">
        <f t="shared" ca="1" si="481"/>
        <v>38818.072489359867</v>
      </c>
      <c r="M1203">
        <f t="shared" ca="1" si="459"/>
        <v>201853.9769446713</v>
      </c>
      <c r="N1203">
        <f t="shared" ca="1" si="460"/>
        <v>2.5998258659738096</v>
      </c>
      <c r="O1203">
        <f t="shared" ca="1" si="461"/>
        <v>2.5265789048079657E-4</v>
      </c>
      <c r="P1203">
        <f t="shared" ca="1" si="462"/>
        <v>39450.107989359865</v>
      </c>
      <c r="Q1203">
        <f t="shared" ca="1" si="463"/>
        <v>39450.107989363118</v>
      </c>
      <c r="R1203">
        <f t="shared" ca="1" si="464"/>
        <v>4.0178085249814581E-12</v>
      </c>
      <c r="S1203">
        <f t="shared" ca="1" si="482"/>
        <v>4.999999946448952E-4</v>
      </c>
      <c r="T1203">
        <f t="shared" ca="1" si="483"/>
        <v>1</v>
      </c>
      <c r="U1203">
        <f t="shared" ca="1" si="465"/>
        <v>0.05</v>
      </c>
      <c r="V1203">
        <f t="shared" ca="1" si="466"/>
        <v>0.26</v>
      </c>
      <c r="W1203">
        <f t="shared" ca="1" si="467"/>
        <v>4.9056603773584909E-2</v>
      </c>
      <c r="X1203">
        <f t="shared" ca="1" si="468"/>
        <v>196.15384615384616</v>
      </c>
      <c r="Y1203">
        <f t="shared" ca="1" si="469"/>
        <v>632.08549999999991</v>
      </c>
      <c r="Z1203">
        <f t="shared" ca="1" si="470"/>
        <v>2593.162531648662</v>
      </c>
      <c r="AA1203">
        <f t="shared" ca="1" si="471"/>
        <v>482.07306851378365</v>
      </c>
      <c r="AB1203">
        <f t="shared" ca="1" si="472"/>
        <v>482.07256851378361</v>
      </c>
      <c r="AC1203">
        <f t="shared" ca="1" si="473"/>
        <v>0</v>
      </c>
      <c r="AD1203">
        <f ca="1">IF(V32="Supercritical",L1203,U1203)</f>
        <v>0.05</v>
      </c>
      <c r="AE1203">
        <f t="shared" ca="1" si="474"/>
        <v>632.08549999999991</v>
      </c>
      <c r="AF1203">
        <f t="shared" ca="1" si="475"/>
        <v>2593.162531648662</v>
      </c>
      <c r="AI1203">
        <v>0</v>
      </c>
      <c r="AJ1203">
        <v>0</v>
      </c>
      <c r="AK1203">
        <f t="shared" si="476"/>
        <v>0</v>
      </c>
      <c r="AL1203">
        <f t="shared" si="484"/>
        <v>0</v>
      </c>
      <c r="AM1203">
        <f t="shared" ca="1" si="477"/>
        <v>280.07692026646265</v>
      </c>
      <c r="AN1203" t="str">
        <f t="shared" ca="1" si="478"/>
        <v>Supercritical</v>
      </c>
      <c r="AO1203">
        <f ca="1">IF(V32="Supercritical",R1203,AA1203)</f>
        <v>482.07306851378365</v>
      </c>
    </row>
    <row r="1204" spans="1:41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174</v>
      </c>
      <c r="I1204">
        <v>0</v>
      </c>
      <c r="J1204">
        <f t="shared" si="479"/>
        <v>1</v>
      </c>
      <c r="K1204">
        <f t="shared" si="480"/>
        <v>51</v>
      </c>
      <c r="L1204">
        <f t="shared" ca="1" si="481"/>
        <v>38818.071902403317</v>
      </c>
      <c r="M1204">
        <f t="shared" ca="1" si="459"/>
        <v>201853.97389249725</v>
      </c>
      <c r="N1204">
        <f t="shared" ca="1" si="460"/>
        <v>2.5998258659711766</v>
      </c>
      <c r="O1204">
        <f t="shared" ca="1" si="461"/>
        <v>2.526578943011616E-4</v>
      </c>
      <c r="P1204">
        <f t="shared" ca="1" si="462"/>
        <v>39450.10690240332</v>
      </c>
      <c r="Q1204">
        <f t="shared" ca="1" si="463"/>
        <v>39450.106902406573</v>
      </c>
      <c r="R1204">
        <f t="shared" ca="1" si="464"/>
        <v>4.0178086464910621E-12</v>
      </c>
      <c r="S1204">
        <f t="shared" ca="1" si="482"/>
        <v>1.0869565376196988E-3</v>
      </c>
      <c r="T1204">
        <f t="shared" ca="1" si="483"/>
        <v>0</v>
      </c>
      <c r="U1204">
        <f t="shared" ca="1" si="465"/>
        <v>0.05</v>
      </c>
      <c r="V1204">
        <f t="shared" ca="1" si="466"/>
        <v>0.26</v>
      </c>
      <c r="W1204">
        <f t="shared" ca="1" si="467"/>
        <v>4.9056603773584909E-2</v>
      </c>
      <c r="X1204">
        <f t="shared" ca="1" si="468"/>
        <v>196.15384615384616</v>
      </c>
      <c r="Y1204">
        <f t="shared" ca="1" si="469"/>
        <v>632.08499999999992</v>
      </c>
      <c r="Z1204">
        <f t="shared" ca="1" si="470"/>
        <v>2593.1620316486619</v>
      </c>
      <c r="AA1204">
        <f t="shared" ca="1" si="471"/>
        <v>482.07306851378365</v>
      </c>
      <c r="AB1204">
        <f t="shared" ca="1" si="472"/>
        <v>482.07256851378406</v>
      </c>
      <c r="AC1204">
        <f t="shared" ca="1" si="473"/>
        <v>0</v>
      </c>
      <c r="AD1204">
        <f ca="1">IF(V32="Supercritical",L1204,U1204)</f>
        <v>0.05</v>
      </c>
      <c r="AE1204">
        <f t="shared" ca="1" si="474"/>
        <v>632.08499999999992</v>
      </c>
      <c r="AF1204">
        <f t="shared" ca="1" si="475"/>
        <v>2593.1620316486619</v>
      </c>
      <c r="AI1204">
        <v>0</v>
      </c>
      <c r="AJ1204">
        <v>0</v>
      </c>
      <c r="AK1204">
        <f t="shared" si="476"/>
        <v>0</v>
      </c>
      <c r="AL1204">
        <f t="shared" si="484"/>
        <v>0</v>
      </c>
      <c r="AM1204">
        <f t="shared" ca="1" si="477"/>
        <v>280.07692026646265</v>
      </c>
      <c r="AN1204" t="str">
        <f t="shared" ca="1" si="478"/>
        <v>Supercritical</v>
      </c>
      <c r="AO1204">
        <f ca="1">IF(V32="Supercritical",R1204,AA1204)</f>
        <v>482.07306851378365</v>
      </c>
    </row>
    <row r="1205" spans="1:41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174</v>
      </c>
      <c r="I1205">
        <v>0</v>
      </c>
      <c r="J1205">
        <f t="shared" si="479"/>
        <v>1</v>
      </c>
      <c r="K1205">
        <f t="shared" si="480"/>
        <v>51</v>
      </c>
      <c r="L1205">
        <f t="shared" ca="1" si="481"/>
        <v>38818.071902403317</v>
      </c>
      <c r="M1205">
        <f t="shared" ca="1" si="459"/>
        <v>201853.97389249725</v>
      </c>
      <c r="N1205">
        <f t="shared" ca="1" si="460"/>
        <v>2.5998258659711766</v>
      </c>
      <c r="O1205">
        <f t="shared" ca="1" si="461"/>
        <v>2.526578943011616E-4</v>
      </c>
      <c r="P1205">
        <f t="shared" ca="1" si="462"/>
        <v>39450.106402403318</v>
      </c>
      <c r="Q1205">
        <f t="shared" ca="1" si="463"/>
        <v>39450.106402406571</v>
      </c>
      <c r="R1205">
        <f t="shared" ca="1" si="464"/>
        <v>4.0178086464910621E-12</v>
      </c>
      <c r="S1205">
        <f t="shared" ca="1" si="482"/>
        <v>4.999999946448952E-4</v>
      </c>
      <c r="T1205">
        <f t="shared" ca="1" si="483"/>
        <v>1</v>
      </c>
      <c r="U1205">
        <f t="shared" ca="1" si="465"/>
        <v>0.05</v>
      </c>
      <c r="V1205">
        <f t="shared" ca="1" si="466"/>
        <v>0.26</v>
      </c>
      <c r="W1205">
        <f t="shared" ca="1" si="467"/>
        <v>4.9056603773584909E-2</v>
      </c>
      <c r="X1205">
        <f t="shared" ca="1" si="468"/>
        <v>196.15384615384616</v>
      </c>
      <c r="Y1205">
        <f t="shared" ca="1" si="469"/>
        <v>632.08449999999993</v>
      </c>
      <c r="Z1205">
        <f t="shared" ca="1" si="470"/>
        <v>2593.1615316486623</v>
      </c>
      <c r="AA1205">
        <f t="shared" ca="1" si="471"/>
        <v>482.07306851378365</v>
      </c>
      <c r="AB1205">
        <f t="shared" ca="1" si="472"/>
        <v>482.25887083179032</v>
      </c>
      <c r="AC1205">
        <f t="shared" ca="1" si="473"/>
        <v>0</v>
      </c>
      <c r="AD1205">
        <f ca="1">IF(V32="Supercritical",L1205,U1205)</f>
        <v>0.05</v>
      </c>
      <c r="AE1205">
        <f t="shared" ca="1" si="474"/>
        <v>632.08449999999993</v>
      </c>
      <c r="AF1205">
        <f t="shared" ca="1" si="475"/>
        <v>2593.1615316486623</v>
      </c>
      <c r="AI1205">
        <v>0</v>
      </c>
      <c r="AJ1205">
        <v>0</v>
      </c>
      <c r="AK1205">
        <f t="shared" si="476"/>
        <v>0</v>
      </c>
      <c r="AL1205">
        <f t="shared" si="484"/>
        <v>0</v>
      </c>
      <c r="AM1205">
        <f t="shared" ca="1" si="477"/>
        <v>280.07692026646265</v>
      </c>
      <c r="AN1205" t="str">
        <f t="shared" ca="1" si="478"/>
        <v>Supercritical</v>
      </c>
      <c r="AO1205">
        <f ca="1">IF(V32="Supercritical",R1205,AA1205)</f>
        <v>482.07306851378365</v>
      </c>
    </row>
    <row r="1206" spans="1:41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174</v>
      </c>
      <c r="I1206">
        <v>5.7000000000000002E-2</v>
      </c>
      <c r="J1206">
        <f t="shared" si="479"/>
        <v>1</v>
      </c>
      <c r="K1206">
        <f t="shared" si="480"/>
        <v>51</v>
      </c>
      <c r="L1206">
        <f t="shared" ca="1" si="481"/>
        <v>38818.071315446774</v>
      </c>
      <c r="M1206">
        <f t="shared" ca="1" si="459"/>
        <v>201853.97084032322</v>
      </c>
      <c r="N1206">
        <f t="shared" ca="1" si="460"/>
        <v>2.5998258659685436</v>
      </c>
      <c r="O1206">
        <f t="shared" ca="1" si="461"/>
        <v>2.5265789812152668E-4</v>
      </c>
      <c r="P1206">
        <f t="shared" ca="1" si="462"/>
        <v>39450.105315446774</v>
      </c>
      <c r="Q1206">
        <f t="shared" ca="1" si="463"/>
        <v>39450.105315450026</v>
      </c>
      <c r="R1206">
        <f t="shared" ca="1" si="464"/>
        <v>4.0178087680006759E-12</v>
      </c>
      <c r="S1206">
        <f t="shared" ca="1" si="482"/>
        <v>1.0869565376196988E-3</v>
      </c>
      <c r="T1206">
        <f t="shared" ca="1" si="483"/>
        <v>0</v>
      </c>
      <c r="U1206">
        <f t="shared" ca="1" si="465"/>
        <v>0.05</v>
      </c>
      <c r="V1206">
        <f t="shared" ca="1" si="466"/>
        <v>0.26</v>
      </c>
      <c r="W1206">
        <f t="shared" ca="1" si="467"/>
        <v>4.9056603773584909E-2</v>
      </c>
      <c r="X1206">
        <f t="shared" ca="1" si="468"/>
        <v>196.15384615384616</v>
      </c>
      <c r="Y1206">
        <f t="shared" ca="1" si="469"/>
        <v>632.08399999999995</v>
      </c>
      <c r="Z1206">
        <f t="shared" ca="1" si="470"/>
        <v>2593.1610316486622</v>
      </c>
      <c r="AA1206">
        <f t="shared" ca="1" si="471"/>
        <v>482.07306851378365</v>
      </c>
      <c r="AB1206">
        <f t="shared" ca="1" si="472"/>
        <v>482.25887083179032</v>
      </c>
      <c r="AC1206">
        <f t="shared" ca="1" si="473"/>
        <v>0</v>
      </c>
      <c r="AD1206">
        <f ca="1">IF(V32="Supercritical",L1206,U1206)</f>
        <v>0.05</v>
      </c>
      <c r="AE1206">
        <f t="shared" ca="1" si="474"/>
        <v>632.08399999999995</v>
      </c>
      <c r="AF1206">
        <f t="shared" ca="1" si="475"/>
        <v>2593.1610316486622</v>
      </c>
      <c r="AI1206">
        <v>0</v>
      </c>
      <c r="AJ1206">
        <v>0</v>
      </c>
      <c r="AK1206">
        <f t="shared" si="476"/>
        <v>0</v>
      </c>
      <c r="AL1206">
        <f t="shared" si="484"/>
        <v>0</v>
      </c>
      <c r="AM1206">
        <f t="shared" ca="1" si="477"/>
        <v>280.07692026646265</v>
      </c>
      <c r="AN1206" t="str">
        <f t="shared" ca="1" si="478"/>
        <v>Supercritical</v>
      </c>
      <c r="AO1206">
        <f ca="1">IF(V32="Supercritical",R1206,AA1206)</f>
        <v>482.07306851378365</v>
      </c>
    </row>
    <row r="1207" spans="1:41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174</v>
      </c>
      <c r="I1207">
        <v>5.7000000000000002E-2</v>
      </c>
      <c r="J1207">
        <f t="shared" si="479"/>
        <v>1</v>
      </c>
      <c r="K1207">
        <f t="shared" si="480"/>
        <v>51</v>
      </c>
      <c r="L1207">
        <f t="shared" ca="1" si="481"/>
        <v>38818.071315446774</v>
      </c>
      <c r="M1207">
        <f t="shared" ca="1" si="459"/>
        <v>201853.97084032322</v>
      </c>
      <c r="N1207">
        <f t="shared" ca="1" si="460"/>
        <v>2.5998258659685436</v>
      </c>
      <c r="O1207">
        <f t="shared" ca="1" si="461"/>
        <v>2.5265789812152668E-4</v>
      </c>
      <c r="P1207">
        <f t="shared" ca="1" si="462"/>
        <v>39450.104815446772</v>
      </c>
      <c r="Q1207">
        <f t="shared" ca="1" si="463"/>
        <v>39450.104815450024</v>
      </c>
      <c r="R1207">
        <f t="shared" ca="1" si="464"/>
        <v>4.0178087680006759E-12</v>
      </c>
      <c r="S1207">
        <f t="shared" ca="1" si="482"/>
        <v>4.999999946448952E-4</v>
      </c>
      <c r="T1207">
        <f t="shared" ca="1" si="483"/>
        <v>1</v>
      </c>
      <c r="U1207">
        <f t="shared" ca="1" si="465"/>
        <v>0.05</v>
      </c>
      <c r="V1207">
        <f t="shared" ca="1" si="466"/>
        <v>0.26</v>
      </c>
      <c r="W1207">
        <f t="shared" ca="1" si="467"/>
        <v>4.9056603773584909E-2</v>
      </c>
      <c r="X1207">
        <f t="shared" ca="1" si="468"/>
        <v>196.15384615384616</v>
      </c>
      <c r="Y1207">
        <f t="shared" ca="1" si="469"/>
        <v>632.08349999999996</v>
      </c>
      <c r="Z1207">
        <f t="shared" ca="1" si="470"/>
        <v>2593.1605316486621</v>
      </c>
      <c r="AA1207">
        <f t="shared" ca="1" si="471"/>
        <v>482.07306851378365</v>
      </c>
      <c r="AB1207">
        <f t="shared" ca="1" si="472"/>
        <v>482.07910543722255</v>
      </c>
      <c r="AC1207">
        <f t="shared" ca="1" si="473"/>
        <v>0</v>
      </c>
      <c r="AD1207">
        <f ca="1">IF(V32="Supercritical",L1207,U1207)</f>
        <v>0.05</v>
      </c>
      <c r="AE1207">
        <f t="shared" ca="1" si="474"/>
        <v>632.08349999999996</v>
      </c>
      <c r="AF1207">
        <f t="shared" ca="1" si="475"/>
        <v>2593.1605316486621</v>
      </c>
      <c r="AI1207">
        <v>0</v>
      </c>
      <c r="AJ1207">
        <v>0</v>
      </c>
      <c r="AK1207">
        <f t="shared" si="476"/>
        <v>0</v>
      </c>
      <c r="AL1207">
        <f t="shared" si="484"/>
        <v>0</v>
      </c>
      <c r="AM1207">
        <f t="shared" ca="1" si="477"/>
        <v>280.07692026646265</v>
      </c>
      <c r="AN1207" t="str">
        <f t="shared" ca="1" si="478"/>
        <v>Supercritical</v>
      </c>
      <c r="AO1207">
        <f ca="1">IF(V32="Supercritical",R1207,AA1207)</f>
        <v>482.07306851378365</v>
      </c>
    </row>
    <row r="1208" spans="1:41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174</v>
      </c>
      <c r="I1208">
        <v>2E-3</v>
      </c>
      <c r="J1208">
        <f t="shared" si="479"/>
        <v>1</v>
      </c>
      <c r="K1208">
        <f t="shared" si="480"/>
        <v>51</v>
      </c>
      <c r="L1208">
        <f t="shared" ca="1" si="481"/>
        <v>38818.07072849026</v>
      </c>
      <c r="M1208">
        <f t="shared" ca="1" si="459"/>
        <v>201853.96778814937</v>
      </c>
      <c r="N1208">
        <f t="shared" ca="1" si="460"/>
        <v>2.599825865965911</v>
      </c>
      <c r="O1208">
        <f t="shared" ca="1" si="461"/>
        <v>2.5265790194189166E-4</v>
      </c>
      <c r="P1208">
        <f t="shared" ca="1" si="462"/>
        <v>39450.103728490263</v>
      </c>
      <c r="Q1208">
        <f t="shared" ca="1" si="463"/>
        <v>39450.103728493516</v>
      </c>
      <c r="R1208">
        <f t="shared" ca="1" si="464"/>
        <v>4.0178088895102872E-12</v>
      </c>
      <c r="S1208">
        <f t="shared" ca="1" si="482"/>
        <v>1.0869565012399107E-3</v>
      </c>
      <c r="T1208">
        <f t="shared" ca="1" si="483"/>
        <v>0</v>
      </c>
      <c r="U1208">
        <f t="shared" ca="1" si="465"/>
        <v>0.05</v>
      </c>
      <c r="V1208">
        <f t="shared" ca="1" si="466"/>
        <v>0.26</v>
      </c>
      <c r="W1208">
        <f t="shared" ca="1" si="467"/>
        <v>4.9056603773584909E-2</v>
      </c>
      <c r="X1208">
        <f t="shared" ca="1" si="468"/>
        <v>196.15384615384616</v>
      </c>
      <c r="Y1208">
        <f t="shared" ca="1" si="469"/>
        <v>632.08299999999997</v>
      </c>
      <c r="Z1208">
        <f t="shared" ca="1" si="470"/>
        <v>2593.160031648662</v>
      </c>
      <c r="AA1208">
        <f t="shared" ca="1" si="471"/>
        <v>482.07306851378365</v>
      </c>
      <c r="AB1208">
        <f t="shared" ca="1" si="472"/>
        <v>482.75074928556023</v>
      </c>
      <c r="AC1208">
        <f t="shared" ca="1" si="473"/>
        <v>0</v>
      </c>
      <c r="AD1208">
        <f ca="1">IF(V32="Supercritical",L1208,U1208)</f>
        <v>0.05</v>
      </c>
      <c r="AE1208">
        <f t="shared" ca="1" si="474"/>
        <v>632.08299999999997</v>
      </c>
      <c r="AF1208">
        <f t="shared" ca="1" si="475"/>
        <v>2593.160031648662</v>
      </c>
      <c r="AI1208">
        <v>0</v>
      </c>
      <c r="AJ1208">
        <v>0</v>
      </c>
      <c r="AK1208">
        <f t="shared" si="476"/>
        <v>0</v>
      </c>
      <c r="AL1208">
        <f t="shared" si="484"/>
        <v>0</v>
      </c>
      <c r="AM1208">
        <f t="shared" ca="1" si="477"/>
        <v>280.07692026646265</v>
      </c>
      <c r="AN1208" t="str">
        <f t="shared" ca="1" si="478"/>
        <v>Supercritical</v>
      </c>
      <c r="AO1208">
        <f ca="1">IF(V32="Supercritical",R1208,AA1208)</f>
        <v>482.07306851378365</v>
      </c>
    </row>
    <row r="1209" spans="1:41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174</v>
      </c>
      <c r="I1209">
        <v>0.06</v>
      </c>
      <c r="J1209">
        <f t="shared" si="479"/>
        <v>1.0010000000002037</v>
      </c>
      <c r="K1209">
        <f t="shared" si="480"/>
        <v>51</v>
      </c>
      <c r="L1209">
        <f t="shared" ca="1" si="481"/>
        <v>38818.07072849026</v>
      </c>
      <c r="M1209">
        <f t="shared" ca="1" si="459"/>
        <v>201853.96778814937</v>
      </c>
      <c r="N1209">
        <f t="shared" ca="1" si="460"/>
        <v>2.599825865965911</v>
      </c>
      <c r="O1209">
        <f t="shared" ca="1" si="461"/>
        <v>2.5265790194189166E-4</v>
      </c>
      <c r="P1209">
        <f t="shared" ca="1" si="462"/>
        <v>39450.103228490261</v>
      </c>
      <c r="Q1209">
        <f t="shared" ca="1" si="463"/>
        <v>39450.103228493514</v>
      </c>
      <c r="R1209">
        <f t="shared" ca="1" si="464"/>
        <v>4.0178088895102872E-12</v>
      </c>
      <c r="S1209">
        <f t="shared" ca="1" si="482"/>
        <v>4.999999946448952E-4</v>
      </c>
      <c r="T1209">
        <f t="shared" ca="1" si="483"/>
        <v>1</v>
      </c>
      <c r="U1209">
        <f t="shared" ca="1" si="465"/>
        <v>0.05</v>
      </c>
      <c r="V1209">
        <f t="shared" ca="1" si="466"/>
        <v>0.26</v>
      </c>
      <c r="W1209">
        <f t="shared" ca="1" si="467"/>
        <v>4.9056603773584909E-2</v>
      </c>
      <c r="X1209">
        <f t="shared" ca="1" si="468"/>
        <v>196.15384615384616</v>
      </c>
      <c r="Y1209">
        <f t="shared" ca="1" si="469"/>
        <v>632.08249999999998</v>
      </c>
      <c r="Z1209">
        <f t="shared" ca="1" si="470"/>
        <v>2593.1595316486619</v>
      </c>
      <c r="AA1209">
        <f t="shared" ca="1" si="471"/>
        <v>482.07306851378365</v>
      </c>
      <c r="AB1209">
        <f t="shared" ca="1" si="472"/>
        <v>482.25887083179077</v>
      </c>
      <c r="AC1209">
        <f t="shared" ca="1" si="473"/>
        <v>0</v>
      </c>
      <c r="AD1209">
        <f ca="1">IF(V32="Supercritical",L1209,U1209)</f>
        <v>0.05</v>
      </c>
      <c r="AE1209">
        <f t="shared" ca="1" si="474"/>
        <v>632.08249999999998</v>
      </c>
      <c r="AF1209">
        <f t="shared" ca="1" si="475"/>
        <v>2593.1595316486619</v>
      </c>
      <c r="AI1209">
        <v>0</v>
      </c>
      <c r="AJ1209">
        <v>0</v>
      </c>
      <c r="AK1209">
        <f t="shared" si="476"/>
        <v>0</v>
      </c>
      <c r="AL1209">
        <f t="shared" si="484"/>
        <v>0</v>
      </c>
      <c r="AM1209">
        <f t="shared" ca="1" si="477"/>
        <v>280.07692026646265</v>
      </c>
      <c r="AN1209" t="str">
        <f t="shared" ca="1" si="478"/>
        <v>Supercritical</v>
      </c>
      <c r="AO1209">
        <f ca="1">IF(V32="Supercritical",R1209,AA1209)</f>
        <v>482.07306851378365</v>
      </c>
    </row>
    <row r="1210" spans="1:41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174</v>
      </c>
      <c r="I1210">
        <v>5.7000000000000002E-2</v>
      </c>
      <c r="J1210">
        <f t="shared" si="479"/>
        <v>1</v>
      </c>
      <c r="K1210">
        <f t="shared" si="480"/>
        <v>51</v>
      </c>
      <c r="L1210">
        <f t="shared" ca="1" si="481"/>
        <v>38818.070141533753</v>
      </c>
      <c r="M1210">
        <f t="shared" ca="1" si="459"/>
        <v>201853.96473597552</v>
      </c>
      <c r="N1210">
        <f t="shared" ca="1" si="460"/>
        <v>2.599825865963278</v>
      </c>
      <c r="O1210">
        <f t="shared" ca="1" si="461"/>
        <v>2.5265790576225675E-4</v>
      </c>
      <c r="P1210">
        <f t="shared" ca="1" si="462"/>
        <v>39450.102141533753</v>
      </c>
      <c r="Q1210">
        <f t="shared" ca="1" si="463"/>
        <v>39450.102141537005</v>
      </c>
      <c r="R1210">
        <f t="shared" ca="1" si="464"/>
        <v>4.0178090110199025E-12</v>
      </c>
      <c r="S1210">
        <f t="shared" ca="1" si="482"/>
        <v>1.0869565012399107E-3</v>
      </c>
      <c r="T1210">
        <f t="shared" ca="1" si="483"/>
        <v>0</v>
      </c>
      <c r="U1210">
        <f t="shared" ca="1" si="465"/>
        <v>0.05</v>
      </c>
      <c r="V1210">
        <f t="shared" ca="1" si="466"/>
        <v>0.26</v>
      </c>
      <c r="W1210">
        <f t="shared" ca="1" si="467"/>
        <v>4.9056603773584909E-2</v>
      </c>
      <c r="X1210">
        <f t="shared" ca="1" si="468"/>
        <v>196.15384615384616</v>
      </c>
      <c r="Y1210">
        <f t="shared" ca="1" si="469"/>
        <v>632.08199999999999</v>
      </c>
      <c r="Z1210">
        <f t="shared" ca="1" si="470"/>
        <v>2593.1590316486622</v>
      </c>
      <c r="AA1210">
        <f t="shared" ca="1" si="471"/>
        <v>482.07306851378365</v>
      </c>
      <c r="AB1210">
        <f t="shared" ca="1" si="472"/>
        <v>482.07256851378361</v>
      </c>
      <c r="AC1210">
        <f t="shared" ca="1" si="473"/>
        <v>0</v>
      </c>
      <c r="AD1210">
        <f ca="1">IF(V32="Supercritical",L1210,U1210)</f>
        <v>0.05</v>
      </c>
      <c r="AE1210">
        <f t="shared" ca="1" si="474"/>
        <v>632.08199999999999</v>
      </c>
      <c r="AF1210">
        <f t="shared" ca="1" si="475"/>
        <v>2593.1590316486622</v>
      </c>
      <c r="AI1210">
        <v>0</v>
      </c>
      <c r="AJ1210">
        <v>0</v>
      </c>
      <c r="AK1210">
        <f t="shared" si="476"/>
        <v>0</v>
      </c>
      <c r="AL1210">
        <f t="shared" si="484"/>
        <v>0</v>
      </c>
      <c r="AM1210">
        <f t="shared" ca="1" si="477"/>
        <v>280.07692026646265</v>
      </c>
      <c r="AN1210" t="str">
        <f t="shared" ca="1" si="478"/>
        <v>Supercritical</v>
      </c>
      <c r="AO1210">
        <f ca="1">IF(V32="Supercritical",R1210,AA1210)</f>
        <v>482.07306851378365</v>
      </c>
    </row>
    <row r="1211" spans="1:41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174</v>
      </c>
      <c r="I1211">
        <v>0</v>
      </c>
      <c r="J1211">
        <f t="shared" si="479"/>
        <v>1</v>
      </c>
      <c r="K1211">
        <f t="shared" si="480"/>
        <v>51</v>
      </c>
      <c r="L1211">
        <f t="shared" ca="1" si="481"/>
        <v>38818.070141533753</v>
      </c>
      <c r="M1211">
        <f t="shared" ca="1" si="459"/>
        <v>201853.96473597552</v>
      </c>
      <c r="N1211">
        <f t="shared" ca="1" si="460"/>
        <v>2.599825865963278</v>
      </c>
      <c r="O1211">
        <f t="shared" ca="1" si="461"/>
        <v>2.5265790576225675E-4</v>
      </c>
      <c r="P1211">
        <f t="shared" ca="1" si="462"/>
        <v>39450.101641533751</v>
      </c>
      <c r="Q1211">
        <f t="shared" ca="1" si="463"/>
        <v>39450.101641537003</v>
      </c>
      <c r="R1211">
        <f t="shared" ca="1" si="464"/>
        <v>4.0178090110199025E-12</v>
      </c>
      <c r="S1211">
        <f t="shared" ca="1" si="482"/>
        <v>4.999999946448952E-4</v>
      </c>
      <c r="T1211">
        <f t="shared" ca="1" si="483"/>
        <v>1</v>
      </c>
      <c r="U1211">
        <f t="shared" ca="1" si="465"/>
        <v>0.05</v>
      </c>
      <c r="V1211">
        <f t="shared" ca="1" si="466"/>
        <v>0.26</v>
      </c>
      <c r="W1211">
        <f t="shared" ca="1" si="467"/>
        <v>4.9056603773584909E-2</v>
      </c>
      <c r="X1211">
        <f t="shared" ca="1" si="468"/>
        <v>196.15384615384616</v>
      </c>
      <c r="Y1211">
        <f t="shared" ca="1" si="469"/>
        <v>632.08150000000001</v>
      </c>
      <c r="Z1211">
        <f t="shared" ca="1" si="470"/>
        <v>2593.1585316486621</v>
      </c>
      <c r="AA1211">
        <f t="shared" ca="1" si="471"/>
        <v>482.07306851378365</v>
      </c>
      <c r="AB1211">
        <f t="shared" ca="1" si="472"/>
        <v>481.59049544517165</v>
      </c>
      <c r="AC1211">
        <f t="shared" ca="1" si="473"/>
        <v>0</v>
      </c>
      <c r="AD1211">
        <f ca="1">IF(V32="Supercritical",L1211,U1211)</f>
        <v>0.05</v>
      </c>
      <c r="AE1211">
        <f t="shared" ca="1" si="474"/>
        <v>632.08150000000001</v>
      </c>
      <c r="AF1211">
        <f t="shared" ca="1" si="475"/>
        <v>2593.1585316486621</v>
      </c>
      <c r="AI1211">
        <v>0</v>
      </c>
      <c r="AJ1211">
        <v>0</v>
      </c>
      <c r="AK1211">
        <f t="shared" si="476"/>
        <v>0</v>
      </c>
      <c r="AL1211">
        <f t="shared" si="484"/>
        <v>0</v>
      </c>
      <c r="AM1211">
        <f t="shared" ca="1" si="477"/>
        <v>280.07692026646265</v>
      </c>
      <c r="AN1211" t="str">
        <f t="shared" ca="1" si="478"/>
        <v>Supercritical</v>
      </c>
      <c r="AO1211">
        <f ca="1">IF(V32="Supercritical",R1211,AA1211)</f>
        <v>482.07306851378365</v>
      </c>
    </row>
    <row r="1212" spans="1:41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174</v>
      </c>
      <c r="I1212">
        <v>0</v>
      </c>
      <c r="J1212">
        <f t="shared" si="479"/>
        <v>0.99899999999979627</v>
      </c>
      <c r="K1212">
        <f t="shared" si="480"/>
        <v>51</v>
      </c>
      <c r="L1212">
        <f t="shared" ca="1" si="481"/>
        <v>38818.06955457724</v>
      </c>
      <c r="M1212">
        <f t="shared" ca="1" si="459"/>
        <v>201853.96168380167</v>
      </c>
      <c r="N1212">
        <f t="shared" ca="1" si="460"/>
        <v>2.5998258659606455</v>
      </c>
      <c r="O1212">
        <f t="shared" ca="1" si="461"/>
        <v>2.5265790958262194E-4</v>
      </c>
      <c r="P1212">
        <f t="shared" ca="1" si="462"/>
        <v>39450.100554577242</v>
      </c>
      <c r="Q1212">
        <f t="shared" ca="1" si="463"/>
        <v>39450.100554580495</v>
      </c>
      <c r="R1212">
        <f t="shared" ca="1" si="464"/>
        <v>4.0178091325295227E-12</v>
      </c>
      <c r="S1212">
        <f t="shared" ca="1" si="482"/>
        <v>1.0869565012399107E-3</v>
      </c>
      <c r="T1212">
        <f t="shared" ca="1" si="483"/>
        <v>0</v>
      </c>
      <c r="U1212">
        <f t="shared" ca="1" si="465"/>
        <v>0.05</v>
      </c>
      <c r="V1212">
        <f t="shared" ca="1" si="466"/>
        <v>0.26</v>
      </c>
      <c r="W1212">
        <f t="shared" ca="1" si="467"/>
        <v>4.9056603773584909E-2</v>
      </c>
      <c r="X1212">
        <f t="shared" ca="1" si="468"/>
        <v>196.15384615384616</v>
      </c>
      <c r="Y1212">
        <f t="shared" ca="1" si="469"/>
        <v>632.0809999999999</v>
      </c>
      <c r="Z1212">
        <f t="shared" ca="1" si="470"/>
        <v>2593.158031648662</v>
      </c>
      <c r="AA1212">
        <f t="shared" ca="1" si="471"/>
        <v>482.07306851378365</v>
      </c>
      <c r="AB1212">
        <f t="shared" ca="1" si="472"/>
        <v>482.25887083179032</v>
      </c>
      <c r="AC1212">
        <f t="shared" ca="1" si="473"/>
        <v>0</v>
      </c>
      <c r="AD1212">
        <f ca="1">IF(V32="Supercritical",L1212,U1212)</f>
        <v>0.05</v>
      </c>
      <c r="AE1212">
        <f t="shared" ca="1" si="474"/>
        <v>632.0809999999999</v>
      </c>
      <c r="AF1212">
        <f t="shared" ca="1" si="475"/>
        <v>2593.158031648662</v>
      </c>
      <c r="AI1212">
        <v>0</v>
      </c>
      <c r="AJ1212">
        <v>0</v>
      </c>
      <c r="AK1212">
        <f t="shared" si="476"/>
        <v>0</v>
      </c>
      <c r="AL1212">
        <f t="shared" si="484"/>
        <v>0</v>
      </c>
      <c r="AM1212">
        <f t="shared" ca="1" si="477"/>
        <v>280.07692026646265</v>
      </c>
      <c r="AN1212" t="str">
        <f t="shared" ca="1" si="478"/>
        <v>Supercritical</v>
      </c>
      <c r="AO1212">
        <f ca="1">IF(V32="Supercritical",R1212,AA1212)</f>
        <v>482.07306851378365</v>
      </c>
    </row>
    <row r="1213" spans="1:41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174</v>
      </c>
      <c r="I1213">
        <v>5.7000000000000002E-2</v>
      </c>
      <c r="J1213">
        <f t="shared" si="479"/>
        <v>1</v>
      </c>
      <c r="K1213">
        <f t="shared" si="480"/>
        <v>51</v>
      </c>
      <c r="L1213">
        <f t="shared" ca="1" si="481"/>
        <v>38818.06955457724</v>
      </c>
      <c r="M1213">
        <f t="shared" ca="1" si="459"/>
        <v>201853.96168380167</v>
      </c>
      <c r="N1213">
        <f t="shared" ca="1" si="460"/>
        <v>2.5998258659606455</v>
      </c>
      <c r="O1213">
        <f t="shared" ca="1" si="461"/>
        <v>2.5265790958262194E-4</v>
      </c>
      <c r="P1213">
        <f t="shared" ca="1" si="462"/>
        <v>39450.10005457724</v>
      </c>
      <c r="Q1213">
        <f t="shared" ca="1" si="463"/>
        <v>39450.100054580493</v>
      </c>
      <c r="R1213">
        <f t="shared" ca="1" si="464"/>
        <v>4.0178091325295227E-12</v>
      </c>
      <c r="S1213">
        <f t="shared" ca="1" si="482"/>
        <v>4.999999946448952E-4</v>
      </c>
      <c r="T1213">
        <f t="shared" ca="1" si="483"/>
        <v>1</v>
      </c>
      <c r="U1213">
        <f t="shared" ca="1" si="465"/>
        <v>0.05</v>
      </c>
      <c r="V1213">
        <f t="shared" ca="1" si="466"/>
        <v>0.26</v>
      </c>
      <c r="W1213">
        <f t="shared" ca="1" si="467"/>
        <v>4.9056603773584909E-2</v>
      </c>
      <c r="X1213">
        <f t="shared" ca="1" si="468"/>
        <v>196.15384615384616</v>
      </c>
      <c r="Y1213">
        <f t="shared" ca="1" si="469"/>
        <v>632.08049999999992</v>
      </c>
      <c r="Z1213">
        <f t="shared" ca="1" si="470"/>
        <v>2593.1575316486619</v>
      </c>
      <c r="AA1213">
        <f t="shared" ca="1" si="471"/>
        <v>482.07306851378365</v>
      </c>
      <c r="AB1213">
        <f t="shared" ca="1" si="472"/>
        <v>482.25887083179077</v>
      </c>
      <c r="AC1213">
        <f t="shared" ca="1" si="473"/>
        <v>0</v>
      </c>
      <c r="AD1213">
        <f ca="1">IF(V32="Supercritical",L1213,U1213)</f>
        <v>0.05</v>
      </c>
      <c r="AE1213">
        <f t="shared" ca="1" si="474"/>
        <v>632.08049999999992</v>
      </c>
      <c r="AF1213">
        <f t="shared" ca="1" si="475"/>
        <v>2593.1575316486619</v>
      </c>
      <c r="AI1213">
        <v>0</v>
      </c>
      <c r="AJ1213">
        <v>0</v>
      </c>
      <c r="AK1213">
        <f t="shared" si="476"/>
        <v>0</v>
      </c>
      <c r="AL1213">
        <f t="shared" si="484"/>
        <v>0</v>
      </c>
      <c r="AM1213">
        <f t="shared" ca="1" si="477"/>
        <v>280.07692026646265</v>
      </c>
      <c r="AN1213" t="str">
        <f t="shared" ca="1" si="478"/>
        <v>Supercritical</v>
      </c>
      <c r="AO1213">
        <f ca="1">IF(V32="Supercritical",R1213,AA1213)</f>
        <v>482.07306851378365</v>
      </c>
    </row>
    <row r="1214" spans="1:41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174</v>
      </c>
      <c r="I1214">
        <v>5.7000000000000002E-2</v>
      </c>
      <c r="J1214">
        <f t="shared" si="479"/>
        <v>1</v>
      </c>
      <c r="K1214">
        <f t="shared" si="480"/>
        <v>51</v>
      </c>
      <c r="L1214">
        <f t="shared" ca="1" si="481"/>
        <v>38818.068967620704</v>
      </c>
      <c r="M1214">
        <f t="shared" ca="1" si="459"/>
        <v>201853.95863162767</v>
      </c>
      <c r="N1214">
        <f t="shared" ca="1" si="460"/>
        <v>2.5998258659580125</v>
      </c>
      <c r="O1214">
        <f t="shared" ca="1" si="461"/>
        <v>2.5265791340298746E-4</v>
      </c>
      <c r="P1214">
        <f t="shared" ca="1" si="462"/>
        <v>39450.098967620703</v>
      </c>
      <c r="Q1214">
        <f t="shared" ca="1" si="463"/>
        <v>39450.098967623955</v>
      </c>
      <c r="R1214">
        <f t="shared" ca="1" si="464"/>
        <v>4.0178092540391566E-12</v>
      </c>
      <c r="S1214">
        <f t="shared" ca="1" si="482"/>
        <v>1.0869565303437412E-3</v>
      </c>
      <c r="T1214">
        <f t="shared" ca="1" si="483"/>
        <v>0</v>
      </c>
      <c r="U1214">
        <f t="shared" ca="1" si="465"/>
        <v>0.05</v>
      </c>
      <c r="V1214">
        <f t="shared" ca="1" si="466"/>
        <v>0.26</v>
      </c>
      <c r="W1214">
        <f t="shared" ca="1" si="467"/>
        <v>4.9056603773584909E-2</v>
      </c>
      <c r="X1214">
        <f t="shared" ca="1" si="468"/>
        <v>196.15384615384616</v>
      </c>
      <c r="Y1214">
        <f t="shared" ca="1" si="469"/>
        <v>632.07999999999993</v>
      </c>
      <c r="Z1214">
        <f t="shared" ca="1" si="470"/>
        <v>2593.1570316486623</v>
      </c>
      <c r="AA1214">
        <f t="shared" ca="1" si="471"/>
        <v>482.07306851378365</v>
      </c>
      <c r="AB1214">
        <f t="shared" ca="1" si="472"/>
        <v>482.07256851378361</v>
      </c>
      <c r="AC1214">
        <f t="shared" ca="1" si="473"/>
        <v>0</v>
      </c>
      <c r="AD1214">
        <f ca="1">IF(V32="Supercritical",L1214,U1214)</f>
        <v>0.05</v>
      </c>
      <c r="AE1214">
        <f t="shared" ca="1" si="474"/>
        <v>632.07999999999993</v>
      </c>
      <c r="AF1214">
        <f t="shared" ca="1" si="475"/>
        <v>2593.1570316486623</v>
      </c>
      <c r="AI1214">
        <v>0</v>
      </c>
      <c r="AJ1214">
        <v>0</v>
      </c>
      <c r="AK1214">
        <f t="shared" si="476"/>
        <v>0</v>
      </c>
      <c r="AL1214">
        <f t="shared" si="484"/>
        <v>0</v>
      </c>
      <c r="AM1214">
        <f t="shared" ca="1" si="477"/>
        <v>280.07692026646265</v>
      </c>
      <c r="AN1214" t="str">
        <f t="shared" ca="1" si="478"/>
        <v>Supercritical</v>
      </c>
      <c r="AO1214">
        <f ca="1">IF(V32="Supercritical",R1214,AA1214)</f>
        <v>482.07306851378365</v>
      </c>
    </row>
    <row r="1215" spans="1:41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174</v>
      </c>
      <c r="I1215">
        <v>0</v>
      </c>
      <c r="J1215">
        <f t="shared" si="479"/>
        <v>1</v>
      </c>
      <c r="K1215">
        <f t="shared" si="480"/>
        <v>51</v>
      </c>
      <c r="L1215">
        <f t="shared" ca="1" si="481"/>
        <v>38818.068967620704</v>
      </c>
      <c r="M1215">
        <f t="shared" ca="1" si="459"/>
        <v>201853.95863162767</v>
      </c>
      <c r="N1215">
        <f t="shared" ca="1" si="460"/>
        <v>2.5998258659580125</v>
      </c>
      <c r="O1215">
        <f t="shared" ca="1" si="461"/>
        <v>2.5265791340298746E-4</v>
      </c>
      <c r="P1215">
        <f t="shared" ca="1" si="462"/>
        <v>39450.098467620701</v>
      </c>
      <c r="Q1215">
        <f t="shared" ca="1" si="463"/>
        <v>39450.098467623953</v>
      </c>
      <c r="R1215">
        <f t="shared" ca="1" si="464"/>
        <v>4.0178092540391566E-12</v>
      </c>
      <c r="S1215">
        <f t="shared" ca="1" si="482"/>
        <v>4.999999946448952E-4</v>
      </c>
      <c r="T1215">
        <f t="shared" ca="1" si="483"/>
        <v>1</v>
      </c>
      <c r="U1215">
        <f t="shared" ca="1" si="465"/>
        <v>0.05</v>
      </c>
      <c r="V1215">
        <f t="shared" ca="1" si="466"/>
        <v>0.26</v>
      </c>
      <c r="W1215">
        <f t="shared" ca="1" si="467"/>
        <v>4.9056603773584909E-2</v>
      </c>
      <c r="X1215">
        <f t="shared" ca="1" si="468"/>
        <v>196.15384615384616</v>
      </c>
      <c r="Y1215">
        <f t="shared" ca="1" si="469"/>
        <v>632.07949999999994</v>
      </c>
      <c r="Z1215">
        <f t="shared" ca="1" si="470"/>
        <v>2593.1565316486622</v>
      </c>
      <c r="AA1215">
        <f t="shared" ca="1" si="471"/>
        <v>482.07306851378365</v>
      </c>
      <c r="AB1215">
        <f t="shared" ca="1" si="472"/>
        <v>482.07256851378361</v>
      </c>
      <c r="AC1215">
        <f t="shared" ca="1" si="473"/>
        <v>0</v>
      </c>
      <c r="AD1215">
        <f ca="1">IF(V32="Supercritical",L1215,U1215)</f>
        <v>0.05</v>
      </c>
      <c r="AE1215">
        <f t="shared" ca="1" si="474"/>
        <v>632.07949999999994</v>
      </c>
      <c r="AF1215">
        <f t="shared" ca="1" si="475"/>
        <v>2593.1565316486622</v>
      </c>
      <c r="AI1215">
        <v>0</v>
      </c>
      <c r="AJ1215">
        <v>0</v>
      </c>
      <c r="AK1215">
        <f t="shared" si="476"/>
        <v>0</v>
      </c>
      <c r="AL1215">
        <f t="shared" si="484"/>
        <v>0</v>
      </c>
      <c r="AM1215">
        <f t="shared" ca="1" si="477"/>
        <v>280.07692026646265</v>
      </c>
      <c r="AN1215" t="str">
        <f t="shared" ca="1" si="478"/>
        <v>Supercritical</v>
      </c>
      <c r="AO1215">
        <f ca="1">IF(V32="Supercritical",R1215,AA1215)</f>
        <v>482.07306851378365</v>
      </c>
    </row>
    <row r="1216" spans="1:41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174</v>
      </c>
      <c r="I1216">
        <v>0</v>
      </c>
      <c r="J1216">
        <f t="shared" si="479"/>
        <v>1</v>
      </c>
      <c r="K1216">
        <f t="shared" si="480"/>
        <v>51</v>
      </c>
      <c r="L1216">
        <f t="shared" ca="1" si="481"/>
        <v>38818.068380664154</v>
      </c>
      <c r="M1216">
        <f t="shared" ca="1" si="459"/>
        <v>201853.95557945361</v>
      </c>
      <c r="N1216">
        <f t="shared" ca="1" si="460"/>
        <v>2.5998258659553799</v>
      </c>
      <c r="O1216">
        <f t="shared" ca="1" si="461"/>
        <v>2.5265791722335319E-4</v>
      </c>
      <c r="P1216">
        <f t="shared" ca="1" si="462"/>
        <v>39450.097380664156</v>
      </c>
      <c r="Q1216">
        <f t="shared" ca="1" si="463"/>
        <v>39450.097380667408</v>
      </c>
      <c r="R1216">
        <f t="shared" ca="1" si="464"/>
        <v>4.0178093755487946E-12</v>
      </c>
      <c r="S1216">
        <f t="shared" ca="1" si="482"/>
        <v>1.0869565376196988E-3</v>
      </c>
      <c r="T1216">
        <f t="shared" ca="1" si="483"/>
        <v>0</v>
      </c>
      <c r="U1216">
        <f t="shared" ca="1" si="465"/>
        <v>0.05</v>
      </c>
      <c r="V1216">
        <f t="shared" ca="1" si="466"/>
        <v>0.26</v>
      </c>
      <c r="W1216">
        <f t="shared" ca="1" si="467"/>
        <v>4.9056603773584909E-2</v>
      </c>
      <c r="X1216">
        <f t="shared" ca="1" si="468"/>
        <v>196.15384615384616</v>
      </c>
      <c r="Y1216">
        <f t="shared" ca="1" si="469"/>
        <v>632.07899999999995</v>
      </c>
      <c r="Z1216">
        <f t="shared" ca="1" si="470"/>
        <v>2593.1560316486621</v>
      </c>
      <c r="AA1216">
        <f t="shared" ca="1" si="471"/>
        <v>482.07306851378365</v>
      </c>
      <c r="AB1216">
        <f t="shared" ca="1" si="472"/>
        <v>482.25233390835137</v>
      </c>
      <c r="AC1216">
        <f t="shared" ca="1" si="473"/>
        <v>0</v>
      </c>
      <c r="AD1216">
        <f ca="1">IF(V32="Supercritical",L1216,U1216)</f>
        <v>0.05</v>
      </c>
      <c r="AE1216">
        <f t="shared" ca="1" si="474"/>
        <v>632.07899999999995</v>
      </c>
      <c r="AF1216">
        <f t="shared" ca="1" si="475"/>
        <v>2593.1560316486621</v>
      </c>
      <c r="AI1216">
        <v>0</v>
      </c>
      <c r="AJ1216">
        <v>0</v>
      </c>
      <c r="AK1216">
        <f t="shared" si="476"/>
        <v>0</v>
      </c>
      <c r="AL1216">
        <f t="shared" si="484"/>
        <v>0</v>
      </c>
      <c r="AM1216">
        <f t="shared" ca="1" si="477"/>
        <v>280.07692026646265</v>
      </c>
      <c r="AN1216" t="str">
        <f t="shared" ca="1" si="478"/>
        <v>Supercritical</v>
      </c>
      <c r="AO1216">
        <f ca="1">IF(V32="Supercritical",R1216,AA1216)</f>
        <v>482.07306851378365</v>
      </c>
    </row>
    <row r="1217" spans="1:41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174</v>
      </c>
      <c r="I1217">
        <v>5.5E-2</v>
      </c>
      <c r="J1217">
        <f t="shared" si="479"/>
        <v>1</v>
      </c>
      <c r="K1217">
        <f t="shared" si="480"/>
        <v>51</v>
      </c>
      <c r="L1217">
        <f t="shared" ca="1" si="481"/>
        <v>38818.068380664154</v>
      </c>
      <c r="M1217">
        <f t="shared" ca="1" si="459"/>
        <v>201853.95557945361</v>
      </c>
      <c r="N1217">
        <f t="shared" ca="1" si="460"/>
        <v>2.5998258659553799</v>
      </c>
      <c r="O1217">
        <f t="shared" ca="1" si="461"/>
        <v>2.5265791722335319E-4</v>
      </c>
      <c r="P1217">
        <f t="shared" ca="1" si="462"/>
        <v>39450.096880664154</v>
      </c>
      <c r="Q1217">
        <f t="shared" ca="1" si="463"/>
        <v>39450.096880667406</v>
      </c>
      <c r="R1217">
        <f t="shared" ca="1" si="464"/>
        <v>4.0178093755487946E-12</v>
      </c>
      <c r="S1217">
        <f t="shared" ca="1" si="482"/>
        <v>4.999999946448952E-4</v>
      </c>
      <c r="T1217">
        <f t="shared" ca="1" si="483"/>
        <v>1</v>
      </c>
      <c r="U1217">
        <f t="shared" ca="1" si="465"/>
        <v>0.05</v>
      </c>
      <c r="V1217">
        <f t="shared" ca="1" si="466"/>
        <v>0.26</v>
      </c>
      <c r="W1217">
        <f t="shared" ca="1" si="467"/>
        <v>4.9056603773584909E-2</v>
      </c>
      <c r="X1217">
        <f t="shared" ca="1" si="468"/>
        <v>196.15384615384616</v>
      </c>
      <c r="Y1217">
        <f t="shared" ca="1" si="469"/>
        <v>632.07849999999996</v>
      </c>
      <c r="Z1217">
        <f t="shared" ca="1" si="470"/>
        <v>2593.155531648662</v>
      </c>
      <c r="AA1217">
        <f t="shared" ca="1" si="471"/>
        <v>482.07306851378365</v>
      </c>
      <c r="AB1217">
        <f t="shared" ca="1" si="472"/>
        <v>482.73440697696333</v>
      </c>
      <c r="AC1217">
        <f t="shared" ca="1" si="473"/>
        <v>0</v>
      </c>
      <c r="AD1217">
        <f ca="1">IF(V32="Supercritical",L1217,U1217)</f>
        <v>0.05</v>
      </c>
      <c r="AE1217">
        <f t="shared" ca="1" si="474"/>
        <v>632.07849999999996</v>
      </c>
      <c r="AF1217">
        <f t="shared" ca="1" si="475"/>
        <v>2593.155531648662</v>
      </c>
      <c r="AI1217">
        <v>0</v>
      </c>
      <c r="AJ1217">
        <v>0</v>
      </c>
      <c r="AK1217">
        <f t="shared" si="476"/>
        <v>0</v>
      </c>
      <c r="AL1217">
        <f t="shared" si="484"/>
        <v>0</v>
      </c>
      <c r="AM1217">
        <f t="shared" ca="1" si="477"/>
        <v>280.07692026646265</v>
      </c>
      <c r="AN1217" t="str">
        <f t="shared" ca="1" si="478"/>
        <v>Supercritical</v>
      </c>
      <c r="AO1217">
        <f ca="1">IF(V32="Supercritical",R1217,AA1217)</f>
        <v>482.07306851378365</v>
      </c>
    </row>
    <row r="1218" spans="1:41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174</v>
      </c>
      <c r="I1218">
        <v>5.5E-2</v>
      </c>
      <c r="J1218">
        <f t="shared" si="479"/>
        <v>1.0010000000002037</v>
      </c>
      <c r="K1218">
        <f t="shared" si="480"/>
        <v>51</v>
      </c>
      <c r="L1218">
        <f t="shared" ca="1" si="481"/>
        <v>38818.067793707647</v>
      </c>
      <c r="M1218">
        <f t="shared" ca="1" si="459"/>
        <v>201853.95252727976</v>
      </c>
      <c r="N1218">
        <f t="shared" ca="1" si="460"/>
        <v>2.5998258659527465</v>
      </c>
      <c r="O1218">
        <f t="shared" ca="1" si="461"/>
        <v>2.5265792104371871E-4</v>
      </c>
      <c r="P1218">
        <f t="shared" ca="1" si="462"/>
        <v>39450.095793707645</v>
      </c>
      <c r="Q1218">
        <f t="shared" ca="1" si="463"/>
        <v>39450.095793710898</v>
      </c>
      <c r="R1218">
        <f t="shared" ca="1" si="464"/>
        <v>4.0178094970584358E-12</v>
      </c>
      <c r="S1218">
        <f t="shared" ca="1" si="482"/>
        <v>1.0869565012399107E-3</v>
      </c>
      <c r="T1218">
        <f t="shared" ca="1" si="483"/>
        <v>0</v>
      </c>
      <c r="U1218">
        <f t="shared" ca="1" si="465"/>
        <v>0.05</v>
      </c>
      <c r="V1218">
        <f t="shared" ca="1" si="466"/>
        <v>0.26</v>
      </c>
      <c r="W1218">
        <f t="shared" ca="1" si="467"/>
        <v>4.9056603773584909E-2</v>
      </c>
      <c r="X1218">
        <f t="shared" ca="1" si="468"/>
        <v>196.15384615384616</v>
      </c>
      <c r="Y1218">
        <f t="shared" ca="1" si="469"/>
        <v>632.07799999999997</v>
      </c>
      <c r="Z1218">
        <f t="shared" ca="1" si="470"/>
        <v>2593.1550316486619</v>
      </c>
      <c r="AA1218">
        <f t="shared" ca="1" si="471"/>
        <v>482.07306851378365</v>
      </c>
      <c r="AB1218">
        <f t="shared" ca="1" si="472"/>
        <v>482.07256851378406</v>
      </c>
      <c r="AC1218">
        <f t="shared" ca="1" si="473"/>
        <v>0</v>
      </c>
      <c r="AD1218">
        <f ca="1">IF(V32="Supercritical",L1218,U1218)</f>
        <v>0.05</v>
      </c>
      <c r="AE1218">
        <f t="shared" ca="1" si="474"/>
        <v>632.07799999999997</v>
      </c>
      <c r="AF1218">
        <f t="shared" ca="1" si="475"/>
        <v>2593.1550316486619</v>
      </c>
      <c r="AI1218">
        <v>0</v>
      </c>
      <c r="AJ1218">
        <v>0</v>
      </c>
      <c r="AK1218">
        <f t="shared" si="476"/>
        <v>0</v>
      </c>
      <c r="AL1218">
        <f t="shared" si="484"/>
        <v>0</v>
      </c>
      <c r="AM1218">
        <f t="shared" ca="1" si="477"/>
        <v>280.07692026646265</v>
      </c>
      <c r="AN1218" t="str">
        <f t="shared" ca="1" si="478"/>
        <v>Supercritical</v>
      </c>
      <c r="AO1218">
        <f ca="1">IF(V32="Supercritical",R1218,AA1218)</f>
        <v>482.07306851378365</v>
      </c>
    </row>
    <row r="1219" spans="1:41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174</v>
      </c>
      <c r="I1219">
        <v>0</v>
      </c>
      <c r="J1219">
        <f t="shared" si="479"/>
        <v>1</v>
      </c>
      <c r="K1219">
        <f t="shared" si="480"/>
        <v>51</v>
      </c>
      <c r="L1219">
        <f t="shared" ca="1" si="481"/>
        <v>38818.067793707647</v>
      </c>
      <c r="M1219">
        <f t="shared" ca="1" si="459"/>
        <v>201853.95252727976</v>
      </c>
      <c r="N1219">
        <f t="shared" ca="1" si="460"/>
        <v>2.5998258659527465</v>
      </c>
      <c r="O1219">
        <f t="shared" ca="1" si="461"/>
        <v>2.5265792104371871E-4</v>
      </c>
      <c r="P1219">
        <f t="shared" ca="1" si="462"/>
        <v>39450.095293707644</v>
      </c>
      <c r="Q1219">
        <f t="shared" ca="1" si="463"/>
        <v>39450.095293710896</v>
      </c>
      <c r="R1219">
        <f t="shared" ca="1" si="464"/>
        <v>4.0178094970584358E-12</v>
      </c>
      <c r="S1219">
        <f t="shared" ca="1" si="482"/>
        <v>4.999999946448952E-4</v>
      </c>
      <c r="T1219">
        <f t="shared" ca="1" si="483"/>
        <v>1</v>
      </c>
      <c r="U1219">
        <f t="shared" ca="1" si="465"/>
        <v>0.05</v>
      </c>
      <c r="V1219">
        <f t="shared" ca="1" si="466"/>
        <v>0.26</v>
      </c>
      <c r="W1219">
        <f t="shared" ca="1" si="467"/>
        <v>4.9056603773584909E-2</v>
      </c>
      <c r="X1219">
        <f t="shared" ca="1" si="468"/>
        <v>196.15384615384616</v>
      </c>
      <c r="Y1219">
        <f t="shared" ca="1" si="469"/>
        <v>632.07749999999999</v>
      </c>
      <c r="Z1219">
        <f t="shared" ca="1" si="470"/>
        <v>2593.1545316486622</v>
      </c>
      <c r="AA1219">
        <f t="shared" ca="1" si="471"/>
        <v>482.07306851378365</v>
      </c>
      <c r="AB1219">
        <f t="shared" ca="1" si="472"/>
        <v>482.07256851378361</v>
      </c>
      <c r="AC1219">
        <f t="shared" ca="1" si="473"/>
        <v>0</v>
      </c>
      <c r="AD1219">
        <f ca="1">IF(V32="Supercritical",L1219,U1219)</f>
        <v>0.05</v>
      </c>
      <c r="AE1219">
        <f t="shared" ca="1" si="474"/>
        <v>632.07749999999999</v>
      </c>
      <c r="AF1219">
        <f t="shared" ca="1" si="475"/>
        <v>2593.1545316486622</v>
      </c>
      <c r="AI1219">
        <v>0</v>
      </c>
      <c r="AJ1219">
        <v>0</v>
      </c>
      <c r="AK1219">
        <f t="shared" si="476"/>
        <v>0</v>
      </c>
      <c r="AL1219">
        <f t="shared" si="484"/>
        <v>0</v>
      </c>
      <c r="AM1219">
        <f t="shared" ca="1" si="477"/>
        <v>280.07692026646265</v>
      </c>
      <c r="AN1219" t="str">
        <f t="shared" ca="1" si="478"/>
        <v>Supercritical</v>
      </c>
      <c r="AO1219">
        <f ca="1">IF(V32="Supercritical",R1219,AA1219)</f>
        <v>482.07306851378365</v>
      </c>
    </row>
    <row r="1220" spans="1:41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174</v>
      </c>
      <c r="I1220">
        <v>0</v>
      </c>
      <c r="J1220">
        <f t="shared" si="479"/>
        <v>1</v>
      </c>
      <c r="K1220">
        <f t="shared" si="480"/>
        <v>51</v>
      </c>
      <c r="L1220">
        <f t="shared" ca="1" si="481"/>
        <v>38818.067206751133</v>
      </c>
      <c r="M1220">
        <f t="shared" ca="1" si="459"/>
        <v>201853.94947510591</v>
      </c>
      <c r="N1220">
        <f t="shared" ca="1" si="460"/>
        <v>2.5998258659501139</v>
      </c>
      <c r="O1220">
        <f t="shared" ca="1" si="461"/>
        <v>2.526579248640844E-4</v>
      </c>
      <c r="P1220">
        <f t="shared" ca="1" si="462"/>
        <v>39450.094206751135</v>
      </c>
      <c r="Q1220">
        <f t="shared" ca="1" si="463"/>
        <v>39450.094206754387</v>
      </c>
      <c r="R1220">
        <f t="shared" ca="1" si="464"/>
        <v>4.0178096185680786E-12</v>
      </c>
      <c r="S1220">
        <f t="shared" ca="1" si="482"/>
        <v>1.0869565012399107E-3</v>
      </c>
      <c r="T1220">
        <f t="shared" ca="1" si="483"/>
        <v>0</v>
      </c>
      <c r="U1220">
        <f t="shared" ca="1" si="465"/>
        <v>0.05</v>
      </c>
      <c r="V1220">
        <f t="shared" ca="1" si="466"/>
        <v>0.26</v>
      </c>
      <c r="W1220">
        <f t="shared" ca="1" si="467"/>
        <v>4.9056603773584909E-2</v>
      </c>
      <c r="X1220">
        <f t="shared" ca="1" si="468"/>
        <v>196.15384615384616</v>
      </c>
      <c r="Y1220">
        <f t="shared" ca="1" si="469"/>
        <v>632.077</v>
      </c>
      <c r="Z1220">
        <f t="shared" ca="1" si="470"/>
        <v>2593.1540316486621</v>
      </c>
      <c r="AA1220">
        <f t="shared" ca="1" si="471"/>
        <v>482.07306851378365</v>
      </c>
      <c r="AB1220">
        <f t="shared" ca="1" si="472"/>
        <v>481.77679776317837</v>
      </c>
      <c r="AC1220">
        <f t="shared" ca="1" si="473"/>
        <v>0</v>
      </c>
      <c r="AD1220">
        <f ca="1">IF(V32="Supercritical",L1220,U1220)</f>
        <v>0.05</v>
      </c>
      <c r="AE1220">
        <f t="shared" ca="1" si="474"/>
        <v>632.077</v>
      </c>
      <c r="AF1220">
        <f t="shared" ca="1" si="475"/>
        <v>2593.1540316486621</v>
      </c>
      <c r="AI1220">
        <v>0</v>
      </c>
      <c r="AJ1220">
        <v>0</v>
      </c>
      <c r="AK1220">
        <f t="shared" si="476"/>
        <v>0</v>
      </c>
      <c r="AL1220">
        <f t="shared" si="484"/>
        <v>0</v>
      </c>
      <c r="AM1220">
        <f t="shared" ca="1" si="477"/>
        <v>280.07692026646265</v>
      </c>
      <c r="AN1220" t="str">
        <f t="shared" ca="1" si="478"/>
        <v>Supercritical</v>
      </c>
      <c r="AO1220">
        <f ca="1">IF(V32="Supercritical",R1220,AA1220)</f>
        <v>482.07306851378365</v>
      </c>
    </row>
    <row r="1221" spans="1:41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174</v>
      </c>
      <c r="I1221">
        <v>5.7000000000000002E-2</v>
      </c>
      <c r="J1221">
        <f t="shared" si="479"/>
        <v>0.99899999999979627</v>
      </c>
      <c r="K1221">
        <f t="shared" si="480"/>
        <v>51</v>
      </c>
      <c r="L1221">
        <f t="shared" ca="1" si="481"/>
        <v>38818.067206751133</v>
      </c>
      <c r="M1221">
        <f t="shared" ca="1" si="459"/>
        <v>201853.94947510591</v>
      </c>
      <c r="N1221">
        <f t="shared" ca="1" si="460"/>
        <v>2.5998258659501139</v>
      </c>
      <c r="O1221">
        <f t="shared" ca="1" si="461"/>
        <v>2.526579248640844E-4</v>
      </c>
      <c r="P1221">
        <f t="shared" ca="1" si="462"/>
        <v>39450.093706751133</v>
      </c>
      <c r="Q1221">
        <f t="shared" ca="1" si="463"/>
        <v>39450.093706754385</v>
      </c>
      <c r="R1221">
        <f t="shared" ca="1" si="464"/>
        <v>4.0178096185680786E-12</v>
      </c>
      <c r="S1221">
        <f t="shared" ca="1" si="482"/>
        <v>4.999999946448952E-4</v>
      </c>
      <c r="T1221">
        <f t="shared" ca="1" si="483"/>
        <v>1</v>
      </c>
      <c r="U1221">
        <f t="shared" ca="1" si="465"/>
        <v>0.05</v>
      </c>
      <c r="V1221">
        <f t="shared" ca="1" si="466"/>
        <v>0.26</v>
      </c>
      <c r="W1221">
        <f t="shared" ca="1" si="467"/>
        <v>4.9056603773584909E-2</v>
      </c>
      <c r="X1221">
        <f t="shared" ca="1" si="468"/>
        <v>196.15384615384616</v>
      </c>
      <c r="Y1221">
        <f t="shared" ca="1" si="469"/>
        <v>632.07650000000001</v>
      </c>
      <c r="Z1221">
        <f t="shared" ca="1" si="470"/>
        <v>2593.153531648662</v>
      </c>
      <c r="AA1221">
        <f t="shared" ca="1" si="471"/>
        <v>482.07306851378365</v>
      </c>
      <c r="AB1221">
        <f t="shared" ca="1" si="472"/>
        <v>482.25887083179032</v>
      </c>
      <c r="AC1221">
        <f t="shared" ca="1" si="473"/>
        <v>0</v>
      </c>
      <c r="AD1221">
        <f ca="1">IF(V32="Supercritical",L1221,U1221)</f>
        <v>0.05</v>
      </c>
      <c r="AE1221">
        <f t="shared" ca="1" si="474"/>
        <v>632.07650000000001</v>
      </c>
      <c r="AF1221">
        <f t="shared" ca="1" si="475"/>
        <v>2593.153531648662</v>
      </c>
      <c r="AI1221">
        <v>0</v>
      </c>
      <c r="AJ1221">
        <v>0</v>
      </c>
      <c r="AK1221">
        <f t="shared" si="476"/>
        <v>0</v>
      </c>
      <c r="AL1221">
        <f t="shared" si="484"/>
        <v>0</v>
      </c>
      <c r="AM1221">
        <f t="shared" ca="1" si="477"/>
        <v>280.07692026646265</v>
      </c>
      <c r="AN1221" t="str">
        <f t="shared" ca="1" si="478"/>
        <v>Supercritical</v>
      </c>
      <c r="AO1221">
        <f ca="1">IF(V32="Supercritical",R1221,AA1221)</f>
        <v>482.07306851378365</v>
      </c>
    </row>
    <row r="1222" spans="1:41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174</v>
      </c>
      <c r="I1222">
        <v>5.7000000000000002E-2</v>
      </c>
      <c r="J1222">
        <f t="shared" si="479"/>
        <v>1</v>
      </c>
      <c r="K1222">
        <f t="shared" si="480"/>
        <v>51</v>
      </c>
      <c r="L1222">
        <f t="shared" ca="1" si="481"/>
        <v>38818.066619794627</v>
      </c>
      <c r="M1222">
        <f t="shared" ca="1" si="459"/>
        <v>201853.94642293206</v>
      </c>
      <c r="N1222">
        <f t="shared" ca="1" si="460"/>
        <v>2.5998258659474809</v>
      </c>
      <c r="O1222">
        <f t="shared" ca="1" si="461"/>
        <v>2.5265792868445019E-4</v>
      </c>
      <c r="P1222">
        <f t="shared" ca="1" si="462"/>
        <v>39450.092619794625</v>
      </c>
      <c r="Q1222">
        <f t="shared" ca="1" si="463"/>
        <v>39450.092619797877</v>
      </c>
      <c r="R1222">
        <f t="shared" ca="1" si="464"/>
        <v>4.0178097400777271E-12</v>
      </c>
      <c r="S1222">
        <f t="shared" ca="1" si="482"/>
        <v>1.0869565012399107E-3</v>
      </c>
      <c r="T1222">
        <f t="shared" ca="1" si="483"/>
        <v>0</v>
      </c>
      <c r="U1222">
        <f t="shared" ca="1" si="465"/>
        <v>0.05</v>
      </c>
      <c r="V1222">
        <f t="shared" ca="1" si="466"/>
        <v>0.26</v>
      </c>
      <c r="W1222">
        <f t="shared" ca="1" si="467"/>
        <v>4.9056603773584909E-2</v>
      </c>
      <c r="X1222">
        <f t="shared" ca="1" si="468"/>
        <v>196.15384615384616</v>
      </c>
      <c r="Y1222">
        <f t="shared" ca="1" si="469"/>
        <v>632.07599999999991</v>
      </c>
      <c r="Z1222">
        <f t="shared" ca="1" si="470"/>
        <v>2593.1530316486619</v>
      </c>
      <c r="AA1222">
        <f t="shared" ca="1" si="471"/>
        <v>482.07306851378365</v>
      </c>
      <c r="AB1222">
        <f t="shared" ca="1" si="472"/>
        <v>482.07256851378406</v>
      </c>
      <c r="AC1222">
        <f t="shared" ca="1" si="473"/>
        <v>0</v>
      </c>
      <c r="AD1222">
        <f ca="1">IF(V32="Supercritical",L1222,U1222)</f>
        <v>0.05</v>
      </c>
      <c r="AE1222">
        <f t="shared" ca="1" si="474"/>
        <v>632.07599999999991</v>
      </c>
      <c r="AF1222">
        <f t="shared" ca="1" si="475"/>
        <v>2593.1530316486619</v>
      </c>
      <c r="AI1222">
        <v>0</v>
      </c>
      <c r="AJ1222">
        <v>0</v>
      </c>
      <c r="AK1222">
        <f t="shared" si="476"/>
        <v>0</v>
      </c>
      <c r="AL1222">
        <f t="shared" si="484"/>
        <v>0</v>
      </c>
      <c r="AM1222">
        <f t="shared" ca="1" si="477"/>
        <v>280.07692026646265</v>
      </c>
      <c r="AN1222" t="str">
        <f t="shared" ca="1" si="478"/>
        <v>Supercritical</v>
      </c>
      <c r="AO1222">
        <f ca="1">IF(V32="Supercritical",R1222,AA1222)</f>
        <v>482.07306851378365</v>
      </c>
    </row>
    <row r="1223" spans="1:41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174</v>
      </c>
      <c r="I1223">
        <v>0</v>
      </c>
      <c r="J1223">
        <f t="shared" si="479"/>
        <v>1</v>
      </c>
      <c r="K1223">
        <f t="shared" si="480"/>
        <v>51</v>
      </c>
      <c r="L1223">
        <f t="shared" ca="1" si="481"/>
        <v>38818.066619794627</v>
      </c>
      <c r="M1223">
        <f t="shared" ca="1" si="459"/>
        <v>201853.94642293206</v>
      </c>
      <c r="N1223">
        <f t="shared" ca="1" si="460"/>
        <v>2.5998258659474809</v>
      </c>
      <c r="O1223">
        <f t="shared" ca="1" si="461"/>
        <v>2.5265792868445019E-4</v>
      </c>
      <c r="P1223">
        <f t="shared" ca="1" si="462"/>
        <v>39450.09211979463</v>
      </c>
      <c r="Q1223">
        <f t="shared" ca="1" si="463"/>
        <v>39450.092119797882</v>
      </c>
      <c r="R1223">
        <f t="shared" ca="1" si="464"/>
        <v>4.0178097400777271E-12</v>
      </c>
      <c r="S1223">
        <f t="shared" ca="1" si="482"/>
        <v>4.9999998736893758E-4</v>
      </c>
      <c r="T1223">
        <f t="shared" ca="1" si="483"/>
        <v>1</v>
      </c>
      <c r="U1223">
        <f t="shared" ca="1" si="465"/>
        <v>0.05</v>
      </c>
      <c r="V1223">
        <f t="shared" ca="1" si="466"/>
        <v>0.26</v>
      </c>
      <c r="W1223">
        <f t="shared" ca="1" si="467"/>
        <v>4.9056603773584909E-2</v>
      </c>
      <c r="X1223">
        <f t="shared" ca="1" si="468"/>
        <v>196.15384615384616</v>
      </c>
      <c r="Y1223">
        <f t="shared" ca="1" si="469"/>
        <v>632.07549999999992</v>
      </c>
      <c r="Z1223">
        <f t="shared" ca="1" si="470"/>
        <v>2593.1525316486623</v>
      </c>
      <c r="AA1223">
        <f t="shared" ca="1" si="471"/>
        <v>482.07306851378365</v>
      </c>
      <c r="AB1223">
        <f t="shared" ca="1" si="472"/>
        <v>482.07256851378361</v>
      </c>
      <c r="AC1223">
        <f t="shared" ca="1" si="473"/>
        <v>0</v>
      </c>
      <c r="AD1223">
        <f ca="1">IF(V32="Supercritical",L1223,U1223)</f>
        <v>0.05</v>
      </c>
      <c r="AE1223">
        <f t="shared" ca="1" si="474"/>
        <v>632.07549999999992</v>
      </c>
      <c r="AF1223">
        <f t="shared" ca="1" si="475"/>
        <v>2593.1525316486623</v>
      </c>
      <c r="AI1223">
        <v>0</v>
      </c>
      <c r="AJ1223">
        <v>0</v>
      </c>
      <c r="AK1223">
        <f t="shared" si="476"/>
        <v>0</v>
      </c>
      <c r="AL1223">
        <f t="shared" si="484"/>
        <v>0</v>
      </c>
      <c r="AM1223">
        <f t="shared" ca="1" si="477"/>
        <v>280.07692026646265</v>
      </c>
      <c r="AN1223" t="str">
        <f t="shared" ca="1" si="478"/>
        <v>Supercritical</v>
      </c>
      <c r="AO1223">
        <f ca="1">IF(V32="Supercritical",R1223,AA1223)</f>
        <v>482.07306851378365</v>
      </c>
    </row>
    <row r="1224" spans="1:41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174</v>
      </c>
      <c r="I1224">
        <v>0</v>
      </c>
      <c r="J1224">
        <f t="shared" si="479"/>
        <v>1</v>
      </c>
      <c r="K1224">
        <f t="shared" si="480"/>
        <v>51</v>
      </c>
      <c r="L1224">
        <f t="shared" ca="1" si="481"/>
        <v>38818.066032838098</v>
      </c>
      <c r="M1224">
        <f t="shared" ca="1" si="459"/>
        <v>201853.94337075812</v>
      </c>
      <c r="N1224">
        <f t="shared" ca="1" si="460"/>
        <v>2.5998258659448483</v>
      </c>
      <c r="O1224">
        <f t="shared" ca="1" si="461"/>
        <v>2.5265793250481619E-4</v>
      </c>
      <c r="P1224">
        <f t="shared" ca="1" si="462"/>
        <v>39450.0910328381</v>
      </c>
      <c r="Q1224">
        <f t="shared" ca="1" si="463"/>
        <v>39450.091032841352</v>
      </c>
      <c r="R1224">
        <f t="shared" ca="1" si="464"/>
        <v>4.0178098615873861E-12</v>
      </c>
      <c r="S1224">
        <f t="shared" ca="1" si="482"/>
        <v>1.0869565230677836E-3</v>
      </c>
      <c r="T1224">
        <f t="shared" ca="1" si="483"/>
        <v>0</v>
      </c>
      <c r="U1224">
        <f t="shared" ca="1" si="465"/>
        <v>0.05</v>
      </c>
      <c r="V1224">
        <f t="shared" ca="1" si="466"/>
        <v>0.26</v>
      </c>
      <c r="W1224">
        <f t="shared" ca="1" si="467"/>
        <v>4.9056603773584909E-2</v>
      </c>
      <c r="X1224">
        <f t="shared" ca="1" si="468"/>
        <v>196.15384615384616</v>
      </c>
      <c r="Y1224">
        <f t="shared" ca="1" si="469"/>
        <v>632.07499999999993</v>
      </c>
      <c r="Z1224">
        <f t="shared" ca="1" si="470"/>
        <v>2593.1520316486622</v>
      </c>
      <c r="AA1224">
        <f t="shared" ca="1" si="471"/>
        <v>482.07306851378365</v>
      </c>
      <c r="AB1224">
        <f t="shared" ca="1" si="472"/>
        <v>482.25887083179032</v>
      </c>
      <c r="AC1224">
        <f t="shared" ca="1" si="473"/>
        <v>0</v>
      </c>
      <c r="AD1224">
        <f ca="1">IF(V32="Supercritical",L1224,U1224)</f>
        <v>0.05</v>
      </c>
      <c r="AE1224">
        <f t="shared" ca="1" si="474"/>
        <v>632.07499999999993</v>
      </c>
      <c r="AF1224">
        <f t="shared" ca="1" si="475"/>
        <v>2593.1520316486622</v>
      </c>
      <c r="AI1224">
        <v>0</v>
      </c>
      <c r="AJ1224">
        <v>0</v>
      </c>
      <c r="AK1224">
        <f t="shared" si="476"/>
        <v>0</v>
      </c>
      <c r="AL1224">
        <f t="shared" si="484"/>
        <v>0</v>
      </c>
      <c r="AM1224">
        <f t="shared" ca="1" si="477"/>
        <v>280.07692026646265</v>
      </c>
      <c r="AN1224" t="str">
        <f t="shared" ca="1" si="478"/>
        <v>Supercritical</v>
      </c>
      <c r="AO1224">
        <f ca="1">IF(V32="Supercritical",R1224,AA1224)</f>
        <v>482.07306851378365</v>
      </c>
    </row>
    <row r="1225" spans="1:41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174</v>
      </c>
      <c r="I1225">
        <v>5.7000000000000002E-2</v>
      </c>
      <c r="J1225">
        <f t="shared" si="479"/>
        <v>1</v>
      </c>
      <c r="K1225">
        <f t="shared" si="480"/>
        <v>51</v>
      </c>
      <c r="L1225">
        <f t="shared" ca="1" si="481"/>
        <v>38818.066032838098</v>
      </c>
      <c r="M1225">
        <f t="shared" ca="1" si="459"/>
        <v>201853.94337075812</v>
      </c>
      <c r="N1225">
        <f t="shared" ca="1" si="460"/>
        <v>2.5998258659448483</v>
      </c>
      <c r="O1225">
        <f t="shared" ca="1" si="461"/>
        <v>2.5265793250481619E-4</v>
      </c>
      <c r="P1225">
        <f t="shared" ca="1" si="462"/>
        <v>39450.090532838098</v>
      </c>
      <c r="Q1225">
        <f t="shared" ca="1" si="463"/>
        <v>39450.09053284135</v>
      </c>
      <c r="R1225">
        <f t="shared" ca="1" si="464"/>
        <v>4.0178098615873861E-12</v>
      </c>
      <c r="S1225">
        <f t="shared" ca="1" si="482"/>
        <v>4.999999946448952E-4</v>
      </c>
      <c r="T1225">
        <f t="shared" ca="1" si="483"/>
        <v>1</v>
      </c>
      <c r="U1225">
        <f t="shared" ca="1" si="465"/>
        <v>0.05</v>
      </c>
      <c r="V1225">
        <f t="shared" ca="1" si="466"/>
        <v>0.26</v>
      </c>
      <c r="W1225">
        <f t="shared" ca="1" si="467"/>
        <v>4.9056603773584909E-2</v>
      </c>
      <c r="X1225">
        <f t="shared" ca="1" si="468"/>
        <v>196.15384615384616</v>
      </c>
      <c r="Y1225">
        <f t="shared" ca="1" si="469"/>
        <v>632.07449999999994</v>
      </c>
      <c r="Z1225">
        <f t="shared" ca="1" si="470"/>
        <v>2593.1515316486621</v>
      </c>
      <c r="AA1225">
        <f t="shared" ca="1" si="471"/>
        <v>482.07306851378365</v>
      </c>
      <c r="AB1225">
        <f t="shared" ca="1" si="472"/>
        <v>482.25887083179032</v>
      </c>
      <c r="AC1225">
        <f t="shared" ca="1" si="473"/>
        <v>0</v>
      </c>
      <c r="AD1225">
        <f ca="1">IF(V32="Supercritical",L1225,U1225)</f>
        <v>0.05</v>
      </c>
      <c r="AE1225">
        <f t="shared" ca="1" si="474"/>
        <v>632.07449999999994</v>
      </c>
      <c r="AF1225">
        <f t="shared" ca="1" si="475"/>
        <v>2593.1515316486621</v>
      </c>
      <c r="AI1225">
        <v>0</v>
      </c>
      <c r="AJ1225">
        <v>0</v>
      </c>
      <c r="AK1225">
        <f t="shared" si="476"/>
        <v>0</v>
      </c>
      <c r="AL1225">
        <f t="shared" si="484"/>
        <v>0</v>
      </c>
      <c r="AM1225">
        <f t="shared" ca="1" si="477"/>
        <v>280.07692026646265</v>
      </c>
      <c r="AN1225" t="str">
        <f t="shared" ca="1" si="478"/>
        <v>Supercritical</v>
      </c>
      <c r="AO1225">
        <f ca="1">IF(V32="Supercritical",R1225,AA1225)</f>
        <v>482.07306851378365</v>
      </c>
    </row>
    <row r="1226" spans="1:41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174</v>
      </c>
      <c r="I1226">
        <v>5.7000000000000002E-2</v>
      </c>
      <c r="J1226">
        <f t="shared" si="479"/>
        <v>1</v>
      </c>
      <c r="K1226">
        <f t="shared" si="480"/>
        <v>51</v>
      </c>
      <c r="L1226">
        <f t="shared" ca="1" si="481"/>
        <v>38818.065445881555</v>
      </c>
      <c r="M1226">
        <f t="shared" ca="1" si="459"/>
        <v>201853.94031858409</v>
      </c>
      <c r="N1226">
        <f t="shared" ca="1" si="460"/>
        <v>2.5998258659422153</v>
      </c>
      <c r="O1226">
        <f t="shared" ca="1" si="461"/>
        <v>2.5265793632518247E-4</v>
      </c>
      <c r="P1226">
        <f t="shared" ca="1" si="462"/>
        <v>39450.089445881553</v>
      </c>
      <c r="Q1226">
        <f t="shared" ca="1" si="463"/>
        <v>39450.089445884805</v>
      </c>
      <c r="R1226">
        <f t="shared" ca="1" si="464"/>
        <v>4.0178099830970531E-12</v>
      </c>
      <c r="S1226">
        <f t="shared" ca="1" si="482"/>
        <v>1.0869565376196988E-3</v>
      </c>
      <c r="T1226">
        <f t="shared" ca="1" si="483"/>
        <v>0</v>
      </c>
      <c r="U1226">
        <f t="shared" ca="1" si="465"/>
        <v>0.05</v>
      </c>
      <c r="V1226">
        <f t="shared" ca="1" si="466"/>
        <v>0.26</v>
      </c>
      <c r="W1226">
        <f t="shared" ca="1" si="467"/>
        <v>4.9056603773584909E-2</v>
      </c>
      <c r="X1226">
        <f t="shared" ca="1" si="468"/>
        <v>196.15384615384616</v>
      </c>
      <c r="Y1226">
        <f t="shared" ca="1" si="469"/>
        <v>632.07399999999996</v>
      </c>
      <c r="Z1226">
        <f t="shared" ca="1" si="470"/>
        <v>2593.151031648662</v>
      </c>
      <c r="AA1226">
        <f t="shared" ca="1" si="471"/>
        <v>482.07306851378365</v>
      </c>
      <c r="AB1226">
        <f t="shared" ca="1" si="472"/>
        <v>482.07910543722255</v>
      </c>
      <c r="AC1226">
        <f t="shared" ca="1" si="473"/>
        <v>0</v>
      </c>
      <c r="AD1226">
        <f ca="1">IF(V32="Supercritical",L1226,U1226)</f>
        <v>0.05</v>
      </c>
      <c r="AE1226">
        <f t="shared" ca="1" si="474"/>
        <v>632.07399999999996</v>
      </c>
      <c r="AF1226">
        <f t="shared" ca="1" si="475"/>
        <v>2593.151031648662</v>
      </c>
      <c r="AI1226">
        <v>0</v>
      </c>
      <c r="AJ1226">
        <v>0</v>
      </c>
      <c r="AK1226">
        <f t="shared" si="476"/>
        <v>0</v>
      </c>
      <c r="AL1226">
        <f t="shared" si="484"/>
        <v>0</v>
      </c>
      <c r="AM1226">
        <f t="shared" ca="1" si="477"/>
        <v>280.07692026646265</v>
      </c>
      <c r="AN1226" t="str">
        <f t="shared" ca="1" si="478"/>
        <v>Supercritical</v>
      </c>
      <c r="AO1226">
        <f ca="1">IF(V32="Supercritical",R1226,AA1226)</f>
        <v>482.07306851378365</v>
      </c>
    </row>
    <row r="1227" spans="1:41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174</v>
      </c>
      <c r="I1227">
        <v>2E-3</v>
      </c>
      <c r="J1227">
        <f t="shared" si="479"/>
        <v>1</v>
      </c>
      <c r="K1227">
        <f t="shared" si="480"/>
        <v>51</v>
      </c>
      <c r="L1227">
        <f t="shared" ca="1" si="481"/>
        <v>38818.065445881555</v>
      </c>
      <c r="M1227">
        <f t="shared" ca="1" si="459"/>
        <v>201853.94031858409</v>
      </c>
      <c r="N1227">
        <f t="shared" ca="1" si="460"/>
        <v>2.5998258659422153</v>
      </c>
      <c r="O1227">
        <f t="shared" ca="1" si="461"/>
        <v>2.5265793632518247E-4</v>
      </c>
      <c r="P1227">
        <f t="shared" ca="1" si="462"/>
        <v>39450.088945881558</v>
      </c>
      <c r="Q1227">
        <f t="shared" ca="1" si="463"/>
        <v>39450.088945884811</v>
      </c>
      <c r="R1227">
        <f t="shared" ca="1" si="464"/>
        <v>4.0178099830970531E-12</v>
      </c>
      <c r="S1227">
        <f t="shared" ca="1" si="482"/>
        <v>4.9999998736893758E-4</v>
      </c>
      <c r="T1227">
        <f t="shared" ca="1" si="483"/>
        <v>1</v>
      </c>
      <c r="U1227">
        <f t="shared" ca="1" si="465"/>
        <v>0.05</v>
      </c>
      <c r="V1227">
        <f t="shared" ca="1" si="466"/>
        <v>0.26</v>
      </c>
      <c r="W1227">
        <f t="shared" ca="1" si="467"/>
        <v>4.9056603773584909E-2</v>
      </c>
      <c r="X1227">
        <f t="shared" ca="1" si="468"/>
        <v>196.15384615384616</v>
      </c>
      <c r="Y1227">
        <f t="shared" ca="1" si="469"/>
        <v>632.07349999999997</v>
      </c>
      <c r="Z1227">
        <f t="shared" ca="1" si="470"/>
        <v>2593.1505316486619</v>
      </c>
      <c r="AA1227">
        <f t="shared" ca="1" si="471"/>
        <v>482.07306851378365</v>
      </c>
      <c r="AB1227">
        <f t="shared" ca="1" si="472"/>
        <v>482.56117850583496</v>
      </c>
      <c r="AC1227">
        <f t="shared" ca="1" si="473"/>
        <v>0</v>
      </c>
      <c r="AD1227">
        <f ca="1">IF(V32="Supercritical",L1227,U1227)</f>
        <v>0.05</v>
      </c>
      <c r="AE1227">
        <f t="shared" ca="1" si="474"/>
        <v>632.07349999999997</v>
      </c>
      <c r="AF1227">
        <f t="shared" ca="1" si="475"/>
        <v>2593.1505316486619</v>
      </c>
      <c r="AI1227">
        <v>0</v>
      </c>
      <c r="AJ1227">
        <v>0</v>
      </c>
      <c r="AK1227">
        <f t="shared" si="476"/>
        <v>0</v>
      </c>
      <c r="AL1227">
        <f t="shared" si="484"/>
        <v>0</v>
      </c>
      <c r="AM1227">
        <f t="shared" ca="1" si="477"/>
        <v>280.07692026646265</v>
      </c>
      <c r="AN1227" t="str">
        <f t="shared" ca="1" si="478"/>
        <v>Supercritical</v>
      </c>
      <c r="AO1227">
        <f ca="1">IF(V32="Supercritical",R1227,AA1227)</f>
        <v>482.07306851378365</v>
      </c>
    </row>
    <row r="1228" spans="1:41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174</v>
      </c>
      <c r="I1228">
        <v>2E-3</v>
      </c>
      <c r="J1228">
        <f t="shared" si="479"/>
        <v>1.0010000000002037</v>
      </c>
      <c r="K1228">
        <f t="shared" si="480"/>
        <v>51</v>
      </c>
      <c r="L1228">
        <f t="shared" ca="1" si="481"/>
        <v>38818.064858925085</v>
      </c>
      <c r="M1228">
        <f t="shared" ca="1" si="459"/>
        <v>201853.93726641044</v>
      </c>
      <c r="N1228">
        <f t="shared" ca="1" si="460"/>
        <v>2.5998258659395823</v>
      </c>
      <c r="O1228">
        <f t="shared" ca="1" si="461"/>
        <v>2.5265794014554832E-4</v>
      </c>
      <c r="P1228">
        <f t="shared" ca="1" si="462"/>
        <v>39450.087858925086</v>
      </c>
      <c r="Q1228">
        <f t="shared" ca="1" si="463"/>
        <v>39450.087858928338</v>
      </c>
      <c r="R1228">
        <f t="shared" ca="1" si="464"/>
        <v>4.0178101046067105E-12</v>
      </c>
      <c r="S1228">
        <f t="shared" ca="1" si="482"/>
        <v>1.0869564648601227E-3</v>
      </c>
      <c r="T1228">
        <f t="shared" ca="1" si="483"/>
        <v>0</v>
      </c>
      <c r="U1228">
        <f t="shared" ca="1" si="465"/>
        <v>0.05</v>
      </c>
      <c r="V1228">
        <f t="shared" ca="1" si="466"/>
        <v>0.26</v>
      </c>
      <c r="W1228">
        <f t="shared" ca="1" si="467"/>
        <v>4.9056603773584909E-2</v>
      </c>
      <c r="X1228">
        <f t="shared" ca="1" si="468"/>
        <v>196.15384615384616</v>
      </c>
      <c r="Y1228">
        <f t="shared" ca="1" si="469"/>
        <v>632.07299999999998</v>
      </c>
      <c r="Z1228">
        <f t="shared" ca="1" si="470"/>
        <v>2593.1500316486622</v>
      </c>
      <c r="AA1228">
        <f t="shared" ca="1" si="471"/>
        <v>482.07306851378365</v>
      </c>
      <c r="AB1228">
        <f t="shared" ca="1" si="472"/>
        <v>482.25887083179032</v>
      </c>
      <c r="AC1228">
        <f t="shared" ca="1" si="473"/>
        <v>0</v>
      </c>
      <c r="AD1228">
        <f ca="1">IF(V32="Supercritical",L1228,U1228)</f>
        <v>0.05</v>
      </c>
      <c r="AE1228">
        <f t="shared" ca="1" si="474"/>
        <v>632.07299999999998</v>
      </c>
      <c r="AF1228">
        <f t="shared" ca="1" si="475"/>
        <v>2593.1500316486622</v>
      </c>
      <c r="AI1228">
        <v>0</v>
      </c>
      <c r="AJ1228">
        <v>0</v>
      </c>
      <c r="AK1228">
        <f t="shared" si="476"/>
        <v>0</v>
      </c>
      <c r="AL1228">
        <f t="shared" si="484"/>
        <v>0</v>
      </c>
      <c r="AM1228">
        <f t="shared" ca="1" si="477"/>
        <v>280.07692026646265</v>
      </c>
      <c r="AN1228" t="str">
        <f t="shared" ca="1" si="478"/>
        <v>Supercritical</v>
      </c>
      <c r="AO1228">
        <f ca="1">IF(V32="Supercritical",R1228,AA1228)</f>
        <v>482.07306851378365</v>
      </c>
    </row>
    <row r="1229" spans="1:41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174</v>
      </c>
      <c r="I1229">
        <v>5.7000000000000002E-2</v>
      </c>
      <c r="J1229">
        <f t="shared" si="479"/>
        <v>1</v>
      </c>
      <c r="K1229">
        <f t="shared" si="480"/>
        <v>51</v>
      </c>
      <c r="L1229">
        <f t="shared" ca="1" si="481"/>
        <v>38818.064858925085</v>
      </c>
      <c r="M1229">
        <f t="shared" ca="1" si="459"/>
        <v>201853.93726641044</v>
      </c>
      <c r="N1229">
        <f t="shared" ca="1" si="460"/>
        <v>2.5998258659395823</v>
      </c>
      <c r="O1229">
        <f t="shared" ca="1" si="461"/>
        <v>2.5265794014554832E-4</v>
      </c>
      <c r="P1229">
        <f t="shared" ca="1" si="462"/>
        <v>39450.087358925084</v>
      </c>
      <c r="Q1229">
        <f t="shared" ca="1" si="463"/>
        <v>39450.087358928336</v>
      </c>
      <c r="R1229">
        <f t="shared" ca="1" si="464"/>
        <v>4.0178101046067105E-12</v>
      </c>
      <c r="S1229">
        <f t="shared" ca="1" si="482"/>
        <v>4.999999946448952E-4</v>
      </c>
      <c r="T1229">
        <f t="shared" ca="1" si="483"/>
        <v>1</v>
      </c>
      <c r="U1229">
        <f t="shared" ca="1" si="465"/>
        <v>0.05</v>
      </c>
      <c r="V1229">
        <f t="shared" ca="1" si="466"/>
        <v>0.26</v>
      </c>
      <c r="W1229">
        <f t="shared" ca="1" si="467"/>
        <v>4.9056603773584909E-2</v>
      </c>
      <c r="X1229">
        <f t="shared" ca="1" si="468"/>
        <v>196.15384615384616</v>
      </c>
      <c r="Y1229">
        <f t="shared" ca="1" si="469"/>
        <v>632.07249999999999</v>
      </c>
      <c r="Z1229">
        <f t="shared" ca="1" si="470"/>
        <v>2593.1495316486621</v>
      </c>
      <c r="AA1229">
        <f t="shared" ca="1" si="471"/>
        <v>482.07306851378365</v>
      </c>
      <c r="AB1229">
        <f t="shared" ca="1" si="472"/>
        <v>481.77679776317837</v>
      </c>
      <c r="AC1229">
        <f t="shared" ca="1" si="473"/>
        <v>0</v>
      </c>
      <c r="AD1229">
        <f ca="1">IF(V32="Supercritical",L1229,U1229)</f>
        <v>0.05</v>
      </c>
      <c r="AE1229">
        <f t="shared" ca="1" si="474"/>
        <v>632.07249999999999</v>
      </c>
      <c r="AF1229">
        <f t="shared" ca="1" si="475"/>
        <v>2593.1495316486621</v>
      </c>
      <c r="AI1229">
        <v>0</v>
      </c>
      <c r="AJ1229">
        <v>0</v>
      </c>
      <c r="AK1229">
        <f t="shared" si="476"/>
        <v>0</v>
      </c>
      <c r="AL1229">
        <f t="shared" si="484"/>
        <v>0</v>
      </c>
      <c r="AM1229">
        <f t="shared" ca="1" si="477"/>
        <v>280.07692026646265</v>
      </c>
      <c r="AN1229" t="str">
        <f t="shared" ca="1" si="478"/>
        <v>Supercritical</v>
      </c>
      <c r="AO1229">
        <f ca="1">IF(V32="Supercritical",R1229,AA1229)</f>
        <v>482.07306851378365</v>
      </c>
    </row>
    <row r="1230" spans="1:41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174</v>
      </c>
      <c r="I1230">
        <v>5.7000000000000002E-2</v>
      </c>
      <c r="J1230">
        <f t="shared" si="479"/>
        <v>0.99899999999979627</v>
      </c>
      <c r="K1230">
        <f t="shared" si="480"/>
        <v>51</v>
      </c>
      <c r="L1230">
        <f t="shared" ca="1" si="481"/>
        <v>38818.064271968658</v>
      </c>
      <c r="M1230">
        <f t="shared" ca="1" si="459"/>
        <v>201853.93421423703</v>
      </c>
      <c r="N1230">
        <f t="shared" ca="1" si="460"/>
        <v>2.5998258659369498</v>
      </c>
      <c r="O1230">
        <f t="shared" ca="1" si="461"/>
        <v>2.5265794396591405E-4</v>
      </c>
      <c r="P1230">
        <f t="shared" ca="1" si="462"/>
        <v>39450.086271968656</v>
      </c>
      <c r="Q1230">
        <f t="shared" ca="1" si="463"/>
        <v>39450.086271971908</v>
      </c>
      <c r="R1230">
        <f t="shared" ca="1" si="464"/>
        <v>4.0178102261163622E-12</v>
      </c>
      <c r="S1230">
        <f t="shared" ca="1" si="482"/>
        <v>1.086956421204377E-3</v>
      </c>
      <c r="T1230">
        <f t="shared" ca="1" si="483"/>
        <v>0</v>
      </c>
      <c r="U1230">
        <f t="shared" ca="1" si="465"/>
        <v>0.05</v>
      </c>
      <c r="V1230">
        <f t="shared" ca="1" si="466"/>
        <v>0.26</v>
      </c>
      <c r="W1230">
        <f t="shared" ca="1" si="467"/>
        <v>4.9056603773584909E-2</v>
      </c>
      <c r="X1230">
        <f t="shared" ca="1" si="468"/>
        <v>196.15384615384616</v>
      </c>
      <c r="Y1230">
        <f t="shared" ca="1" si="469"/>
        <v>632.072</v>
      </c>
      <c r="Z1230">
        <f t="shared" ca="1" si="470"/>
        <v>2593.149031648662</v>
      </c>
      <c r="AA1230">
        <f t="shared" ca="1" si="471"/>
        <v>482.07306851378365</v>
      </c>
      <c r="AB1230">
        <f t="shared" ca="1" si="472"/>
        <v>482.07256851378361</v>
      </c>
      <c r="AC1230">
        <f t="shared" ca="1" si="473"/>
        <v>0</v>
      </c>
      <c r="AD1230">
        <f ca="1">IF(V32="Supercritical",L1230,U1230)</f>
        <v>0.05</v>
      </c>
      <c r="AE1230">
        <f t="shared" ca="1" si="474"/>
        <v>632.072</v>
      </c>
      <c r="AF1230">
        <f t="shared" ca="1" si="475"/>
        <v>2593.149031648662</v>
      </c>
      <c r="AI1230">
        <v>0</v>
      </c>
      <c r="AJ1230">
        <v>0</v>
      </c>
      <c r="AK1230">
        <f t="shared" si="476"/>
        <v>0</v>
      </c>
      <c r="AL1230">
        <f t="shared" si="484"/>
        <v>0</v>
      </c>
      <c r="AM1230">
        <f t="shared" ca="1" si="477"/>
        <v>280.07692026646265</v>
      </c>
      <c r="AN1230" t="str">
        <f t="shared" ca="1" si="478"/>
        <v>Supercritical</v>
      </c>
      <c r="AO1230">
        <f ca="1">IF(V32="Supercritical",R1230,AA1230)</f>
        <v>482.07306851378365</v>
      </c>
    </row>
    <row r="1231" spans="1:41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174</v>
      </c>
      <c r="I1231">
        <v>0</v>
      </c>
      <c r="J1231">
        <f t="shared" si="479"/>
        <v>1</v>
      </c>
      <c r="K1231">
        <f t="shared" si="480"/>
        <v>51</v>
      </c>
      <c r="L1231">
        <f t="shared" ca="1" si="481"/>
        <v>38818.064271968658</v>
      </c>
      <c r="M1231">
        <f t="shared" ca="1" si="459"/>
        <v>201853.93421423703</v>
      </c>
      <c r="N1231">
        <f t="shared" ca="1" si="460"/>
        <v>2.5998258659369498</v>
      </c>
      <c r="O1231">
        <f t="shared" ca="1" si="461"/>
        <v>2.5265794396591405E-4</v>
      </c>
      <c r="P1231">
        <f t="shared" ca="1" si="462"/>
        <v>39450.085771968661</v>
      </c>
      <c r="Q1231">
        <f t="shared" ca="1" si="463"/>
        <v>39450.085771971913</v>
      </c>
      <c r="R1231">
        <f t="shared" ca="1" si="464"/>
        <v>4.0178102261163622E-12</v>
      </c>
      <c r="S1231">
        <f t="shared" ca="1" si="482"/>
        <v>4.9999998736893758E-4</v>
      </c>
      <c r="T1231">
        <f t="shared" ca="1" si="483"/>
        <v>1</v>
      </c>
      <c r="U1231">
        <f t="shared" ca="1" si="465"/>
        <v>0.05</v>
      </c>
      <c r="V1231">
        <f t="shared" ca="1" si="466"/>
        <v>0.26</v>
      </c>
      <c r="W1231">
        <f t="shared" ca="1" si="467"/>
        <v>4.9056603773584909E-2</v>
      </c>
      <c r="X1231">
        <f t="shared" ca="1" si="468"/>
        <v>196.15384615384616</v>
      </c>
      <c r="Y1231">
        <f t="shared" ca="1" si="469"/>
        <v>632.0714999999999</v>
      </c>
      <c r="Z1231">
        <f t="shared" ca="1" si="470"/>
        <v>2593.1485316486619</v>
      </c>
      <c r="AA1231">
        <f t="shared" ca="1" si="471"/>
        <v>482.07306851378365</v>
      </c>
      <c r="AB1231">
        <f t="shared" ca="1" si="472"/>
        <v>482.07256851378406</v>
      </c>
      <c r="AC1231">
        <f t="shared" ca="1" si="473"/>
        <v>0</v>
      </c>
      <c r="AD1231">
        <f ca="1">IF(V32="Supercritical",L1231,U1231)</f>
        <v>0.05</v>
      </c>
      <c r="AE1231">
        <f t="shared" ca="1" si="474"/>
        <v>632.0714999999999</v>
      </c>
      <c r="AF1231">
        <f t="shared" ca="1" si="475"/>
        <v>2593.1485316486619</v>
      </c>
      <c r="AI1231">
        <v>0</v>
      </c>
      <c r="AJ1231">
        <v>0</v>
      </c>
      <c r="AK1231">
        <f t="shared" si="476"/>
        <v>0</v>
      </c>
      <c r="AL1231">
        <f t="shared" si="484"/>
        <v>0</v>
      </c>
      <c r="AM1231">
        <f t="shared" ca="1" si="477"/>
        <v>280.07692026646265</v>
      </c>
      <c r="AN1231" t="str">
        <f t="shared" ca="1" si="478"/>
        <v>Supercritical</v>
      </c>
      <c r="AO1231">
        <f ca="1">IF(V32="Supercritical",R1231,AA1231)</f>
        <v>482.07306851378365</v>
      </c>
    </row>
    <row r="1232" spans="1:41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174</v>
      </c>
      <c r="I1232">
        <v>0</v>
      </c>
      <c r="J1232">
        <f t="shared" si="479"/>
        <v>1</v>
      </c>
      <c r="K1232">
        <f t="shared" si="480"/>
        <v>51</v>
      </c>
      <c r="L1232">
        <f t="shared" ca="1" si="481"/>
        <v>38818.063685012065</v>
      </c>
      <c r="M1232">
        <f t="shared" ca="1" si="459"/>
        <v>201853.93116206274</v>
      </c>
      <c r="N1232">
        <f t="shared" ca="1" si="460"/>
        <v>2.5998258659343167</v>
      </c>
      <c r="O1232">
        <f t="shared" ca="1" si="461"/>
        <v>2.5265794778628098E-4</v>
      </c>
      <c r="P1232">
        <f t="shared" ca="1" si="462"/>
        <v>39450.084685012065</v>
      </c>
      <c r="Q1232">
        <f t="shared" ca="1" si="463"/>
        <v>39450.084685015318</v>
      </c>
      <c r="R1232">
        <f t="shared" ca="1" si="464"/>
        <v>4.0178103476260591E-12</v>
      </c>
      <c r="S1232">
        <f t="shared" ca="1" si="482"/>
        <v>1.0869565885514021E-3</v>
      </c>
      <c r="T1232">
        <f t="shared" ca="1" si="483"/>
        <v>0</v>
      </c>
      <c r="U1232">
        <f t="shared" ca="1" si="465"/>
        <v>0.05</v>
      </c>
      <c r="V1232">
        <f t="shared" ca="1" si="466"/>
        <v>0.26</v>
      </c>
      <c r="W1232">
        <f t="shared" ca="1" si="467"/>
        <v>4.9056603773584909E-2</v>
      </c>
      <c r="X1232">
        <f t="shared" ca="1" si="468"/>
        <v>196.15384615384616</v>
      </c>
      <c r="Y1232">
        <f t="shared" ca="1" si="469"/>
        <v>632.07099999999991</v>
      </c>
      <c r="Z1232">
        <f t="shared" ca="1" si="470"/>
        <v>2593.1480316486623</v>
      </c>
      <c r="AA1232">
        <f t="shared" ca="1" si="471"/>
        <v>482.07306851378365</v>
      </c>
      <c r="AB1232">
        <f t="shared" ca="1" si="472"/>
        <v>482.25887083179032</v>
      </c>
      <c r="AC1232">
        <f t="shared" ca="1" si="473"/>
        <v>0</v>
      </c>
      <c r="AD1232">
        <f ca="1">IF(V32="Supercritical",L1232,U1232)</f>
        <v>0.05</v>
      </c>
      <c r="AE1232">
        <f t="shared" ca="1" si="474"/>
        <v>632.07099999999991</v>
      </c>
      <c r="AF1232">
        <f t="shared" ca="1" si="475"/>
        <v>2593.1480316486623</v>
      </c>
      <c r="AI1232">
        <v>0</v>
      </c>
      <c r="AJ1232">
        <v>0</v>
      </c>
      <c r="AK1232">
        <f t="shared" si="476"/>
        <v>0</v>
      </c>
      <c r="AL1232">
        <f t="shared" si="484"/>
        <v>0</v>
      </c>
      <c r="AM1232">
        <f t="shared" ca="1" si="477"/>
        <v>280.07692026646265</v>
      </c>
      <c r="AN1232" t="str">
        <f t="shared" ca="1" si="478"/>
        <v>Supercritical</v>
      </c>
      <c r="AO1232">
        <f ca="1">IF(V32="Supercritical",R1232,AA1232)</f>
        <v>482.07306851378365</v>
      </c>
    </row>
    <row r="1233" spans="1:41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174</v>
      </c>
      <c r="I1233">
        <v>5.7000000000000002E-2</v>
      </c>
      <c r="J1233">
        <f t="shared" si="479"/>
        <v>1</v>
      </c>
      <c r="K1233">
        <f t="shared" si="480"/>
        <v>51</v>
      </c>
      <c r="L1233">
        <f t="shared" ca="1" si="481"/>
        <v>38818.063685012065</v>
      </c>
      <c r="M1233">
        <f t="shared" ca="1" si="459"/>
        <v>201853.93116206274</v>
      </c>
      <c r="N1233">
        <f t="shared" ca="1" si="460"/>
        <v>2.5998258659343167</v>
      </c>
      <c r="O1233">
        <f t="shared" ca="1" si="461"/>
        <v>2.5265794778628098E-4</v>
      </c>
      <c r="P1233">
        <f t="shared" ca="1" si="462"/>
        <v>39450.084185012063</v>
      </c>
      <c r="Q1233">
        <f t="shared" ca="1" si="463"/>
        <v>39450.084185015316</v>
      </c>
      <c r="R1233">
        <f t="shared" ca="1" si="464"/>
        <v>4.0178103476260591E-12</v>
      </c>
      <c r="S1233">
        <f t="shared" ca="1" si="482"/>
        <v>4.999999946448952E-4</v>
      </c>
      <c r="T1233">
        <f t="shared" ca="1" si="483"/>
        <v>1</v>
      </c>
      <c r="U1233">
        <f t="shared" ca="1" si="465"/>
        <v>0.05</v>
      </c>
      <c r="V1233">
        <f t="shared" ca="1" si="466"/>
        <v>0.26</v>
      </c>
      <c r="W1233">
        <f t="shared" ca="1" si="467"/>
        <v>4.9056603773584909E-2</v>
      </c>
      <c r="X1233">
        <f t="shared" ca="1" si="468"/>
        <v>196.15384615384616</v>
      </c>
      <c r="Y1233">
        <f t="shared" ca="1" si="469"/>
        <v>632.07049999999992</v>
      </c>
      <c r="Z1233">
        <f t="shared" ca="1" si="470"/>
        <v>2593.1475316486622</v>
      </c>
      <c r="AA1233">
        <f t="shared" ca="1" si="471"/>
        <v>482.07306851378365</v>
      </c>
      <c r="AB1233">
        <f t="shared" ca="1" si="472"/>
        <v>482.25887083179032</v>
      </c>
      <c r="AC1233">
        <f t="shared" ca="1" si="473"/>
        <v>0</v>
      </c>
      <c r="AD1233">
        <f ca="1">IF(V32="Supercritical",L1233,U1233)</f>
        <v>0.05</v>
      </c>
      <c r="AE1233">
        <f t="shared" ca="1" si="474"/>
        <v>632.07049999999992</v>
      </c>
      <c r="AF1233">
        <f t="shared" ca="1" si="475"/>
        <v>2593.1475316486622</v>
      </c>
      <c r="AI1233">
        <v>0</v>
      </c>
      <c r="AJ1233">
        <v>0</v>
      </c>
      <c r="AK1233">
        <f t="shared" si="476"/>
        <v>0</v>
      </c>
      <c r="AL1233">
        <f t="shared" si="484"/>
        <v>0</v>
      </c>
      <c r="AM1233">
        <f t="shared" ca="1" si="477"/>
        <v>280.07692026646265</v>
      </c>
      <c r="AN1233" t="str">
        <f t="shared" ca="1" si="478"/>
        <v>Supercritical</v>
      </c>
      <c r="AO1233">
        <f ca="1">IF(V32="Supercritical",R1233,AA1233)</f>
        <v>482.07306851378365</v>
      </c>
    </row>
    <row r="1234" spans="1:41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174</v>
      </c>
      <c r="I1234">
        <v>5.7000000000000002E-2</v>
      </c>
      <c r="J1234">
        <f t="shared" si="479"/>
        <v>1</v>
      </c>
      <c r="K1234">
        <f t="shared" si="480"/>
        <v>51</v>
      </c>
      <c r="L1234">
        <f t="shared" ca="1" si="481"/>
        <v>38818.063098055289</v>
      </c>
      <c r="M1234">
        <f t="shared" ca="1" si="459"/>
        <v>201853.92810988752</v>
      </c>
      <c r="N1234">
        <f t="shared" ca="1" si="460"/>
        <v>2.5998258659316842</v>
      </c>
      <c r="O1234">
        <f t="shared" ca="1" si="461"/>
        <v>2.5265795160664916E-4</v>
      </c>
      <c r="P1234">
        <f t="shared" ca="1" si="462"/>
        <v>39450.083098055286</v>
      </c>
      <c r="Q1234">
        <f t="shared" ca="1" si="463"/>
        <v>39450.083098058538</v>
      </c>
      <c r="R1234">
        <f t="shared" ca="1" si="464"/>
        <v>4.0178104691357932E-12</v>
      </c>
      <c r="S1234">
        <f t="shared" ca="1" si="482"/>
        <v>1.0869567704503424E-3</v>
      </c>
      <c r="T1234">
        <f t="shared" ca="1" si="483"/>
        <v>0</v>
      </c>
      <c r="U1234">
        <f t="shared" ca="1" si="465"/>
        <v>0.05</v>
      </c>
      <c r="V1234">
        <f t="shared" ca="1" si="466"/>
        <v>0.26</v>
      </c>
      <c r="W1234">
        <f t="shared" ca="1" si="467"/>
        <v>4.9056603773584909E-2</v>
      </c>
      <c r="X1234">
        <f t="shared" ca="1" si="468"/>
        <v>196.15384615384616</v>
      </c>
      <c r="Y1234">
        <f t="shared" ca="1" si="469"/>
        <v>632.06999999999994</v>
      </c>
      <c r="Z1234">
        <f t="shared" ca="1" si="470"/>
        <v>2593.1470316486621</v>
      </c>
      <c r="AA1234">
        <f t="shared" ca="1" si="471"/>
        <v>482.07306851378365</v>
      </c>
      <c r="AB1234">
        <f t="shared" ca="1" si="472"/>
        <v>482.07256851378361</v>
      </c>
      <c r="AC1234">
        <f t="shared" ca="1" si="473"/>
        <v>0</v>
      </c>
      <c r="AD1234">
        <f ca="1">IF(V32="Supercritical",L1234,U1234)</f>
        <v>0.05</v>
      </c>
      <c r="AE1234">
        <f t="shared" ca="1" si="474"/>
        <v>632.06999999999994</v>
      </c>
      <c r="AF1234">
        <f t="shared" ca="1" si="475"/>
        <v>2593.1470316486621</v>
      </c>
      <c r="AI1234">
        <v>0</v>
      </c>
      <c r="AJ1234">
        <v>0</v>
      </c>
      <c r="AK1234">
        <f t="shared" si="476"/>
        <v>0</v>
      </c>
      <c r="AL1234">
        <f t="shared" si="484"/>
        <v>0</v>
      </c>
      <c r="AM1234">
        <f t="shared" ca="1" si="477"/>
        <v>280.07692026646265</v>
      </c>
      <c r="AN1234" t="str">
        <f t="shared" ca="1" si="478"/>
        <v>Supercritical</v>
      </c>
      <c r="AO1234">
        <f ca="1">IF(V32="Supercritical",R1234,AA1234)</f>
        <v>482.07306851378365</v>
      </c>
    </row>
    <row r="1235" spans="1:41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174</v>
      </c>
      <c r="I1235">
        <v>0</v>
      </c>
      <c r="J1235">
        <f t="shared" si="479"/>
        <v>1</v>
      </c>
      <c r="K1235">
        <f t="shared" si="480"/>
        <v>51</v>
      </c>
      <c r="L1235">
        <f t="shared" ca="1" si="481"/>
        <v>38818.063098055289</v>
      </c>
      <c r="M1235">
        <f t="shared" ca="1" si="459"/>
        <v>201853.92810988752</v>
      </c>
      <c r="N1235">
        <f t="shared" ca="1" si="460"/>
        <v>2.5998258659316842</v>
      </c>
      <c r="O1235">
        <f t="shared" ca="1" si="461"/>
        <v>2.5265795160664916E-4</v>
      </c>
      <c r="P1235">
        <f t="shared" ca="1" si="462"/>
        <v>39450.082598055291</v>
      </c>
      <c r="Q1235">
        <f t="shared" ca="1" si="463"/>
        <v>39450.082598058543</v>
      </c>
      <c r="R1235">
        <f t="shared" ca="1" si="464"/>
        <v>4.0178104691357932E-12</v>
      </c>
      <c r="S1235">
        <f t="shared" ca="1" si="482"/>
        <v>4.9999998736893758E-4</v>
      </c>
      <c r="T1235">
        <f t="shared" ca="1" si="483"/>
        <v>1</v>
      </c>
      <c r="U1235">
        <f t="shared" ca="1" si="465"/>
        <v>0.05</v>
      </c>
      <c r="V1235">
        <f t="shared" ca="1" si="466"/>
        <v>0.26</v>
      </c>
      <c r="W1235">
        <f t="shared" ca="1" si="467"/>
        <v>4.9056603773584909E-2</v>
      </c>
      <c r="X1235">
        <f t="shared" ca="1" si="468"/>
        <v>196.15384615384616</v>
      </c>
      <c r="Y1235">
        <f t="shared" ca="1" si="469"/>
        <v>632.06949999999995</v>
      </c>
      <c r="Z1235">
        <f t="shared" ca="1" si="470"/>
        <v>2593.1465316486619</v>
      </c>
      <c r="AA1235">
        <f t="shared" ca="1" si="471"/>
        <v>482.07306851378365</v>
      </c>
      <c r="AB1235">
        <f t="shared" ca="1" si="472"/>
        <v>482.25233390835137</v>
      </c>
      <c r="AC1235">
        <f t="shared" ca="1" si="473"/>
        <v>0</v>
      </c>
      <c r="AD1235">
        <f ca="1">IF(V32="Supercritical",L1235,U1235)</f>
        <v>0.05</v>
      </c>
      <c r="AE1235">
        <f t="shared" ca="1" si="474"/>
        <v>632.06949999999995</v>
      </c>
      <c r="AF1235">
        <f t="shared" ca="1" si="475"/>
        <v>2593.1465316486619</v>
      </c>
      <c r="AI1235">
        <v>0</v>
      </c>
      <c r="AJ1235">
        <v>0</v>
      </c>
      <c r="AK1235">
        <f t="shared" si="476"/>
        <v>0</v>
      </c>
      <c r="AL1235">
        <f t="shared" si="484"/>
        <v>0</v>
      </c>
      <c r="AM1235">
        <f t="shared" ca="1" si="477"/>
        <v>280.07692026646265</v>
      </c>
      <c r="AN1235" t="str">
        <f t="shared" ca="1" si="478"/>
        <v>Supercritical</v>
      </c>
      <c r="AO1235">
        <f ca="1">IF(V32="Supercritical",R1235,AA1235)</f>
        <v>482.07306851378365</v>
      </c>
    </row>
    <row r="1236" spans="1:41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174</v>
      </c>
      <c r="I1236">
        <v>5.5E-2</v>
      </c>
      <c r="J1236">
        <f t="shared" si="479"/>
        <v>1</v>
      </c>
      <c r="K1236">
        <f t="shared" si="480"/>
        <v>51</v>
      </c>
      <c r="L1236">
        <f t="shared" ca="1" si="481"/>
        <v>38818.062511099095</v>
      </c>
      <c r="M1236">
        <f t="shared" ca="1" si="459"/>
        <v>201853.9250577153</v>
      </c>
      <c r="N1236">
        <f t="shared" ca="1" si="460"/>
        <v>2.5998258659290512</v>
      </c>
      <c r="O1236">
        <f t="shared" ca="1" si="461"/>
        <v>2.526579554270137E-4</v>
      </c>
      <c r="P1236">
        <f t="shared" ca="1" si="462"/>
        <v>39450.081511099095</v>
      </c>
      <c r="Q1236">
        <f t="shared" ca="1" si="463"/>
        <v>39450.081511102348</v>
      </c>
      <c r="R1236">
        <f t="shared" ca="1" si="464"/>
        <v>4.0178105906454166E-12</v>
      </c>
      <c r="S1236">
        <f t="shared" ca="1" si="482"/>
        <v>1.0869561883737333E-3</v>
      </c>
      <c r="T1236">
        <f t="shared" ca="1" si="483"/>
        <v>0</v>
      </c>
      <c r="U1236">
        <f t="shared" ca="1" si="465"/>
        <v>0.05</v>
      </c>
      <c r="V1236">
        <f t="shared" ca="1" si="466"/>
        <v>0.26</v>
      </c>
      <c r="W1236">
        <f t="shared" ca="1" si="467"/>
        <v>4.9056603773584909E-2</v>
      </c>
      <c r="X1236">
        <f t="shared" ca="1" si="468"/>
        <v>196.15384615384616</v>
      </c>
      <c r="Y1236">
        <f t="shared" ca="1" si="469"/>
        <v>632.06899999999996</v>
      </c>
      <c r="Z1236">
        <f t="shared" ca="1" si="470"/>
        <v>2593.1460316486618</v>
      </c>
      <c r="AA1236">
        <f t="shared" ca="1" si="471"/>
        <v>482.07306851378365</v>
      </c>
      <c r="AB1236">
        <f t="shared" ca="1" si="472"/>
        <v>482.73440697696378</v>
      </c>
      <c r="AC1236">
        <f t="shared" ca="1" si="473"/>
        <v>0</v>
      </c>
      <c r="AD1236">
        <f ca="1">IF(V32="Supercritical",L1236,U1236)</f>
        <v>0.05</v>
      </c>
      <c r="AE1236">
        <f t="shared" ca="1" si="474"/>
        <v>632.06899999999996</v>
      </c>
      <c r="AF1236">
        <f t="shared" ca="1" si="475"/>
        <v>2593.1460316486618</v>
      </c>
      <c r="AI1236">
        <v>0</v>
      </c>
      <c r="AJ1236">
        <v>0</v>
      </c>
      <c r="AK1236">
        <f t="shared" si="476"/>
        <v>0</v>
      </c>
      <c r="AL1236">
        <f t="shared" si="484"/>
        <v>0</v>
      </c>
      <c r="AM1236">
        <f t="shared" ca="1" si="477"/>
        <v>280.07692026646265</v>
      </c>
      <c r="AN1236" t="str">
        <f t="shared" ca="1" si="478"/>
        <v>Supercritical</v>
      </c>
      <c r="AO1236">
        <f ca="1">IF(V32="Supercritical",R1236,AA1236)</f>
        <v>482.07306851378365</v>
      </c>
    </row>
    <row r="1237" spans="1:41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174</v>
      </c>
      <c r="I1237">
        <v>5.5E-2</v>
      </c>
      <c r="J1237">
        <f t="shared" si="479"/>
        <v>1.0010000000002037</v>
      </c>
      <c r="K1237">
        <f t="shared" si="480"/>
        <v>51</v>
      </c>
      <c r="L1237">
        <f t="shared" ca="1" si="481"/>
        <v>38818.062511099095</v>
      </c>
      <c r="M1237">
        <f t="shared" ca="1" si="459"/>
        <v>201853.9250577153</v>
      </c>
      <c r="N1237">
        <f t="shared" ca="1" si="460"/>
        <v>2.5998258659290512</v>
      </c>
      <c r="O1237">
        <f t="shared" ca="1" si="461"/>
        <v>2.526579554270137E-4</v>
      </c>
      <c r="P1237">
        <f t="shared" ca="1" si="462"/>
        <v>39450.081011099093</v>
      </c>
      <c r="Q1237">
        <f t="shared" ca="1" si="463"/>
        <v>39450.081011102346</v>
      </c>
      <c r="R1237">
        <f t="shared" ca="1" si="464"/>
        <v>4.0178105906454166E-12</v>
      </c>
      <c r="S1237">
        <f t="shared" ca="1" si="482"/>
        <v>4.999999946448952E-4</v>
      </c>
      <c r="T1237">
        <f t="shared" ca="1" si="483"/>
        <v>1</v>
      </c>
      <c r="U1237">
        <f t="shared" ca="1" si="465"/>
        <v>0.05</v>
      </c>
      <c r="V1237">
        <f t="shared" ca="1" si="466"/>
        <v>0.26</v>
      </c>
      <c r="W1237">
        <f t="shared" ca="1" si="467"/>
        <v>4.9056603773584909E-2</v>
      </c>
      <c r="X1237">
        <f t="shared" ca="1" si="468"/>
        <v>196.15384615384616</v>
      </c>
      <c r="Y1237">
        <f t="shared" ca="1" si="469"/>
        <v>632.06849999999997</v>
      </c>
      <c r="Z1237">
        <f t="shared" ca="1" si="470"/>
        <v>2593.1455316486622</v>
      </c>
      <c r="AA1237">
        <f t="shared" ca="1" si="471"/>
        <v>482.07306851378365</v>
      </c>
      <c r="AB1237">
        <f t="shared" ca="1" si="472"/>
        <v>482.07256851378361</v>
      </c>
      <c r="AC1237">
        <f t="shared" ca="1" si="473"/>
        <v>0</v>
      </c>
      <c r="AD1237">
        <f ca="1">IF(V32="Supercritical",L1237,U1237)</f>
        <v>0.05</v>
      </c>
      <c r="AE1237">
        <f t="shared" ca="1" si="474"/>
        <v>632.06849999999997</v>
      </c>
      <c r="AF1237">
        <f t="shared" ca="1" si="475"/>
        <v>2593.1455316486622</v>
      </c>
      <c r="AI1237">
        <v>0</v>
      </c>
      <c r="AJ1237">
        <v>0</v>
      </c>
      <c r="AK1237">
        <f t="shared" si="476"/>
        <v>0</v>
      </c>
      <c r="AL1237">
        <f t="shared" si="484"/>
        <v>0</v>
      </c>
      <c r="AM1237">
        <f t="shared" ca="1" si="477"/>
        <v>280.07692026646265</v>
      </c>
      <c r="AN1237" t="str">
        <f t="shared" ca="1" si="478"/>
        <v>Supercritical</v>
      </c>
      <c r="AO1237">
        <f ca="1">IF(V32="Supercritical",R1237,AA1237)</f>
        <v>482.07306851378365</v>
      </c>
    </row>
    <row r="1238" spans="1:41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174</v>
      </c>
      <c r="I1238">
        <v>0</v>
      </c>
      <c r="J1238">
        <f t="shared" si="479"/>
        <v>1</v>
      </c>
      <c r="K1238">
        <f t="shared" si="480"/>
        <v>51</v>
      </c>
      <c r="L1238">
        <f t="shared" ca="1" si="481"/>
        <v>38818.06192414336</v>
      </c>
      <c r="M1238">
        <f t="shared" ref="M1238:M1301" ca="1" si="485">((F1238)+(G1238)*(L1238))*(L1238)</f>
        <v>201853.92200554546</v>
      </c>
      <c r="N1238">
        <f t="shared" ref="N1238:N1301" ca="1" si="486">(((F1238)+(G1238)*(L1238))*(L1238))/MAX((F1238)+2*(L1238)*SQRT(1+(G1238)^2),0.000001)</f>
        <v>2.5998258659264182</v>
      </c>
      <c r="O1238">
        <f t="shared" ref="O1238:O1301" ca="1" si="487">ABS(K1238)/MAX(((F1238)+(G1238)*(L1238))*(L1238),0.000001)</f>
        <v>2.5265795924737542E-4</v>
      </c>
      <c r="P1238">
        <f t="shared" ref="P1238:P1301" ca="1" si="488">E1238+L1238</f>
        <v>39450.079924143356</v>
      </c>
      <c r="Q1238">
        <f t="shared" ref="Q1238:Q1301" ca="1" si="489">P1238+((ABS(K1238)/MAX(((F1238)+(G1238)*(L1238))*(L1238),0.000001))^2)/(2*$I$5)</f>
        <v>39450.079924146608</v>
      </c>
      <c r="R1238">
        <f t="shared" ref="R1238:R1301" ca="1" si="490">((ABS(K1238)*$D$6)/(MAX(((F1238)+(G1238)*(L1238))*(L1238),0.000001)*MAX(((((F1238)+(G1238)*(L1238))*(L1238))/MAX((F1238)+2*(L1238)*SQRT(1+(G1238)^2),0.000001))^(2/3),0.000001)))^2</f>
        <v>4.0178107121549512E-12</v>
      </c>
      <c r="S1238">
        <f t="shared" ca="1" si="482"/>
        <v>1.0869557299884036E-3</v>
      </c>
      <c r="T1238">
        <f t="shared" ca="1" si="483"/>
        <v>0</v>
      </c>
      <c r="U1238">
        <f t="shared" ref="U1238:U1301" ca="1" si="491">IF($D$20=0,U1239,IF(AC1239=0,U1239,IF(U1238=0,U1239,IF(ABS(AB1238)&gt;$D$19,MAX($D$16,U1238+((AB1238)*$D$18*IF((ABS(ABS(K1238)/MAX(((F1238)+(G1238)*(U1238))*(U1238),0.000001))/SQRT($I$5*MAX((((F1238)+(G1238)*(U1238))*(U1238))/MAX((F1238)+2*(G1238)*(U1238),0.000001),0.000001)))&lt;1,1,-1))),U1238))))</f>
        <v>0.05</v>
      </c>
      <c r="V1238">
        <f t="shared" ref="V1238:V1301" ca="1" si="492">((F1238)+(G1238)*(U1238))*(U1238)</f>
        <v>0.26</v>
      </c>
      <c r="W1238">
        <f t="shared" ref="W1238:W1301" ca="1" si="493">(((F1238)+(G1238)*(U1238))*(U1238))/MAX((F1238)+2*(U1238)*SQRT(1+(G1238)^2),0.000001)</f>
        <v>4.9056603773584909E-2</v>
      </c>
      <c r="X1238">
        <f t="shared" ref="X1238:X1301" ca="1" si="494">ABS(K1238)/MAX(((F1238)+(G1238)*(U1238))*(U1238),0.000001)</f>
        <v>196.15384615384616</v>
      </c>
      <c r="Y1238">
        <f t="shared" ref="Y1238:Y1301" ca="1" si="495">E1238+U1238</f>
        <v>632.06799999999998</v>
      </c>
      <c r="Z1238">
        <f t="shared" ref="Z1238:Z1301" ca="1" si="496">Y1238+((ABS(K1238)/MAX(((F1238)+(G1238)*(U1238))*(U1238),0.000001))^2)/(2*$I$5)</f>
        <v>2593.1450316486621</v>
      </c>
      <c r="AA1238">
        <f t="shared" ref="AA1238:AA1301" ca="1" si="497">((ABS(K1238)*$D$6)/(MAX(((F1238)+(G1238)*(U1238))*(U1238),0.000001)*MAX(((((F1238)+(G1238)*(U1238))*(U1238))/MAX((F1238)+2*(U1238)*SQRT(1+(G1238)^2),0.000001))^(2/3),0.000001)))^2</f>
        <v>482.07306851378365</v>
      </c>
      <c r="AB1238">
        <f t="shared" ref="AB1238:AB1301" ca="1" si="498">Z1239+(((AA1238+AA1239)/2)*J1239)+(IF(X1238&gt;X1239,$D$8*((X1238^2-X1239^2)/(2*$I$5)),$D$9*((X1239^2-X1238^2)/(2*$I$5)))+($D$10*(ABS(I1239)/90)*(MAX(X1238^2,X1239^2)/(2*$I$5))))-Z1238</f>
        <v>482.07256851378361</v>
      </c>
      <c r="AC1238">
        <f t="shared" ref="AC1238:AC1301" ca="1" si="499">IF(ABS(AB1238)&lt;$D$19,1,0)</f>
        <v>0</v>
      </c>
      <c r="AD1238">
        <f ca="1">IF(V32="Supercritical",L1238,U1238)</f>
        <v>0.05</v>
      </c>
      <c r="AE1238">
        <f t="shared" ref="AE1238:AE1301" ca="1" si="500">E1238+AD1238</f>
        <v>632.06799999999998</v>
      </c>
      <c r="AF1238">
        <f t="shared" ref="AF1238:AF1301" ca="1" si="501">AE1238+((ABS(K1238)/MAX(((F1238)+(G1238)*(AD1238))*(AD1238),0.000001))^2)/(2*$I$5)</f>
        <v>2593.1450316486621</v>
      </c>
      <c r="AI1238">
        <v>0</v>
      </c>
      <c r="AJ1238">
        <v>0</v>
      </c>
      <c r="AK1238">
        <f t="shared" ref="AK1238:AK1301" si="502">AI1238+AJ1238</f>
        <v>0</v>
      </c>
      <c r="AL1238">
        <f t="shared" si="484"/>
        <v>0</v>
      </c>
      <c r="AM1238">
        <f t="shared" ref="AM1238:AM1301" ca="1" si="503">ABS(ABS(K1238)/MAX(((F1238)+(G1238)*(AD1238))*(AD1238),0.000001))/SQRT($I$5*MAX((((F1238)+(G1238)*(AD1238))*(AD1238))/MAX((F1238)+2*(G1238)*(AD1238),0.000001),0.000001))</f>
        <v>280.07692026646265</v>
      </c>
      <c r="AN1238" t="str">
        <f t="shared" ref="AN1238:AN1301" ca="1" si="504">IF(AM1238&lt;1,"Subcritical","Supercritical")</f>
        <v>Supercritical</v>
      </c>
      <c r="AO1238">
        <f ca="1">IF(V32="Supercritical",R1238,AA1238)</f>
        <v>482.07306851378365</v>
      </c>
    </row>
    <row r="1239" spans="1:41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174</v>
      </c>
      <c r="I1239">
        <v>0</v>
      </c>
      <c r="J1239">
        <f t="shared" ref="J1239:J1302" si="505">B1239-B1238</f>
        <v>1</v>
      </c>
      <c r="K1239">
        <f t="shared" ref="K1239:K1302" si="506">MAX(0,K1238-AK1238)</f>
        <v>51</v>
      </c>
      <c r="L1239">
        <f t="shared" ref="L1239:L1302" ca="1" si="507">IF($D$20=0,L1238,IF(T1238=0,L1238,IF(L1239=0,L1238,IF(ABS(S1239)&gt;$D$19,MAX($D$16,L1239+((S1239)*$D$18*IF((ABS(ABS(K1239)/MAX(((F1239)+(G1239)*(L1239))*(L1239),0.000001))/SQRT($I$5*MAX((((F1239)+(G1239)*(L1239))*(L1239))/MAX((F1239)+2*(G1239)*(L1239),0.000001),0.000001)))&lt;1,1,-1))),L1239))))</f>
        <v>38818.06192414336</v>
      </c>
      <c r="M1239">
        <f t="shared" ca="1" si="485"/>
        <v>201853.92200554546</v>
      </c>
      <c r="N1239">
        <f t="shared" ca="1" si="486"/>
        <v>2.5998258659264182</v>
      </c>
      <c r="O1239">
        <f t="shared" ca="1" si="487"/>
        <v>2.5265795924737542E-4</v>
      </c>
      <c r="P1239">
        <f t="shared" ca="1" si="488"/>
        <v>39450.079424143361</v>
      </c>
      <c r="Q1239">
        <f t="shared" ca="1" si="489"/>
        <v>39450.079424146614</v>
      </c>
      <c r="R1239">
        <f t="shared" ca="1" si="490"/>
        <v>4.0178107121549512E-12</v>
      </c>
      <c r="S1239">
        <f t="shared" ref="S1239:S1302" ca="1" si="508">Q1238-(((R1238+R1239)/2)*J1239)-(IF(O1238&gt;O1239,$D$8*((O1238^2-O1239^2)/(2*$I$5)),$D$9*((O1239^2-O1238^2)/(2*$I$5)))+($D$10*(ABS(I1239)/90)*(MAX(O1238^2,O1239^2)/(2*$I$5))))-Q1239</f>
        <v>4.9999998736893758E-4</v>
      </c>
      <c r="T1239">
        <f t="shared" ref="T1239:T1302" ca="1" si="509">IF(ABS(S1239)&lt;$D$19,1,0)</f>
        <v>1</v>
      </c>
      <c r="U1239">
        <f t="shared" ca="1" si="491"/>
        <v>0.05</v>
      </c>
      <c r="V1239">
        <f t="shared" ca="1" si="492"/>
        <v>0.26</v>
      </c>
      <c r="W1239">
        <f t="shared" ca="1" si="493"/>
        <v>4.9056603773584909E-2</v>
      </c>
      <c r="X1239">
        <f t="shared" ca="1" si="494"/>
        <v>196.15384615384616</v>
      </c>
      <c r="Y1239">
        <f t="shared" ca="1" si="495"/>
        <v>632.0675</v>
      </c>
      <c r="Z1239">
        <f t="shared" ca="1" si="496"/>
        <v>2593.144531648662</v>
      </c>
      <c r="AA1239">
        <f t="shared" ca="1" si="497"/>
        <v>482.07306851378365</v>
      </c>
      <c r="AB1239">
        <f t="shared" ca="1" si="498"/>
        <v>481.77679776317882</v>
      </c>
      <c r="AC1239">
        <f t="shared" ca="1" si="499"/>
        <v>0</v>
      </c>
      <c r="AD1239">
        <f ca="1">IF(V32="Supercritical",L1239,U1239)</f>
        <v>0.05</v>
      </c>
      <c r="AE1239">
        <f t="shared" ca="1" si="500"/>
        <v>632.0675</v>
      </c>
      <c r="AF1239">
        <f t="shared" ca="1" si="501"/>
        <v>2593.144531648662</v>
      </c>
      <c r="AI1239">
        <v>0</v>
      </c>
      <c r="AJ1239">
        <v>0</v>
      </c>
      <c r="AK1239">
        <f t="shared" si="502"/>
        <v>0</v>
      </c>
      <c r="AL1239">
        <f t="shared" ref="AL1239:AL1302" si="510">AL1238+AK1239</f>
        <v>0</v>
      </c>
      <c r="AM1239">
        <f t="shared" ca="1" si="503"/>
        <v>280.07692026646265</v>
      </c>
      <c r="AN1239" t="str">
        <f t="shared" ca="1" si="504"/>
        <v>Supercritical</v>
      </c>
      <c r="AO1239">
        <f ca="1">IF(V32="Supercritical",R1239,AA1239)</f>
        <v>482.07306851378365</v>
      </c>
    </row>
    <row r="1240" spans="1:41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174</v>
      </c>
      <c r="I1240">
        <v>5.7000000000000002E-2</v>
      </c>
      <c r="J1240">
        <f t="shared" si="505"/>
        <v>0.99899999999979627</v>
      </c>
      <c r="K1240">
        <f t="shared" si="506"/>
        <v>51</v>
      </c>
      <c r="L1240">
        <f t="shared" ca="1" si="507"/>
        <v>38818.061337185776</v>
      </c>
      <c r="M1240">
        <f t="shared" ca="1" si="485"/>
        <v>201853.91895336605</v>
      </c>
      <c r="N1240">
        <f t="shared" ca="1" si="486"/>
        <v>2.5998258659237856</v>
      </c>
      <c r="O1240">
        <f t="shared" ca="1" si="487"/>
        <v>2.5265796306774918E-4</v>
      </c>
      <c r="P1240">
        <f t="shared" ca="1" si="488"/>
        <v>39450.078337185776</v>
      </c>
      <c r="Q1240">
        <f t="shared" ca="1" si="489"/>
        <v>39450.078337189028</v>
      </c>
      <c r="R1240">
        <f t="shared" ca="1" si="490"/>
        <v>4.0178108336648703E-12</v>
      </c>
      <c r="S1240">
        <f t="shared" ca="1" si="508"/>
        <v>1.0869575780816376E-3</v>
      </c>
      <c r="T1240">
        <f t="shared" ca="1" si="509"/>
        <v>0</v>
      </c>
      <c r="U1240">
        <f t="shared" ca="1" si="491"/>
        <v>0.05</v>
      </c>
      <c r="V1240">
        <f t="shared" ca="1" si="492"/>
        <v>0.26</v>
      </c>
      <c r="W1240">
        <f t="shared" ca="1" si="493"/>
        <v>4.9056603773584909E-2</v>
      </c>
      <c r="X1240">
        <f t="shared" ca="1" si="494"/>
        <v>196.15384615384616</v>
      </c>
      <c r="Y1240">
        <f t="shared" ca="1" si="495"/>
        <v>632.06700000000001</v>
      </c>
      <c r="Z1240">
        <f t="shared" ca="1" si="496"/>
        <v>2593.1440316486623</v>
      </c>
      <c r="AA1240">
        <f t="shared" ca="1" si="497"/>
        <v>482.07306851378365</v>
      </c>
      <c r="AB1240">
        <f t="shared" ca="1" si="498"/>
        <v>482.25887083179032</v>
      </c>
      <c r="AC1240">
        <f t="shared" ca="1" si="499"/>
        <v>0</v>
      </c>
      <c r="AD1240">
        <f ca="1">IF(V32="Supercritical",L1240,U1240)</f>
        <v>0.05</v>
      </c>
      <c r="AE1240">
        <f t="shared" ca="1" si="500"/>
        <v>632.06700000000001</v>
      </c>
      <c r="AF1240">
        <f t="shared" ca="1" si="501"/>
        <v>2593.1440316486623</v>
      </c>
      <c r="AI1240">
        <v>0</v>
      </c>
      <c r="AJ1240">
        <v>0</v>
      </c>
      <c r="AK1240">
        <f t="shared" si="502"/>
        <v>0</v>
      </c>
      <c r="AL1240">
        <f t="shared" si="510"/>
        <v>0</v>
      </c>
      <c r="AM1240">
        <f t="shared" ca="1" si="503"/>
        <v>280.07692026646265</v>
      </c>
      <c r="AN1240" t="str">
        <f t="shared" ca="1" si="504"/>
        <v>Supercritical</v>
      </c>
      <c r="AO1240">
        <f ca="1">IF(V32="Supercritical",R1240,AA1240)</f>
        <v>482.07306851378365</v>
      </c>
    </row>
    <row r="1241" spans="1:41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174</v>
      </c>
      <c r="I1241">
        <v>5.7000000000000002E-2</v>
      </c>
      <c r="J1241">
        <f t="shared" si="505"/>
        <v>1</v>
      </c>
      <c r="K1241">
        <f t="shared" si="506"/>
        <v>51</v>
      </c>
      <c r="L1241">
        <f t="shared" ca="1" si="507"/>
        <v>38818.061337185776</v>
      </c>
      <c r="M1241">
        <f t="shared" ca="1" si="485"/>
        <v>201853.91895336605</v>
      </c>
      <c r="N1241">
        <f t="shared" ca="1" si="486"/>
        <v>2.5998258659237856</v>
      </c>
      <c r="O1241">
        <f t="shared" ca="1" si="487"/>
        <v>2.5265796306774918E-4</v>
      </c>
      <c r="P1241">
        <f t="shared" ca="1" si="488"/>
        <v>39450.077837185774</v>
      </c>
      <c r="Q1241">
        <f t="shared" ca="1" si="489"/>
        <v>39450.077837189026</v>
      </c>
      <c r="R1241">
        <f t="shared" ca="1" si="490"/>
        <v>4.0178108336648703E-12</v>
      </c>
      <c r="S1241">
        <f t="shared" ca="1" si="508"/>
        <v>4.999999946448952E-4</v>
      </c>
      <c r="T1241">
        <f t="shared" ca="1" si="509"/>
        <v>1</v>
      </c>
      <c r="U1241">
        <f t="shared" ca="1" si="491"/>
        <v>0.05</v>
      </c>
      <c r="V1241">
        <f t="shared" ca="1" si="492"/>
        <v>0.26</v>
      </c>
      <c r="W1241">
        <f t="shared" ca="1" si="493"/>
        <v>4.9056603773584909E-2</v>
      </c>
      <c r="X1241">
        <f t="shared" ca="1" si="494"/>
        <v>196.15384615384616</v>
      </c>
      <c r="Y1241">
        <f t="shared" ca="1" si="495"/>
        <v>632.06649999999991</v>
      </c>
      <c r="Z1241">
        <f t="shared" ca="1" si="496"/>
        <v>2593.1435316486622</v>
      </c>
      <c r="AA1241">
        <f t="shared" ca="1" si="497"/>
        <v>482.07306851378365</v>
      </c>
      <c r="AB1241">
        <f t="shared" ca="1" si="498"/>
        <v>482.07256851378361</v>
      </c>
      <c r="AC1241">
        <f t="shared" ca="1" si="499"/>
        <v>0</v>
      </c>
      <c r="AD1241">
        <f ca="1">IF(V32="Supercritical",L1241,U1241)</f>
        <v>0.05</v>
      </c>
      <c r="AE1241">
        <f t="shared" ca="1" si="500"/>
        <v>632.06649999999991</v>
      </c>
      <c r="AF1241">
        <f t="shared" ca="1" si="501"/>
        <v>2593.1435316486622</v>
      </c>
      <c r="AI1241">
        <v>0</v>
      </c>
      <c r="AJ1241">
        <v>0</v>
      </c>
      <c r="AK1241">
        <f t="shared" si="502"/>
        <v>0</v>
      </c>
      <c r="AL1241">
        <f t="shared" si="510"/>
        <v>0</v>
      </c>
      <c r="AM1241">
        <f t="shared" ca="1" si="503"/>
        <v>280.07692026646265</v>
      </c>
      <c r="AN1241" t="str">
        <f t="shared" ca="1" si="504"/>
        <v>Supercritical</v>
      </c>
      <c r="AO1241">
        <f ca="1">IF(V32="Supercritical",R1241,AA1241)</f>
        <v>482.07306851378365</v>
      </c>
    </row>
    <row r="1242" spans="1:41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174</v>
      </c>
      <c r="I1242">
        <v>0</v>
      </c>
      <c r="J1242">
        <f t="shared" si="505"/>
        <v>1</v>
      </c>
      <c r="K1242">
        <f t="shared" si="506"/>
        <v>51</v>
      </c>
      <c r="L1242">
        <f t="shared" ca="1" si="507"/>
        <v>38818.060750226825</v>
      </c>
      <c r="M1242">
        <f t="shared" ca="1" si="485"/>
        <v>201853.91590117948</v>
      </c>
      <c r="N1242">
        <f t="shared" ca="1" si="486"/>
        <v>2.5998258659211522</v>
      </c>
      <c r="O1242">
        <f t="shared" ca="1" si="487"/>
        <v>2.5265796688813205E-4</v>
      </c>
      <c r="P1242">
        <f t="shared" ca="1" si="488"/>
        <v>39450.076750226828</v>
      </c>
      <c r="Q1242">
        <f t="shared" ca="1" si="489"/>
        <v>39450.076750230081</v>
      </c>
      <c r="R1242">
        <f t="shared" ca="1" si="490"/>
        <v>4.0178109551750818E-12</v>
      </c>
      <c r="S1242">
        <f t="shared" ca="1" si="508"/>
        <v>1.0869589386857115E-3</v>
      </c>
      <c r="T1242">
        <f t="shared" ca="1" si="509"/>
        <v>0</v>
      </c>
      <c r="U1242">
        <f t="shared" ca="1" si="491"/>
        <v>0.05</v>
      </c>
      <c r="V1242">
        <f t="shared" ca="1" si="492"/>
        <v>0.26</v>
      </c>
      <c r="W1242">
        <f t="shared" ca="1" si="493"/>
        <v>4.9056603773584909E-2</v>
      </c>
      <c r="X1242">
        <f t="shared" ca="1" si="494"/>
        <v>196.15384615384616</v>
      </c>
      <c r="Y1242">
        <f t="shared" ca="1" si="495"/>
        <v>632.06599999999992</v>
      </c>
      <c r="Z1242">
        <f t="shared" ca="1" si="496"/>
        <v>2593.1430316486621</v>
      </c>
      <c r="AA1242">
        <f t="shared" ca="1" si="497"/>
        <v>482.07306851378365</v>
      </c>
      <c r="AB1242">
        <f t="shared" ca="1" si="498"/>
        <v>482.07256851378361</v>
      </c>
      <c r="AC1242">
        <f t="shared" ca="1" si="499"/>
        <v>0</v>
      </c>
      <c r="AD1242">
        <f ca="1">IF(V32="Supercritical",L1242,U1242)</f>
        <v>0.05</v>
      </c>
      <c r="AE1242">
        <f t="shared" ca="1" si="500"/>
        <v>632.06599999999992</v>
      </c>
      <c r="AF1242">
        <f t="shared" ca="1" si="501"/>
        <v>2593.1430316486621</v>
      </c>
      <c r="AI1242">
        <v>0</v>
      </c>
      <c r="AJ1242">
        <v>0</v>
      </c>
      <c r="AK1242">
        <f t="shared" si="502"/>
        <v>0</v>
      </c>
      <c r="AL1242">
        <f t="shared" si="510"/>
        <v>0</v>
      </c>
      <c r="AM1242">
        <f t="shared" ca="1" si="503"/>
        <v>280.07692026646265</v>
      </c>
      <c r="AN1242" t="str">
        <f t="shared" ca="1" si="504"/>
        <v>Supercritical</v>
      </c>
      <c r="AO1242">
        <f ca="1">IF(V32="Supercritical",R1242,AA1242)</f>
        <v>482.07306851378365</v>
      </c>
    </row>
    <row r="1243" spans="1:41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174</v>
      </c>
      <c r="I1243">
        <v>0</v>
      </c>
      <c r="J1243">
        <f t="shared" si="505"/>
        <v>1</v>
      </c>
      <c r="K1243">
        <f t="shared" si="506"/>
        <v>51</v>
      </c>
      <c r="L1243">
        <f t="shared" ca="1" si="507"/>
        <v>38818.060750226825</v>
      </c>
      <c r="M1243">
        <f t="shared" ca="1" si="485"/>
        <v>201853.91590117948</v>
      </c>
      <c r="N1243">
        <f t="shared" ca="1" si="486"/>
        <v>2.5998258659211522</v>
      </c>
      <c r="O1243">
        <f t="shared" ca="1" si="487"/>
        <v>2.5265796688813205E-4</v>
      </c>
      <c r="P1243">
        <f t="shared" ca="1" si="488"/>
        <v>39450.076250226826</v>
      </c>
      <c r="Q1243">
        <f t="shared" ca="1" si="489"/>
        <v>39450.076250230079</v>
      </c>
      <c r="R1243">
        <f t="shared" ca="1" si="490"/>
        <v>4.0178109551750818E-12</v>
      </c>
      <c r="S1243">
        <f t="shared" ca="1" si="508"/>
        <v>4.999999946448952E-4</v>
      </c>
      <c r="T1243">
        <f t="shared" ca="1" si="509"/>
        <v>1</v>
      </c>
      <c r="U1243">
        <f t="shared" ca="1" si="491"/>
        <v>0.05</v>
      </c>
      <c r="V1243">
        <f t="shared" ca="1" si="492"/>
        <v>0.26</v>
      </c>
      <c r="W1243">
        <f t="shared" ca="1" si="493"/>
        <v>4.9056603773584909E-2</v>
      </c>
      <c r="X1243">
        <f t="shared" ca="1" si="494"/>
        <v>196.15384615384616</v>
      </c>
      <c r="Y1243">
        <f t="shared" ca="1" si="495"/>
        <v>632.06549999999993</v>
      </c>
      <c r="Z1243">
        <f t="shared" ca="1" si="496"/>
        <v>2593.142531648662</v>
      </c>
      <c r="AA1243">
        <f t="shared" ca="1" si="497"/>
        <v>482.07306851378365</v>
      </c>
      <c r="AB1243">
        <f t="shared" ca="1" si="498"/>
        <v>482.25887083179032</v>
      </c>
      <c r="AC1243">
        <f t="shared" ca="1" si="499"/>
        <v>0</v>
      </c>
      <c r="AD1243">
        <f ca="1">IF(V32="Supercritical",L1243,U1243)</f>
        <v>0.05</v>
      </c>
      <c r="AE1243">
        <f t="shared" ca="1" si="500"/>
        <v>632.06549999999993</v>
      </c>
      <c r="AF1243">
        <f t="shared" ca="1" si="501"/>
        <v>2593.142531648662</v>
      </c>
      <c r="AI1243">
        <v>0</v>
      </c>
      <c r="AJ1243">
        <v>0</v>
      </c>
      <c r="AK1243">
        <f t="shared" si="502"/>
        <v>0</v>
      </c>
      <c r="AL1243">
        <f t="shared" si="510"/>
        <v>0</v>
      </c>
      <c r="AM1243">
        <f t="shared" ca="1" si="503"/>
        <v>280.07692026646265</v>
      </c>
      <c r="AN1243" t="str">
        <f t="shared" ca="1" si="504"/>
        <v>Supercritical</v>
      </c>
      <c r="AO1243">
        <f ca="1">IF(V32="Supercritical",R1243,AA1243)</f>
        <v>482.07306851378365</v>
      </c>
    </row>
    <row r="1244" spans="1:41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174</v>
      </c>
      <c r="I1244">
        <v>5.7000000000000002E-2</v>
      </c>
      <c r="J1244">
        <f t="shared" si="505"/>
        <v>1</v>
      </c>
      <c r="K1244">
        <f t="shared" si="506"/>
        <v>51</v>
      </c>
      <c r="L1244">
        <f t="shared" ca="1" si="507"/>
        <v>38818.060163274175</v>
      </c>
      <c r="M1244">
        <f t="shared" ca="1" si="485"/>
        <v>201853.91284902571</v>
      </c>
      <c r="N1244">
        <f t="shared" ca="1" si="486"/>
        <v>2.5998258659185196</v>
      </c>
      <c r="O1244">
        <f t="shared" ca="1" si="487"/>
        <v>2.5265797070847399E-4</v>
      </c>
      <c r="P1244">
        <f t="shared" ca="1" si="488"/>
        <v>39450.075163274174</v>
      </c>
      <c r="Q1244">
        <f t="shared" ca="1" si="489"/>
        <v>39450.075163277426</v>
      </c>
      <c r="R1244">
        <f t="shared" ca="1" si="490"/>
        <v>4.0178110766839895E-12</v>
      </c>
      <c r="S1244">
        <f t="shared" ca="1" si="508"/>
        <v>1.0869526449823752E-3</v>
      </c>
      <c r="T1244">
        <f t="shared" ca="1" si="509"/>
        <v>0</v>
      </c>
      <c r="U1244">
        <f t="shared" ca="1" si="491"/>
        <v>0.05</v>
      </c>
      <c r="V1244">
        <f t="shared" ca="1" si="492"/>
        <v>0.26</v>
      </c>
      <c r="W1244">
        <f t="shared" ca="1" si="493"/>
        <v>4.9056603773584909E-2</v>
      </c>
      <c r="X1244">
        <f t="shared" ca="1" si="494"/>
        <v>196.15384615384616</v>
      </c>
      <c r="Y1244">
        <f t="shared" ca="1" si="495"/>
        <v>632.06499999999994</v>
      </c>
      <c r="Z1244">
        <f t="shared" ca="1" si="496"/>
        <v>2593.1420316486619</v>
      </c>
      <c r="AA1244">
        <f t="shared" ca="1" si="497"/>
        <v>482.07306851378365</v>
      </c>
      <c r="AB1244">
        <f t="shared" ca="1" si="498"/>
        <v>482.25887083179032</v>
      </c>
      <c r="AC1244">
        <f t="shared" ca="1" si="499"/>
        <v>0</v>
      </c>
      <c r="AD1244">
        <f ca="1">IF(V32="Supercritical",L1244,U1244)</f>
        <v>0.05</v>
      </c>
      <c r="AE1244">
        <f t="shared" ca="1" si="500"/>
        <v>632.06499999999994</v>
      </c>
      <c r="AF1244">
        <f t="shared" ca="1" si="501"/>
        <v>2593.1420316486619</v>
      </c>
      <c r="AI1244">
        <v>0</v>
      </c>
      <c r="AJ1244">
        <v>0</v>
      </c>
      <c r="AK1244">
        <f t="shared" si="502"/>
        <v>0</v>
      </c>
      <c r="AL1244">
        <f t="shared" si="510"/>
        <v>0</v>
      </c>
      <c r="AM1244">
        <f t="shared" ca="1" si="503"/>
        <v>280.07692026646265</v>
      </c>
      <c r="AN1244" t="str">
        <f t="shared" ca="1" si="504"/>
        <v>Supercritical</v>
      </c>
      <c r="AO1244">
        <f ca="1">IF(V32="Supercritical",R1244,AA1244)</f>
        <v>482.07306851378365</v>
      </c>
    </row>
    <row r="1245" spans="1:41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174</v>
      </c>
      <c r="I1245">
        <v>5.7000000000000002E-2</v>
      </c>
      <c r="J1245">
        <f t="shared" si="505"/>
        <v>1</v>
      </c>
      <c r="K1245">
        <f t="shared" si="506"/>
        <v>51</v>
      </c>
      <c r="L1245">
        <f t="shared" ca="1" si="507"/>
        <v>38818.060163274175</v>
      </c>
      <c r="M1245">
        <f t="shared" ca="1" si="485"/>
        <v>201853.91284902571</v>
      </c>
      <c r="N1245">
        <f t="shared" ca="1" si="486"/>
        <v>2.5998258659185196</v>
      </c>
      <c r="O1245">
        <f t="shared" ca="1" si="487"/>
        <v>2.5265797070847399E-4</v>
      </c>
      <c r="P1245">
        <f t="shared" ca="1" si="488"/>
        <v>39450.074663274172</v>
      </c>
      <c r="Q1245">
        <f t="shared" ca="1" si="489"/>
        <v>39450.074663277424</v>
      </c>
      <c r="R1245">
        <f t="shared" ca="1" si="490"/>
        <v>4.0178110766839895E-12</v>
      </c>
      <c r="S1245">
        <f t="shared" ca="1" si="508"/>
        <v>4.999999946448952E-4</v>
      </c>
      <c r="T1245">
        <f t="shared" ca="1" si="509"/>
        <v>1</v>
      </c>
      <c r="U1245">
        <f t="shared" ca="1" si="491"/>
        <v>0.05</v>
      </c>
      <c r="V1245">
        <f t="shared" ca="1" si="492"/>
        <v>0.26</v>
      </c>
      <c r="W1245">
        <f t="shared" ca="1" si="493"/>
        <v>4.9056603773584909E-2</v>
      </c>
      <c r="X1245">
        <f t="shared" ca="1" si="494"/>
        <v>196.15384615384616</v>
      </c>
      <c r="Y1245">
        <f t="shared" ca="1" si="495"/>
        <v>632.06449999999995</v>
      </c>
      <c r="Z1245">
        <f t="shared" ca="1" si="496"/>
        <v>2593.1415316486618</v>
      </c>
      <c r="AA1245">
        <f t="shared" ca="1" si="497"/>
        <v>482.07306851378365</v>
      </c>
      <c r="AB1245">
        <f t="shared" ca="1" si="498"/>
        <v>482.07910543722301</v>
      </c>
      <c r="AC1245">
        <f t="shared" ca="1" si="499"/>
        <v>0</v>
      </c>
      <c r="AD1245">
        <f ca="1">IF(V32="Supercritical",L1245,U1245)</f>
        <v>0.05</v>
      </c>
      <c r="AE1245">
        <f t="shared" ca="1" si="500"/>
        <v>632.06449999999995</v>
      </c>
      <c r="AF1245">
        <f t="shared" ca="1" si="501"/>
        <v>2593.1415316486618</v>
      </c>
      <c r="AI1245">
        <v>0</v>
      </c>
      <c r="AJ1245">
        <v>0</v>
      </c>
      <c r="AK1245">
        <f t="shared" si="502"/>
        <v>0</v>
      </c>
      <c r="AL1245">
        <f t="shared" si="510"/>
        <v>0</v>
      </c>
      <c r="AM1245">
        <f t="shared" ca="1" si="503"/>
        <v>280.07692026646265</v>
      </c>
      <c r="AN1245" t="str">
        <f t="shared" ca="1" si="504"/>
        <v>Supercritical</v>
      </c>
      <c r="AO1245">
        <f ca="1">IF(V32="Supercritical",R1245,AA1245)</f>
        <v>482.07306851378365</v>
      </c>
    </row>
    <row r="1246" spans="1:41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174</v>
      </c>
      <c r="I1246">
        <v>2E-3</v>
      </c>
      <c r="J1246">
        <f t="shared" si="505"/>
        <v>1</v>
      </c>
      <c r="K1246">
        <f t="shared" si="506"/>
        <v>51</v>
      </c>
      <c r="L1246">
        <f t="shared" ca="1" si="507"/>
        <v>38818.059576325089</v>
      </c>
      <c r="M1246">
        <f t="shared" ca="1" si="485"/>
        <v>201853.90979689048</v>
      </c>
      <c r="N1246">
        <f t="shared" ca="1" si="486"/>
        <v>2.599825865915887</v>
      </c>
      <c r="O1246">
        <f t="shared" ca="1" si="487"/>
        <v>2.5265797452879283E-4</v>
      </c>
      <c r="P1246">
        <f t="shared" ca="1" si="488"/>
        <v>39450.073576325092</v>
      </c>
      <c r="Q1246">
        <f t="shared" ca="1" si="489"/>
        <v>39450.073576328345</v>
      </c>
      <c r="R1246">
        <f t="shared" ca="1" si="490"/>
        <v>4.0178111981921678E-12</v>
      </c>
      <c r="S1246">
        <f t="shared" ca="1" si="508"/>
        <v>1.0869490724871866E-3</v>
      </c>
      <c r="T1246">
        <f t="shared" ca="1" si="509"/>
        <v>0</v>
      </c>
      <c r="U1246">
        <f t="shared" ca="1" si="491"/>
        <v>0.05</v>
      </c>
      <c r="V1246">
        <f t="shared" ca="1" si="492"/>
        <v>0.26</v>
      </c>
      <c r="W1246">
        <f t="shared" ca="1" si="493"/>
        <v>4.9056603773584909E-2</v>
      </c>
      <c r="X1246">
        <f t="shared" ca="1" si="494"/>
        <v>196.15384615384616</v>
      </c>
      <c r="Y1246">
        <f t="shared" ca="1" si="495"/>
        <v>632.06399999999996</v>
      </c>
      <c r="Z1246">
        <f t="shared" ca="1" si="496"/>
        <v>2593.1410316486622</v>
      </c>
      <c r="AA1246">
        <f t="shared" ca="1" si="497"/>
        <v>482.07306851378365</v>
      </c>
      <c r="AB1246">
        <f t="shared" ca="1" si="498"/>
        <v>482.5611785058345</v>
      </c>
      <c r="AC1246">
        <f t="shared" ca="1" si="499"/>
        <v>0</v>
      </c>
      <c r="AD1246">
        <f ca="1">IF(V32="Supercritical",L1246,U1246)</f>
        <v>0.05</v>
      </c>
      <c r="AE1246">
        <f t="shared" ca="1" si="500"/>
        <v>632.06399999999996</v>
      </c>
      <c r="AF1246">
        <f t="shared" ca="1" si="501"/>
        <v>2593.1410316486622</v>
      </c>
      <c r="AI1246">
        <v>0</v>
      </c>
      <c r="AJ1246">
        <v>0</v>
      </c>
      <c r="AK1246">
        <f t="shared" si="502"/>
        <v>0</v>
      </c>
      <c r="AL1246">
        <f t="shared" si="510"/>
        <v>0</v>
      </c>
      <c r="AM1246">
        <f t="shared" ca="1" si="503"/>
        <v>280.07692026646265</v>
      </c>
      <c r="AN1246" t="str">
        <f t="shared" ca="1" si="504"/>
        <v>Supercritical</v>
      </c>
      <c r="AO1246">
        <f ca="1">IF(V32="Supercritical",R1246,AA1246)</f>
        <v>482.07306851378365</v>
      </c>
    </row>
    <row r="1247" spans="1:41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174</v>
      </c>
      <c r="I1247">
        <v>2E-3</v>
      </c>
      <c r="J1247">
        <f t="shared" si="505"/>
        <v>1.0010000000002037</v>
      </c>
      <c r="K1247">
        <f t="shared" si="506"/>
        <v>51</v>
      </c>
      <c r="L1247">
        <f t="shared" ca="1" si="507"/>
        <v>38818.059576325089</v>
      </c>
      <c r="M1247">
        <f t="shared" ca="1" si="485"/>
        <v>201853.90979689048</v>
      </c>
      <c r="N1247">
        <f t="shared" ca="1" si="486"/>
        <v>2.599825865915887</v>
      </c>
      <c r="O1247">
        <f t="shared" ca="1" si="487"/>
        <v>2.5265797452879283E-4</v>
      </c>
      <c r="P1247">
        <f t="shared" ca="1" si="488"/>
        <v>39450.07307632509</v>
      </c>
      <c r="Q1247">
        <f t="shared" ca="1" si="489"/>
        <v>39450.073076328343</v>
      </c>
      <c r="R1247">
        <f t="shared" ca="1" si="490"/>
        <v>4.0178111981921678E-12</v>
      </c>
      <c r="S1247">
        <f t="shared" ca="1" si="508"/>
        <v>4.999999946448952E-4</v>
      </c>
      <c r="T1247">
        <f t="shared" ca="1" si="509"/>
        <v>1</v>
      </c>
      <c r="U1247">
        <f t="shared" ca="1" si="491"/>
        <v>0.05</v>
      </c>
      <c r="V1247">
        <f t="shared" ca="1" si="492"/>
        <v>0.26</v>
      </c>
      <c r="W1247">
        <f t="shared" ca="1" si="493"/>
        <v>4.9056603773584909E-2</v>
      </c>
      <c r="X1247">
        <f t="shared" ca="1" si="494"/>
        <v>196.15384615384616</v>
      </c>
      <c r="Y1247">
        <f t="shared" ca="1" si="495"/>
        <v>632.06349999999998</v>
      </c>
      <c r="Z1247">
        <f t="shared" ca="1" si="496"/>
        <v>2593.1405316486621</v>
      </c>
      <c r="AA1247">
        <f t="shared" ca="1" si="497"/>
        <v>482.07306851378365</v>
      </c>
      <c r="AB1247">
        <f t="shared" ca="1" si="498"/>
        <v>482.25887083179032</v>
      </c>
      <c r="AC1247">
        <f t="shared" ca="1" si="499"/>
        <v>0</v>
      </c>
      <c r="AD1247">
        <f ca="1">IF(V32="Supercritical",L1247,U1247)</f>
        <v>0.05</v>
      </c>
      <c r="AE1247">
        <f t="shared" ca="1" si="500"/>
        <v>632.06349999999998</v>
      </c>
      <c r="AF1247">
        <f t="shared" ca="1" si="501"/>
        <v>2593.1405316486621</v>
      </c>
      <c r="AI1247">
        <v>0</v>
      </c>
      <c r="AJ1247">
        <v>0</v>
      </c>
      <c r="AK1247">
        <f t="shared" si="502"/>
        <v>0</v>
      </c>
      <c r="AL1247">
        <f t="shared" si="510"/>
        <v>0</v>
      </c>
      <c r="AM1247">
        <f t="shared" ca="1" si="503"/>
        <v>280.07692026646265</v>
      </c>
      <c r="AN1247" t="str">
        <f t="shared" ca="1" si="504"/>
        <v>Supercritical</v>
      </c>
      <c r="AO1247">
        <f ca="1">IF(V32="Supercritical",R1247,AA1247)</f>
        <v>482.07306851378365</v>
      </c>
    </row>
    <row r="1248" spans="1:41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174</v>
      </c>
      <c r="I1248">
        <v>5.7000000000000002E-2</v>
      </c>
      <c r="J1248">
        <f t="shared" si="505"/>
        <v>1</v>
      </c>
      <c r="K1248">
        <f t="shared" si="506"/>
        <v>51</v>
      </c>
      <c r="L1248">
        <f t="shared" ca="1" si="507"/>
        <v>38818.058989353958</v>
      </c>
      <c r="M1248">
        <f t="shared" ca="1" si="485"/>
        <v>201853.90674464058</v>
      </c>
      <c r="N1248">
        <f t="shared" ca="1" si="486"/>
        <v>2.5998258659132536</v>
      </c>
      <c r="O1248">
        <f t="shared" ca="1" si="487"/>
        <v>2.5265797834925533E-4</v>
      </c>
      <c r="P1248">
        <f t="shared" ca="1" si="488"/>
        <v>39450.071989353957</v>
      </c>
      <c r="Q1248">
        <f t="shared" ca="1" si="489"/>
        <v>39450.07198935721</v>
      </c>
      <c r="R1248">
        <f t="shared" ca="1" si="490"/>
        <v>4.0178113197049182E-12</v>
      </c>
      <c r="S1248">
        <f t="shared" ca="1" si="508"/>
        <v>1.0869711259147152E-3</v>
      </c>
      <c r="T1248">
        <f t="shared" ca="1" si="509"/>
        <v>0</v>
      </c>
      <c r="U1248">
        <f t="shared" ca="1" si="491"/>
        <v>0.05</v>
      </c>
      <c r="V1248">
        <f t="shared" ca="1" si="492"/>
        <v>0.26</v>
      </c>
      <c r="W1248">
        <f t="shared" ca="1" si="493"/>
        <v>4.9056603773584909E-2</v>
      </c>
      <c r="X1248">
        <f t="shared" ca="1" si="494"/>
        <v>196.15384615384616</v>
      </c>
      <c r="Y1248">
        <f t="shared" ca="1" si="495"/>
        <v>632.06299999999999</v>
      </c>
      <c r="Z1248">
        <f t="shared" ca="1" si="496"/>
        <v>2593.140031648662</v>
      </c>
      <c r="AA1248">
        <f t="shared" ca="1" si="497"/>
        <v>482.07306851378365</v>
      </c>
      <c r="AB1248">
        <f t="shared" ca="1" si="498"/>
        <v>481.77679776317882</v>
      </c>
      <c r="AC1248">
        <f t="shared" ca="1" si="499"/>
        <v>0</v>
      </c>
      <c r="AD1248">
        <f ca="1">IF(V32="Supercritical",L1248,U1248)</f>
        <v>0.05</v>
      </c>
      <c r="AE1248">
        <f t="shared" ca="1" si="500"/>
        <v>632.06299999999999</v>
      </c>
      <c r="AF1248">
        <f t="shared" ca="1" si="501"/>
        <v>2593.140031648662</v>
      </c>
      <c r="AI1248">
        <v>0</v>
      </c>
      <c r="AJ1248">
        <v>0</v>
      </c>
      <c r="AK1248">
        <f t="shared" si="502"/>
        <v>0</v>
      </c>
      <c r="AL1248">
        <f t="shared" si="510"/>
        <v>0</v>
      </c>
      <c r="AM1248">
        <f t="shared" ca="1" si="503"/>
        <v>280.07692026646265</v>
      </c>
      <c r="AN1248" t="str">
        <f t="shared" ca="1" si="504"/>
        <v>Supercritical</v>
      </c>
      <c r="AO1248">
        <f ca="1">IF(V32="Supercritical",R1248,AA1248)</f>
        <v>482.07306851378365</v>
      </c>
    </row>
    <row r="1249" spans="1:41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174</v>
      </c>
      <c r="I1249">
        <v>5.7000000000000002E-2</v>
      </c>
      <c r="J1249">
        <f t="shared" si="505"/>
        <v>0.99899999999979627</v>
      </c>
      <c r="K1249">
        <f t="shared" si="506"/>
        <v>51</v>
      </c>
      <c r="L1249">
        <f t="shared" ca="1" si="507"/>
        <v>38818.058989353958</v>
      </c>
      <c r="M1249">
        <f t="shared" ca="1" si="485"/>
        <v>201853.90674464058</v>
      </c>
      <c r="N1249">
        <f t="shared" ca="1" si="486"/>
        <v>2.5998258659132536</v>
      </c>
      <c r="O1249">
        <f t="shared" ca="1" si="487"/>
        <v>2.5265797834925533E-4</v>
      </c>
      <c r="P1249">
        <f t="shared" ca="1" si="488"/>
        <v>39450.071489353955</v>
      </c>
      <c r="Q1249">
        <f t="shared" ca="1" si="489"/>
        <v>39450.071489357208</v>
      </c>
      <c r="R1249">
        <f t="shared" ca="1" si="490"/>
        <v>4.0178113197049182E-12</v>
      </c>
      <c r="S1249">
        <f t="shared" ca="1" si="508"/>
        <v>4.999999946448952E-4</v>
      </c>
      <c r="T1249">
        <f t="shared" ca="1" si="509"/>
        <v>1</v>
      </c>
      <c r="U1249">
        <f t="shared" ca="1" si="491"/>
        <v>0.05</v>
      </c>
      <c r="V1249">
        <f t="shared" ca="1" si="492"/>
        <v>0.26</v>
      </c>
      <c r="W1249">
        <f t="shared" ca="1" si="493"/>
        <v>4.9056603773584909E-2</v>
      </c>
      <c r="X1249">
        <f t="shared" ca="1" si="494"/>
        <v>196.15384615384616</v>
      </c>
      <c r="Y1249">
        <f t="shared" ca="1" si="495"/>
        <v>632.0625</v>
      </c>
      <c r="Z1249">
        <f t="shared" ca="1" si="496"/>
        <v>2593.1395316486623</v>
      </c>
      <c r="AA1249">
        <f t="shared" ca="1" si="497"/>
        <v>482.07306851378365</v>
      </c>
      <c r="AB1249">
        <f t="shared" ca="1" si="498"/>
        <v>482.07256851378361</v>
      </c>
      <c r="AC1249">
        <f t="shared" ca="1" si="499"/>
        <v>0</v>
      </c>
      <c r="AD1249">
        <f ca="1">IF(V32="Supercritical",L1249,U1249)</f>
        <v>0.05</v>
      </c>
      <c r="AE1249">
        <f t="shared" ca="1" si="500"/>
        <v>632.0625</v>
      </c>
      <c r="AF1249">
        <f t="shared" ca="1" si="501"/>
        <v>2593.1395316486623</v>
      </c>
      <c r="AI1249">
        <v>0</v>
      </c>
      <c r="AJ1249">
        <v>0</v>
      </c>
      <c r="AK1249">
        <f t="shared" si="502"/>
        <v>0</v>
      </c>
      <c r="AL1249">
        <f t="shared" si="510"/>
        <v>0</v>
      </c>
      <c r="AM1249">
        <f t="shared" ca="1" si="503"/>
        <v>280.07692026646265</v>
      </c>
      <c r="AN1249" t="str">
        <f t="shared" ca="1" si="504"/>
        <v>Supercritical</v>
      </c>
      <c r="AO1249">
        <f ca="1">IF(V32="Supercritical",R1249,AA1249)</f>
        <v>482.07306851378365</v>
      </c>
    </row>
    <row r="1250" spans="1:41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174</v>
      </c>
      <c r="I1250">
        <v>0</v>
      </c>
      <c r="J1250">
        <f t="shared" si="505"/>
        <v>1</v>
      </c>
      <c r="K1250">
        <f t="shared" si="506"/>
        <v>51</v>
      </c>
      <c r="L1250">
        <f t="shared" ca="1" si="507"/>
        <v>38818.058402379473</v>
      </c>
      <c r="M1250">
        <f t="shared" ca="1" si="485"/>
        <v>201853.90369237328</v>
      </c>
      <c r="N1250">
        <f t="shared" ca="1" si="486"/>
        <v>2.599825865910621</v>
      </c>
      <c r="O1250">
        <f t="shared" ca="1" si="487"/>
        <v>2.5265798216973968E-4</v>
      </c>
      <c r="P1250">
        <f t="shared" ca="1" si="488"/>
        <v>39450.070402379475</v>
      </c>
      <c r="Q1250">
        <f t="shared" ca="1" si="489"/>
        <v>39450.070402382727</v>
      </c>
      <c r="R1250">
        <f t="shared" ca="1" si="490"/>
        <v>4.0178114412183649E-12</v>
      </c>
      <c r="S1250">
        <f t="shared" ca="1" si="508"/>
        <v>1.0869744728552178E-3</v>
      </c>
      <c r="T1250">
        <f t="shared" ca="1" si="509"/>
        <v>0</v>
      </c>
      <c r="U1250">
        <f t="shared" ca="1" si="491"/>
        <v>0.05</v>
      </c>
      <c r="V1250">
        <f t="shared" ca="1" si="492"/>
        <v>0.26</v>
      </c>
      <c r="W1250">
        <f t="shared" ca="1" si="493"/>
        <v>4.9056603773584909E-2</v>
      </c>
      <c r="X1250">
        <f t="shared" ca="1" si="494"/>
        <v>196.15384615384616</v>
      </c>
      <c r="Y1250">
        <f t="shared" ca="1" si="495"/>
        <v>632.0619999999999</v>
      </c>
      <c r="Z1250">
        <f t="shared" ca="1" si="496"/>
        <v>2593.1390316486622</v>
      </c>
      <c r="AA1250">
        <f t="shared" ca="1" si="497"/>
        <v>482.07306851378365</v>
      </c>
      <c r="AB1250">
        <f t="shared" ca="1" si="498"/>
        <v>482.07256851378361</v>
      </c>
      <c r="AC1250">
        <f t="shared" ca="1" si="499"/>
        <v>0</v>
      </c>
      <c r="AD1250">
        <f ca="1">IF(V32="Supercritical",L1250,U1250)</f>
        <v>0.05</v>
      </c>
      <c r="AE1250">
        <f t="shared" ca="1" si="500"/>
        <v>632.0619999999999</v>
      </c>
      <c r="AF1250">
        <f t="shared" ca="1" si="501"/>
        <v>2593.1390316486622</v>
      </c>
      <c r="AI1250">
        <v>0</v>
      </c>
      <c r="AJ1250">
        <v>0</v>
      </c>
      <c r="AK1250">
        <f t="shared" si="502"/>
        <v>0</v>
      </c>
      <c r="AL1250">
        <f t="shared" si="510"/>
        <v>0</v>
      </c>
      <c r="AM1250">
        <f t="shared" ca="1" si="503"/>
        <v>280.07692026646265</v>
      </c>
      <c r="AN1250" t="str">
        <f t="shared" ca="1" si="504"/>
        <v>Supercritical</v>
      </c>
      <c r="AO1250">
        <f ca="1">IF(V32="Supercritical",R1250,AA1250)</f>
        <v>482.07306851378365</v>
      </c>
    </row>
    <row r="1251" spans="1:41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174</v>
      </c>
      <c r="I1251">
        <v>0</v>
      </c>
      <c r="J1251">
        <f t="shared" si="505"/>
        <v>1</v>
      </c>
      <c r="K1251">
        <f t="shared" si="506"/>
        <v>51</v>
      </c>
      <c r="L1251">
        <f t="shared" ca="1" si="507"/>
        <v>38818.058402379473</v>
      </c>
      <c r="M1251">
        <f t="shared" ca="1" si="485"/>
        <v>201853.90369237328</v>
      </c>
      <c r="N1251">
        <f t="shared" ca="1" si="486"/>
        <v>2.599825865910621</v>
      </c>
      <c r="O1251">
        <f t="shared" ca="1" si="487"/>
        <v>2.5265798216973968E-4</v>
      </c>
      <c r="P1251">
        <f t="shared" ca="1" si="488"/>
        <v>39450.069902379473</v>
      </c>
      <c r="Q1251">
        <f t="shared" ca="1" si="489"/>
        <v>39450.069902382726</v>
      </c>
      <c r="R1251">
        <f t="shared" ca="1" si="490"/>
        <v>4.0178114412183649E-12</v>
      </c>
      <c r="S1251">
        <f t="shared" ca="1" si="508"/>
        <v>4.999999946448952E-4</v>
      </c>
      <c r="T1251">
        <f t="shared" ca="1" si="509"/>
        <v>1</v>
      </c>
      <c r="U1251">
        <f t="shared" ca="1" si="491"/>
        <v>0.05</v>
      </c>
      <c r="V1251">
        <f t="shared" ca="1" si="492"/>
        <v>0.26</v>
      </c>
      <c r="W1251">
        <f t="shared" ca="1" si="493"/>
        <v>4.9056603773584909E-2</v>
      </c>
      <c r="X1251">
        <f t="shared" ca="1" si="494"/>
        <v>196.15384615384616</v>
      </c>
      <c r="Y1251">
        <f t="shared" ca="1" si="495"/>
        <v>632.06149999999991</v>
      </c>
      <c r="Z1251">
        <f t="shared" ca="1" si="496"/>
        <v>2593.1385316486621</v>
      </c>
      <c r="AA1251">
        <f t="shared" ca="1" si="497"/>
        <v>482.07306851378365</v>
      </c>
      <c r="AB1251">
        <f t="shared" ca="1" si="498"/>
        <v>482.25887083179032</v>
      </c>
      <c r="AC1251">
        <f t="shared" ca="1" si="499"/>
        <v>0</v>
      </c>
      <c r="AD1251">
        <f ca="1">IF(V32="Supercritical",L1251,U1251)</f>
        <v>0.05</v>
      </c>
      <c r="AE1251">
        <f t="shared" ca="1" si="500"/>
        <v>632.06149999999991</v>
      </c>
      <c r="AF1251">
        <f t="shared" ca="1" si="501"/>
        <v>2593.1385316486621</v>
      </c>
      <c r="AI1251">
        <v>0</v>
      </c>
      <c r="AJ1251">
        <v>0</v>
      </c>
      <c r="AK1251">
        <f t="shared" si="502"/>
        <v>0</v>
      </c>
      <c r="AL1251">
        <f t="shared" si="510"/>
        <v>0</v>
      </c>
      <c r="AM1251">
        <f t="shared" ca="1" si="503"/>
        <v>280.07692026646265</v>
      </c>
      <c r="AN1251" t="str">
        <f t="shared" ca="1" si="504"/>
        <v>Supercritical</v>
      </c>
      <c r="AO1251">
        <f ca="1">IF(V32="Supercritical",R1251,AA1251)</f>
        <v>482.07306851378365</v>
      </c>
    </row>
    <row r="1252" spans="1:41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174</v>
      </c>
      <c r="I1252">
        <v>5.7000000000000002E-2</v>
      </c>
      <c r="J1252">
        <f t="shared" si="505"/>
        <v>1</v>
      </c>
      <c r="K1252">
        <f t="shared" si="506"/>
        <v>51</v>
      </c>
      <c r="L1252">
        <f t="shared" ca="1" si="507"/>
        <v>38818.05781546353</v>
      </c>
      <c r="M1252">
        <f t="shared" ca="1" si="485"/>
        <v>201853.90064041037</v>
      </c>
      <c r="N1252">
        <f t="shared" ca="1" si="486"/>
        <v>2.5998258659079885</v>
      </c>
      <c r="O1252">
        <f t="shared" ca="1" si="487"/>
        <v>2.526579859898432E-4</v>
      </c>
      <c r="P1252">
        <f t="shared" ca="1" si="488"/>
        <v>39450.068815463528</v>
      </c>
      <c r="Q1252">
        <f t="shared" ca="1" si="489"/>
        <v>39450.068815466781</v>
      </c>
      <c r="R1252">
        <f t="shared" ca="1" si="490"/>
        <v>4.0178115627196971E-12</v>
      </c>
      <c r="S1252">
        <f t="shared" ca="1" si="508"/>
        <v>1.0869159377762116E-3</v>
      </c>
      <c r="T1252">
        <f t="shared" ca="1" si="509"/>
        <v>0</v>
      </c>
      <c r="U1252">
        <f t="shared" ca="1" si="491"/>
        <v>0.05</v>
      </c>
      <c r="V1252">
        <f t="shared" ca="1" si="492"/>
        <v>0.26</v>
      </c>
      <c r="W1252">
        <f t="shared" ca="1" si="493"/>
        <v>4.9056603773584909E-2</v>
      </c>
      <c r="X1252">
        <f t="shared" ca="1" si="494"/>
        <v>196.15384615384616</v>
      </c>
      <c r="Y1252">
        <f t="shared" ca="1" si="495"/>
        <v>632.06099999999992</v>
      </c>
      <c r="Z1252">
        <f t="shared" ca="1" si="496"/>
        <v>2593.138031648662</v>
      </c>
      <c r="AA1252">
        <f t="shared" ca="1" si="497"/>
        <v>482.07306851378365</v>
      </c>
      <c r="AB1252">
        <f t="shared" ca="1" si="498"/>
        <v>482.25887083179032</v>
      </c>
      <c r="AC1252">
        <f t="shared" ca="1" si="499"/>
        <v>0</v>
      </c>
      <c r="AD1252">
        <f ca="1">IF(V32="Supercritical",L1252,U1252)</f>
        <v>0.05</v>
      </c>
      <c r="AE1252">
        <f t="shared" ca="1" si="500"/>
        <v>632.06099999999992</v>
      </c>
      <c r="AF1252">
        <f t="shared" ca="1" si="501"/>
        <v>2593.138031648662</v>
      </c>
      <c r="AI1252">
        <v>0</v>
      </c>
      <c r="AJ1252">
        <v>0</v>
      </c>
      <c r="AK1252">
        <f t="shared" si="502"/>
        <v>0</v>
      </c>
      <c r="AL1252">
        <f t="shared" si="510"/>
        <v>0</v>
      </c>
      <c r="AM1252">
        <f t="shared" ca="1" si="503"/>
        <v>280.07692026646265</v>
      </c>
      <c r="AN1252" t="str">
        <f t="shared" ca="1" si="504"/>
        <v>Supercritical</v>
      </c>
      <c r="AO1252">
        <f ca="1">IF(V32="Supercritical",R1252,AA1252)</f>
        <v>482.07306851378365</v>
      </c>
    </row>
    <row r="1253" spans="1:41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174</v>
      </c>
      <c r="I1253">
        <v>5.7000000000000002E-2</v>
      </c>
      <c r="J1253">
        <f t="shared" si="505"/>
        <v>1</v>
      </c>
      <c r="K1253">
        <f t="shared" si="506"/>
        <v>51</v>
      </c>
      <c r="L1253">
        <f t="shared" ca="1" si="507"/>
        <v>38818.05781546353</v>
      </c>
      <c r="M1253">
        <f t="shared" ca="1" si="485"/>
        <v>201853.90064041037</v>
      </c>
      <c r="N1253">
        <f t="shared" ca="1" si="486"/>
        <v>2.5998258659079885</v>
      </c>
      <c r="O1253">
        <f t="shared" ca="1" si="487"/>
        <v>2.526579859898432E-4</v>
      </c>
      <c r="P1253">
        <f t="shared" ca="1" si="488"/>
        <v>39450.068315463526</v>
      </c>
      <c r="Q1253">
        <f t="shared" ca="1" si="489"/>
        <v>39450.068315466779</v>
      </c>
      <c r="R1253">
        <f t="shared" ca="1" si="490"/>
        <v>4.0178115627196971E-12</v>
      </c>
      <c r="S1253">
        <f t="shared" ca="1" si="508"/>
        <v>4.999999946448952E-4</v>
      </c>
      <c r="T1253">
        <f t="shared" ca="1" si="509"/>
        <v>1</v>
      </c>
      <c r="U1253">
        <f t="shared" ca="1" si="491"/>
        <v>0.05</v>
      </c>
      <c r="V1253">
        <f t="shared" ca="1" si="492"/>
        <v>0.26</v>
      </c>
      <c r="W1253">
        <f t="shared" ca="1" si="493"/>
        <v>4.9056603773584909E-2</v>
      </c>
      <c r="X1253">
        <f t="shared" ca="1" si="494"/>
        <v>196.15384615384616</v>
      </c>
      <c r="Y1253">
        <f t="shared" ca="1" si="495"/>
        <v>632.06049999999993</v>
      </c>
      <c r="Z1253">
        <f t="shared" ca="1" si="496"/>
        <v>2593.1375316486619</v>
      </c>
      <c r="AA1253">
        <f t="shared" ca="1" si="497"/>
        <v>482.07306851378365</v>
      </c>
      <c r="AB1253">
        <f t="shared" ca="1" si="498"/>
        <v>482.07256851378361</v>
      </c>
      <c r="AC1253">
        <f t="shared" ca="1" si="499"/>
        <v>0</v>
      </c>
      <c r="AD1253">
        <f ca="1">IF(V32="Supercritical",L1253,U1253)</f>
        <v>0.05</v>
      </c>
      <c r="AE1253">
        <f t="shared" ca="1" si="500"/>
        <v>632.06049999999993</v>
      </c>
      <c r="AF1253">
        <f t="shared" ca="1" si="501"/>
        <v>2593.1375316486619</v>
      </c>
      <c r="AI1253">
        <v>0</v>
      </c>
      <c r="AJ1253">
        <v>0</v>
      </c>
      <c r="AK1253">
        <f t="shared" si="502"/>
        <v>0</v>
      </c>
      <c r="AL1253">
        <f t="shared" si="510"/>
        <v>0</v>
      </c>
      <c r="AM1253">
        <f t="shared" ca="1" si="503"/>
        <v>280.07692026646265</v>
      </c>
      <c r="AN1253" t="str">
        <f t="shared" ca="1" si="504"/>
        <v>Supercritical</v>
      </c>
      <c r="AO1253">
        <f ca="1">IF(V32="Supercritical",R1253,AA1253)</f>
        <v>482.07306851378365</v>
      </c>
    </row>
    <row r="1254" spans="1:41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174</v>
      </c>
      <c r="I1254">
        <v>0</v>
      </c>
      <c r="J1254">
        <f t="shared" si="505"/>
        <v>1</v>
      </c>
      <c r="K1254">
        <f t="shared" si="506"/>
        <v>51</v>
      </c>
      <c r="L1254">
        <f t="shared" ca="1" si="507"/>
        <v>38818.057228575031</v>
      </c>
      <c r="M1254">
        <f t="shared" ca="1" si="485"/>
        <v>201853.89758859016</v>
      </c>
      <c r="N1254">
        <f t="shared" ca="1" si="486"/>
        <v>2.5998258659053555</v>
      </c>
      <c r="O1254">
        <f t="shared" ca="1" si="487"/>
        <v>2.5265798980976816E-4</v>
      </c>
      <c r="P1254">
        <f t="shared" ca="1" si="488"/>
        <v>39450.067228575033</v>
      </c>
      <c r="Q1254">
        <f t="shared" ca="1" si="489"/>
        <v>39450.067228578286</v>
      </c>
      <c r="R1254">
        <f t="shared" ca="1" si="490"/>
        <v>4.0178116842153562E-12</v>
      </c>
      <c r="S1254">
        <f t="shared" ca="1" si="508"/>
        <v>1.0868884855881333E-3</v>
      </c>
      <c r="T1254">
        <f t="shared" ca="1" si="509"/>
        <v>0</v>
      </c>
      <c r="U1254">
        <f t="shared" ca="1" si="491"/>
        <v>0.05</v>
      </c>
      <c r="V1254">
        <f t="shared" ca="1" si="492"/>
        <v>0.26</v>
      </c>
      <c r="W1254">
        <f t="shared" ca="1" si="493"/>
        <v>4.9056603773584909E-2</v>
      </c>
      <c r="X1254">
        <f t="shared" ca="1" si="494"/>
        <v>196.15384615384616</v>
      </c>
      <c r="Y1254">
        <f t="shared" ca="1" si="495"/>
        <v>632.05999999999995</v>
      </c>
      <c r="Z1254">
        <f t="shared" ca="1" si="496"/>
        <v>2593.1370316486618</v>
      </c>
      <c r="AA1254">
        <f t="shared" ca="1" si="497"/>
        <v>482.07306851378365</v>
      </c>
      <c r="AB1254">
        <f t="shared" ca="1" si="498"/>
        <v>482.07910543722301</v>
      </c>
      <c r="AC1254">
        <f t="shared" ca="1" si="499"/>
        <v>0</v>
      </c>
      <c r="AD1254">
        <f ca="1">IF(V32="Supercritical",L1254,U1254)</f>
        <v>0.05</v>
      </c>
      <c r="AE1254">
        <f t="shared" ca="1" si="500"/>
        <v>632.05999999999995</v>
      </c>
      <c r="AF1254">
        <f t="shared" ca="1" si="501"/>
        <v>2593.1370316486618</v>
      </c>
      <c r="AI1254">
        <v>0</v>
      </c>
      <c r="AJ1254">
        <v>0</v>
      </c>
      <c r="AK1254">
        <f t="shared" si="502"/>
        <v>0</v>
      </c>
      <c r="AL1254">
        <f t="shared" si="510"/>
        <v>0</v>
      </c>
      <c r="AM1254">
        <f t="shared" ca="1" si="503"/>
        <v>280.07692026646265</v>
      </c>
      <c r="AN1254" t="str">
        <f t="shared" ca="1" si="504"/>
        <v>Supercritical</v>
      </c>
      <c r="AO1254">
        <f ca="1">IF(V32="Supercritical",R1254,AA1254)</f>
        <v>482.07306851378365</v>
      </c>
    </row>
    <row r="1255" spans="1:41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174</v>
      </c>
      <c r="I1255">
        <v>2E-3</v>
      </c>
      <c r="J1255">
        <f t="shared" si="505"/>
        <v>1</v>
      </c>
      <c r="K1255">
        <f t="shared" si="506"/>
        <v>51</v>
      </c>
      <c r="L1255">
        <f t="shared" ca="1" si="507"/>
        <v>38818.057228575031</v>
      </c>
      <c r="M1255">
        <f t="shared" ca="1" si="485"/>
        <v>201853.89758859016</v>
      </c>
      <c r="N1255">
        <f t="shared" ca="1" si="486"/>
        <v>2.5998258659053555</v>
      </c>
      <c r="O1255">
        <f t="shared" ca="1" si="487"/>
        <v>2.5265798980976816E-4</v>
      </c>
      <c r="P1255">
        <f t="shared" ca="1" si="488"/>
        <v>39450.066728575031</v>
      </c>
      <c r="Q1255">
        <f t="shared" ca="1" si="489"/>
        <v>39450.066728578284</v>
      </c>
      <c r="R1255">
        <f t="shared" ca="1" si="490"/>
        <v>4.0178116842153562E-12</v>
      </c>
      <c r="S1255">
        <f t="shared" ca="1" si="508"/>
        <v>4.999999946448952E-4</v>
      </c>
      <c r="T1255">
        <f t="shared" ca="1" si="509"/>
        <v>1</v>
      </c>
      <c r="U1255">
        <f t="shared" ca="1" si="491"/>
        <v>0.05</v>
      </c>
      <c r="V1255">
        <f t="shared" ca="1" si="492"/>
        <v>0.26</v>
      </c>
      <c r="W1255">
        <f t="shared" ca="1" si="493"/>
        <v>4.9056603773584909E-2</v>
      </c>
      <c r="X1255">
        <f t="shared" ca="1" si="494"/>
        <v>196.15384615384616</v>
      </c>
      <c r="Y1255">
        <f t="shared" ca="1" si="495"/>
        <v>632.05949999999996</v>
      </c>
      <c r="Z1255">
        <f t="shared" ca="1" si="496"/>
        <v>2593.1365316486622</v>
      </c>
      <c r="AA1255">
        <f t="shared" ca="1" si="497"/>
        <v>482.07306851378365</v>
      </c>
      <c r="AB1255">
        <f t="shared" ca="1" si="498"/>
        <v>482.75074928556023</v>
      </c>
      <c r="AC1255">
        <f t="shared" ca="1" si="499"/>
        <v>0</v>
      </c>
      <c r="AD1255">
        <f ca="1">IF(V32="Supercritical",L1255,U1255)</f>
        <v>0.05</v>
      </c>
      <c r="AE1255">
        <f t="shared" ca="1" si="500"/>
        <v>632.05949999999996</v>
      </c>
      <c r="AF1255">
        <f t="shared" ca="1" si="501"/>
        <v>2593.1365316486622</v>
      </c>
      <c r="AI1255">
        <v>0</v>
      </c>
      <c r="AJ1255">
        <v>0</v>
      </c>
      <c r="AK1255">
        <f t="shared" si="502"/>
        <v>0</v>
      </c>
      <c r="AL1255">
        <f t="shared" si="510"/>
        <v>0</v>
      </c>
      <c r="AM1255">
        <f t="shared" ca="1" si="503"/>
        <v>280.07692026646265</v>
      </c>
      <c r="AN1255" t="str">
        <f t="shared" ca="1" si="504"/>
        <v>Supercritical</v>
      </c>
      <c r="AO1255">
        <f ca="1">IF(V32="Supercritical",R1255,AA1255)</f>
        <v>482.07306851378365</v>
      </c>
    </row>
    <row r="1256" spans="1:41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174</v>
      </c>
      <c r="I1256">
        <v>0.06</v>
      </c>
      <c r="J1256">
        <f t="shared" si="505"/>
        <v>1.0010000000002037</v>
      </c>
      <c r="K1256">
        <f t="shared" si="506"/>
        <v>51</v>
      </c>
      <c r="L1256">
        <f t="shared" ca="1" si="507"/>
        <v>38818.056641459079</v>
      </c>
      <c r="M1256">
        <f t="shared" ca="1" si="485"/>
        <v>201853.89453558723</v>
      </c>
      <c r="N1256">
        <f t="shared" ca="1" si="486"/>
        <v>2.5998258659027225</v>
      </c>
      <c r="O1256">
        <f t="shared" ca="1" si="487"/>
        <v>2.526579936311737E-4</v>
      </c>
      <c r="P1256">
        <f t="shared" ca="1" si="488"/>
        <v>39450.065641459078</v>
      </c>
      <c r="Q1256">
        <f t="shared" ca="1" si="489"/>
        <v>39450.06564146233</v>
      </c>
      <c r="R1256">
        <f t="shared" ca="1" si="490"/>
        <v>4.0178118057581041E-12</v>
      </c>
      <c r="S1256">
        <f t="shared" ca="1" si="508"/>
        <v>1.0871159465750679E-3</v>
      </c>
      <c r="T1256">
        <f t="shared" ca="1" si="509"/>
        <v>0</v>
      </c>
      <c r="U1256">
        <f t="shared" ca="1" si="491"/>
        <v>0.05</v>
      </c>
      <c r="V1256">
        <f t="shared" ca="1" si="492"/>
        <v>0.26</v>
      </c>
      <c r="W1256">
        <f t="shared" ca="1" si="493"/>
        <v>4.9056603773584909E-2</v>
      </c>
      <c r="X1256">
        <f t="shared" ca="1" si="494"/>
        <v>196.15384615384616</v>
      </c>
      <c r="Y1256">
        <f t="shared" ca="1" si="495"/>
        <v>632.05899999999997</v>
      </c>
      <c r="Z1256">
        <f t="shared" ca="1" si="496"/>
        <v>2593.1360316486621</v>
      </c>
      <c r="AA1256">
        <f t="shared" ca="1" si="497"/>
        <v>482.07306851378365</v>
      </c>
      <c r="AB1256">
        <f t="shared" ca="1" si="498"/>
        <v>482.25887083179032</v>
      </c>
      <c r="AC1256">
        <f t="shared" ca="1" si="499"/>
        <v>0</v>
      </c>
      <c r="AD1256">
        <f ca="1">IF(V32="Supercritical",L1256,U1256)</f>
        <v>0.05</v>
      </c>
      <c r="AE1256">
        <f t="shared" ca="1" si="500"/>
        <v>632.05899999999997</v>
      </c>
      <c r="AF1256">
        <f t="shared" ca="1" si="501"/>
        <v>2593.1360316486621</v>
      </c>
      <c r="AI1256">
        <v>0</v>
      </c>
      <c r="AJ1256">
        <v>0</v>
      </c>
      <c r="AK1256">
        <f t="shared" si="502"/>
        <v>0</v>
      </c>
      <c r="AL1256">
        <f t="shared" si="510"/>
        <v>0</v>
      </c>
      <c r="AM1256">
        <f t="shared" ca="1" si="503"/>
        <v>280.07692026646265</v>
      </c>
      <c r="AN1256" t="str">
        <f t="shared" ca="1" si="504"/>
        <v>Supercritical</v>
      </c>
      <c r="AO1256">
        <f ca="1">IF(V32="Supercritical",R1256,AA1256)</f>
        <v>482.07306851378365</v>
      </c>
    </row>
    <row r="1257" spans="1:41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174</v>
      </c>
      <c r="I1257">
        <v>5.7000000000000002E-2</v>
      </c>
      <c r="J1257">
        <f t="shared" si="505"/>
        <v>1</v>
      </c>
      <c r="K1257">
        <f t="shared" si="506"/>
        <v>51</v>
      </c>
      <c r="L1257">
        <f t="shared" ca="1" si="507"/>
        <v>38818.056641459079</v>
      </c>
      <c r="M1257">
        <f t="shared" ca="1" si="485"/>
        <v>201853.89453558723</v>
      </c>
      <c r="N1257">
        <f t="shared" ca="1" si="486"/>
        <v>2.5998258659027225</v>
      </c>
      <c r="O1257">
        <f t="shared" ca="1" si="487"/>
        <v>2.526579936311737E-4</v>
      </c>
      <c r="P1257">
        <f t="shared" ca="1" si="488"/>
        <v>39450.065141459083</v>
      </c>
      <c r="Q1257">
        <f t="shared" ca="1" si="489"/>
        <v>39450.065141462335</v>
      </c>
      <c r="R1257">
        <f t="shared" ca="1" si="490"/>
        <v>4.0178118057581041E-12</v>
      </c>
      <c r="S1257">
        <f t="shared" ca="1" si="508"/>
        <v>4.9999998736893758E-4</v>
      </c>
      <c r="T1257">
        <f t="shared" ca="1" si="509"/>
        <v>1</v>
      </c>
      <c r="U1257">
        <f t="shared" ca="1" si="491"/>
        <v>0.05</v>
      </c>
      <c r="V1257">
        <f t="shared" ca="1" si="492"/>
        <v>0.26</v>
      </c>
      <c r="W1257">
        <f t="shared" ca="1" si="493"/>
        <v>4.9056603773584909E-2</v>
      </c>
      <c r="X1257">
        <f t="shared" ca="1" si="494"/>
        <v>196.15384615384616</v>
      </c>
      <c r="Y1257">
        <f t="shared" ca="1" si="495"/>
        <v>632.05849999999998</v>
      </c>
      <c r="Z1257">
        <f t="shared" ca="1" si="496"/>
        <v>2593.135531648662</v>
      </c>
      <c r="AA1257">
        <f t="shared" ca="1" si="497"/>
        <v>482.07306851378365</v>
      </c>
      <c r="AB1257">
        <f t="shared" ca="1" si="498"/>
        <v>482.07256851378406</v>
      </c>
      <c r="AC1257">
        <f t="shared" ca="1" si="499"/>
        <v>0</v>
      </c>
      <c r="AD1257">
        <f ca="1">IF(V32="Supercritical",L1257,U1257)</f>
        <v>0.05</v>
      </c>
      <c r="AE1257">
        <f t="shared" ca="1" si="500"/>
        <v>632.05849999999998</v>
      </c>
      <c r="AF1257">
        <f t="shared" ca="1" si="501"/>
        <v>2593.135531648662</v>
      </c>
      <c r="AI1257">
        <v>0</v>
      </c>
      <c r="AJ1257">
        <v>0</v>
      </c>
      <c r="AK1257">
        <f t="shared" si="502"/>
        <v>0</v>
      </c>
      <c r="AL1257">
        <f t="shared" si="510"/>
        <v>0</v>
      </c>
      <c r="AM1257">
        <f t="shared" ca="1" si="503"/>
        <v>280.07692026646265</v>
      </c>
      <c r="AN1257" t="str">
        <f t="shared" ca="1" si="504"/>
        <v>Supercritical</v>
      </c>
      <c r="AO1257">
        <f ca="1">IF(V32="Supercritical",R1257,AA1257)</f>
        <v>482.07306851378365</v>
      </c>
    </row>
    <row r="1258" spans="1:41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174</v>
      </c>
      <c r="I1258">
        <v>0</v>
      </c>
      <c r="J1258">
        <f t="shared" si="505"/>
        <v>1</v>
      </c>
      <c r="K1258">
        <f t="shared" si="506"/>
        <v>51</v>
      </c>
      <c r="L1258">
        <f t="shared" ca="1" si="507"/>
        <v>38818.056054300483</v>
      </c>
      <c r="M1258">
        <f t="shared" ca="1" si="485"/>
        <v>201853.89148236252</v>
      </c>
      <c r="N1258">
        <f t="shared" ca="1" si="486"/>
        <v>2.5998258659000886</v>
      </c>
      <c r="O1258">
        <f t="shared" ca="1" si="487"/>
        <v>2.526579974528569E-4</v>
      </c>
      <c r="P1258">
        <f t="shared" ca="1" si="488"/>
        <v>39450.064054300485</v>
      </c>
      <c r="Q1258">
        <f t="shared" ca="1" si="489"/>
        <v>39450.064054303737</v>
      </c>
      <c r="R1258">
        <f t="shared" ca="1" si="490"/>
        <v>4.0178119273096883E-12</v>
      </c>
      <c r="S1258">
        <f t="shared" ca="1" si="508"/>
        <v>1.0871585909626447E-3</v>
      </c>
      <c r="T1258">
        <f t="shared" ca="1" si="509"/>
        <v>0</v>
      </c>
      <c r="U1258">
        <f t="shared" ca="1" si="491"/>
        <v>0.05</v>
      </c>
      <c r="V1258">
        <f t="shared" ca="1" si="492"/>
        <v>0.26</v>
      </c>
      <c r="W1258">
        <f t="shared" ca="1" si="493"/>
        <v>4.9056603773584909E-2</v>
      </c>
      <c r="X1258">
        <f t="shared" ca="1" si="494"/>
        <v>196.15384615384616</v>
      </c>
      <c r="Y1258">
        <f t="shared" ca="1" si="495"/>
        <v>632.05799999999999</v>
      </c>
      <c r="Z1258">
        <f t="shared" ca="1" si="496"/>
        <v>2593.1350316486623</v>
      </c>
      <c r="AA1258">
        <f t="shared" ca="1" si="497"/>
        <v>482.07306851378365</v>
      </c>
      <c r="AB1258">
        <f t="shared" ca="1" si="498"/>
        <v>481.59049544517165</v>
      </c>
      <c r="AC1258">
        <f t="shared" ca="1" si="499"/>
        <v>0</v>
      </c>
      <c r="AD1258">
        <f ca="1">IF(V32="Supercritical",L1258,U1258)</f>
        <v>0.05</v>
      </c>
      <c r="AE1258">
        <f t="shared" ca="1" si="500"/>
        <v>632.05799999999999</v>
      </c>
      <c r="AF1258">
        <f t="shared" ca="1" si="501"/>
        <v>2593.1350316486623</v>
      </c>
      <c r="AI1258">
        <v>0</v>
      </c>
      <c r="AJ1258">
        <v>0</v>
      </c>
      <c r="AK1258">
        <f t="shared" si="502"/>
        <v>0</v>
      </c>
      <c r="AL1258">
        <f t="shared" si="510"/>
        <v>0</v>
      </c>
      <c r="AM1258">
        <f t="shared" ca="1" si="503"/>
        <v>280.07692026646265</v>
      </c>
      <c r="AN1258" t="str">
        <f t="shared" ca="1" si="504"/>
        <v>Supercritical</v>
      </c>
      <c r="AO1258">
        <f ca="1">IF(V32="Supercritical",R1258,AA1258)</f>
        <v>482.07306851378365</v>
      </c>
    </row>
    <row r="1259" spans="1:41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174</v>
      </c>
      <c r="I1259">
        <v>0</v>
      </c>
      <c r="J1259">
        <f t="shared" si="505"/>
        <v>0.99899999999979627</v>
      </c>
      <c r="K1259">
        <f t="shared" si="506"/>
        <v>51</v>
      </c>
      <c r="L1259">
        <f t="shared" ca="1" si="507"/>
        <v>38818.056054300483</v>
      </c>
      <c r="M1259">
        <f t="shared" ca="1" si="485"/>
        <v>201853.89148236252</v>
      </c>
      <c r="N1259">
        <f t="shared" ca="1" si="486"/>
        <v>2.5998258659000886</v>
      </c>
      <c r="O1259">
        <f t="shared" ca="1" si="487"/>
        <v>2.526579974528569E-4</v>
      </c>
      <c r="P1259">
        <f t="shared" ca="1" si="488"/>
        <v>39450.063554300483</v>
      </c>
      <c r="Q1259">
        <f t="shared" ca="1" si="489"/>
        <v>39450.063554303735</v>
      </c>
      <c r="R1259">
        <f t="shared" ca="1" si="490"/>
        <v>4.0178119273096883E-12</v>
      </c>
      <c r="S1259">
        <f t="shared" ca="1" si="508"/>
        <v>4.999999946448952E-4</v>
      </c>
      <c r="T1259">
        <f t="shared" ca="1" si="509"/>
        <v>1</v>
      </c>
      <c r="U1259">
        <f t="shared" ca="1" si="491"/>
        <v>0.05</v>
      </c>
      <c r="V1259">
        <f t="shared" ca="1" si="492"/>
        <v>0.26</v>
      </c>
      <c r="W1259">
        <f t="shared" ca="1" si="493"/>
        <v>4.9056603773584909E-2</v>
      </c>
      <c r="X1259">
        <f t="shared" ca="1" si="494"/>
        <v>196.15384615384616</v>
      </c>
      <c r="Y1259">
        <f t="shared" ca="1" si="495"/>
        <v>632.0575</v>
      </c>
      <c r="Z1259">
        <f t="shared" ca="1" si="496"/>
        <v>2593.1345316486622</v>
      </c>
      <c r="AA1259">
        <f t="shared" ca="1" si="497"/>
        <v>482.07306851378365</v>
      </c>
      <c r="AB1259">
        <f t="shared" ca="1" si="498"/>
        <v>482.25887083179032</v>
      </c>
      <c r="AC1259">
        <f t="shared" ca="1" si="499"/>
        <v>0</v>
      </c>
      <c r="AD1259">
        <f ca="1">IF(V32="Supercritical",L1259,U1259)</f>
        <v>0.05</v>
      </c>
      <c r="AE1259">
        <f t="shared" ca="1" si="500"/>
        <v>632.0575</v>
      </c>
      <c r="AF1259">
        <f t="shared" ca="1" si="501"/>
        <v>2593.1345316486622</v>
      </c>
      <c r="AI1259">
        <v>0</v>
      </c>
      <c r="AJ1259">
        <v>0</v>
      </c>
      <c r="AK1259">
        <f t="shared" si="502"/>
        <v>0</v>
      </c>
      <c r="AL1259">
        <f t="shared" si="510"/>
        <v>0</v>
      </c>
      <c r="AM1259">
        <f t="shared" ca="1" si="503"/>
        <v>280.07692026646265</v>
      </c>
      <c r="AN1259" t="str">
        <f t="shared" ca="1" si="504"/>
        <v>Supercritical</v>
      </c>
      <c r="AO1259">
        <f ca="1">IF(V32="Supercritical",R1259,AA1259)</f>
        <v>482.07306851378365</v>
      </c>
    </row>
    <row r="1260" spans="1:41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174</v>
      </c>
      <c r="I1260">
        <v>5.7000000000000002E-2</v>
      </c>
      <c r="J1260">
        <f t="shared" si="505"/>
        <v>1</v>
      </c>
      <c r="K1260">
        <f t="shared" si="506"/>
        <v>51</v>
      </c>
      <c r="L1260">
        <f t="shared" ca="1" si="507"/>
        <v>38818.05546801832</v>
      </c>
      <c r="M1260">
        <f t="shared" ca="1" si="485"/>
        <v>201853.88843369528</v>
      </c>
      <c r="N1260">
        <f t="shared" ca="1" si="486"/>
        <v>2.5998258658974587</v>
      </c>
      <c r="O1260">
        <f t="shared" ca="1" si="487"/>
        <v>2.5265800126883568E-4</v>
      </c>
      <c r="P1260">
        <f t="shared" ca="1" si="488"/>
        <v>39450.062468018317</v>
      </c>
      <c r="Q1260">
        <f t="shared" ca="1" si="489"/>
        <v>39450.06246802157</v>
      </c>
      <c r="R1260">
        <f t="shared" ca="1" si="490"/>
        <v>4.0178120486798422E-12</v>
      </c>
      <c r="S1260">
        <f t="shared" ca="1" si="508"/>
        <v>1.0862821582122706E-3</v>
      </c>
      <c r="T1260">
        <f t="shared" ca="1" si="509"/>
        <v>0</v>
      </c>
      <c r="U1260">
        <f t="shared" ca="1" si="491"/>
        <v>0.05</v>
      </c>
      <c r="V1260">
        <f t="shared" ca="1" si="492"/>
        <v>0.26</v>
      </c>
      <c r="W1260">
        <f t="shared" ca="1" si="493"/>
        <v>4.9056603773584909E-2</v>
      </c>
      <c r="X1260">
        <f t="shared" ca="1" si="494"/>
        <v>196.15384615384616</v>
      </c>
      <c r="Y1260">
        <f t="shared" ca="1" si="495"/>
        <v>632.0569999999999</v>
      </c>
      <c r="Z1260">
        <f t="shared" ca="1" si="496"/>
        <v>2593.1340316486621</v>
      </c>
      <c r="AA1260">
        <f t="shared" ca="1" si="497"/>
        <v>482.07306851378365</v>
      </c>
      <c r="AB1260">
        <f t="shared" ca="1" si="498"/>
        <v>482.25887083179032</v>
      </c>
      <c r="AC1260">
        <f t="shared" ca="1" si="499"/>
        <v>0</v>
      </c>
      <c r="AD1260">
        <f ca="1">IF(V32="Supercritical",L1260,U1260)</f>
        <v>0.05</v>
      </c>
      <c r="AE1260">
        <f t="shared" ca="1" si="500"/>
        <v>632.0569999999999</v>
      </c>
      <c r="AF1260">
        <f t="shared" ca="1" si="501"/>
        <v>2593.1340316486621</v>
      </c>
      <c r="AI1260">
        <v>0</v>
      </c>
      <c r="AJ1260">
        <v>0</v>
      </c>
      <c r="AK1260">
        <f t="shared" si="502"/>
        <v>0</v>
      </c>
      <c r="AL1260">
        <f t="shared" si="510"/>
        <v>0</v>
      </c>
      <c r="AM1260">
        <f t="shared" ca="1" si="503"/>
        <v>280.07692026646265</v>
      </c>
      <c r="AN1260" t="str">
        <f t="shared" ca="1" si="504"/>
        <v>Supercritical</v>
      </c>
      <c r="AO1260">
        <f ca="1">IF(V32="Supercritical",R1260,AA1260)</f>
        <v>482.07306851378365</v>
      </c>
    </row>
    <row r="1261" spans="1:41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174</v>
      </c>
      <c r="I1261">
        <v>5.7000000000000002E-2</v>
      </c>
      <c r="J1261">
        <f t="shared" si="505"/>
        <v>1</v>
      </c>
      <c r="K1261">
        <f t="shared" si="506"/>
        <v>51</v>
      </c>
      <c r="L1261">
        <f t="shared" ca="1" si="507"/>
        <v>38818.05546801832</v>
      </c>
      <c r="M1261">
        <f t="shared" ca="1" si="485"/>
        <v>201853.88843369528</v>
      </c>
      <c r="N1261">
        <f t="shared" ca="1" si="486"/>
        <v>2.5998258658974587</v>
      </c>
      <c r="O1261">
        <f t="shared" ca="1" si="487"/>
        <v>2.5265800126883568E-4</v>
      </c>
      <c r="P1261">
        <f t="shared" ca="1" si="488"/>
        <v>39450.061968018323</v>
      </c>
      <c r="Q1261">
        <f t="shared" ca="1" si="489"/>
        <v>39450.061968021575</v>
      </c>
      <c r="R1261">
        <f t="shared" ca="1" si="490"/>
        <v>4.0178120486798422E-12</v>
      </c>
      <c r="S1261">
        <f t="shared" ca="1" si="508"/>
        <v>4.9999998736893758E-4</v>
      </c>
      <c r="T1261">
        <f t="shared" ca="1" si="509"/>
        <v>1</v>
      </c>
      <c r="U1261">
        <f t="shared" ca="1" si="491"/>
        <v>0.05</v>
      </c>
      <c r="V1261">
        <f t="shared" ca="1" si="492"/>
        <v>0.26</v>
      </c>
      <c r="W1261">
        <f t="shared" ca="1" si="493"/>
        <v>4.9056603773584909E-2</v>
      </c>
      <c r="X1261">
        <f t="shared" ca="1" si="494"/>
        <v>196.15384615384616</v>
      </c>
      <c r="Y1261">
        <f t="shared" ca="1" si="495"/>
        <v>632.05649999999991</v>
      </c>
      <c r="Z1261">
        <f t="shared" ca="1" si="496"/>
        <v>2593.133531648662</v>
      </c>
      <c r="AA1261">
        <f t="shared" ca="1" si="497"/>
        <v>482.07306851378365</v>
      </c>
      <c r="AB1261">
        <f t="shared" ca="1" si="498"/>
        <v>482.07256851378361</v>
      </c>
      <c r="AC1261">
        <f t="shared" ca="1" si="499"/>
        <v>0</v>
      </c>
      <c r="AD1261">
        <f ca="1">IF(V32="Supercritical",L1261,U1261)</f>
        <v>0.05</v>
      </c>
      <c r="AE1261">
        <f t="shared" ca="1" si="500"/>
        <v>632.05649999999991</v>
      </c>
      <c r="AF1261">
        <f t="shared" ca="1" si="501"/>
        <v>2593.133531648662</v>
      </c>
      <c r="AI1261">
        <v>0</v>
      </c>
      <c r="AJ1261">
        <v>0</v>
      </c>
      <c r="AK1261">
        <f t="shared" si="502"/>
        <v>0</v>
      </c>
      <c r="AL1261">
        <f t="shared" si="510"/>
        <v>0</v>
      </c>
      <c r="AM1261">
        <f t="shared" ca="1" si="503"/>
        <v>280.07692026646265</v>
      </c>
      <c r="AN1261" t="str">
        <f t="shared" ca="1" si="504"/>
        <v>Supercritical</v>
      </c>
      <c r="AO1261">
        <f ca="1">IF(V32="Supercritical",R1261,AA1261)</f>
        <v>482.07306851378365</v>
      </c>
    </row>
    <row r="1262" spans="1:41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174</v>
      </c>
      <c r="I1262">
        <v>0</v>
      </c>
      <c r="J1262">
        <f t="shared" si="505"/>
        <v>1</v>
      </c>
      <c r="K1262">
        <f t="shared" si="506"/>
        <v>51</v>
      </c>
      <c r="L1262">
        <f t="shared" ca="1" si="507"/>
        <v>38818.054881104836</v>
      </c>
      <c r="M1262">
        <f t="shared" ca="1" si="485"/>
        <v>201853.88538174515</v>
      </c>
      <c r="N1262">
        <f t="shared" ca="1" si="486"/>
        <v>2.5998258658948257</v>
      </c>
      <c r="O1262">
        <f t="shared" ca="1" si="487"/>
        <v>2.5265800508892375E-4</v>
      </c>
      <c r="P1262">
        <f t="shared" ca="1" si="488"/>
        <v>39450.060881104837</v>
      </c>
      <c r="Q1262">
        <f t="shared" ca="1" si="489"/>
        <v>39450.060881108089</v>
      </c>
      <c r="R1262">
        <f t="shared" ca="1" si="490"/>
        <v>4.0178121701806946E-12</v>
      </c>
      <c r="S1262">
        <f t="shared" ca="1" si="508"/>
        <v>1.0869134785025381E-3</v>
      </c>
      <c r="T1262">
        <f t="shared" ca="1" si="509"/>
        <v>0</v>
      </c>
      <c r="U1262">
        <f t="shared" ca="1" si="491"/>
        <v>0.05</v>
      </c>
      <c r="V1262">
        <f t="shared" ca="1" si="492"/>
        <v>0.26</v>
      </c>
      <c r="W1262">
        <f t="shared" ca="1" si="493"/>
        <v>4.9056603773584909E-2</v>
      </c>
      <c r="X1262">
        <f t="shared" ca="1" si="494"/>
        <v>196.15384615384616</v>
      </c>
      <c r="Y1262">
        <f t="shared" ca="1" si="495"/>
        <v>632.05599999999993</v>
      </c>
      <c r="Z1262">
        <f t="shared" ca="1" si="496"/>
        <v>2593.1330316486619</v>
      </c>
      <c r="AA1262">
        <f t="shared" ca="1" si="497"/>
        <v>482.07306851378365</v>
      </c>
      <c r="AB1262">
        <f t="shared" ca="1" si="498"/>
        <v>482.25887083179032</v>
      </c>
      <c r="AC1262">
        <f t="shared" ca="1" si="499"/>
        <v>0</v>
      </c>
      <c r="AD1262">
        <f ca="1">IF(V32="Supercritical",L1262,U1262)</f>
        <v>0.05</v>
      </c>
      <c r="AE1262">
        <f t="shared" ca="1" si="500"/>
        <v>632.05599999999993</v>
      </c>
      <c r="AF1262">
        <f t="shared" ca="1" si="501"/>
        <v>2593.1330316486619</v>
      </c>
      <c r="AI1262">
        <v>0</v>
      </c>
      <c r="AJ1262">
        <v>0</v>
      </c>
      <c r="AK1262">
        <f t="shared" si="502"/>
        <v>0</v>
      </c>
      <c r="AL1262">
        <f t="shared" si="510"/>
        <v>0</v>
      </c>
      <c r="AM1262">
        <f t="shared" ca="1" si="503"/>
        <v>280.07692026646265</v>
      </c>
      <c r="AN1262" t="str">
        <f t="shared" ca="1" si="504"/>
        <v>Supercritical</v>
      </c>
      <c r="AO1262">
        <f ca="1">IF(V32="Supercritical",R1262,AA1262)</f>
        <v>482.07306851378365</v>
      </c>
    </row>
    <row r="1263" spans="1:41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174</v>
      </c>
      <c r="I1263">
        <v>5.7000000000000002E-2</v>
      </c>
      <c r="J1263">
        <f t="shared" si="505"/>
        <v>1</v>
      </c>
      <c r="K1263">
        <f t="shared" si="506"/>
        <v>51</v>
      </c>
      <c r="L1263">
        <f t="shared" ca="1" si="507"/>
        <v>38818.054881104836</v>
      </c>
      <c r="M1263">
        <f t="shared" ca="1" si="485"/>
        <v>201853.88538174515</v>
      </c>
      <c r="N1263">
        <f t="shared" ca="1" si="486"/>
        <v>2.5998258658948257</v>
      </c>
      <c r="O1263">
        <f t="shared" ca="1" si="487"/>
        <v>2.5265800508892375E-4</v>
      </c>
      <c r="P1263">
        <f t="shared" ca="1" si="488"/>
        <v>39450.060381104835</v>
      </c>
      <c r="Q1263">
        <f t="shared" ca="1" si="489"/>
        <v>39450.060381108087</v>
      </c>
      <c r="R1263">
        <f t="shared" ca="1" si="490"/>
        <v>4.0178121701806946E-12</v>
      </c>
      <c r="S1263">
        <f t="shared" ca="1" si="508"/>
        <v>4.999999946448952E-4</v>
      </c>
      <c r="T1263">
        <f t="shared" ca="1" si="509"/>
        <v>1</v>
      </c>
      <c r="U1263">
        <f t="shared" ca="1" si="491"/>
        <v>0.05</v>
      </c>
      <c r="V1263">
        <f t="shared" ca="1" si="492"/>
        <v>0.26</v>
      </c>
      <c r="W1263">
        <f t="shared" ca="1" si="493"/>
        <v>4.9056603773584909E-2</v>
      </c>
      <c r="X1263">
        <f t="shared" ca="1" si="494"/>
        <v>196.15384615384616</v>
      </c>
      <c r="Y1263">
        <f t="shared" ca="1" si="495"/>
        <v>632.05549999999994</v>
      </c>
      <c r="Z1263">
        <f t="shared" ca="1" si="496"/>
        <v>2593.1325316486618</v>
      </c>
      <c r="AA1263">
        <f t="shared" ca="1" si="497"/>
        <v>482.07306851378365</v>
      </c>
      <c r="AB1263">
        <f t="shared" ca="1" si="498"/>
        <v>482.26867621694873</v>
      </c>
      <c r="AC1263">
        <f t="shared" ca="1" si="499"/>
        <v>0</v>
      </c>
      <c r="AD1263">
        <f ca="1">IF(V32="Supercritical",L1263,U1263)</f>
        <v>0.05</v>
      </c>
      <c r="AE1263">
        <f t="shared" ca="1" si="500"/>
        <v>632.05549999999994</v>
      </c>
      <c r="AF1263">
        <f t="shared" ca="1" si="501"/>
        <v>2593.1325316486618</v>
      </c>
      <c r="AI1263">
        <v>0</v>
      </c>
      <c r="AJ1263">
        <v>0</v>
      </c>
      <c r="AK1263">
        <f t="shared" si="502"/>
        <v>0</v>
      </c>
      <c r="AL1263">
        <f t="shared" si="510"/>
        <v>0</v>
      </c>
      <c r="AM1263">
        <f t="shared" ca="1" si="503"/>
        <v>280.07692026646265</v>
      </c>
      <c r="AN1263" t="str">
        <f t="shared" ca="1" si="504"/>
        <v>Supercritical</v>
      </c>
      <c r="AO1263">
        <f ca="1">IF(V32="Supercritical",R1263,AA1263)</f>
        <v>482.07306851378365</v>
      </c>
    </row>
    <row r="1264" spans="1:41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174</v>
      </c>
      <c r="I1264">
        <v>0.06</v>
      </c>
      <c r="J1264">
        <f t="shared" si="505"/>
        <v>1</v>
      </c>
      <c r="K1264">
        <f t="shared" si="506"/>
        <v>51</v>
      </c>
      <c r="L1264">
        <f t="shared" ca="1" si="507"/>
        <v>38818.054293327041</v>
      </c>
      <c r="M1264">
        <f t="shared" ca="1" si="485"/>
        <v>201853.88232530063</v>
      </c>
      <c r="N1264">
        <f t="shared" ca="1" si="486"/>
        <v>2.5998258658921896</v>
      </c>
      <c r="O1264">
        <f t="shared" ca="1" si="487"/>
        <v>2.5265800891463753E-4</v>
      </c>
      <c r="P1264">
        <f t="shared" ca="1" si="488"/>
        <v>39450.059293327038</v>
      </c>
      <c r="Q1264">
        <f t="shared" ca="1" si="489"/>
        <v>39450.059293330291</v>
      </c>
      <c r="R1264">
        <f t="shared" ca="1" si="490"/>
        <v>4.0178122918604773E-12</v>
      </c>
      <c r="S1264">
        <f t="shared" ca="1" si="508"/>
        <v>1.0877777895075269E-3</v>
      </c>
      <c r="T1264">
        <f t="shared" ca="1" si="509"/>
        <v>0</v>
      </c>
      <c r="U1264">
        <f t="shared" ca="1" si="491"/>
        <v>0.05</v>
      </c>
      <c r="V1264">
        <f t="shared" ca="1" si="492"/>
        <v>0.26</v>
      </c>
      <c r="W1264">
        <f t="shared" ca="1" si="493"/>
        <v>4.9056603773584909E-2</v>
      </c>
      <c r="X1264">
        <f t="shared" ca="1" si="494"/>
        <v>196.15384615384616</v>
      </c>
      <c r="Y1264">
        <f t="shared" ca="1" si="495"/>
        <v>632.05499999999995</v>
      </c>
      <c r="Z1264">
        <f t="shared" ca="1" si="496"/>
        <v>2593.1320316486622</v>
      </c>
      <c r="AA1264">
        <f t="shared" ca="1" si="497"/>
        <v>482.07306851378365</v>
      </c>
      <c r="AB1264">
        <f t="shared" ca="1" si="498"/>
        <v>482.5611785058345</v>
      </c>
      <c r="AC1264">
        <f t="shared" ca="1" si="499"/>
        <v>0</v>
      </c>
      <c r="AD1264">
        <f ca="1">IF(V32="Supercritical",L1264,U1264)</f>
        <v>0.05</v>
      </c>
      <c r="AE1264">
        <f t="shared" ca="1" si="500"/>
        <v>632.05499999999995</v>
      </c>
      <c r="AF1264">
        <f t="shared" ca="1" si="501"/>
        <v>2593.1320316486622</v>
      </c>
      <c r="AI1264">
        <v>0</v>
      </c>
      <c r="AJ1264">
        <v>0</v>
      </c>
      <c r="AK1264">
        <f t="shared" si="502"/>
        <v>0</v>
      </c>
      <c r="AL1264">
        <f t="shared" si="510"/>
        <v>0</v>
      </c>
      <c r="AM1264">
        <f t="shared" ca="1" si="503"/>
        <v>280.07692026646265</v>
      </c>
      <c r="AN1264" t="str">
        <f t="shared" ca="1" si="504"/>
        <v>Supercritical</v>
      </c>
      <c r="AO1264">
        <f ca="1">IF(V32="Supercritical",R1264,AA1264)</f>
        <v>482.07306851378365</v>
      </c>
    </row>
    <row r="1265" spans="1:41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174</v>
      </c>
      <c r="I1265">
        <v>2E-3</v>
      </c>
      <c r="J1265">
        <f t="shared" si="505"/>
        <v>1.0010000000002037</v>
      </c>
      <c r="K1265">
        <f t="shared" si="506"/>
        <v>51</v>
      </c>
      <c r="L1265">
        <f t="shared" ca="1" si="507"/>
        <v>38818.054293327041</v>
      </c>
      <c r="M1265">
        <f t="shared" ca="1" si="485"/>
        <v>201853.88232530063</v>
      </c>
      <c r="N1265">
        <f t="shared" ca="1" si="486"/>
        <v>2.5998258658921896</v>
      </c>
      <c r="O1265">
        <f t="shared" ca="1" si="487"/>
        <v>2.5265800891463753E-4</v>
      </c>
      <c r="P1265">
        <f t="shared" ca="1" si="488"/>
        <v>39450.058793327044</v>
      </c>
      <c r="Q1265">
        <f t="shared" ca="1" si="489"/>
        <v>39450.058793330296</v>
      </c>
      <c r="R1265">
        <f t="shared" ca="1" si="490"/>
        <v>4.0178122918604773E-12</v>
      </c>
      <c r="S1265">
        <f t="shared" ca="1" si="508"/>
        <v>4.9999998736893758E-4</v>
      </c>
      <c r="T1265">
        <f t="shared" ca="1" si="509"/>
        <v>1</v>
      </c>
      <c r="U1265">
        <f t="shared" ca="1" si="491"/>
        <v>0.05</v>
      </c>
      <c r="V1265">
        <f t="shared" ca="1" si="492"/>
        <v>0.26</v>
      </c>
      <c r="W1265">
        <f t="shared" ca="1" si="493"/>
        <v>4.9056603773584909E-2</v>
      </c>
      <c r="X1265">
        <f t="shared" ca="1" si="494"/>
        <v>196.15384615384616</v>
      </c>
      <c r="Y1265">
        <f t="shared" ca="1" si="495"/>
        <v>632.05449999999996</v>
      </c>
      <c r="Z1265">
        <f t="shared" ca="1" si="496"/>
        <v>2593.1315316486621</v>
      </c>
      <c r="AA1265">
        <f t="shared" ca="1" si="497"/>
        <v>482.07306851378365</v>
      </c>
      <c r="AB1265">
        <f t="shared" ca="1" si="498"/>
        <v>482.07256851378361</v>
      </c>
      <c r="AC1265">
        <f t="shared" ca="1" si="499"/>
        <v>0</v>
      </c>
      <c r="AD1265">
        <f ca="1">IF(V32="Supercritical",L1265,U1265)</f>
        <v>0.05</v>
      </c>
      <c r="AE1265">
        <f t="shared" ca="1" si="500"/>
        <v>632.05449999999996</v>
      </c>
      <c r="AF1265">
        <f t="shared" ca="1" si="501"/>
        <v>2593.1315316486621</v>
      </c>
      <c r="AI1265">
        <v>0</v>
      </c>
      <c r="AJ1265">
        <v>0</v>
      </c>
      <c r="AK1265">
        <f t="shared" si="502"/>
        <v>0</v>
      </c>
      <c r="AL1265">
        <f t="shared" si="510"/>
        <v>0</v>
      </c>
      <c r="AM1265">
        <f t="shared" ca="1" si="503"/>
        <v>280.07692026646265</v>
      </c>
      <c r="AN1265" t="str">
        <f t="shared" ca="1" si="504"/>
        <v>Supercritical</v>
      </c>
      <c r="AO1265">
        <f ca="1">IF(V32="Supercritical",R1265,AA1265)</f>
        <v>482.07306851378365</v>
      </c>
    </row>
    <row r="1266" spans="1:41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174</v>
      </c>
      <c r="I1266">
        <v>0</v>
      </c>
      <c r="J1266">
        <f t="shared" si="505"/>
        <v>1</v>
      </c>
      <c r="K1266">
        <f t="shared" si="506"/>
        <v>51</v>
      </c>
      <c r="L1266">
        <f t="shared" ca="1" si="507"/>
        <v>38818.053703567537</v>
      </c>
      <c r="M1266">
        <f t="shared" ca="1" si="485"/>
        <v>201853.8792585512</v>
      </c>
      <c r="N1266">
        <f t="shared" ca="1" si="486"/>
        <v>2.5998258658895441</v>
      </c>
      <c r="O1266">
        <f t="shared" ca="1" si="487"/>
        <v>2.5265801275324991E-4</v>
      </c>
      <c r="P1266">
        <f t="shared" ca="1" si="488"/>
        <v>39450.057703567538</v>
      </c>
      <c r="Q1266">
        <f t="shared" ca="1" si="489"/>
        <v>39450.05770357079</v>
      </c>
      <c r="R1266">
        <f t="shared" ca="1" si="490"/>
        <v>4.0178124139505141E-12</v>
      </c>
      <c r="S1266">
        <f t="shared" ca="1" si="508"/>
        <v>1.0897594984271564E-3</v>
      </c>
      <c r="T1266">
        <f t="shared" ca="1" si="509"/>
        <v>0</v>
      </c>
      <c r="U1266">
        <f t="shared" ca="1" si="491"/>
        <v>0.05</v>
      </c>
      <c r="V1266">
        <f t="shared" ca="1" si="492"/>
        <v>0.26</v>
      </c>
      <c r="W1266">
        <f t="shared" ca="1" si="493"/>
        <v>4.9056603773584909E-2</v>
      </c>
      <c r="X1266">
        <f t="shared" ca="1" si="494"/>
        <v>196.15384615384616</v>
      </c>
      <c r="Y1266">
        <f t="shared" ca="1" si="495"/>
        <v>632.05399999999997</v>
      </c>
      <c r="Z1266">
        <f t="shared" ca="1" si="496"/>
        <v>2593.131031648662</v>
      </c>
      <c r="AA1266">
        <f t="shared" ca="1" si="497"/>
        <v>482.07306851378365</v>
      </c>
      <c r="AB1266">
        <f t="shared" ca="1" si="498"/>
        <v>482.25887083179077</v>
      </c>
      <c r="AC1266">
        <f t="shared" ca="1" si="499"/>
        <v>0</v>
      </c>
      <c r="AD1266">
        <f ca="1">IF(V32="Supercritical",L1266,U1266)</f>
        <v>0.05</v>
      </c>
      <c r="AE1266">
        <f t="shared" ca="1" si="500"/>
        <v>632.05399999999997</v>
      </c>
      <c r="AF1266">
        <f t="shared" ca="1" si="501"/>
        <v>2593.131031648662</v>
      </c>
      <c r="AI1266">
        <v>0</v>
      </c>
      <c r="AJ1266">
        <v>0</v>
      </c>
      <c r="AK1266">
        <f t="shared" si="502"/>
        <v>0</v>
      </c>
      <c r="AL1266">
        <f t="shared" si="510"/>
        <v>0</v>
      </c>
      <c r="AM1266">
        <f t="shared" ca="1" si="503"/>
        <v>280.07692026646265</v>
      </c>
      <c r="AN1266" t="str">
        <f t="shared" ca="1" si="504"/>
        <v>Supercritical</v>
      </c>
      <c r="AO1266">
        <f ca="1">IF(V32="Supercritical",R1266,AA1266)</f>
        <v>482.07306851378365</v>
      </c>
    </row>
    <row r="1267" spans="1:41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174</v>
      </c>
      <c r="I1267">
        <v>5.7000000000000002E-2</v>
      </c>
      <c r="J1267">
        <f t="shared" si="505"/>
        <v>1</v>
      </c>
      <c r="K1267">
        <f t="shared" si="506"/>
        <v>51</v>
      </c>
      <c r="L1267">
        <f t="shared" ca="1" si="507"/>
        <v>38818.053703567537</v>
      </c>
      <c r="M1267">
        <f t="shared" ca="1" si="485"/>
        <v>201853.8792585512</v>
      </c>
      <c r="N1267">
        <f t="shared" ca="1" si="486"/>
        <v>2.5998258658895441</v>
      </c>
      <c r="O1267">
        <f t="shared" ca="1" si="487"/>
        <v>2.5265801275324991E-4</v>
      </c>
      <c r="P1267">
        <f t="shared" ca="1" si="488"/>
        <v>39450.057203567536</v>
      </c>
      <c r="Q1267">
        <f t="shared" ca="1" si="489"/>
        <v>39450.057203570788</v>
      </c>
      <c r="R1267">
        <f t="shared" ca="1" si="490"/>
        <v>4.0178124139505141E-12</v>
      </c>
      <c r="S1267">
        <f t="shared" ca="1" si="508"/>
        <v>4.999999946448952E-4</v>
      </c>
      <c r="T1267">
        <f t="shared" ca="1" si="509"/>
        <v>1</v>
      </c>
      <c r="U1267">
        <f t="shared" ca="1" si="491"/>
        <v>0.05</v>
      </c>
      <c r="V1267">
        <f t="shared" ca="1" si="492"/>
        <v>0.26</v>
      </c>
      <c r="W1267">
        <f t="shared" ca="1" si="493"/>
        <v>4.9056603773584909E-2</v>
      </c>
      <c r="X1267">
        <f t="shared" ca="1" si="494"/>
        <v>196.15384615384616</v>
      </c>
      <c r="Y1267">
        <f t="shared" ca="1" si="495"/>
        <v>632.05349999999999</v>
      </c>
      <c r="Z1267">
        <f t="shared" ca="1" si="496"/>
        <v>2593.1305316486623</v>
      </c>
      <c r="AA1267">
        <f t="shared" ca="1" si="497"/>
        <v>482.07306851378365</v>
      </c>
      <c r="AB1267">
        <f t="shared" ca="1" si="498"/>
        <v>481.77679776317837</v>
      </c>
      <c r="AC1267">
        <f t="shared" ca="1" si="499"/>
        <v>0</v>
      </c>
      <c r="AD1267">
        <f ca="1">IF(V32="Supercritical",L1267,U1267)</f>
        <v>0.05</v>
      </c>
      <c r="AE1267">
        <f t="shared" ca="1" si="500"/>
        <v>632.05349999999999</v>
      </c>
      <c r="AF1267">
        <f t="shared" ca="1" si="501"/>
        <v>2593.1305316486623</v>
      </c>
      <c r="AI1267">
        <v>0</v>
      </c>
      <c r="AJ1267">
        <v>0</v>
      </c>
      <c r="AK1267">
        <f t="shared" si="502"/>
        <v>0</v>
      </c>
      <c r="AL1267">
        <f t="shared" si="510"/>
        <v>0</v>
      </c>
      <c r="AM1267">
        <f t="shared" ca="1" si="503"/>
        <v>280.07692026646265</v>
      </c>
      <c r="AN1267" t="str">
        <f t="shared" ca="1" si="504"/>
        <v>Supercritical</v>
      </c>
      <c r="AO1267">
        <f ca="1">IF(V32="Supercritical",R1267,AA1267)</f>
        <v>482.07306851378365</v>
      </c>
    </row>
    <row r="1268" spans="1:41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174</v>
      </c>
      <c r="I1268">
        <v>5.7000000000000002E-2</v>
      </c>
      <c r="J1268">
        <f t="shared" si="505"/>
        <v>0.99899999999979627</v>
      </c>
      <c r="K1268">
        <f t="shared" si="506"/>
        <v>51</v>
      </c>
      <c r="L1268">
        <f t="shared" ca="1" si="507"/>
        <v>38818.053123839381</v>
      </c>
      <c r="M1268">
        <f t="shared" ca="1" si="485"/>
        <v>201853.8762439648</v>
      </c>
      <c r="N1268">
        <f t="shared" ca="1" si="486"/>
        <v>2.5998258658869435</v>
      </c>
      <c r="O1268">
        <f t="shared" ca="1" si="487"/>
        <v>2.5265801652657065E-4</v>
      </c>
      <c r="P1268">
        <f t="shared" ca="1" si="488"/>
        <v>39450.056123839378</v>
      </c>
      <c r="Q1268">
        <f t="shared" ca="1" si="489"/>
        <v>39450.056123842631</v>
      </c>
      <c r="R1268">
        <f t="shared" ca="1" si="490"/>
        <v>4.0178125339639011E-12</v>
      </c>
      <c r="S1268">
        <f t="shared" ca="1" si="508"/>
        <v>1.0797281502163969E-3</v>
      </c>
      <c r="T1268">
        <f t="shared" ca="1" si="509"/>
        <v>0</v>
      </c>
      <c r="U1268">
        <f t="shared" ca="1" si="491"/>
        <v>0.05</v>
      </c>
      <c r="V1268">
        <f t="shared" ca="1" si="492"/>
        <v>0.26</v>
      </c>
      <c r="W1268">
        <f t="shared" ca="1" si="493"/>
        <v>4.9056603773584909E-2</v>
      </c>
      <c r="X1268">
        <f t="shared" ca="1" si="494"/>
        <v>196.15384615384616</v>
      </c>
      <c r="Y1268">
        <f t="shared" ca="1" si="495"/>
        <v>632.053</v>
      </c>
      <c r="Z1268">
        <f t="shared" ca="1" si="496"/>
        <v>2593.1300316486622</v>
      </c>
      <c r="AA1268">
        <f t="shared" ca="1" si="497"/>
        <v>482.07306851378365</v>
      </c>
      <c r="AB1268">
        <f t="shared" ca="1" si="498"/>
        <v>482.07256851378361</v>
      </c>
      <c r="AC1268">
        <f t="shared" ca="1" si="499"/>
        <v>0</v>
      </c>
      <c r="AD1268">
        <f ca="1">IF(V32="Supercritical",L1268,U1268)</f>
        <v>0.05</v>
      </c>
      <c r="AE1268">
        <f t="shared" ca="1" si="500"/>
        <v>632.053</v>
      </c>
      <c r="AF1268">
        <f t="shared" ca="1" si="501"/>
        <v>2593.1300316486622</v>
      </c>
      <c r="AI1268">
        <v>0</v>
      </c>
      <c r="AJ1268">
        <v>0</v>
      </c>
      <c r="AK1268">
        <f t="shared" si="502"/>
        <v>0</v>
      </c>
      <c r="AL1268">
        <f t="shared" si="510"/>
        <v>0</v>
      </c>
      <c r="AM1268">
        <f t="shared" ca="1" si="503"/>
        <v>280.07692026646265</v>
      </c>
      <c r="AN1268" t="str">
        <f t="shared" ca="1" si="504"/>
        <v>Supercritical</v>
      </c>
      <c r="AO1268">
        <f ca="1">IF(V32="Supercritical",R1268,AA1268)</f>
        <v>482.07306851378365</v>
      </c>
    </row>
    <row r="1269" spans="1:41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174</v>
      </c>
      <c r="I1269">
        <v>0</v>
      </c>
      <c r="J1269">
        <f t="shared" si="505"/>
        <v>1</v>
      </c>
      <c r="K1269">
        <f t="shared" si="506"/>
        <v>51</v>
      </c>
      <c r="L1269">
        <f t="shared" ca="1" si="507"/>
        <v>38818.053123839381</v>
      </c>
      <c r="M1269">
        <f t="shared" ca="1" si="485"/>
        <v>201853.8762439648</v>
      </c>
      <c r="N1269">
        <f t="shared" ca="1" si="486"/>
        <v>2.5998258658869435</v>
      </c>
      <c r="O1269">
        <f t="shared" ca="1" si="487"/>
        <v>2.5265801652657065E-4</v>
      </c>
      <c r="P1269">
        <f t="shared" ca="1" si="488"/>
        <v>39450.055623839384</v>
      </c>
      <c r="Q1269">
        <f t="shared" ca="1" si="489"/>
        <v>39450.055623842636</v>
      </c>
      <c r="R1269">
        <f t="shared" ca="1" si="490"/>
        <v>4.0178125339639011E-12</v>
      </c>
      <c r="S1269">
        <f t="shared" ca="1" si="508"/>
        <v>4.9999998736893758E-4</v>
      </c>
      <c r="T1269">
        <f t="shared" ca="1" si="509"/>
        <v>1</v>
      </c>
      <c r="U1269">
        <f t="shared" ca="1" si="491"/>
        <v>0.05</v>
      </c>
      <c r="V1269">
        <f t="shared" ca="1" si="492"/>
        <v>0.26</v>
      </c>
      <c r="W1269">
        <f t="shared" ca="1" si="493"/>
        <v>4.9056603773584909E-2</v>
      </c>
      <c r="X1269">
        <f t="shared" ca="1" si="494"/>
        <v>196.15384615384616</v>
      </c>
      <c r="Y1269">
        <f t="shared" ca="1" si="495"/>
        <v>632.05250000000001</v>
      </c>
      <c r="Z1269">
        <f t="shared" ca="1" si="496"/>
        <v>2593.1295316486621</v>
      </c>
      <c r="AA1269">
        <f t="shared" ca="1" si="497"/>
        <v>482.07306851378365</v>
      </c>
      <c r="AB1269">
        <f t="shared" ca="1" si="498"/>
        <v>482.07256851378361</v>
      </c>
      <c r="AC1269">
        <f t="shared" ca="1" si="499"/>
        <v>0</v>
      </c>
      <c r="AD1269">
        <f ca="1">IF(V32="Supercritical",L1269,U1269)</f>
        <v>0.05</v>
      </c>
      <c r="AE1269">
        <f t="shared" ca="1" si="500"/>
        <v>632.05250000000001</v>
      </c>
      <c r="AF1269">
        <f t="shared" ca="1" si="501"/>
        <v>2593.1295316486621</v>
      </c>
      <c r="AI1269">
        <v>0</v>
      </c>
      <c r="AJ1269">
        <v>0</v>
      </c>
      <c r="AK1269">
        <f t="shared" si="502"/>
        <v>0</v>
      </c>
      <c r="AL1269">
        <f t="shared" si="510"/>
        <v>0</v>
      </c>
      <c r="AM1269">
        <f t="shared" ca="1" si="503"/>
        <v>280.07692026646265</v>
      </c>
      <c r="AN1269" t="str">
        <f t="shared" ca="1" si="504"/>
        <v>Supercritical</v>
      </c>
      <c r="AO1269">
        <f ca="1">IF(V32="Supercritical",R1269,AA1269)</f>
        <v>482.07306851378365</v>
      </c>
    </row>
    <row r="1270" spans="1:41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174</v>
      </c>
      <c r="I1270">
        <v>0</v>
      </c>
      <c r="J1270">
        <f t="shared" si="505"/>
        <v>1</v>
      </c>
      <c r="K1270">
        <f t="shared" si="506"/>
        <v>51</v>
      </c>
      <c r="L1270">
        <f t="shared" ca="1" si="507"/>
        <v>38818.052542551537</v>
      </c>
      <c r="M1270">
        <f t="shared" ca="1" si="485"/>
        <v>201853.873221268</v>
      </c>
      <c r="N1270">
        <f t="shared" ca="1" si="486"/>
        <v>2.5998258658843363</v>
      </c>
      <c r="O1270">
        <f t="shared" ca="1" si="487"/>
        <v>2.526580203100431E-4</v>
      </c>
      <c r="P1270">
        <f t="shared" ca="1" si="488"/>
        <v>39450.054542551537</v>
      </c>
      <c r="Q1270">
        <f t="shared" ca="1" si="489"/>
        <v>39450.05454255479</v>
      </c>
      <c r="R1270">
        <f t="shared" ca="1" si="490"/>
        <v>4.0178126543001745E-12</v>
      </c>
      <c r="S1270">
        <f t="shared" ca="1" si="508"/>
        <v>1.0812878390424885E-3</v>
      </c>
      <c r="T1270">
        <f t="shared" ca="1" si="509"/>
        <v>0</v>
      </c>
      <c r="U1270">
        <f t="shared" ca="1" si="491"/>
        <v>0.05</v>
      </c>
      <c r="V1270">
        <f t="shared" ca="1" si="492"/>
        <v>0.26</v>
      </c>
      <c r="W1270">
        <f t="shared" ca="1" si="493"/>
        <v>4.9056603773584909E-2</v>
      </c>
      <c r="X1270">
        <f t="shared" ca="1" si="494"/>
        <v>196.15384615384616</v>
      </c>
      <c r="Y1270">
        <f t="shared" ca="1" si="495"/>
        <v>632.05199999999991</v>
      </c>
      <c r="Z1270">
        <f t="shared" ca="1" si="496"/>
        <v>2593.129031648662</v>
      </c>
      <c r="AA1270">
        <f t="shared" ca="1" si="497"/>
        <v>482.07306851378365</v>
      </c>
      <c r="AB1270">
        <f t="shared" ca="1" si="498"/>
        <v>482.25887083179032</v>
      </c>
      <c r="AC1270">
        <f t="shared" ca="1" si="499"/>
        <v>0</v>
      </c>
      <c r="AD1270">
        <f ca="1">IF(V32="Supercritical",L1270,U1270)</f>
        <v>0.05</v>
      </c>
      <c r="AE1270">
        <f t="shared" ca="1" si="500"/>
        <v>632.05199999999991</v>
      </c>
      <c r="AF1270">
        <f t="shared" ca="1" si="501"/>
        <v>2593.129031648662</v>
      </c>
      <c r="AI1270">
        <v>0</v>
      </c>
      <c r="AJ1270">
        <v>0</v>
      </c>
      <c r="AK1270">
        <f t="shared" si="502"/>
        <v>0</v>
      </c>
      <c r="AL1270">
        <f t="shared" si="510"/>
        <v>0</v>
      </c>
      <c r="AM1270">
        <f t="shared" ca="1" si="503"/>
        <v>280.07692026646265</v>
      </c>
      <c r="AN1270" t="str">
        <f t="shared" ca="1" si="504"/>
        <v>Supercritical</v>
      </c>
      <c r="AO1270">
        <f ca="1">IF(V32="Supercritical",R1270,AA1270)</f>
        <v>482.07306851378365</v>
      </c>
    </row>
    <row r="1271" spans="1:41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174</v>
      </c>
      <c r="I1271">
        <v>5.7000000000000002E-2</v>
      </c>
      <c r="J1271">
        <f t="shared" si="505"/>
        <v>1</v>
      </c>
      <c r="K1271">
        <f t="shared" si="506"/>
        <v>51</v>
      </c>
      <c r="L1271">
        <f t="shared" ca="1" si="507"/>
        <v>38818.052542551537</v>
      </c>
      <c r="M1271">
        <f t="shared" ca="1" si="485"/>
        <v>201853.873221268</v>
      </c>
      <c r="N1271">
        <f t="shared" ca="1" si="486"/>
        <v>2.5998258658843363</v>
      </c>
      <c r="O1271">
        <f t="shared" ca="1" si="487"/>
        <v>2.526580203100431E-4</v>
      </c>
      <c r="P1271">
        <f t="shared" ca="1" si="488"/>
        <v>39450.054042551536</v>
      </c>
      <c r="Q1271">
        <f t="shared" ca="1" si="489"/>
        <v>39450.054042554788</v>
      </c>
      <c r="R1271">
        <f t="shared" ca="1" si="490"/>
        <v>4.0178126543001745E-12</v>
      </c>
      <c r="S1271">
        <f t="shared" ca="1" si="508"/>
        <v>4.999999946448952E-4</v>
      </c>
      <c r="T1271">
        <f t="shared" ca="1" si="509"/>
        <v>1</v>
      </c>
      <c r="U1271">
        <f t="shared" ca="1" si="491"/>
        <v>0.05</v>
      </c>
      <c r="V1271">
        <f t="shared" ca="1" si="492"/>
        <v>0.26</v>
      </c>
      <c r="W1271">
        <f t="shared" ca="1" si="493"/>
        <v>4.9056603773584909E-2</v>
      </c>
      <c r="X1271">
        <f t="shared" ca="1" si="494"/>
        <v>196.15384615384616</v>
      </c>
      <c r="Y1271">
        <f t="shared" ca="1" si="495"/>
        <v>632.05149999999992</v>
      </c>
      <c r="Z1271">
        <f t="shared" ca="1" si="496"/>
        <v>2593.1285316486619</v>
      </c>
      <c r="AA1271">
        <f t="shared" ca="1" si="497"/>
        <v>482.07306851378365</v>
      </c>
      <c r="AB1271">
        <f t="shared" ca="1" si="498"/>
        <v>482.25887083179032</v>
      </c>
      <c r="AC1271">
        <f t="shared" ca="1" si="499"/>
        <v>0</v>
      </c>
      <c r="AD1271">
        <f ca="1">IF(V32="Supercritical",L1271,U1271)</f>
        <v>0.05</v>
      </c>
      <c r="AE1271">
        <f t="shared" ca="1" si="500"/>
        <v>632.05149999999992</v>
      </c>
      <c r="AF1271">
        <f t="shared" ca="1" si="501"/>
        <v>2593.1285316486619</v>
      </c>
      <c r="AI1271">
        <v>0</v>
      </c>
      <c r="AJ1271">
        <v>0</v>
      </c>
      <c r="AK1271">
        <f t="shared" si="502"/>
        <v>0</v>
      </c>
      <c r="AL1271">
        <f t="shared" si="510"/>
        <v>0</v>
      </c>
      <c r="AM1271">
        <f t="shared" ca="1" si="503"/>
        <v>280.07692026646265</v>
      </c>
      <c r="AN1271" t="str">
        <f t="shared" ca="1" si="504"/>
        <v>Supercritical</v>
      </c>
      <c r="AO1271">
        <f ca="1">IF(V32="Supercritical",R1271,AA1271)</f>
        <v>482.07306851378365</v>
      </c>
    </row>
    <row r="1272" spans="1:41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174</v>
      </c>
      <c r="I1272">
        <v>5.7000000000000002E-2</v>
      </c>
      <c r="J1272">
        <f t="shared" si="505"/>
        <v>1</v>
      </c>
      <c r="K1272">
        <f t="shared" si="506"/>
        <v>51</v>
      </c>
      <c r="L1272">
        <f t="shared" ca="1" si="507"/>
        <v>38818.051918555946</v>
      </c>
      <c r="M1272">
        <f t="shared" ca="1" si="485"/>
        <v>201853.86997649094</v>
      </c>
      <c r="N1272">
        <f t="shared" ca="1" si="486"/>
        <v>2.5998258658815372</v>
      </c>
      <c r="O1272">
        <f t="shared" ca="1" si="487"/>
        <v>2.5265802437149089E-4</v>
      </c>
      <c r="P1272">
        <f t="shared" ca="1" si="488"/>
        <v>39450.052918555943</v>
      </c>
      <c r="Q1272">
        <f t="shared" ca="1" si="489"/>
        <v>39450.052918559195</v>
      </c>
      <c r="R1272">
        <f t="shared" ca="1" si="490"/>
        <v>4.0178127834776677E-12</v>
      </c>
      <c r="S1272">
        <f t="shared" ca="1" si="508"/>
        <v>1.1239955856581219E-3</v>
      </c>
      <c r="T1272">
        <f t="shared" ca="1" si="509"/>
        <v>0</v>
      </c>
      <c r="U1272">
        <f t="shared" ca="1" si="491"/>
        <v>0.05</v>
      </c>
      <c r="V1272">
        <f t="shared" ca="1" si="492"/>
        <v>0.26</v>
      </c>
      <c r="W1272">
        <f t="shared" ca="1" si="493"/>
        <v>4.9056603773584909E-2</v>
      </c>
      <c r="X1272">
        <f t="shared" ca="1" si="494"/>
        <v>196.15384615384616</v>
      </c>
      <c r="Y1272">
        <f t="shared" ca="1" si="495"/>
        <v>632.05099999999993</v>
      </c>
      <c r="Z1272">
        <f t="shared" ca="1" si="496"/>
        <v>2593.1280316486618</v>
      </c>
      <c r="AA1272">
        <f t="shared" ca="1" si="497"/>
        <v>482.07306851378365</v>
      </c>
      <c r="AB1272">
        <f t="shared" ca="1" si="498"/>
        <v>482.07256851378406</v>
      </c>
      <c r="AC1272">
        <f t="shared" ca="1" si="499"/>
        <v>0</v>
      </c>
      <c r="AD1272">
        <f ca="1">IF(V32="Supercritical",L1272,U1272)</f>
        <v>0.05</v>
      </c>
      <c r="AE1272">
        <f t="shared" ca="1" si="500"/>
        <v>632.05099999999993</v>
      </c>
      <c r="AF1272">
        <f t="shared" ca="1" si="501"/>
        <v>2593.1280316486618</v>
      </c>
      <c r="AI1272">
        <v>0</v>
      </c>
      <c r="AJ1272">
        <v>0</v>
      </c>
      <c r="AK1272">
        <f t="shared" si="502"/>
        <v>0</v>
      </c>
      <c r="AL1272">
        <f t="shared" si="510"/>
        <v>0</v>
      </c>
      <c r="AM1272">
        <f t="shared" ca="1" si="503"/>
        <v>280.07692026646265</v>
      </c>
      <c r="AN1272" t="str">
        <f t="shared" ca="1" si="504"/>
        <v>Supercritical</v>
      </c>
      <c r="AO1272">
        <f ca="1">IF(V32="Supercritical",R1272,AA1272)</f>
        <v>482.07306851378365</v>
      </c>
    </row>
    <row r="1273" spans="1:41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174</v>
      </c>
      <c r="I1273">
        <v>0</v>
      </c>
      <c r="J1273">
        <f t="shared" si="505"/>
        <v>1</v>
      </c>
      <c r="K1273">
        <f t="shared" si="506"/>
        <v>51</v>
      </c>
      <c r="L1273">
        <f t="shared" ca="1" si="507"/>
        <v>38818.051918555946</v>
      </c>
      <c r="M1273">
        <f t="shared" ca="1" si="485"/>
        <v>201853.86997649094</v>
      </c>
      <c r="N1273">
        <f t="shared" ca="1" si="486"/>
        <v>2.5998258658815372</v>
      </c>
      <c r="O1273">
        <f t="shared" ca="1" si="487"/>
        <v>2.5265802437149089E-4</v>
      </c>
      <c r="P1273">
        <f t="shared" ca="1" si="488"/>
        <v>39450.052418555948</v>
      </c>
      <c r="Q1273">
        <f t="shared" ca="1" si="489"/>
        <v>39450.0524185592</v>
      </c>
      <c r="R1273">
        <f t="shared" ca="1" si="490"/>
        <v>4.0178127834776677E-12</v>
      </c>
      <c r="S1273">
        <f t="shared" ca="1" si="508"/>
        <v>4.9999998736893758E-4</v>
      </c>
      <c r="T1273">
        <f t="shared" ca="1" si="509"/>
        <v>1</v>
      </c>
      <c r="U1273">
        <f t="shared" ca="1" si="491"/>
        <v>0.05</v>
      </c>
      <c r="V1273">
        <f t="shared" ca="1" si="492"/>
        <v>0.26</v>
      </c>
      <c r="W1273">
        <f t="shared" ca="1" si="493"/>
        <v>4.9056603773584909E-2</v>
      </c>
      <c r="X1273">
        <f t="shared" ca="1" si="494"/>
        <v>196.15384615384616</v>
      </c>
      <c r="Y1273">
        <f t="shared" ca="1" si="495"/>
        <v>632.05049999999994</v>
      </c>
      <c r="Z1273">
        <f t="shared" ca="1" si="496"/>
        <v>2593.1275316486622</v>
      </c>
      <c r="AA1273">
        <f t="shared" ca="1" si="497"/>
        <v>482.07306851378365</v>
      </c>
      <c r="AB1273">
        <f t="shared" ca="1" si="498"/>
        <v>482.07910543722255</v>
      </c>
      <c r="AC1273">
        <f t="shared" ca="1" si="499"/>
        <v>0</v>
      </c>
      <c r="AD1273">
        <f ca="1">IF(V32="Supercritical",L1273,U1273)</f>
        <v>0.05</v>
      </c>
      <c r="AE1273">
        <f t="shared" ca="1" si="500"/>
        <v>632.05049999999994</v>
      </c>
      <c r="AF1273">
        <f t="shared" ca="1" si="501"/>
        <v>2593.1275316486622</v>
      </c>
      <c r="AI1273">
        <v>0</v>
      </c>
      <c r="AJ1273">
        <v>0</v>
      </c>
      <c r="AK1273">
        <f t="shared" si="502"/>
        <v>0</v>
      </c>
      <c r="AL1273">
        <f t="shared" si="510"/>
        <v>0</v>
      </c>
      <c r="AM1273">
        <f t="shared" ca="1" si="503"/>
        <v>280.07692026646265</v>
      </c>
      <c r="AN1273" t="str">
        <f t="shared" ca="1" si="504"/>
        <v>Supercritical</v>
      </c>
      <c r="AO1273">
        <f ca="1">IF(V32="Supercritical",R1273,AA1273)</f>
        <v>482.07306851378365</v>
      </c>
    </row>
    <row r="1274" spans="1:41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174</v>
      </c>
      <c r="I1274">
        <v>2E-3</v>
      </c>
      <c r="J1274">
        <f t="shared" si="505"/>
        <v>1</v>
      </c>
      <c r="K1274">
        <f t="shared" si="506"/>
        <v>51</v>
      </c>
      <c r="L1274">
        <f t="shared" ca="1" si="507"/>
        <v>38818.051383912702</v>
      </c>
      <c r="M1274">
        <f t="shared" ca="1" si="485"/>
        <v>201853.86719634605</v>
      </c>
      <c r="N1274">
        <f t="shared" ca="1" si="486"/>
        <v>2.5998258658791387</v>
      </c>
      <c r="O1274">
        <f t="shared" ca="1" si="487"/>
        <v>2.5265802785136434E-4</v>
      </c>
      <c r="P1274">
        <f t="shared" ca="1" si="488"/>
        <v>39450.051383912702</v>
      </c>
      <c r="Q1274">
        <f t="shared" ca="1" si="489"/>
        <v>39450.051383915954</v>
      </c>
      <c r="R1274">
        <f t="shared" ca="1" si="490"/>
        <v>4.0178128941577416E-12</v>
      </c>
      <c r="S1274">
        <f t="shared" ca="1" si="508"/>
        <v>1.0346432391088456E-3</v>
      </c>
      <c r="T1274">
        <f t="shared" ca="1" si="509"/>
        <v>0</v>
      </c>
      <c r="U1274">
        <f t="shared" ca="1" si="491"/>
        <v>0.05</v>
      </c>
      <c r="V1274">
        <f t="shared" ca="1" si="492"/>
        <v>0.26</v>
      </c>
      <c r="W1274">
        <f t="shared" ca="1" si="493"/>
        <v>4.9056603773584909E-2</v>
      </c>
      <c r="X1274">
        <f t="shared" ca="1" si="494"/>
        <v>196.15384615384616</v>
      </c>
      <c r="Y1274">
        <f t="shared" ca="1" si="495"/>
        <v>632.04999999999995</v>
      </c>
      <c r="Z1274">
        <f t="shared" ca="1" si="496"/>
        <v>2593.1270316486621</v>
      </c>
      <c r="AA1274">
        <f t="shared" ca="1" si="497"/>
        <v>482.07306851378365</v>
      </c>
      <c r="AB1274">
        <f t="shared" ca="1" si="498"/>
        <v>482.75074928556023</v>
      </c>
      <c r="AC1274">
        <f t="shared" ca="1" si="499"/>
        <v>0</v>
      </c>
      <c r="AD1274">
        <f ca="1">IF(V32="Supercritical",L1274,U1274)</f>
        <v>0.05</v>
      </c>
      <c r="AE1274">
        <f t="shared" ca="1" si="500"/>
        <v>632.04999999999995</v>
      </c>
      <c r="AF1274">
        <f t="shared" ca="1" si="501"/>
        <v>2593.1270316486621</v>
      </c>
      <c r="AI1274">
        <v>0</v>
      </c>
      <c r="AJ1274">
        <v>0</v>
      </c>
      <c r="AK1274">
        <f t="shared" si="502"/>
        <v>0</v>
      </c>
      <c r="AL1274">
        <f t="shared" si="510"/>
        <v>0</v>
      </c>
      <c r="AM1274">
        <f t="shared" ca="1" si="503"/>
        <v>280.07692026646265</v>
      </c>
      <c r="AN1274" t="str">
        <f t="shared" ca="1" si="504"/>
        <v>Supercritical</v>
      </c>
      <c r="AO1274">
        <f ca="1">IF(V32="Supercritical",R1274,AA1274)</f>
        <v>482.07306851378365</v>
      </c>
    </row>
    <row r="1275" spans="1:41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174</v>
      </c>
      <c r="I1275">
        <v>0.06</v>
      </c>
      <c r="J1275">
        <f t="shared" si="505"/>
        <v>1.0010000000002037</v>
      </c>
      <c r="K1275">
        <f t="shared" si="506"/>
        <v>51</v>
      </c>
      <c r="L1275">
        <f t="shared" ca="1" si="507"/>
        <v>38818.051383912702</v>
      </c>
      <c r="M1275">
        <f t="shared" ca="1" si="485"/>
        <v>201853.86719634605</v>
      </c>
      <c r="N1275">
        <f t="shared" ca="1" si="486"/>
        <v>2.5998258658791387</v>
      </c>
      <c r="O1275">
        <f t="shared" ca="1" si="487"/>
        <v>2.5265802785136434E-4</v>
      </c>
      <c r="P1275">
        <f t="shared" ca="1" si="488"/>
        <v>39450.0508839127</v>
      </c>
      <c r="Q1275">
        <f t="shared" ca="1" si="489"/>
        <v>39450.050883915952</v>
      </c>
      <c r="R1275">
        <f t="shared" ca="1" si="490"/>
        <v>4.0178128941577416E-12</v>
      </c>
      <c r="S1275">
        <f t="shared" ca="1" si="508"/>
        <v>4.999999946448952E-4</v>
      </c>
      <c r="T1275">
        <f t="shared" ca="1" si="509"/>
        <v>1</v>
      </c>
      <c r="U1275">
        <f t="shared" ca="1" si="491"/>
        <v>0.05</v>
      </c>
      <c r="V1275">
        <f t="shared" ca="1" si="492"/>
        <v>0.26</v>
      </c>
      <c r="W1275">
        <f t="shared" ca="1" si="493"/>
        <v>4.9056603773584909E-2</v>
      </c>
      <c r="X1275">
        <f t="shared" ca="1" si="494"/>
        <v>196.15384615384616</v>
      </c>
      <c r="Y1275">
        <f t="shared" ca="1" si="495"/>
        <v>632.04949999999997</v>
      </c>
      <c r="Z1275">
        <f t="shared" ca="1" si="496"/>
        <v>2593.126531648662</v>
      </c>
      <c r="AA1275">
        <f t="shared" ca="1" si="497"/>
        <v>482.07306851378365</v>
      </c>
      <c r="AB1275">
        <f t="shared" ca="1" si="498"/>
        <v>482.25887083179077</v>
      </c>
      <c r="AC1275">
        <f t="shared" ca="1" si="499"/>
        <v>0</v>
      </c>
      <c r="AD1275">
        <f ca="1">IF(V32="Supercritical",L1275,U1275)</f>
        <v>0.05</v>
      </c>
      <c r="AE1275">
        <f t="shared" ca="1" si="500"/>
        <v>632.04949999999997</v>
      </c>
      <c r="AF1275">
        <f t="shared" ca="1" si="501"/>
        <v>2593.126531648662</v>
      </c>
      <c r="AI1275">
        <v>0</v>
      </c>
      <c r="AJ1275">
        <v>0</v>
      </c>
      <c r="AK1275">
        <f t="shared" si="502"/>
        <v>0</v>
      </c>
      <c r="AL1275">
        <f t="shared" si="510"/>
        <v>0</v>
      </c>
      <c r="AM1275">
        <f t="shared" ca="1" si="503"/>
        <v>280.07692026646265</v>
      </c>
      <c r="AN1275" t="str">
        <f t="shared" ca="1" si="504"/>
        <v>Supercritical</v>
      </c>
      <c r="AO1275">
        <f ca="1">IF(V32="Supercritical",R1275,AA1275)</f>
        <v>482.07306851378365</v>
      </c>
    </row>
    <row r="1276" spans="1:41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174</v>
      </c>
      <c r="I1276">
        <v>5.7000000000000002E-2</v>
      </c>
      <c r="J1276">
        <f t="shared" si="505"/>
        <v>1</v>
      </c>
      <c r="K1276">
        <f t="shared" si="506"/>
        <v>51</v>
      </c>
      <c r="L1276">
        <f t="shared" ca="1" si="507"/>
        <v>38818.051231278128</v>
      </c>
      <c r="M1276">
        <f t="shared" ca="1" si="485"/>
        <v>201853.86640264626</v>
      </c>
      <c r="N1276">
        <f t="shared" ca="1" si="486"/>
        <v>2.5998258658784543</v>
      </c>
      <c r="O1276">
        <f t="shared" ca="1" si="487"/>
        <v>2.5265802884482871E-4</v>
      </c>
      <c r="P1276">
        <f t="shared" ca="1" si="488"/>
        <v>39450.050231278132</v>
      </c>
      <c r="Q1276">
        <f t="shared" ca="1" si="489"/>
        <v>39450.050231281384</v>
      </c>
      <c r="R1276">
        <f t="shared" ca="1" si="490"/>
        <v>4.0178129257556468E-12</v>
      </c>
      <c r="S1276">
        <f t="shared" ca="1" si="508"/>
        <v>6.5263456053799018E-4</v>
      </c>
      <c r="T1276">
        <f t="shared" ca="1" si="509"/>
        <v>1</v>
      </c>
      <c r="U1276">
        <f t="shared" ca="1" si="491"/>
        <v>0.05</v>
      </c>
      <c r="V1276">
        <f t="shared" ca="1" si="492"/>
        <v>0.26</v>
      </c>
      <c r="W1276">
        <f t="shared" ca="1" si="493"/>
        <v>4.9056603773584909E-2</v>
      </c>
      <c r="X1276">
        <f t="shared" ca="1" si="494"/>
        <v>196.15384615384616</v>
      </c>
      <c r="Y1276">
        <f t="shared" ca="1" si="495"/>
        <v>632.04899999999998</v>
      </c>
      <c r="Z1276">
        <f t="shared" ca="1" si="496"/>
        <v>2593.1260316486623</v>
      </c>
      <c r="AA1276">
        <f t="shared" ca="1" si="497"/>
        <v>482.07306851378365</v>
      </c>
      <c r="AB1276">
        <f t="shared" ca="1" si="498"/>
        <v>481.59049544517165</v>
      </c>
      <c r="AC1276">
        <f t="shared" ca="1" si="499"/>
        <v>0</v>
      </c>
      <c r="AD1276">
        <f ca="1">IF(V32="Supercritical",L1276,U1276)</f>
        <v>0.05</v>
      </c>
      <c r="AE1276">
        <f t="shared" ca="1" si="500"/>
        <v>632.04899999999998</v>
      </c>
      <c r="AF1276">
        <f t="shared" ca="1" si="501"/>
        <v>2593.1260316486623</v>
      </c>
      <c r="AI1276">
        <v>0</v>
      </c>
      <c r="AJ1276">
        <v>0</v>
      </c>
      <c r="AK1276">
        <f t="shared" si="502"/>
        <v>0</v>
      </c>
      <c r="AL1276">
        <f t="shared" si="510"/>
        <v>0</v>
      </c>
      <c r="AM1276">
        <f t="shared" ca="1" si="503"/>
        <v>280.07692026646265</v>
      </c>
      <c r="AN1276" t="str">
        <f t="shared" ca="1" si="504"/>
        <v>Supercritical</v>
      </c>
      <c r="AO1276">
        <f ca="1">IF(V32="Supercritical",R1276,AA1276)</f>
        <v>482.07306851378365</v>
      </c>
    </row>
    <row r="1277" spans="1:41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174</v>
      </c>
      <c r="I1277">
        <v>0</v>
      </c>
      <c r="J1277">
        <f t="shared" si="505"/>
        <v>0.99899999999979627</v>
      </c>
      <c r="K1277">
        <f t="shared" si="506"/>
        <v>51</v>
      </c>
      <c r="L1277">
        <f t="shared" ca="1" si="507"/>
        <v>38818.051231278128</v>
      </c>
      <c r="M1277">
        <f t="shared" ca="1" si="485"/>
        <v>201853.86640264626</v>
      </c>
      <c r="N1277">
        <f t="shared" ca="1" si="486"/>
        <v>2.5998258658784543</v>
      </c>
      <c r="O1277">
        <f t="shared" ca="1" si="487"/>
        <v>2.5265802884482871E-4</v>
      </c>
      <c r="P1277">
        <f t="shared" ca="1" si="488"/>
        <v>39450.04973127813</v>
      </c>
      <c r="Q1277">
        <f t="shared" ca="1" si="489"/>
        <v>39450.049731281382</v>
      </c>
      <c r="R1277">
        <f t="shared" ca="1" si="490"/>
        <v>4.0178129257556468E-12</v>
      </c>
      <c r="S1277">
        <f t="shared" ca="1" si="508"/>
        <v>4.999999946448952E-4</v>
      </c>
      <c r="T1277">
        <f t="shared" ca="1" si="509"/>
        <v>1</v>
      </c>
      <c r="U1277">
        <f t="shared" ca="1" si="491"/>
        <v>0.05</v>
      </c>
      <c r="V1277">
        <f t="shared" ca="1" si="492"/>
        <v>0.26</v>
      </c>
      <c r="W1277">
        <f t="shared" ca="1" si="493"/>
        <v>4.9056603773584909E-2</v>
      </c>
      <c r="X1277">
        <f t="shared" ca="1" si="494"/>
        <v>196.15384615384616</v>
      </c>
      <c r="Y1277">
        <f t="shared" ca="1" si="495"/>
        <v>632.04849999999999</v>
      </c>
      <c r="Z1277">
        <f t="shared" ca="1" si="496"/>
        <v>2593.1255316486622</v>
      </c>
      <c r="AA1277">
        <f t="shared" ca="1" si="497"/>
        <v>482.07306851378365</v>
      </c>
      <c r="AB1277">
        <f t="shared" ca="1" si="498"/>
        <v>482.07256851378361</v>
      </c>
      <c r="AC1277">
        <f t="shared" ca="1" si="499"/>
        <v>0</v>
      </c>
      <c r="AD1277">
        <f ca="1">IF(V32="Supercritical",L1277,U1277)</f>
        <v>0.05</v>
      </c>
      <c r="AE1277">
        <f t="shared" ca="1" si="500"/>
        <v>632.04849999999999</v>
      </c>
      <c r="AF1277">
        <f t="shared" ca="1" si="501"/>
        <v>2593.1255316486622</v>
      </c>
      <c r="AI1277">
        <v>0</v>
      </c>
      <c r="AJ1277">
        <v>0</v>
      </c>
      <c r="AK1277">
        <f t="shared" si="502"/>
        <v>0</v>
      </c>
      <c r="AL1277">
        <f t="shared" si="510"/>
        <v>0</v>
      </c>
      <c r="AM1277">
        <f t="shared" ca="1" si="503"/>
        <v>280.07692026646265</v>
      </c>
      <c r="AN1277" t="str">
        <f t="shared" ca="1" si="504"/>
        <v>Supercritical</v>
      </c>
      <c r="AO1277">
        <f ca="1">IF(V32="Supercritical",R1277,AA1277)</f>
        <v>482.07306851378365</v>
      </c>
    </row>
    <row r="1278" spans="1:41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174</v>
      </c>
      <c r="I1278">
        <v>0</v>
      </c>
      <c r="J1278">
        <f t="shared" si="505"/>
        <v>1</v>
      </c>
      <c r="K1278">
        <f t="shared" si="506"/>
        <v>51</v>
      </c>
      <c r="L1278">
        <f t="shared" ca="1" si="507"/>
        <v>38818.051231278128</v>
      </c>
      <c r="M1278">
        <f t="shared" ca="1" si="485"/>
        <v>201853.86640264626</v>
      </c>
      <c r="N1278">
        <f t="shared" ca="1" si="486"/>
        <v>2.5998258658784543</v>
      </c>
      <c r="O1278">
        <f t="shared" ca="1" si="487"/>
        <v>2.5265802884482871E-4</v>
      </c>
      <c r="P1278">
        <f t="shared" ca="1" si="488"/>
        <v>39450.049231278128</v>
      </c>
      <c r="Q1278">
        <f t="shared" ca="1" si="489"/>
        <v>39450.04923128138</v>
      </c>
      <c r="R1278">
        <f t="shared" ca="1" si="490"/>
        <v>4.0178129257556468E-12</v>
      </c>
      <c r="S1278">
        <f t="shared" ca="1" si="508"/>
        <v>4.999999946448952E-4</v>
      </c>
      <c r="T1278">
        <f t="shared" ca="1" si="509"/>
        <v>1</v>
      </c>
      <c r="U1278">
        <f t="shared" ca="1" si="491"/>
        <v>0.05</v>
      </c>
      <c r="V1278">
        <f t="shared" ca="1" si="492"/>
        <v>0.26</v>
      </c>
      <c r="W1278">
        <f t="shared" ca="1" si="493"/>
        <v>4.9056603773584909E-2</v>
      </c>
      <c r="X1278">
        <f t="shared" ca="1" si="494"/>
        <v>196.15384615384616</v>
      </c>
      <c r="Y1278">
        <f t="shared" ca="1" si="495"/>
        <v>632.048</v>
      </c>
      <c r="Z1278">
        <f t="shared" ca="1" si="496"/>
        <v>2593.1250316486621</v>
      </c>
      <c r="AA1278">
        <f t="shared" ca="1" si="497"/>
        <v>482.07306851378365</v>
      </c>
      <c r="AB1278">
        <f t="shared" ca="1" si="498"/>
        <v>482.25887083179032</v>
      </c>
      <c r="AC1278">
        <f t="shared" ca="1" si="499"/>
        <v>0</v>
      </c>
      <c r="AD1278">
        <f ca="1">IF(V32="Supercritical",L1278,U1278)</f>
        <v>0.05</v>
      </c>
      <c r="AE1278">
        <f t="shared" ca="1" si="500"/>
        <v>632.048</v>
      </c>
      <c r="AF1278">
        <f t="shared" ca="1" si="501"/>
        <v>2593.1250316486621</v>
      </c>
      <c r="AI1278">
        <v>0</v>
      </c>
      <c r="AJ1278">
        <v>0</v>
      </c>
      <c r="AK1278">
        <f t="shared" si="502"/>
        <v>0</v>
      </c>
      <c r="AL1278">
        <f t="shared" si="510"/>
        <v>0</v>
      </c>
      <c r="AM1278">
        <f t="shared" ca="1" si="503"/>
        <v>280.07692026646265</v>
      </c>
      <c r="AN1278" t="str">
        <f t="shared" ca="1" si="504"/>
        <v>Supercritical</v>
      </c>
      <c r="AO1278">
        <f ca="1">IF(V32="Supercritical",R1278,AA1278)</f>
        <v>482.07306851378365</v>
      </c>
    </row>
    <row r="1279" spans="1:41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174</v>
      </c>
      <c r="I1279">
        <v>5.7000000000000002E-2</v>
      </c>
      <c r="J1279">
        <f t="shared" si="505"/>
        <v>1</v>
      </c>
      <c r="K1279">
        <f t="shared" si="506"/>
        <v>51</v>
      </c>
      <c r="L1279">
        <f t="shared" ca="1" si="507"/>
        <v>38818.051231278128</v>
      </c>
      <c r="M1279">
        <f t="shared" ca="1" si="485"/>
        <v>201853.86640264626</v>
      </c>
      <c r="N1279">
        <f t="shared" ca="1" si="486"/>
        <v>2.5998258658784543</v>
      </c>
      <c r="O1279">
        <f t="shared" ca="1" si="487"/>
        <v>2.5265802884482871E-4</v>
      </c>
      <c r="P1279">
        <f t="shared" ca="1" si="488"/>
        <v>39450.048731278126</v>
      </c>
      <c r="Q1279">
        <f t="shared" ca="1" si="489"/>
        <v>39450.048731281378</v>
      </c>
      <c r="R1279">
        <f t="shared" ca="1" si="490"/>
        <v>4.0178129257556468E-12</v>
      </c>
      <c r="S1279">
        <f t="shared" ca="1" si="508"/>
        <v>4.999999946448952E-4</v>
      </c>
      <c r="T1279">
        <f t="shared" ca="1" si="509"/>
        <v>1</v>
      </c>
      <c r="U1279">
        <f t="shared" ca="1" si="491"/>
        <v>0.05</v>
      </c>
      <c r="V1279">
        <f t="shared" ca="1" si="492"/>
        <v>0.26</v>
      </c>
      <c r="W1279">
        <f t="shared" ca="1" si="493"/>
        <v>4.9056603773584909E-2</v>
      </c>
      <c r="X1279">
        <f t="shared" ca="1" si="494"/>
        <v>196.15384615384616</v>
      </c>
      <c r="Y1279">
        <f t="shared" ca="1" si="495"/>
        <v>632.0474999999999</v>
      </c>
      <c r="Z1279">
        <f t="shared" ca="1" si="496"/>
        <v>2593.124531648662</v>
      </c>
      <c r="AA1279">
        <f t="shared" ca="1" si="497"/>
        <v>482.07306851378365</v>
      </c>
      <c r="AB1279">
        <f t="shared" ca="1" si="498"/>
        <v>482.25887083179032</v>
      </c>
      <c r="AC1279">
        <f t="shared" ca="1" si="499"/>
        <v>0</v>
      </c>
      <c r="AD1279">
        <f ca="1">IF(V32="Supercritical",L1279,U1279)</f>
        <v>0.05</v>
      </c>
      <c r="AE1279">
        <f t="shared" ca="1" si="500"/>
        <v>632.0474999999999</v>
      </c>
      <c r="AF1279">
        <f t="shared" ca="1" si="501"/>
        <v>2593.124531648662</v>
      </c>
      <c r="AI1279">
        <v>0</v>
      </c>
      <c r="AJ1279">
        <v>0</v>
      </c>
      <c r="AK1279">
        <f t="shared" si="502"/>
        <v>0</v>
      </c>
      <c r="AL1279">
        <f t="shared" si="510"/>
        <v>0</v>
      </c>
      <c r="AM1279">
        <f t="shared" ca="1" si="503"/>
        <v>280.07692026646265</v>
      </c>
      <c r="AN1279" t="str">
        <f t="shared" ca="1" si="504"/>
        <v>Supercritical</v>
      </c>
      <c r="AO1279">
        <f ca="1">IF(V32="Supercritical",R1279,AA1279)</f>
        <v>482.07306851378365</v>
      </c>
    </row>
    <row r="1280" spans="1:41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174</v>
      </c>
      <c r="I1280">
        <v>5.7000000000000002E-2</v>
      </c>
      <c r="J1280">
        <f t="shared" si="505"/>
        <v>1</v>
      </c>
      <c r="K1280">
        <f t="shared" si="506"/>
        <v>51</v>
      </c>
      <c r="L1280">
        <f t="shared" ca="1" si="507"/>
        <v>38818.051231278128</v>
      </c>
      <c r="M1280">
        <f t="shared" ca="1" si="485"/>
        <v>201853.86640264626</v>
      </c>
      <c r="N1280">
        <f t="shared" ca="1" si="486"/>
        <v>2.5998258658784543</v>
      </c>
      <c r="O1280">
        <f t="shared" ca="1" si="487"/>
        <v>2.5265802884482871E-4</v>
      </c>
      <c r="P1280">
        <f t="shared" ca="1" si="488"/>
        <v>39450.048231278131</v>
      </c>
      <c r="Q1280">
        <f t="shared" ca="1" si="489"/>
        <v>39450.048231281384</v>
      </c>
      <c r="R1280">
        <f t="shared" ca="1" si="490"/>
        <v>4.0178129257556468E-12</v>
      </c>
      <c r="S1280">
        <f t="shared" ca="1" si="508"/>
        <v>4.9999998736893758E-4</v>
      </c>
      <c r="T1280">
        <f t="shared" ca="1" si="509"/>
        <v>1</v>
      </c>
      <c r="U1280">
        <f t="shared" ca="1" si="491"/>
        <v>0.05</v>
      </c>
      <c r="V1280">
        <f t="shared" ca="1" si="492"/>
        <v>0.26</v>
      </c>
      <c r="W1280">
        <f t="shared" ca="1" si="493"/>
        <v>4.9056603773584909E-2</v>
      </c>
      <c r="X1280">
        <f t="shared" ca="1" si="494"/>
        <v>196.15384615384616</v>
      </c>
      <c r="Y1280">
        <f t="shared" ca="1" si="495"/>
        <v>632.04699999999991</v>
      </c>
      <c r="Z1280">
        <f t="shared" ca="1" si="496"/>
        <v>2593.1240316486619</v>
      </c>
      <c r="AA1280">
        <f t="shared" ca="1" si="497"/>
        <v>482.07306851378365</v>
      </c>
      <c r="AB1280">
        <f t="shared" ca="1" si="498"/>
        <v>482.07256851378361</v>
      </c>
      <c r="AC1280">
        <f t="shared" ca="1" si="499"/>
        <v>0</v>
      </c>
      <c r="AD1280">
        <f ca="1">IF(V32="Supercritical",L1280,U1280)</f>
        <v>0.05</v>
      </c>
      <c r="AE1280">
        <f t="shared" ca="1" si="500"/>
        <v>632.04699999999991</v>
      </c>
      <c r="AF1280">
        <f t="shared" ca="1" si="501"/>
        <v>2593.1240316486619</v>
      </c>
      <c r="AI1280">
        <v>0</v>
      </c>
      <c r="AJ1280">
        <v>0</v>
      </c>
      <c r="AK1280">
        <f t="shared" si="502"/>
        <v>0</v>
      </c>
      <c r="AL1280">
        <f t="shared" si="510"/>
        <v>0</v>
      </c>
      <c r="AM1280">
        <f t="shared" ca="1" si="503"/>
        <v>280.07692026646265</v>
      </c>
      <c r="AN1280" t="str">
        <f t="shared" ca="1" si="504"/>
        <v>Supercritical</v>
      </c>
      <c r="AO1280">
        <f ca="1">IF(V32="Supercritical",R1280,AA1280)</f>
        <v>482.07306851378365</v>
      </c>
    </row>
    <row r="1281" spans="1:41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174</v>
      </c>
      <c r="I1281">
        <v>0</v>
      </c>
      <c r="J1281">
        <f t="shared" si="505"/>
        <v>1</v>
      </c>
      <c r="K1281">
        <f t="shared" si="506"/>
        <v>51</v>
      </c>
      <c r="L1281">
        <f t="shared" ca="1" si="507"/>
        <v>38818.051231278128</v>
      </c>
      <c r="M1281">
        <f t="shared" ca="1" si="485"/>
        <v>201853.86640264626</v>
      </c>
      <c r="N1281">
        <f t="shared" ca="1" si="486"/>
        <v>2.5998258658784543</v>
      </c>
      <c r="O1281">
        <f t="shared" ca="1" si="487"/>
        <v>2.5265802884482871E-4</v>
      </c>
      <c r="P1281">
        <f t="shared" ca="1" si="488"/>
        <v>39450.04773127813</v>
      </c>
      <c r="Q1281">
        <f t="shared" ca="1" si="489"/>
        <v>39450.047731281382</v>
      </c>
      <c r="R1281">
        <f t="shared" ca="1" si="490"/>
        <v>4.0178129257556468E-12</v>
      </c>
      <c r="S1281">
        <f t="shared" ca="1" si="508"/>
        <v>4.999999946448952E-4</v>
      </c>
      <c r="T1281">
        <f t="shared" ca="1" si="509"/>
        <v>1</v>
      </c>
      <c r="U1281">
        <f t="shared" ca="1" si="491"/>
        <v>0.05</v>
      </c>
      <c r="V1281">
        <f t="shared" ca="1" si="492"/>
        <v>0.26</v>
      </c>
      <c r="W1281">
        <f t="shared" ca="1" si="493"/>
        <v>4.9056603773584909E-2</v>
      </c>
      <c r="X1281">
        <f t="shared" ca="1" si="494"/>
        <v>196.15384615384616</v>
      </c>
      <c r="Y1281">
        <f t="shared" ca="1" si="495"/>
        <v>632.04649999999992</v>
      </c>
      <c r="Z1281">
        <f t="shared" ca="1" si="496"/>
        <v>2593.1235316486618</v>
      </c>
      <c r="AA1281">
        <f t="shared" ca="1" si="497"/>
        <v>482.07306851378365</v>
      </c>
      <c r="AB1281">
        <f t="shared" ca="1" si="498"/>
        <v>482.07256851378406</v>
      </c>
      <c r="AC1281">
        <f t="shared" ca="1" si="499"/>
        <v>0</v>
      </c>
      <c r="AD1281">
        <f ca="1">IF(V32="Supercritical",L1281,U1281)</f>
        <v>0.05</v>
      </c>
      <c r="AE1281">
        <f t="shared" ca="1" si="500"/>
        <v>632.04649999999992</v>
      </c>
      <c r="AF1281">
        <f t="shared" ca="1" si="501"/>
        <v>2593.1235316486618</v>
      </c>
      <c r="AI1281">
        <v>0</v>
      </c>
      <c r="AJ1281">
        <v>0</v>
      </c>
      <c r="AK1281">
        <f t="shared" si="502"/>
        <v>0</v>
      </c>
      <c r="AL1281">
        <f t="shared" si="510"/>
        <v>0</v>
      </c>
      <c r="AM1281">
        <f t="shared" ca="1" si="503"/>
        <v>280.07692026646265</v>
      </c>
      <c r="AN1281" t="str">
        <f t="shared" ca="1" si="504"/>
        <v>Supercritical</v>
      </c>
      <c r="AO1281">
        <f ca="1">IF(V32="Supercritical",R1281,AA1281)</f>
        <v>482.07306851378365</v>
      </c>
    </row>
    <row r="1282" spans="1:41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174</v>
      </c>
      <c r="I1282">
        <v>0</v>
      </c>
      <c r="J1282">
        <f t="shared" si="505"/>
        <v>1</v>
      </c>
      <c r="K1282">
        <f t="shared" si="506"/>
        <v>51</v>
      </c>
      <c r="L1282">
        <f t="shared" ca="1" si="507"/>
        <v>38818.051231278128</v>
      </c>
      <c r="M1282">
        <f t="shared" ca="1" si="485"/>
        <v>201853.86640264626</v>
      </c>
      <c r="N1282">
        <f t="shared" ca="1" si="486"/>
        <v>2.5998258658784543</v>
      </c>
      <c r="O1282">
        <f t="shared" ca="1" si="487"/>
        <v>2.5265802884482871E-4</v>
      </c>
      <c r="P1282">
        <f t="shared" ca="1" si="488"/>
        <v>39450.047231278128</v>
      </c>
      <c r="Q1282">
        <f t="shared" ca="1" si="489"/>
        <v>39450.04723128138</v>
      </c>
      <c r="R1282">
        <f t="shared" ca="1" si="490"/>
        <v>4.0178129257556468E-12</v>
      </c>
      <c r="S1282">
        <f t="shared" ca="1" si="508"/>
        <v>4.999999946448952E-4</v>
      </c>
      <c r="T1282">
        <f t="shared" ca="1" si="509"/>
        <v>1</v>
      </c>
      <c r="U1282">
        <f t="shared" ca="1" si="491"/>
        <v>0.05</v>
      </c>
      <c r="V1282">
        <f t="shared" ca="1" si="492"/>
        <v>0.26</v>
      </c>
      <c r="W1282">
        <f t="shared" ca="1" si="493"/>
        <v>4.9056603773584909E-2</v>
      </c>
      <c r="X1282">
        <f t="shared" ca="1" si="494"/>
        <v>196.15384615384616</v>
      </c>
      <c r="Y1282">
        <f t="shared" ca="1" si="495"/>
        <v>632.04599999999994</v>
      </c>
      <c r="Z1282">
        <f t="shared" ca="1" si="496"/>
        <v>2593.1230316486622</v>
      </c>
      <c r="AA1282">
        <f t="shared" ca="1" si="497"/>
        <v>482.07306851378365</v>
      </c>
      <c r="AB1282">
        <f t="shared" ca="1" si="498"/>
        <v>482.25233390835137</v>
      </c>
      <c r="AC1282">
        <f t="shared" ca="1" si="499"/>
        <v>0</v>
      </c>
      <c r="AD1282">
        <f ca="1">IF(V32="Supercritical",L1282,U1282)</f>
        <v>0.05</v>
      </c>
      <c r="AE1282">
        <f t="shared" ca="1" si="500"/>
        <v>632.04599999999994</v>
      </c>
      <c r="AF1282">
        <f t="shared" ca="1" si="501"/>
        <v>2593.1230316486622</v>
      </c>
      <c r="AI1282">
        <v>0</v>
      </c>
      <c r="AJ1282">
        <v>0</v>
      </c>
      <c r="AK1282">
        <f t="shared" si="502"/>
        <v>0</v>
      </c>
      <c r="AL1282">
        <f t="shared" si="510"/>
        <v>0</v>
      </c>
      <c r="AM1282">
        <f t="shared" ca="1" si="503"/>
        <v>280.07692026646265</v>
      </c>
      <c r="AN1282" t="str">
        <f t="shared" ca="1" si="504"/>
        <v>Supercritical</v>
      </c>
      <c r="AO1282">
        <f ca="1">IF(V32="Supercritical",R1282,AA1282)</f>
        <v>482.07306851378365</v>
      </c>
    </row>
    <row r="1283" spans="1:41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174</v>
      </c>
      <c r="I1283">
        <v>5.5E-2</v>
      </c>
      <c r="J1283">
        <f t="shared" si="505"/>
        <v>1</v>
      </c>
      <c r="K1283">
        <f t="shared" si="506"/>
        <v>51</v>
      </c>
      <c r="L1283">
        <f t="shared" ca="1" si="507"/>
        <v>38818.051231278128</v>
      </c>
      <c r="M1283">
        <f t="shared" ca="1" si="485"/>
        <v>201853.86640264626</v>
      </c>
      <c r="N1283">
        <f t="shared" ca="1" si="486"/>
        <v>2.5998258658784543</v>
      </c>
      <c r="O1283">
        <f t="shared" ca="1" si="487"/>
        <v>2.5265802884482871E-4</v>
      </c>
      <c r="P1283">
        <f t="shared" ca="1" si="488"/>
        <v>39450.046731278126</v>
      </c>
      <c r="Q1283">
        <f t="shared" ca="1" si="489"/>
        <v>39450.046731281378</v>
      </c>
      <c r="R1283">
        <f t="shared" ca="1" si="490"/>
        <v>4.0178129257556468E-12</v>
      </c>
      <c r="S1283">
        <f t="shared" ca="1" si="508"/>
        <v>4.999999946448952E-4</v>
      </c>
      <c r="T1283">
        <f t="shared" ca="1" si="509"/>
        <v>1</v>
      </c>
      <c r="U1283">
        <f t="shared" ca="1" si="491"/>
        <v>0.05</v>
      </c>
      <c r="V1283">
        <f t="shared" ca="1" si="492"/>
        <v>0.26</v>
      </c>
      <c r="W1283">
        <f t="shared" ca="1" si="493"/>
        <v>4.9056603773584909E-2</v>
      </c>
      <c r="X1283">
        <f t="shared" ca="1" si="494"/>
        <v>196.15384615384616</v>
      </c>
      <c r="Y1283">
        <f t="shared" ca="1" si="495"/>
        <v>632.04549999999995</v>
      </c>
      <c r="Z1283">
        <f t="shared" ca="1" si="496"/>
        <v>2593.1225316486621</v>
      </c>
      <c r="AA1283">
        <f t="shared" ca="1" si="497"/>
        <v>482.07306851378365</v>
      </c>
      <c r="AB1283">
        <f t="shared" ca="1" si="498"/>
        <v>482.73440697696333</v>
      </c>
      <c r="AC1283">
        <f t="shared" ca="1" si="499"/>
        <v>0</v>
      </c>
      <c r="AD1283">
        <f ca="1">IF(V32="Supercritical",L1283,U1283)</f>
        <v>0.05</v>
      </c>
      <c r="AE1283">
        <f t="shared" ca="1" si="500"/>
        <v>632.04549999999995</v>
      </c>
      <c r="AF1283">
        <f t="shared" ca="1" si="501"/>
        <v>2593.1225316486621</v>
      </c>
      <c r="AI1283">
        <v>0</v>
      </c>
      <c r="AJ1283">
        <v>0</v>
      </c>
      <c r="AK1283">
        <f t="shared" si="502"/>
        <v>0</v>
      </c>
      <c r="AL1283">
        <f t="shared" si="510"/>
        <v>0</v>
      </c>
      <c r="AM1283">
        <f t="shared" ca="1" si="503"/>
        <v>280.07692026646265</v>
      </c>
      <c r="AN1283" t="str">
        <f t="shared" ca="1" si="504"/>
        <v>Supercritical</v>
      </c>
      <c r="AO1283">
        <f ca="1">IF(V32="Supercritical",R1283,AA1283)</f>
        <v>482.07306851378365</v>
      </c>
    </row>
    <row r="1284" spans="1:41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174</v>
      </c>
      <c r="I1284">
        <v>5.5E-2</v>
      </c>
      <c r="J1284">
        <f t="shared" si="505"/>
        <v>1.0010000000002037</v>
      </c>
      <c r="K1284">
        <f t="shared" si="506"/>
        <v>51</v>
      </c>
      <c r="L1284">
        <f t="shared" ca="1" si="507"/>
        <v>38818.051231278128</v>
      </c>
      <c r="M1284">
        <f t="shared" ca="1" si="485"/>
        <v>201853.86640264626</v>
      </c>
      <c r="N1284">
        <f t="shared" ca="1" si="486"/>
        <v>2.5998258658784543</v>
      </c>
      <c r="O1284">
        <f t="shared" ca="1" si="487"/>
        <v>2.5265802884482871E-4</v>
      </c>
      <c r="P1284">
        <f t="shared" ca="1" si="488"/>
        <v>39450.046231278131</v>
      </c>
      <c r="Q1284">
        <f t="shared" ca="1" si="489"/>
        <v>39450.046231281383</v>
      </c>
      <c r="R1284">
        <f t="shared" ca="1" si="490"/>
        <v>4.0178129257556468E-12</v>
      </c>
      <c r="S1284">
        <f t="shared" ca="1" si="508"/>
        <v>4.9999998736893758E-4</v>
      </c>
      <c r="T1284">
        <f t="shared" ca="1" si="509"/>
        <v>1</v>
      </c>
      <c r="U1284">
        <f t="shared" ca="1" si="491"/>
        <v>0.05</v>
      </c>
      <c r="V1284">
        <f t="shared" ca="1" si="492"/>
        <v>0.26</v>
      </c>
      <c r="W1284">
        <f t="shared" ca="1" si="493"/>
        <v>4.9056603773584909E-2</v>
      </c>
      <c r="X1284">
        <f t="shared" ca="1" si="494"/>
        <v>196.15384615384616</v>
      </c>
      <c r="Y1284">
        <f t="shared" ca="1" si="495"/>
        <v>632.04499999999996</v>
      </c>
      <c r="Z1284">
        <f t="shared" ca="1" si="496"/>
        <v>2593.122031648662</v>
      </c>
      <c r="AA1284">
        <f t="shared" ca="1" si="497"/>
        <v>482.07306851378365</v>
      </c>
      <c r="AB1284">
        <f t="shared" ca="1" si="498"/>
        <v>482.07256851378406</v>
      </c>
      <c r="AC1284">
        <f t="shared" ca="1" si="499"/>
        <v>0</v>
      </c>
      <c r="AD1284">
        <f ca="1">IF(V32="Supercritical",L1284,U1284)</f>
        <v>0.05</v>
      </c>
      <c r="AE1284">
        <f t="shared" ca="1" si="500"/>
        <v>632.04499999999996</v>
      </c>
      <c r="AF1284">
        <f t="shared" ca="1" si="501"/>
        <v>2593.122031648662</v>
      </c>
      <c r="AI1284">
        <v>0</v>
      </c>
      <c r="AJ1284">
        <v>0</v>
      </c>
      <c r="AK1284">
        <f t="shared" si="502"/>
        <v>0</v>
      </c>
      <c r="AL1284">
        <f t="shared" si="510"/>
        <v>0</v>
      </c>
      <c r="AM1284">
        <f t="shared" ca="1" si="503"/>
        <v>280.07692026646265</v>
      </c>
      <c r="AN1284" t="str">
        <f t="shared" ca="1" si="504"/>
        <v>Supercritical</v>
      </c>
      <c r="AO1284">
        <f ca="1">IF(V32="Supercritical",R1284,AA1284)</f>
        <v>482.07306851378365</v>
      </c>
    </row>
    <row r="1285" spans="1:41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174</v>
      </c>
      <c r="I1285">
        <v>0</v>
      </c>
      <c r="J1285">
        <f t="shared" si="505"/>
        <v>1</v>
      </c>
      <c r="K1285">
        <f t="shared" si="506"/>
        <v>51</v>
      </c>
      <c r="L1285">
        <f t="shared" ca="1" si="507"/>
        <v>38818.051231278128</v>
      </c>
      <c r="M1285">
        <f t="shared" ca="1" si="485"/>
        <v>201853.86640264626</v>
      </c>
      <c r="N1285">
        <f t="shared" ca="1" si="486"/>
        <v>2.5998258658784543</v>
      </c>
      <c r="O1285">
        <f t="shared" ca="1" si="487"/>
        <v>2.5265802884482871E-4</v>
      </c>
      <c r="P1285">
        <f t="shared" ca="1" si="488"/>
        <v>39450.045731278129</v>
      </c>
      <c r="Q1285">
        <f t="shared" ca="1" si="489"/>
        <v>39450.045731281381</v>
      </c>
      <c r="R1285">
        <f t="shared" ca="1" si="490"/>
        <v>4.0178129257556468E-12</v>
      </c>
      <c r="S1285">
        <f t="shared" ca="1" si="508"/>
        <v>4.999999946448952E-4</v>
      </c>
      <c r="T1285">
        <f t="shared" ca="1" si="509"/>
        <v>1</v>
      </c>
      <c r="U1285">
        <f t="shared" ca="1" si="491"/>
        <v>0.05</v>
      </c>
      <c r="V1285">
        <f t="shared" ca="1" si="492"/>
        <v>0.26</v>
      </c>
      <c r="W1285">
        <f t="shared" ca="1" si="493"/>
        <v>4.9056603773584909E-2</v>
      </c>
      <c r="X1285">
        <f t="shared" ca="1" si="494"/>
        <v>196.15384615384616</v>
      </c>
      <c r="Y1285">
        <f t="shared" ca="1" si="495"/>
        <v>632.04449999999997</v>
      </c>
      <c r="Z1285">
        <f t="shared" ca="1" si="496"/>
        <v>2593.1215316486623</v>
      </c>
      <c r="AA1285">
        <f t="shared" ca="1" si="497"/>
        <v>482.07306851378365</v>
      </c>
      <c r="AB1285">
        <f t="shared" ca="1" si="498"/>
        <v>482.07256851378361</v>
      </c>
      <c r="AC1285">
        <f t="shared" ca="1" si="499"/>
        <v>0</v>
      </c>
      <c r="AD1285">
        <f ca="1">IF(V32="Supercritical",L1285,U1285)</f>
        <v>0.05</v>
      </c>
      <c r="AE1285">
        <f t="shared" ca="1" si="500"/>
        <v>632.04449999999997</v>
      </c>
      <c r="AF1285">
        <f t="shared" ca="1" si="501"/>
        <v>2593.1215316486623</v>
      </c>
      <c r="AI1285">
        <v>0</v>
      </c>
      <c r="AJ1285">
        <v>0</v>
      </c>
      <c r="AK1285">
        <f t="shared" si="502"/>
        <v>0</v>
      </c>
      <c r="AL1285">
        <f t="shared" si="510"/>
        <v>0</v>
      </c>
      <c r="AM1285">
        <f t="shared" ca="1" si="503"/>
        <v>280.07692026646265</v>
      </c>
      <c r="AN1285" t="str">
        <f t="shared" ca="1" si="504"/>
        <v>Supercritical</v>
      </c>
      <c r="AO1285">
        <f ca="1">IF(V32="Supercritical",R1285,AA1285)</f>
        <v>482.07306851378365</v>
      </c>
    </row>
    <row r="1286" spans="1:41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174</v>
      </c>
      <c r="I1286">
        <v>0</v>
      </c>
      <c r="J1286">
        <f t="shared" si="505"/>
        <v>1</v>
      </c>
      <c r="K1286">
        <f t="shared" si="506"/>
        <v>51</v>
      </c>
      <c r="L1286">
        <f t="shared" ca="1" si="507"/>
        <v>38818.051231278128</v>
      </c>
      <c r="M1286">
        <f t="shared" ca="1" si="485"/>
        <v>201853.86640264626</v>
      </c>
      <c r="N1286">
        <f t="shared" ca="1" si="486"/>
        <v>2.5998258658784543</v>
      </c>
      <c r="O1286">
        <f t="shared" ca="1" si="487"/>
        <v>2.5265802884482871E-4</v>
      </c>
      <c r="P1286">
        <f t="shared" ca="1" si="488"/>
        <v>39450.045231278127</v>
      </c>
      <c r="Q1286">
        <f t="shared" ca="1" si="489"/>
        <v>39450.04523128138</v>
      </c>
      <c r="R1286">
        <f t="shared" ca="1" si="490"/>
        <v>4.0178129257556468E-12</v>
      </c>
      <c r="S1286">
        <f t="shared" ca="1" si="508"/>
        <v>4.999999946448952E-4</v>
      </c>
      <c r="T1286">
        <f t="shared" ca="1" si="509"/>
        <v>1</v>
      </c>
      <c r="U1286">
        <f t="shared" ca="1" si="491"/>
        <v>0.05</v>
      </c>
      <c r="V1286">
        <f t="shared" ca="1" si="492"/>
        <v>0.26</v>
      </c>
      <c r="W1286">
        <f t="shared" ca="1" si="493"/>
        <v>4.9056603773584909E-2</v>
      </c>
      <c r="X1286">
        <f t="shared" ca="1" si="494"/>
        <v>196.15384615384616</v>
      </c>
      <c r="Y1286">
        <f t="shared" ca="1" si="495"/>
        <v>632.04399999999998</v>
      </c>
      <c r="Z1286">
        <f t="shared" ca="1" si="496"/>
        <v>2593.1210316486622</v>
      </c>
      <c r="AA1286">
        <f t="shared" ca="1" si="497"/>
        <v>482.07306851378365</v>
      </c>
      <c r="AB1286">
        <f t="shared" ca="1" si="498"/>
        <v>481.77679776317837</v>
      </c>
      <c r="AC1286">
        <f t="shared" ca="1" si="499"/>
        <v>0</v>
      </c>
      <c r="AD1286">
        <f ca="1">IF(V32="Supercritical",L1286,U1286)</f>
        <v>0.05</v>
      </c>
      <c r="AE1286">
        <f t="shared" ca="1" si="500"/>
        <v>632.04399999999998</v>
      </c>
      <c r="AF1286">
        <f t="shared" ca="1" si="501"/>
        <v>2593.1210316486622</v>
      </c>
      <c r="AI1286">
        <v>0</v>
      </c>
      <c r="AJ1286">
        <v>0</v>
      </c>
      <c r="AK1286">
        <f t="shared" si="502"/>
        <v>0</v>
      </c>
      <c r="AL1286">
        <f t="shared" si="510"/>
        <v>0</v>
      </c>
      <c r="AM1286">
        <f t="shared" ca="1" si="503"/>
        <v>280.07692026646265</v>
      </c>
      <c r="AN1286" t="str">
        <f t="shared" ca="1" si="504"/>
        <v>Supercritical</v>
      </c>
      <c r="AO1286">
        <f ca="1">IF(V32="Supercritical",R1286,AA1286)</f>
        <v>482.07306851378365</v>
      </c>
    </row>
    <row r="1287" spans="1:41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174</v>
      </c>
      <c r="I1287">
        <v>5.7000000000000002E-2</v>
      </c>
      <c r="J1287">
        <f t="shared" si="505"/>
        <v>0.99899999999979627</v>
      </c>
      <c r="K1287">
        <f t="shared" si="506"/>
        <v>51</v>
      </c>
      <c r="L1287">
        <f t="shared" ca="1" si="507"/>
        <v>38818.051231278128</v>
      </c>
      <c r="M1287">
        <f t="shared" ca="1" si="485"/>
        <v>201853.86640264626</v>
      </c>
      <c r="N1287">
        <f t="shared" ca="1" si="486"/>
        <v>2.5998258658784543</v>
      </c>
      <c r="O1287">
        <f t="shared" ca="1" si="487"/>
        <v>2.5265802884482871E-4</v>
      </c>
      <c r="P1287">
        <f t="shared" ca="1" si="488"/>
        <v>39450.044731278125</v>
      </c>
      <c r="Q1287">
        <f t="shared" ca="1" si="489"/>
        <v>39450.044731281378</v>
      </c>
      <c r="R1287">
        <f t="shared" ca="1" si="490"/>
        <v>4.0178129257556468E-12</v>
      </c>
      <c r="S1287">
        <f t="shared" ca="1" si="508"/>
        <v>4.999999946448952E-4</v>
      </c>
      <c r="T1287">
        <f t="shared" ca="1" si="509"/>
        <v>1</v>
      </c>
      <c r="U1287">
        <f t="shared" ca="1" si="491"/>
        <v>0.05</v>
      </c>
      <c r="V1287">
        <f t="shared" ca="1" si="492"/>
        <v>0.26</v>
      </c>
      <c r="W1287">
        <f t="shared" ca="1" si="493"/>
        <v>4.9056603773584909E-2</v>
      </c>
      <c r="X1287">
        <f t="shared" ca="1" si="494"/>
        <v>196.15384615384616</v>
      </c>
      <c r="Y1287">
        <f t="shared" ca="1" si="495"/>
        <v>632.04349999999999</v>
      </c>
      <c r="Z1287">
        <f t="shared" ca="1" si="496"/>
        <v>2593.1205316486621</v>
      </c>
      <c r="AA1287">
        <f t="shared" ca="1" si="497"/>
        <v>482.07306851378365</v>
      </c>
      <c r="AB1287">
        <f t="shared" ca="1" si="498"/>
        <v>482.25887083179032</v>
      </c>
      <c r="AC1287">
        <f t="shared" ca="1" si="499"/>
        <v>0</v>
      </c>
      <c r="AD1287">
        <f ca="1">IF(V32="Supercritical",L1287,U1287)</f>
        <v>0.05</v>
      </c>
      <c r="AE1287">
        <f t="shared" ca="1" si="500"/>
        <v>632.04349999999999</v>
      </c>
      <c r="AF1287">
        <f t="shared" ca="1" si="501"/>
        <v>2593.1205316486621</v>
      </c>
      <c r="AI1287">
        <v>0</v>
      </c>
      <c r="AJ1287">
        <v>0</v>
      </c>
      <c r="AK1287">
        <f t="shared" si="502"/>
        <v>0</v>
      </c>
      <c r="AL1287">
        <f t="shared" si="510"/>
        <v>0</v>
      </c>
      <c r="AM1287">
        <f t="shared" ca="1" si="503"/>
        <v>280.07692026646265</v>
      </c>
      <c r="AN1287" t="str">
        <f t="shared" ca="1" si="504"/>
        <v>Supercritical</v>
      </c>
      <c r="AO1287">
        <f ca="1">IF(V32="Supercritical",R1287,AA1287)</f>
        <v>482.07306851378365</v>
      </c>
    </row>
    <row r="1288" spans="1:41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174</v>
      </c>
      <c r="I1288">
        <v>5.7000000000000002E-2</v>
      </c>
      <c r="J1288">
        <f t="shared" si="505"/>
        <v>1</v>
      </c>
      <c r="K1288">
        <f t="shared" si="506"/>
        <v>51</v>
      </c>
      <c r="L1288">
        <f t="shared" ca="1" si="507"/>
        <v>38818.051231278128</v>
      </c>
      <c r="M1288">
        <f t="shared" ca="1" si="485"/>
        <v>201853.86640264626</v>
      </c>
      <c r="N1288">
        <f t="shared" ca="1" si="486"/>
        <v>2.5998258658784543</v>
      </c>
      <c r="O1288">
        <f t="shared" ca="1" si="487"/>
        <v>2.5265802884482871E-4</v>
      </c>
      <c r="P1288">
        <f t="shared" ca="1" si="488"/>
        <v>39450.044231278131</v>
      </c>
      <c r="Q1288">
        <f t="shared" ca="1" si="489"/>
        <v>39450.044231281383</v>
      </c>
      <c r="R1288">
        <f t="shared" ca="1" si="490"/>
        <v>4.0178129257556468E-12</v>
      </c>
      <c r="S1288">
        <f t="shared" ca="1" si="508"/>
        <v>4.9999998736893758E-4</v>
      </c>
      <c r="T1288">
        <f t="shared" ca="1" si="509"/>
        <v>1</v>
      </c>
      <c r="U1288">
        <f t="shared" ca="1" si="491"/>
        <v>0.05</v>
      </c>
      <c r="V1288">
        <f t="shared" ca="1" si="492"/>
        <v>0.26</v>
      </c>
      <c r="W1288">
        <f t="shared" ca="1" si="493"/>
        <v>4.9056603773584909E-2</v>
      </c>
      <c r="X1288">
        <f t="shared" ca="1" si="494"/>
        <v>196.15384615384616</v>
      </c>
      <c r="Y1288">
        <f t="shared" ca="1" si="495"/>
        <v>632.04300000000001</v>
      </c>
      <c r="Z1288">
        <f t="shared" ca="1" si="496"/>
        <v>2593.120031648662</v>
      </c>
      <c r="AA1288">
        <f t="shared" ca="1" si="497"/>
        <v>482.07306851378365</v>
      </c>
      <c r="AB1288">
        <f t="shared" ca="1" si="498"/>
        <v>482.07256851378361</v>
      </c>
      <c r="AC1288">
        <f t="shared" ca="1" si="499"/>
        <v>0</v>
      </c>
      <c r="AD1288">
        <f ca="1">IF(V32="Supercritical",L1288,U1288)</f>
        <v>0.05</v>
      </c>
      <c r="AE1288">
        <f t="shared" ca="1" si="500"/>
        <v>632.04300000000001</v>
      </c>
      <c r="AF1288">
        <f t="shared" ca="1" si="501"/>
        <v>2593.120031648662</v>
      </c>
      <c r="AI1288">
        <v>0</v>
      </c>
      <c r="AJ1288">
        <v>0</v>
      </c>
      <c r="AK1288">
        <f t="shared" si="502"/>
        <v>0</v>
      </c>
      <c r="AL1288">
        <f t="shared" si="510"/>
        <v>0</v>
      </c>
      <c r="AM1288">
        <f t="shared" ca="1" si="503"/>
        <v>280.07692026646265</v>
      </c>
      <c r="AN1288" t="str">
        <f t="shared" ca="1" si="504"/>
        <v>Supercritical</v>
      </c>
      <c r="AO1288">
        <f ca="1">IF(V32="Supercritical",R1288,AA1288)</f>
        <v>482.07306851378365</v>
      </c>
    </row>
    <row r="1289" spans="1:41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174</v>
      </c>
      <c r="I1289">
        <v>0</v>
      </c>
      <c r="J1289">
        <f t="shared" si="505"/>
        <v>1</v>
      </c>
      <c r="K1289">
        <f t="shared" si="506"/>
        <v>51</v>
      </c>
      <c r="L1289">
        <f t="shared" ca="1" si="507"/>
        <v>38818.051231278128</v>
      </c>
      <c r="M1289">
        <f t="shared" ca="1" si="485"/>
        <v>201853.86640264626</v>
      </c>
      <c r="N1289">
        <f t="shared" ca="1" si="486"/>
        <v>2.5998258658784543</v>
      </c>
      <c r="O1289">
        <f t="shared" ca="1" si="487"/>
        <v>2.5265802884482871E-4</v>
      </c>
      <c r="P1289">
        <f t="shared" ca="1" si="488"/>
        <v>39450.043731278129</v>
      </c>
      <c r="Q1289">
        <f t="shared" ca="1" si="489"/>
        <v>39450.043731281381</v>
      </c>
      <c r="R1289">
        <f t="shared" ca="1" si="490"/>
        <v>4.0178129257556468E-12</v>
      </c>
      <c r="S1289">
        <f t="shared" ca="1" si="508"/>
        <v>4.999999946448952E-4</v>
      </c>
      <c r="T1289">
        <f t="shared" ca="1" si="509"/>
        <v>1</v>
      </c>
      <c r="U1289">
        <f t="shared" ca="1" si="491"/>
        <v>0.05</v>
      </c>
      <c r="V1289">
        <f t="shared" ca="1" si="492"/>
        <v>0.26</v>
      </c>
      <c r="W1289">
        <f t="shared" ca="1" si="493"/>
        <v>4.9056603773584909E-2</v>
      </c>
      <c r="X1289">
        <f t="shared" ca="1" si="494"/>
        <v>196.15384615384616</v>
      </c>
      <c r="Y1289">
        <f t="shared" ca="1" si="495"/>
        <v>632.0424999999999</v>
      </c>
      <c r="Z1289">
        <f t="shared" ca="1" si="496"/>
        <v>2593.1195316486619</v>
      </c>
      <c r="AA1289">
        <f t="shared" ca="1" si="497"/>
        <v>482.07306851378365</v>
      </c>
      <c r="AB1289">
        <f t="shared" ca="1" si="498"/>
        <v>482.25887083179032</v>
      </c>
      <c r="AC1289">
        <f t="shared" ca="1" si="499"/>
        <v>0</v>
      </c>
      <c r="AD1289">
        <f ca="1">IF(V32="Supercritical",L1289,U1289)</f>
        <v>0.05</v>
      </c>
      <c r="AE1289">
        <f t="shared" ca="1" si="500"/>
        <v>632.0424999999999</v>
      </c>
      <c r="AF1289">
        <f t="shared" ca="1" si="501"/>
        <v>2593.1195316486619</v>
      </c>
      <c r="AI1289">
        <v>0</v>
      </c>
      <c r="AJ1289">
        <v>0</v>
      </c>
      <c r="AK1289">
        <f t="shared" si="502"/>
        <v>0</v>
      </c>
      <c r="AL1289">
        <f t="shared" si="510"/>
        <v>0</v>
      </c>
      <c r="AM1289">
        <f t="shared" ca="1" si="503"/>
        <v>280.07692026646265</v>
      </c>
      <c r="AN1289" t="str">
        <f t="shared" ca="1" si="504"/>
        <v>Supercritical</v>
      </c>
      <c r="AO1289">
        <f ca="1">IF(V32="Supercritical",R1289,AA1289)</f>
        <v>482.07306851378365</v>
      </c>
    </row>
    <row r="1290" spans="1:41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174</v>
      </c>
      <c r="I1290">
        <v>5.7000000000000002E-2</v>
      </c>
      <c r="J1290">
        <f t="shared" si="505"/>
        <v>1</v>
      </c>
      <c r="K1290">
        <f t="shared" si="506"/>
        <v>51</v>
      </c>
      <c r="L1290">
        <f t="shared" ca="1" si="507"/>
        <v>38818.051231278128</v>
      </c>
      <c r="M1290">
        <f t="shared" ca="1" si="485"/>
        <v>201853.86640264626</v>
      </c>
      <c r="N1290">
        <f t="shared" ca="1" si="486"/>
        <v>2.5998258658784543</v>
      </c>
      <c r="O1290">
        <f t="shared" ca="1" si="487"/>
        <v>2.5265802884482871E-4</v>
      </c>
      <c r="P1290">
        <f t="shared" ca="1" si="488"/>
        <v>39450.043231278127</v>
      </c>
      <c r="Q1290">
        <f t="shared" ca="1" si="489"/>
        <v>39450.043231281379</v>
      </c>
      <c r="R1290">
        <f t="shared" ca="1" si="490"/>
        <v>4.0178129257556468E-12</v>
      </c>
      <c r="S1290">
        <f t="shared" ca="1" si="508"/>
        <v>4.999999946448952E-4</v>
      </c>
      <c r="T1290">
        <f t="shared" ca="1" si="509"/>
        <v>1</v>
      </c>
      <c r="U1290">
        <f t="shared" ca="1" si="491"/>
        <v>0.05</v>
      </c>
      <c r="V1290">
        <f t="shared" ca="1" si="492"/>
        <v>0.26</v>
      </c>
      <c r="W1290">
        <f t="shared" ca="1" si="493"/>
        <v>4.9056603773584909E-2</v>
      </c>
      <c r="X1290">
        <f t="shared" ca="1" si="494"/>
        <v>196.15384615384616</v>
      </c>
      <c r="Y1290">
        <f t="shared" ca="1" si="495"/>
        <v>632.04199999999992</v>
      </c>
      <c r="Z1290">
        <f t="shared" ca="1" si="496"/>
        <v>2593.1190316486618</v>
      </c>
      <c r="AA1290">
        <f t="shared" ca="1" si="497"/>
        <v>482.07306851378365</v>
      </c>
      <c r="AB1290">
        <f t="shared" ca="1" si="498"/>
        <v>482.25887083179077</v>
      </c>
      <c r="AC1290">
        <f t="shared" ca="1" si="499"/>
        <v>0</v>
      </c>
      <c r="AD1290">
        <f ca="1">IF(V32="Supercritical",L1290,U1290)</f>
        <v>0.05</v>
      </c>
      <c r="AE1290">
        <f t="shared" ca="1" si="500"/>
        <v>632.04199999999992</v>
      </c>
      <c r="AF1290">
        <f t="shared" ca="1" si="501"/>
        <v>2593.1190316486618</v>
      </c>
      <c r="AI1290">
        <v>0</v>
      </c>
      <c r="AJ1290">
        <v>0</v>
      </c>
      <c r="AK1290">
        <f t="shared" si="502"/>
        <v>0</v>
      </c>
      <c r="AL1290">
        <f t="shared" si="510"/>
        <v>0</v>
      </c>
      <c r="AM1290">
        <f t="shared" ca="1" si="503"/>
        <v>280.07692026646265</v>
      </c>
      <c r="AN1290" t="str">
        <f t="shared" ca="1" si="504"/>
        <v>Supercritical</v>
      </c>
      <c r="AO1290">
        <f ca="1">IF(V32="Supercritical",R1290,AA1290)</f>
        <v>482.07306851378365</v>
      </c>
    </row>
    <row r="1291" spans="1:41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174</v>
      </c>
      <c r="I1291">
        <v>5.7000000000000002E-2</v>
      </c>
      <c r="J1291">
        <f t="shared" si="505"/>
        <v>1</v>
      </c>
      <c r="K1291">
        <f t="shared" si="506"/>
        <v>51</v>
      </c>
      <c r="L1291">
        <f t="shared" ca="1" si="507"/>
        <v>38818.051231278128</v>
      </c>
      <c r="M1291">
        <f t="shared" ca="1" si="485"/>
        <v>201853.86640264626</v>
      </c>
      <c r="N1291">
        <f t="shared" ca="1" si="486"/>
        <v>2.5998258658784543</v>
      </c>
      <c r="O1291">
        <f t="shared" ca="1" si="487"/>
        <v>2.5265802884482871E-4</v>
      </c>
      <c r="P1291">
        <f t="shared" ca="1" si="488"/>
        <v>39450.042731278125</v>
      </c>
      <c r="Q1291">
        <f t="shared" ca="1" si="489"/>
        <v>39450.042731281377</v>
      </c>
      <c r="R1291">
        <f t="shared" ca="1" si="490"/>
        <v>4.0178129257556468E-12</v>
      </c>
      <c r="S1291">
        <f t="shared" ca="1" si="508"/>
        <v>4.999999946448952E-4</v>
      </c>
      <c r="T1291">
        <f t="shared" ca="1" si="509"/>
        <v>1</v>
      </c>
      <c r="U1291">
        <f t="shared" ca="1" si="491"/>
        <v>0.05</v>
      </c>
      <c r="V1291">
        <f t="shared" ca="1" si="492"/>
        <v>0.26</v>
      </c>
      <c r="W1291">
        <f t="shared" ca="1" si="493"/>
        <v>4.9056603773584909E-2</v>
      </c>
      <c r="X1291">
        <f t="shared" ca="1" si="494"/>
        <v>196.15384615384616</v>
      </c>
      <c r="Y1291">
        <f t="shared" ca="1" si="495"/>
        <v>632.04149999999993</v>
      </c>
      <c r="Z1291">
        <f t="shared" ca="1" si="496"/>
        <v>2593.1185316486622</v>
      </c>
      <c r="AA1291">
        <f t="shared" ca="1" si="497"/>
        <v>482.07306851378365</v>
      </c>
      <c r="AB1291">
        <f t="shared" ca="1" si="498"/>
        <v>482.07910543722255</v>
      </c>
      <c r="AC1291">
        <f t="shared" ca="1" si="499"/>
        <v>0</v>
      </c>
      <c r="AD1291">
        <f ca="1">IF(V32="Supercritical",L1291,U1291)</f>
        <v>0.05</v>
      </c>
      <c r="AE1291">
        <f t="shared" ca="1" si="500"/>
        <v>632.04149999999993</v>
      </c>
      <c r="AF1291">
        <f t="shared" ca="1" si="501"/>
        <v>2593.1185316486622</v>
      </c>
      <c r="AI1291">
        <v>0</v>
      </c>
      <c r="AJ1291">
        <v>0</v>
      </c>
      <c r="AK1291">
        <f t="shared" si="502"/>
        <v>0</v>
      </c>
      <c r="AL1291">
        <f t="shared" si="510"/>
        <v>0</v>
      </c>
      <c r="AM1291">
        <f t="shared" ca="1" si="503"/>
        <v>280.07692026646265</v>
      </c>
      <c r="AN1291" t="str">
        <f t="shared" ca="1" si="504"/>
        <v>Supercritical</v>
      </c>
      <c r="AO1291">
        <f ca="1">IF(V32="Supercritical",R1291,AA1291)</f>
        <v>482.07306851378365</v>
      </c>
    </row>
    <row r="1292" spans="1:41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174</v>
      </c>
      <c r="I1292">
        <v>2E-3</v>
      </c>
      <c r="J1292">
        <f t="shared" si="505"/>
        <v>1</v>
      </c>
      <c r="K1292">
        <f t="shared" si="506"/>
        <v>51</v>
      </c>
      <c r="L1292">
        <f t="shared" ca="1" si="507"/>
        <v>38818.051231278128</v>
      </c>
      <c r="M1292">
        <f t="shared" ca="1" si="485"/>
        <v>201853.86640264626</v>
      </c>
      <c r="N1292">
        <f t="shared" ca="1" si="486"/>
        <v>2.5998258658784543</v>
      </c>
      <c r="O1292">
        <f t="shared" ca="1" si="487"/>
        <v>2.5265802884482871E-4</v>
      </c>
      <c r="P1292">
        <f t="shared" ca="1" si="488"/>
        <v>39450.04223127813</v>
      </c>
      <c r="Q1292">
        <f t="shared" ca="1" si="489"/>
        <v>39450.042231281383</v>
      </c>
      <c r="R1292">
        <f t="shared" ca="1" si="490"/>
        <v>4.0178129257556468E-12</v>
      </c>
      <c r="S1292">
        <f t="shared" ca="1" si="508"/>
        <v>4.9999998736893758E-4</v>
      </c>
      <c r="T1292">
        <f t="shared" ca="1" si="509"/>
        <v>1</v>
      </c>
      <c r="U1292">
        <f t="shared" ca="1" si="491"/>
        <v>0.05</v>
      </c>
      <c r="V1292">
        <f t="shared" ca="1" si="492"/>
        <v>0.26</v>
      </c>
      <c r="W1292">
        <f t="shared" ca="1" si="493"/>
        <v>4.9056603773584909E-2</v>
      </c>
      <c r="X1292">
        <f t="shared" ca="1" si="494"/>
        <v>196.15384615384616</v>
      </c>
      <c r="Y1292">
        <f t="shared" ca="1" si="495"/>
        <v>632.04099999999994</v>
      </c>
      <c r="Z1292">
        <f t="shared" ca="1" si="496"/>
        <v>2593.1180316486621</v>
      </c>
      <c r="AA1292">
        <f t="shared" ca="1" si="497"/>
        <v>482.07306851378365</v>
      </c>
      <c r="AB1292">
        <f t="shared" ca="1" si="498"/>
        <v>482.5611785058345</v>
      </c>
      <c r="AC1292">
        <f t="shared" ca="1" si="499"/>
        <v>0</v>
      </c>
      <c r="AD1292">
        <f ca="1">IF(V32="Supercritical",L1292,U1292)</f>
        <v>0.05</v>
      </c>
      <c r="AE1292">
        <f t="shared" ca="1" si="500"/>
        <v>632.04099999999994</v>
      </c>
      <c r="AF1292">
        <f t="shared" ca="1" si="501"/>
        <v>2593.1180316486621</v>
      </c>
      <c r="AI1292">
        <v>0</v>
      </c>
      <c r="AJ1292">
        <v>0</v>
      </c>
      <c r="AK1292">
        <f t="shared" si="502"/>
        <v>0</v>
      </c>
      <c r="AL1292">
        <f t="shared" si="510"/>
        <v>0</v>
      </c>
      <c r="AM1292">
        <f t="shared" ca="1" si="503"/>
        <v>280.07692026646265</v>
      </c>
      <c r="AN1292" t="str">
        <f t="shared" ca="1" si="504"/>
        <v>Supercritical</v>
      </c>
      <c r="AO1292">
        <f ca="1">IF(V32="Supercritical",R1292,AA1292)</f>
        <v>482.07306851378365</v>
      </c>
    </row>
    <row r="1293" spans="1:41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174</v>
      </c>
      <c r="I1293">
        <v>2E-3</v>
      </c>
      <c r="J1293">
        <f t="shared" si="505"/>
        <v>1.0010000000002037</v>
      </c>
      <c r="K1293">
        <f t="shared" si="506"/>
        <v>51</v>
      </c>
      <c r="L1293">
        <f t="shared" ca="1" si="507"/>
        <v>38818.051231278128</v>
      </c>
      <c r="M1293">
        <f t="shared" ca="1" si="485"/>
        <v>201853.86640264626</v>
      </c>
      <c r="N1293">
        <f t="shared" ca="1" si="486"/>
        <v>2.5998258658784543</v>
      </c>
      <c r="O1293">
        <f t="shared" ca="1" si="487"/>
        <v>2.5265802884482871E-4</v>
      </c>
      <c r="P1293">
        <f t="shared" ca="1" si="488"/>
        <v>39450.041731278128</v>
      </c>
      <c r="Q1293">
        <f t="shared" ca="1" si="489"/>
        <v>39450.041731281381</v>
      </c>
      <c r="R1293">
        <f t="shared" ca="1" si="490"/>
        <v>4.0178129257556468E-12</v>
      </c>
      <c r="S1293">
        <f t="shared" ca="1" si="508"/>
        <v>4.999999946448952E-4</v>
      </c>
      <c r="T1293">
        <f t="shared" ca="1" si="509"/>
        <v>1</v>
      </c>
      <c r="U1293">
        <f t="shared" ca="1" si="491"/>
        <v>0.05</v>
      </c>
      <c r="V1293">
        <f t="shared" ca="1" si="492"/>
        <v>0.26</v>
      </c>
      <c r="W1293">
        <f t="shared" ca="1" si="493"/>
        <v>4.9056603773584909E-2</v>
      </c>
      <c r="X1293">
        <f t="shared" ca="1" si="494"/>
        <v>196.15384615384616</v>
      </c>
      <c r="Y1293">
        <f t="shared" ca="1" si="495"/>
        <v>632.04049999999995</v>
      </c>
      <c r="Z1293">
        <f t="shared" ca="1" si="496"/>
        <v>2593.117531648662</v>
      </c>
      <c r="AA1293">
        <f t="shared" ca="1" si="497"/>
        <v>482.07306851378365</v>
      </c>
      <c r="AB1293">
        <f t="shared" ca="1" si="498"/>
        <v>482.25887083179077</v>
      </c>
      <c r="AC1293">
        <f t="shared" ca="1" si="499"/>
        <v>0</v>
      </c>
      <c r="AD1293">
        <f ca="1">IF(V32="Supercritical",L1293,U1293)</f>
        <v>0.05</v>
      </c>
      <c r="AE1293">
        <f t="shared" ca="1" si="500"/>
        <v>632.04049999999995</v>
      </c>
      <c r="AF1293">
        <f t="shared" ca="1" si="501"/>
        <v>2593.117531648662</v>
      </c>
      <c r="AI1293">
        <v>0</v>
      </c>
      <c r="AJ1293">
        <v>0</v>
      </c>
      <c r="AK1293">
        <f t="shared" si="502"/>
        <v>0</v>
      </c>
      <c r="AL1293">
        <f t="shared" si="510"/>
        <v>0</v>
      </c>
      <c r="AM1293">
        <f t="shared" ca="1" si="503"/>
        <v>280.07692026646265</v>
      </c>
      <c r="AN1293" t="str">
        <f t="shared" ca="1" si="504"/>
        <v>Supercritical</v>
      </c>
      <c r="AO1293">
        <f ca="1">IF(V32="Supercritical",R1293,AA1293)</f>
        <v>482.07306851378365</v>
      </c>
    </row>
    <row r="1294" spans="1:41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174</v>
      </c>
      <c r="I1294">
        <v>5.7000000000000002E-2</v>
      </c>
      <c r="J1294">
        <f t="shared" si="505"/>
        <v>1</v>
      </c>
      <c r="K1294">
        <f t="shared" si="506"/>
        <v>51</v>
      </c>
      <c r="L1294">
        <f t="shared" ca="1" si="507"/>
        <v>38818.051231278128</v>
      </c>
      <c r="M1294">
        <f t="shared" ca="1" si="485"/>
        <v>201853.86640264626</v>
      </c>
      <c r="N1294">
        <f t="shared" ca="1" si="486"/>
        <v>2.5998258658784543</v>
      </c>
      <c r="O1294">
        <f t="shared" ca="1" si="487"/>
        <v>2.5265802884482871E-4</v>
      </c>
      <c r="P1294">
        <f t="shared" ca="1" si="488"/>
        <v>39450.041231278126</v>
      </c>
      <c r="Q1294">
        <f t="shared" ca="1" si="489"/>
        <v>39450.041231281379</v>
      </c>
      <c r="R1294">
        <f t="shared" ca="1" si="490"/>
        <v>4.0178129257556468E-12</v>
      </c>
      <c r="S1294">
        <f t="shared" ca="1" si="508"/>
        <v>4.999999946448952E-4</v>
      </c>
      <c r="T1294">
        <f t="shared" ca="1" si="509"/>
        <v>1</v>
      </c>
      <c r="U1294">
        <f t="shared" ca="1" si="491"/>
        <v>0.05</v>
      </c>
      <c r="V1294">
        <f t="shared" ca="1" si="492"/>
        <v>0.26</v>
      </c>
      <c r="W1294">
        <f t="shared" ca="1" si="493"/>
        <v>4.9056603773584909E-2</v>
      </c>
      <c r="X1294">
        <f t="shared" ca="1" si="494"/>
        <v>196.15384615384616</v>
      </c>
      <c r="Y1294">
        <f t="shared" ca="1" si="495"/>
        <v>632.04</v>
      </c>
      <c r="Z1294">
        <f t="shared" ca="1" si="496"/>
        <v>2593.1170316486623</v>
      </c>
      <c r="AA1294">
        <f t="shared" ca="1" si="497"/>
        <v>482.07306851378365</v>
      </c>
      <c r="AB1294">
        <f t="shared" ca="1" si="498"/>
        <v>482.25887083179032</v>
      </c>
      <c r="AC1294">
        <f t="shared" ca="1" si="499"/>
        <v>0</v>
      </c>
      <c r="AD1294">
        <f ca="1">IF(V32="Supercritical",L1294,U1294)</f>
        <v>0.05</v>
      </c>
      <c r="AE1294">
        <f t="shared" ca="1" si="500"/>
        <v>632.04</v>
      </c>
      <c r="AF1294">
        <f t="shared" ca="1" si="501"/>
        <v>2593.1170316486623</v>
      </c>
      <c r="AI1294">
        <v>0</v>
      </c>
      <c r="AJ1294">
        <v>0</v>
      </c>
      <c r="AK1294">
        <f t="shared" si="502"/>
        <v>0</v>
      </c>
      <c r="AL1294">
        <f t="shared" si="510"/>
        <v>0</v>
      </c>
      <c r="AM1294">
        <f t="shared" ca="1" si="503"/>
        <v>280.07692026646265</v>
      </c>
      <c r="AN1294" t="str">
        <f t="shared" ca="1" si="504"/>
        <v>Supercritical</v>
      </c>
      <c r="AO1294">
        <f ca="1">IF(V32="Supercritical",R1294,AA1294)</f>
        <v>482.07306851378365</v>
      </c>
    </row>
    <row r="1295" spans="1:41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174</v>
      </c>
      <c r="I1295">
        <v>5.7000000000000002E-2</v>
      </c>
      <c r="J1295">
        <f t="shared" si="505"/>
        <v>1</v>
      </c>
      <c r="K1295">
        <f t="shared" si="506"/>
        <v>51</v>
      </c>
      <c r="L1295">
        <f t="shared" ca="1" si="507"/>
        <v>38818.051231278128</v>
      </c>
      <c r="M1295">
        <f t="shared" ca="1" si="485"/>
        <v>201853.86640264626</v>
      </c>
      <c r="N1295">
        <f t="shared" ca="1" si="486"/>
        <v>2.5998258658784543</v>
      </c>
      <c r="O1295">
        <f t="shared" ca="1" si="487"/>
        <v>2.5265802884482871E-4</v>
      </c>
      <c r="P1295">
        <f t="shared" ca="1" si="488"/>
        <v>39450.040731278132</v>
      </c>
      <c r="Q1295">
        <f t="shared" ca="1" si="489"/>
        <v>39450.040731281384</v>
      </c>
      <c r="R1295">
        <f t="shared" ca="1" si="490"/>
        <v>4.0178129257556468E-12</v>
      </c>
      <c r="S1295">
        <f t="shared" ca="1" si="508"/>
        <v>4.9999998736893758E-4</v>
      </c>
      <c r="T1295">
        <f t="shared" ca="1" si="509"/>
        <v>1</v>
      </c>
      <c r="U1295">
        <f t="shared" ca="1" si="491"/>
        <v>0.05</v>
      </c>
      <c r="V1295">
        <f t="shared" ca="1" si="492"/>
        <v>0.26</v>
      </c>
      <c r="W1295">
        <f t="shared" ca="1" si="493"/>
        <v>4.9056603773584909E-2</v>
      </c>
      <c r="X1295">
        <f t="shared" ca="1" si="494"/>
        <v>196.15384615384616</v>
      </c>
      <c r="Y1295">
        <f t="shared" ca="1" si="495"/>
        <v>632.03949999999998</v>
      </c>
      <c r="Z1295">
        <f t="shared" ca="1" si="496"/>
        <v>2593.1165316486622</v>
      </c>
      <c r="AA1295">
        <f t="shared" ca="1" si="497"/>
        <v>482.07306851378365</v>
      </c>
      <c r="AB1295">
        <f t="shared" ca="1" si="498"/>
        <v>481.59049544517165</v>
      </c>
      <c r="AC1295">
        <f t="shared" ca="1" si="499"/>
        <v>0</v>
      </c>
      <c r="AD1295">
        <f ca="1">IF(V32="Supercritical",L1295,U1295)</f>
        <v>0.05</v>
      </c>
      <c r="AE1295">
        <f t="shared" ca="1" si="500"/>
        <v>632.03949999999998</v>
      </c>
      <c r="AF1295">
        <f t="shared" ca="1" si="501"/>
        <v>2593.1165316486622</v>
      </c>
      <c r="AI1295">
        <v>0</v>
      </c>
      <c r="AJ1295">
        <v>0</v>
      </c>
      <c r="AK1295">
        <f t="shared" si="502"/>
        <v>0</v>
      </c>
      <c r="AL1295">
        <f t="shared" si="510"/>
        <v>0</v>
      </c>
      <c r="AM1295">
        <f t="shared" ca="1" si="503"/>
        <v>280.07692026646265</v>
      </c>
      <c r="AN1295" t="str">
        <f t="shared" ca="1" si="504"/>
        <v>Supercritical</v>
      </c>
      <c r="AO1295">
        <f ca="1">IF(V32="Supercritical",R1295,AA1295)</f>
        <v>482.07306851378365</v>
      </c>
    </row>
    <row r="1296" spans="1:41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174</v>
      </c>
      <c r="I1296">
        <v>0</v>
      </c>
      <c r="J1296">
        <f t="shared" si="505"/>
        <v>0.99899999999979627</v>
      </c>
      <c r="K1296">
        <f t="shared" si="506"/>
        <v>51</v>
      </c>
      <c r="L1296">
        <f t="shared" ca="1" si="507"/>
        <v>38818.051231278128</v>
      </c>
      <c r="M1296">
        <f t="shared" ca="1" si="485"/>
        <v>201853.86640264626</v>
      </c>
      <c r="N1296">
        <f t="shared" ca="1" si="486"/>
        <v>2.5998258658784543</v>
      </c>
      <c r="O1296">
        <f t="shared" ca="1" si="487"/>
        <v>2.5265802884482871E-4</v>
      </c>
      <c r="P1296">
        <f t="shared" ca="1" si="488"/>
        <v>39450.04023127813</v>
      </c>
      <c r="Q1296">
        <f t="shared" ca="1" si="489"/>
        <v>39450.040231281382</v>
      </c>
      <c r="R1296">
        <f t="shared" ca="1" si="490"/>
        <v>4.0178129257556468E-12</v>
      </c>
      <c r="S1296">
        <f t="shared" ca="1" si="508"/>
        <v>4.999999946448952E-4</v>
      </c>
      <c r="T1296">
        <f t="shared" ca="1" si="509"/>
        <v>1</v>
      </c>
      <c r="U1296">
        <f t="shared" ca="1" si="491"/>
        <v>0.05</v>
      </c>
      <c r="V1296">
        <f t="shared" ca="1" si="492"/>
        <v>0.26</v>
      </c>
      <c r="W1296">
        <f t="shared" ca="1" si="493"/>
        <v>4.9056603773584909E-2</v>
      </c>
      <c r="X1296">
        <f t="shared" ca="1" si="494"/>
        <v>196.15384615384616</v>
      </c>
      <c r="Y1296">
        <f t="shared" ca="1" si="495"/>
        <v>632.03899999999999</v>
      </c>
      <c r="Z1296">
        <f t="shared" ca="1" si="496"/>
        <v>2593.1160316486621</v>
      </c>
      <c r="AA1296">
        <f t="shared" ca="1" si="497"/>
        <v>482.07306851378365</v>
      </c>
      <c r="AB1296">
        <f t="shared" ca="1" si="498"/>
        <v>482.07256851378361</v>
      </c>
      <c r="AC1296">
        <f t="shared" ca="1" si="499"/>
        <v>0</v>
      </c>
      <c r="AD1296">
        <f ca="1">IF(V32="Supercritical",L1296,U1296)</f>
        <v>0.05</v>
      </c>
      <c r="AE1296">
        <f t="shared" ca="1" si="500"/>
        <v>632.03899999999999</v>
      </c>
      <c r="AF1296">
        <f t="shared" ca="1" si="501"/>
        <v>2593.1160316486621</v>
      </c>
      <c r="AI1296">
        <v>0</v>
      </c>
      <c r="AJ1296">
        <v>0</v>
      </c>
      <c r="AK1296">
        <f t="shared" si="502"/>
        <v>0</v>
      </c>
      <c r="AL1296">
        <f t="shared" si="510"/>
        <v>0</v>
      </c>
      <c r="AM1296">
        <f t="shared" ca="1" si="503"/>
        <v>280.07692026646265</v>
      </c>
      <c r="AN1296" t="str">
        <f t="shared" ca="1" si="504"/>
        <v>Supercritical</v>
      </c>
      <c r="AO1296">
        <f ca="1">IF(V32="Supercritical",R1296,AA1296)</f>
        <v>482.07306851378365</v>
      </c>
    </row>
    <row r="1297" spans="1:41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174</v>
      </c>
      <c r="I1297">
        <v>0</v>
      </c>
      <c r="J1297">
        <f t="shared" si="505"/>
        <v>1</v>
      </c>
      <c r="K1297">
        <f t="shared" si="506"/>
        <v>51</v>
      </c>
      <c r="L1297">
        <f t="shared" ca="1" si="507"/>
        <v>38818.051231278128</v>
      </c>
      <c r="M1297">
        <f t="shared" ca="1" si="485"/>
        <v>201853.86640264626</v>
      </c>
      <c r="N1297">
        <f t="shared" ca="1" si="486"/>
        <v>2.5998258658784543</v>
      </c>
      <c r="O1297">
        <f t="shared" ca="1" si="487"/>
        <v>2.5265802884482871E-4</v>
      </c>
      <c r="P1297">
        <f t="shared" ca="1" si="488"/>
        <v>39450.039731278128</v>
      </c>
      <c r="Q1297">
        <f t="shared" ca="1" si="489"/>
        <v>39450.03973128138</v>
      </c>
      <c r="R1297">
        <f t="shared" ca="1" si="490"/>
        <v>4.0178129257556468E-12</v>
      </c>
      <c r="S1297">
        <f t="shared" ca="1" si="508"/>
        <v>4.999999946448952E-4</v>
      </c>
      <c r="T1297">
        <f t="shared" ca="1" si="509"/>
        <v>1</v>
      </c>
      <c r="U1297">
        <f t="shared" ca="1" si="491"/>
        <v>0.05</v>
      </c>
      <c r="V1297">
        <f t="shared" ca="1" si="492"/>
        <v>0.26</v>
      </c>
      <c r="W1297">
        <f t="shared" ca="1" si="493"/>
        <v>4.9056603773584909E-2</v>
      </c>
      <c r="X1297">
        <f t="shared" ca="1" si="494"/>
        <v>196.15384615384616</v>
      </c>
      <c r="Y1297">
        <f t="shared" ca="1" si="495"/>
        <v>632.0385</v>
      </c>
      <c r="Z1297">
        <f t="shared" ca="1" si="496"/>
        <v>2593.115531648662</v>
      </c>
      <c r="AA1297">
        <f t="shared" ca="1" si="497"/>
        <v>482.07306851378365</v>
      </c>
      <c r="AB1297">
        <f t="shared" ca="1" si="498"/>
        <v>482.25887083179032</v>
      </c>
      <c r="AC1297">
        <f t="shared" ca="1" si="499"/>
        <v>0</v>
      </c>
      <c r="AD1297">
        <f ca="1">IF(V32="Supercritical",L1297,U1297)</f>
        <v>0.05</v>
      </c>
      <c r="AE1297">
        <f t="shared" ca="1" si="500"/>
        <v>632.0385</v>
      </c>
      <c r="AF1297">
        <f t="shared" ca="1" si="501"/>
        <v>2593.115531648662</v>
      </c>
      <c r="AI1297">
        <v>0</v>
      </c>
      <c r="AJ1297">
        <v>0</v>
      </c>
      <c r="AK1297">
        <f t="shared" si="502"/>
        <v>0</v>
      </c>
      <c r="AL1297">
        <f t="shared" si="510"/>
        <v>0</v>
      </c>
      <c r="AM1297">
        <f t="shared" ca="1" si="503"/>
        <v>280.07692026646265</v>
      </c>
      <c r="AN1297" t="str">
        <f t="shared" ca="1" si="504"/>
        <v>Supercritical</v>
      </c>
      <c r="AO1297">
        <f ca="1">IF(V32="Supercritical",R1297,AA1297)</f>
        <v>482.07306851378365</v>
      </c>
    </row>
    <row r="1298" spans="1:41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174</v>
      </c>
      <c r="I1298">
        <v>5.7000000000000002E-2</v>
      </c>
      <c r="J1298">
        <f t="shared" si="505"/>
        <v>1</v>
      </c>
      <c r="K1298">
        <f t="shared" si="506"/>
        <v>51</v>
      </c>
      <c r="L1298">
        <f t="shared" ca="1" si="507"/>
        <v>38818.051231278128</v>
      </c>
      <c r="M1298">
        <f t="shared" ca="1" si="485"/>
        <v>201853.86640264626</v>
      </c>
      <c r="N1298">
        <f t="shared" ca="1" si="486"/>
        <v>2.5998258658784543</v>
      </c>
      <c r="O1298">
        <f t="shared" ca="1" si="487"/>
        <v>2.5265802884482871E-4</v>
      </c>
      <c r="P1298">
        <f t="shared" ca="1" si="488"/>
        <v>39450.039231278126</v>
      </c>
      <c r="Q1298">
        <f t="shared" ca="1" si="489"/>
        <v>39450.039231281378</v>
      </c>
      <c r="R1298">
        <f t="shared" ca="1" si="490"/>
        <v>4.0178129257556468E-12</v>
      </c>
      <c r="S1298">
        <f t="shared" ca="1" si="508"/>
        <v>4.999999946448952E-4</v>
      </c>
      <c r="T1298">
        <f t="shared" ca="1" si="509"/>
        <v>1</v>
      </c>
      <c r="U1298">
        <f t="shared" ca="1" si="491"/>
        <v>0.05</v>
      </c>
      <c r="V1298">
        <f t="shared" ca="1" si="492"/>
        <v>0.26</v>
      </c>
      <c r="W1298">
        <f t="shared" ca="1" si="493"/>
        <v>4.9056603773584909E-2</v>
      </c>
      <c r="X1298">
        <f t="shared" ca="1" si="494"/>
        <v>196.15384615384616</v>
      </c>
      <c r="Y1298">
        <f t="shared" ca="1" si="495"/>
        <v>632.03800000000001</v>
      </c>
      <c r="Z1298">
        <f t="shared" ca="1" si="496"/>
        <v>2593.1150316486619</v>
      </c>
      <c r="AA1298">
        <f t="shared" ca="1" si="497"/>
        <v>482.07306851378365</v>
      </c>
      <c r="AB1298">
        <f t="shared" ca="1" si="498"/>
        <v>482.25887083179032</v>
      </c>
      <c r="AC1298">
        <f t="shared" ca="1" si="499"/>
        <v>0</v>
      </c>
      <c r="AD1298">
        <f ca="1">IF(V32="Supercritical",L1298,U1298)</f>
        <v>0.05</v>
      </c>
      <c r="AE1298">
        <f t="shared" ca="1" si="500"/>
        <v>632.03800000000001</v>
      </c>
      <c r="AF1298">
        <f t="shared" ca="1" si="501"/>
        <v>2593.1150316486619</v>
      </c>
      <c r="AI1298">
        <v>0</v>
      </c>
      <c r="AJ1298">
        <v>0</v>
      </c>
      <c r="AK1298">
        <f t="shared" si="502"/>
        <v>0</v>
      </c>
      <c r="AL1298">
        <f t="shared" si="510"/>
        <v>0</v>
      </c>
      <c r="AM1298">
        <f t="shared" ca="1" si="503"/>
        <v>280.07692026646265</v>
      </c>
      <c r="AN1298" t="str">
        <f t="shared" ca="1" si="504"/>
        <v>Supercritical</v>
      </c>
      <c r="AO1298">
        <f ca="1">IF(V32="Supercritical",R1298,AA1298)</f>
        <v>482.07306851378365</v>
      </c>
    </row>
    <row r="1299" spans="1:41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174</v>
      </c>
      <c r="I1299">
        <v>5.7000000000000002E-2</v>
      </c>
      <c r="J1299">
        <f t="shared" si="505"/>
        <v>1</v>
      </c>
      <c r="K1299">
        <f t="shared" si="506"/>
        <v>51</v>
      </c>
      <c r="L1299">
        <f t="shared" ca="1" si="507"/>
        <v>38818.051231278128</v>
      </c>
      <c r="M1299">
        <f t="shared" ca="1" si="485"/>
        <v>201853.86640264626</v>
      </c>
      <c r="N1299">
        <f t="shared" ca="1" si="486"/>
        <v>2.5998258658784543</v>
      </c>
      <c r="O1299">
        <f t="shared" ca="1" si="487"/>
        <v>2.5265802884482871E-4</v>
      </c>
      <c r="P1299">
        <f t="shared" ca="1" si="488"/>
        <v>39450.038731278131</v>
      </c>
      <c r="Q1299">
        <f t="shared" ca="1" si="489"/>
        <v>39450.038731281384</v>
      </c>
      <c r="R1299">
        <f t="shared" ca="1" si="490"/>
        <v>4.0178129257556468E-12</v>
      </c>
      <c r="S1299">
        <f t="shared" ca="1" si="508"/>
        <v>4.9999998736893758E-4</v>
      </c>
      <c r="T1299">
        <f t="shared" ca="1" si="509"/>
        <v>1</v>
      </c>
      <c r="U1299">
        <f t="shared" ca="1" si="491"/>
        <v>0.05</v>
      </c>
      <c r="V1299">
        <f t="shared" ca="1" si="492"/>
        <v>0.26</v>
      </c>
      <c r="W1299">
        <f t="shared" ca="1" si="493"/>
        <v>4.9056603773584909E-2</v>
      </c>
      <c r="X1299">
        <f t="shared" ca="1" si="494"/>
        <v>196.15384615384616</v>
      </c>
      <c r="Y1299">
        <f t="shared" ca="1" si="495"/>
        <v>632.03749999999991</v>
      </c>
      <c r="Z1299">
        <f t="shared" ca="1" si="496"/>
        <v>2593.1145316486618</v>
      </c>
      <c r="AA1299">
        <f t="shared" ca="1" si="497"/>
        <v>482.07306851378365</v>
      </c>
      <c r="AB1299">
        <f t="shared" ca="1" si="498"/>
        <v>482.07256851378406</v>
      </c>
      <c r="AC1299">
        <f t="shared" ca="1" si="499"/>
        <v>0</v>
      </c>
      <c r="AD1299">
        <f ca="1">IF(V32="Supercritical",L1299,U1299)</f>
        <v>0.05</v>
      </c>
      <c r="AE1299">
        <f t="shared" ca="1" si="500"/>
        <v>632.03749999999991</v>
      </c>
      <c r="AF1299">
        <f t="shared" ca="1" si="501"/>
        <v>2593.1145316486618</v>
      </c>
      <c r="AI1299">
        <v>0</v>
      </c>
      <c r="AJ1299">
        <v>0</v>
      </c>
      <c r="AK1299">
        <f t="shared" si="502"/>
        <v>0</v>
      </c>
      <c r="AL1299">
        <f t="shared" si="510"/>
        <v>0</v>
      </c>
      <c r="AM1299">
        <f t="shared" ca="1" si="503"/>
        <v>280.07692026646265</v>
      </c>
      <c r="AN1299" t="str">
        <f t="shared" ca="1" si="504"/>
        <v>Supercritical</v>
      </c>
      <c r="AO1299">
        <f ca="1">IF(V32="Supercritical",R1299,AA1299)</f>
        <v>482.07306851378365</v>
      </c>
    </row>
    <row r="1300" spans="1:41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174</v>
      </c>
      <c r="I1300">
        <v>0</v>
      </c>
      <c r="J1300">
        <f t="shared" si="505"/>
        <v>1</v>
      </c>
      <c r="K1300">
        <f t="shared" si="506"/>
        <v>51</v>
      </c>
      <c r="L1300">
        <f t="shared" ca="1" si="507"/>
        <v>38818.051231278128</v>
      </c>
      <c r="M1300">
        <f t="shared" ca="1" si="485"/>
        <v>201853.86640264626</v>
      </c>
      <c r="N1300">
        <f t="shared" ca="1" si="486"/>
        <v>2.5998258658784543</v>
      </c>
      <c r="O1300">
        <f t="shared" ca="1" si="487"/>
        <v>2.5265802884482871E-4</v>
      </c>
      <c r="P1300">
        <f t="shared" ca="1" si="488"/>
        <v>39450.038231278129</v>
      </c>
      <c r="Q1300">
        <f t="shared" ca="1" si="489"/>
        <v>39450.038231281382</v>
      </c>
      <c r="R1300">
        <f t="shared" ca="1" si="490"/>
        <v>4.0178129257556468E-12</v>
      </c>
      <c r="S1300">
        <f t="shared" ca="1" si="508"/>
        <v>4.999999946448952E-4</v>
      </c>
      <c r="T1300">
        <f t="shared" ca="1" si="509"/>
        <v>1</v>
      </c>
      <c r="U1300">
        <f t="shared" ca="1" si="491"/>
        <v>0.05</v>
      </c>
      <c r="V1300">
        <f t="shared" ca="1" si="492"/>
        <v>0.26</v>
      </c>
      <c r="W1300">
        <f t="shared" ca="1" si="493"/>
        <v>4.9056603773584909E-2</v>
      </c>
      <c r="X1300">
        <f t="shared" ca="1" si="494"/>
        <v>196.15384615384616</v>
      </c>
      <c r="Y1300">
        <f t="shared" ca="1" si="495"/>
        <v>632.03699999999992</v>
      </c>
      <c r="Z1300">
        <f t="shared" ca="1" si="496"/>
        <v>2593.1140316486621</v>
      </c>
      <c r="AA1300">
        <f t="shared" ca="1" si="497"/>
        <v>482.07306851378365</v>
      </c>
      <c r="AB1300">
        <f t="shared" ca="1" si="498"/>
        <v>482.07256851378361</v>
      </c>
      <c r="AC1300">
        <f t="shared" ca="1" si="499"/>
        <v>0</v>
      </c>
      <c r="AD1300">
        <f ca="1">IF(V32="Supercritical",L1300,U1300)</f>
        <v>0.05</v>
      </c>
      <c r="AE1300">
        <f t="shared" ca="1" si="500"/>
        <v>632.03699999999992</v>
      </c>
      <c r="AF1300">
        <f t="shared" ca="1" si="501"/>
        <v>2593.1140316486621</v>
      </c>
      <c r="AI1300">
        <v>0</v>
      </c>
      <c r="AJ1300">
        <v>0</v>
      </c>
      <c r="AK1300">
        <f t="shared" si="502"/>
        <v>0</v>
      </c>
      <c r="AL1300">
        <f t="shared" si="510"/>
        <v>0</v>
      </c>
      <c r="AM1300">
        <f t="shared" ca="1" si="503"/>
        <v>280.07692026646265</v>
      </c>
      <c r="AN1300" t="str">
        <f t="shared" ca="1" si="504"/>
        <v>Supercritical</v>
      </c>
      <c r="AO1300">
        <f ca="1">IF(V32="Supercritical",R1300,AA1300)</f>
        <v>482.07306851378365</v>
      </c>
    </row>
    <row r="1301" spans="1:41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174</v>
      </c>
      <c r="I1301">
        <v>0</v>
      </c>
      <c r="J1301">
        <f t="shared" si="505"/>
        <v>1</v>
      </c>
      <c r="K1301">
        <f t="shared" si="506"/>
        <v>51</v>
      </c>
      <c r="L1301">
        <f t="shared" ca="1" si="507"/>
        <v>38818.051231278128</v>
      </c>
      <c r="M1301">
        <f t="shared" ca="1" si="485"/>
        <v>201853.86640264626</v>
      </c>
      <c r="N1301">
        <f t="shared" ca="1" si="486"/>
        <v>2.5998258658784543</v>
      </c>
      <c r="O1301">
        <f t="shared" ca="1" si="487"/>
        <v>2.5265802884482871E-4</v>
      </c>
      <c r="P1301">
        <f t="shared" ca="1" si="488"/>
        <v>39450.037731278127</v>
      </c>
      <c r="Q1301">
        <f t="shared" ca="1" si="489"/>
        <v>39450.03773128138</v>
      </c>
      <c r="R1301">
        <f t="shared" ca="1" si="490"/>
        <v>4.0178129257556468E-12</v>
      </c>
      <c r="S1301">
        <f t="shared" ca="1" si="508"/>
        <v>4.999999946448952E-4</v>
      </c>
      <c r="T1301">
        <f t="shared" ca="1" si="509"/>
        <v>1</v>
      </c>
      <c r="U1301">
        <f t="shared" ca="1" si="491"/>
        <v>0.05</v>
      </c>
      <c r="V1301">
        <f t="shared" ca="1" si="492"/>
        <v>0.26</v>
      </c>
      <c r="W1301">
        <f t="shared" ca="1" si="493"/>
        <v>4.9056603773584909E-2</v>
      </c>
      <c r="X1301">
        <f t="shared" ca="1" si="494"/>
        <v>196.15384615384616</v>
      </c>
      <c r="Y1301">
        <f t="shared" ca="1" si="495"/>
        <v>632.03649999999993</v>
      </c>
      <c r="Z1301">
        <f t="shared" ca="1" si="496"/>
        <v>2593.113531648662</v>
      </c>
      <c r="AA1301">
        <f t="shared" ca="1" si="497"/>
        <v>482.07306851378365</v>
      </c>
      <c r="AB1301">
        <f t="shared" ca="1" si="498"/>
        <v>482.25233390835137</v>
      </c>
      <c r="AC1301">
        <f t="shared" ca="1" si="499"/>
        <v>0</v>
      </c>
      <c r="AD1301">
        <f ca="1">IF(V32="Supercritical",L1301,U1301)</f>
        <v>0.05</v>
      </c>
      <c r="AE1301">
        <f t="shared" ca="1" si="500"/>
        <v>632.03649999999993</v>
      </c>
      <c r="AF1301">
        <f t="shared" ca="1" si="501"/>
        <v>2593.113531648662</v>
      </c>
      <c r="AI1301">
        <v>0</v>
      </c>
      <c r="AJ1301">
        <v>0</v>
      </c>
      <c r="AK1301">
        <f t="shared" si="502"/>
        <v>0</v>
      </c>
      <c r="AL1301">
        <f t="shared" si="510"/>
        <v>0</v>
      </c>
      <c r="AM1301">
        <f t="shared" ca="1" si="503"/>
        <v>280.07692026646265</v>
      </c>
      <c r="AN1301" t="str">
        <f t="shared" ca="1" si="504"/>
        <v>Supercritical</v>
      </c>
      <c r="AO1301">
        <f ca="1">IF(V32="Supercritical",R1301,AA1301)</f>
        <v>482.07306851378365</v>
      </c>
    </row>
    <row r="1302" spans="1:41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174</v>
      </c>
      <c r="I1302">
        <v>5.5E-2</v>
      </c>
      <c r="J1302">
        <f t="shared" si="505"/>
        <v>1</v>
      </c>
      <c r="K1302">
        <f t="shared" si="506"/>
        <v>51</v>
      </c>
      <c r="L1302">
        <f t="shared" ca="1" si="507"/>
        <v>38818.051231278128</v>
      </c>
      <c r="M1302">
        <f t="shared" ref="M1302:M1365" ca="1" si="511">((F1302)+(G1302)*(L1302))*(L1302)</f>
        <v>201853.86640264626</v>
      </c>
      <c r="N1302">
        <f t="shared" ref="N1302:N1365" ca="1" si="512">(((F1302)+(G1302)*(L1302))*(L1302))/MAX((F1302)+2*(L1302)*SQRT(1+(G1302)^2),0.000001)</f>
        <v>2.5998258658784543</v>
      </c>
      <c r="O1302">
        <f t="shared" ref="O1302:O1365" ca="1" si="513">ABS(K1302)/MAX(((F1302)+(G1302)*(L1302))*(L1302),0.000001)</f>
        <v>2.5265802884482871E-4</v>
      </c>
      <c r="P1302">
        <f t="shared" ref="P1302:P1365" ca="1" si="514">E1302+L1302</f>
        <v>39450.037231278126</v>
      </c>
      <c r="Q1302">
        <f t="shared" ref="Q1302:Q1365" ca="1" si="515">P1302+((ABS(K1302)/MAX(((F1302)+(G1302)*(L1302))*(L1302),0.000001))^2)/(2*$I$5)</f>
        <v>39450.037231281378</v>
      </c>
      <c r="R1302">
        <f t="shared" ref="R1302:R1365" ca="1" si="516">((ABS(K1302)*$D$6)/(MAX(((F1302)+(G1302)*(L1302))*(L1302),0.000001)*MAX(((((F1302)+(G1302)*(L1302))*(L1302))/MAX((F1302)+2*(L1302)*SQRT(1+(G1302)^2),0.000001))^(2/3),0.000001)))^2</f>
        <v>4.0178129257556468E-12</v>
      </c>
      <c r="S1302">
        <f t="shared" ca="1" si="508"/>
        <v>4.999999946448952E-4</v>
      </c>
      <c r="T1302">
        <f t="shared" ca="1" si="509"/>
        <v>1</v>
      </c>
      <c r="U1302">
        <f t="shared" ref="U1302:U1365" ca="1" si="517">IF($D$20=0,U1303,IF(AC1303=0,U1303,IF(U1302=0,U1303,IF(ABS(AB1302)&gt;$D$19,MAX($D$16,U1302+((AB1302)*$D$18*IF((ABS(ABS(K1302)/MAX(((F1302)+(G1302)*(U1302))*(U1302),0.000001))/SQRT($I$5*MAX((((F1302)+(G1302)*(U1302))*(U1302))/MAX((F1302)+2*(G1302)*(U1302),0.000001),0.000001)))&lt;1,1,-1))),U1302))))</f>
        <v>0.05</v>
      </c>
      <c r="V1302">
        <f t="shared" ref="V1302:V1365" ca="1" si="518">((F1302)+(G1302)*(U1302))*(U1302)</f>
        <v>0.26</v>
      </c>
      <c r="W1302">
        <f t="shared" ref="W1302:W1365" ca="1" si="519">(((F1302)+(G1302)*(U1302))*(U1302))/MAX((F1302)+2*(U1302)*SQRT(1+(G1302)^2),0.000001)</f>
        <v>4.9056603773584909E-2</v>
      </c>
      <c r="X1302">
        <f t="shared" ref="X1302:X1365" ca="1" si="520">ABS(K1302)/MAX(((F1302)+(G1302)*(U1302))*(U1302),0.000001)</f>
        <v>196.15384615384616</v>
      </c>
      <c r="Y1302">
        <f t="shared" ref="Y1302:Y1365" ca="1" si="521">E1302+U1302</f>
        <v>632.03599999999994</v>
      </c>
      <c r="Z1302">
        <f t="shared" ref="Z1302:Z1365" ca="1" si="522">Y1302+((ABS(K1302)/MAX(((F1302)+(G1302)*(U1302))*(U1302),0.000001))^2)/(2*$I$5)</f>
        <v>2593.1130316486619</v>
      </c>
      <c r="AA1302">
        <f t="shared" ref="AA1302:AA1365" ca="1" si="523">((ABS(K1302)*$D$6)/(MAX(((F1302)+(G1302)*(U1302))*(U1302),0.000001)*MAX(((((F1302)+(G1302)*(U1302))*(U1302))/MAX((F1302)+2*(U1302)*SQRT(1+(G1302)^2),0.000001))^(2/3),0.000001)))^2</f>
        <v>482.07306851378365</v>
      </c>
      <c r="AB1302">
        <f t="shared" ref="AB1302:AB1365" ca="1" si="524">Z1303+(((AA1302+AA1303)/2)*J1303)+(IF(X1302&gt;X1303,$D$8*((X1302^2-X1303^2)/(2*$I$5)),$D$9*((X1303^2-X1302^2)/(2*$I$5)))+($D$10*(ABS(I1303)/90)*(MAX(X1302^2,X1303^2)/(2*$I$5))))-Z1302</f>
        <v>482.73440697696378</v>
      </c>
      <c r="AC1302">
        <f t="shared" ref="AC1302:AC1365" ca="1" si="525">IF(ABS(AB1302)&lt;$D$19,1,0)</f>
        <v>0</v>
      </c>
      <c r="AD1302">
        <f ca="1">IF(V32="Supercritical",L1302,U1302)</f>
        <v>0.05</v>
      </c>
      <c r="AE1302">
        <f t="shared" ref="AE1302:AE1365" ca="1" si="526">E1302+AD1302</f>
        <v>632.03599999999994</v>
      </c>
      <c r="AF1302">
        <f t="shared" ref="AF1302:AF1365" ca="1" si="527">AE1302+((ABS(K1302)/MAX(((F1302)+(G1302)*(AD1302))*(AD1302),0.000001))^2)/(2*$I$5)</f>
        <v>2593.1130316486619</v>
      </c>
      <c r="AI1302">
        <v>0</v>
      </c>
      <c r="AJ1302">
        <v>0</v>
      </c>
      <c r="AK1302">
        <f t="shared" ref="AK1302:AK1365" si="528">AI1302+AJ1302</f>
        <v>0</v>
      </c>
      <c r="AL1302">
        <f t="shared" si="510"/>
        <v>0</v>
      </c>
      <c r="AM1302">
        <f t="shared" ref="AM1302:AM1365" ca="1" si="529">ABS(ABS(K1302)/MAX(((F1302)+(G1302)*(AD1302))*(AD1302),0.000001))/SQRT($I$5*MAX((((F1302)+(G1302)*(AD1302))*(AD1302))/MAX((F1302)+2*(G1302)*(AD1302),0.000001),0.000001))</f>
        <v>280.07692026646265</v>
      </c>
      <c r="AN1302" t="str">
        <f t="shared" ref="AN1302:AN1365" ca="1" si="530">IF(AM1302&lt;1,"Subcritical","Supercritical")</f>
        <v>Supercritical</v>
      </c>
      <c r="AO1302">
        <f ca="1">IF(V32="Supercritical",R1302,AA1302)</f>
        <v>482.07306851378365</v>
      </c>
    </row>
    <row r="1303" spans="1:41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174</v>
      </c>
      <c r="I1303">
        <v>5.5E-2</v>
      </c>
      <c r="J1303">
        <f t="shared" ref="J1303:J1366" si="531">B1303-B1302</f>
        <v>1.0010000000002037</v>
      </c>
      <c r="K1303">
        <f t="shared" ref="K1303:K1366" si="532">MAX(0,K1302-AK1302)</f>
        <v>51</v>
      </c>
      <c r="L1303">
        <f t="shared" ref="L1303:L1366" ca="1" si="533">IF($D$20=0,L1302,IF(T1302=0,L1302,IF(L1303=0,L1302,IF(ABS(S1303)&gt;$D$19,MAX($D$16,L1303+((S1303)*$D$18*IF((ABS(ABS(K1303)/MAX(((F1303)+(G1303)*(L1303))*(L1303),0.000001))/SQRT($I$5*MAX((((F1303)+(G1303)*(L1303))*(L1303))/MAX((F1303)+2*(G1303)*(L1303),0.000001),0.000001)))&lt;1,1,-1))),L1303))))</f>
        <v>38818.051231278128</v>
      </c>
      <c r="M1303">
        <f t="shared" ca="1" si="511"/>
        <v>201853.86640264626</v>
      </c>
      <c r="N1303">
        <f t="shared" ca="1" si="512"/>
        <v>2.5998258658784543</v>
      </c>
      <c r="O1303">
        <f t="shared" ca="1" si="513"/>
        <v>2.5265802884482871E-4</v>
      </c>
      <c r="P1303">
        <f t="shared" ca="1" si="514"/>
        <v>39450.036731278131</v>
      </c>
      <c r="Q1303">
        <f t="shared" ca="1" si="515"/>
        <v>39450.036731281383</v>
      </c>
      <c r="R1303">
        <f t="shared" ca="1" si="516"/>
        <v>4.0178129257556468E-12</v>
      </c>
      <c r="S1303">
        <f t="shared" ref="S1303:S1366" ca="1" si="534">Q1302-(((R1302+R1303)/2)*J1303)-(IF(O1302&gt;O1303,$D$8*((O1302^2-O1303^2)/(2*$I$5)),$D$9*((O1303^2-O1302^2)/(2*$I$5)))+($D$10*(ABS(I1303)/90)*(MAX(O1302^2,O1303^2)/(2*$I$5))))-Q1303</f>
        <v>4.9999998736893758E-4</v>
      </c>
      <c r="T1303">
        <f t="shared" ref="T1303:T1366" ca="1" si="535">IF(ABS(S1303)&lt;$D$19,1,0)</f>
        <v>1</v>
      </c>
      <c r="U1303">
        <f t="shared" ca="1" si="517"/>
        <v>0.05</v>
      </c>
      <c r="V1303">
        <f t="shared" ca="1" si="518"/>
        <v>0.26</v>
      </c>
      <c r="W1303">
        <f t="shared" ca="1" si="519"/>
        <v>4.9056603773584909E-2</v>
      </c>
      <c r="X1303">
        <f t="shared" ca="1" si="520"/>
        <v>196.15384615384616</v>
      </c>
      <c r="Y1303">
        <f t="shared" ca="1" si="521"/>
        <v>632.03549999999996</v>
      </c>
      <c r="Z1303">
        <f t="shared" ca="1" si="522"/>
        <v>2593.1125316486623</v>
      </c>
      <c r="AA1303">
        <f t="shared" ca="1" si="523"/>
        <v>482.07306851378365</v>
      </c>
      <c r="AB1303">
        <f t="shared" ca="1" si="524"/>
        <v>482.07256851378361</v>
      </c>
      <c r="AC1303">
        <f t="shared" ca="1" si="525"/>
        <v>0</v>
      </c>
      <c r="AD1303">
        <f ca="1">IF(V32="Supercritical",L1303,U1303)</f>
        <v>0.05</v>
      </c>
      <c r="AE1303">
        <f t="shared" ca="1" si="526"/>
        <v>632.03549999999996</v>
      </c>
      <c r="AF1303">
        <f t="shared" ca="1" si="527"/>
        <v>2593.1125316486623</v>
      </c>
      <c r="AI1303">
        <v>0</v>
      </c>
      <c r="AJ1303">
        <v>0</v>
      </c>
      <c r="AK1303">
        <f t="shared" si="528"/>
        <v>0</v>
      </c>
      <c r="AL1303">
        <f t="shared" ref="AL1303:AL1366" si="536">AL1302+AK1303</f>
        <v>0</v>
      </c>
      <c r="AM1303">
        <f t="shared" ca="1" si="529"/>
        <v>280.07692026646265</v>
      </c>
      <c r="AN1303" t="str">
        <f t="shared" ca="1" si="530"/>
        <v>Supercritical</v>
      </c>
      <c r="AO1303">
        <f ca="1">IF(V32="Supercritical",R1303,AA1303)</f>
        <v>482.07306851378365</v>
      </c>
    </row>
    <row r="1304" spans="1:41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174</v>
      </c>
      <c r="I1304">
        <v>0</v>
      </c>
      <c r="J1304">
        <f t="shared" si="531"/>
        <v>1</v>
      </c>
      <c r="K1304">
        <f t="shared" si="532"/>
        <v>51</v>
      </c>
      <c r="L1304">
        <f t="shared" ca="1" si="533"/>
        <v>38818.051231278128</v>
      </c>
      <c r="M1304">
        <f t="shared" ca="1" si="511"/>
        <v>201853.86640264626</v>
      </c>
      <c r="N1304">
        <f t="shared" ca="1" si="512"/>
        <v>2.5998258658784543</v>
      </c>
      <c r="O1304">
        <f t="shared" ca="1" si="513"/>
        <v>2.5265802884482871E-4</v>
      </c>
      <c r="P1304">
        <f t="shared" ca="1" si="514"/>
        <v>39450.036231278129</v>
      </c>
      <c r="Q1304">
        <f t="shared" ca="1" si="515"/>
        <v>39450.036231281381</v>
      </c>
      <c r="R1304">
        <f t="shared" ca="1" si="516"/>
        <v>4.0178129257556468E-12</v>
      </c>
      <c r="S1304">
        <f t="shared" ca="1" si="534"/>
        <v>4.999999946448952E-4</v>
      </c>
      <c r="T1304">
        <f t="shared" ca="1" si="535"/>
        <v>1</v>
      </c>
      <c r="U1304">
        <f t="shared" ca="1" si="517"/>
        <v>0.05</v>
      </c>
      <c r="V1304">
        <f t="shared" ca="1" si="518"/>
        <v>0.26</v>
      </c>
      <c r="W1304">
        <f t="shared" ca="1" si="519"/>
        <v>4.9056603773584909E-2</v>
      </c>
      <c r="X1304">
        <f t="shared" ca="1" si="520"/>
        <v>196.15384615384616</v>
      </c>
      <c r="Y1304">
        <f t="shared" ca="1" si="521"/>
        <v>632.03499999999997</v>
      </c>
      <c r="Z1304">
        <f t="shared" ca="1" si="522"/>
        <v>2593.1120316486622</v>
      </c>
      <c r="AA1304">
        <f t="shared" ca="1" si="523"/>
        <v>482.07306851378365</v>
      </c>
      <c r="AB1304">
        <f t="shared" ca="1" si="524"/>
        <v>481.59049544517165</v>
      </c>
      <c r="AC1304">
        <f t="shared" ca="1" si="525"/>
        <v>0</v>
      </c>
      <c r="AD1304">
        <f ca="1">IF(V32="Supercritical",L1304,U1304)</f>
        <v>0.05</v>
      </c>
      <c r="AE1304">
        <f t="shared" ca="1" si="526"/>
        <v>632.03499999999997</v>
      </c>
      <c r="AF1304">
        <f t="shared" ca="1" si="527"/>
        <v>2593.1120316486622</v>
      </c>
      <c r="AI1304">
        <v>0</v>
      </c>
      <c r="AJ1304">
        <v>0</v>
      </c>
      <c r="AK1304">
        <f t="shared" si="528"/>
        <v>0</v>
      </c>
      <c r="AL1304">
        <f t="shared" si="536"/>
        <v>0</v>
      </c>
      <c r="AM1304">
        <f t="shared" ca="1" si="529"/>
        <v>280.07692026646265</v>
      </c>
      <c r="AN1304" t="str">
        <f t="shared" ca="1" si="530"/>
        <v>Supercritical</v>
      </c>
      <c r="AO1304">
        <f ca="1">IF(V32="Supercritical",R1304,AA1304)</f>
        <v>482.07306851378365</v>
      </c>
    </row>
    <row r="1305" spans="1:41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174</v>
      </c>
      <c r="I1305">
        <v>0</v>
      </c>
      <c r="J1305">
        <f t="shared" si="531"/>
        <v>0.99899999999979627</v>
      </c>
      <c r="K1305">
        <f t="shared" si="532"/>
        <v>51</v>
      </c>
      <c r="L1305">
        <f t="shared" ca="1" si="533"/>
        <v>38818.051231278128</v>
      </c>
      <c r="M1305">
        <f t="shared" ca="1" si="511"/>
        <v>201853.86640264626</v>
      </c>
      <c r="N1305">
        <f t="shared" ca="1" si="512"/>
        <v>2.5998258658784543</v>
      </c>
      <c r="O1305">
        <f t="shared" ca="1" si="513"/>
        <v>2.5265802884482871E-4</v>
      </c>
      <c r="P1305">
        <f t="shared" ca="1" si="514"/>
        <v>39450.035731278127</v>
      </c>
      <c r="Q1305">
        <f t="shared" ca="1" si="515"/>
        <v>39450.035731281379</v>
      </c>
      <c r="R1305">
        <f t="shared" ca="1" si="516"/>
        <v>4.0178129257556468E-12</v>
      </c>
      <c r="S1305">
        <f t="shared" ca="1" si="534"/>
        <v>4.999999946448952E-4</v>
      </c>
      <c r="T1305">
        <f t="shared" ca="1" si="535"/>
        <v>1</v>
      </c>
      <c r="U1305">
        <f t="shared" ca="1" si="517"/>
        <v>0.05</v>
      </c>
      <c r="V1305">
        <f t="shared" ca="1" si="518"/>
        <v>0.26</v>
      </c>
      <c r="W1305">
        <f t="shared" ca="1" si="519"/>
        <v>4.9056603773584909E-2</v>
      </c>
      <c r="X1305">
        <f t="shared" ca="1" si="520"/>
        <v>196.15384615384616</v>
      </c>
      <c r="Y1305">
        <f t="shared" ca="1" si="521"/>
        <v>632.03449999999998</v>
      </c>
      <c r="Z1305">
        <f t="shared" ca="1" si="522"/>
        <v>2593.1115316486621</v>
      </c>
      <c r="AA1305">
        <f t="shared" ca="1" si="523"/>
        <v>482.07306851378365</v>
      </c>
      <c r="AB1305">
        <f t="shared" ca="1" si="524"/>
        <v>482.25887083179032</v>
      </c>
      <c r="AC1305">
        <f t="shared" ca="1" si="525"/>
        <v>0</v>
      </c>
      <c r="AD1305">
        <f ca="1">IF(V32="Supercritical",L1305,U1305)</f>
        <v>0.05</v>
      </c>
      <c r="AE1305">
        <f t="shared" ca="1" si="526"/>
        <v>632.03449999999998</v>
      </c>
      <c r="AF1305">
        <f t="shared" ca="1" si="527"/>
        <v>2593.1115316486621</v>
      </c>
      <c r="AI1305">
        <v>0</v>
      </c>
      <c r="AJ1305">
        <v>0</v>
      </c>
      <c r="AK1305">
        <f t="shared" si="528"/>
        <v>0</v>
      </c>
      <c r="AL1305">
        <f t="shared" si="536"/>
        <v>0</v>
      </c>
      <c r="AM1305">
        <f t="shared" ca="1" si="529"/>
        <v>280.07692026646265</v>
      </c>
      <c r="AN1305" t="str">
        <f t="shared" ca="1" si="530"/>
        <v>Supercritical</v>
      </c>
      <c r="AO1305">
        <f ca="1">IF(V32="Supercritical",R1305,AA1305)</f>
        <v>482.07306851378365</v>
      </c>
    </row>
    <row r="1306" spans="1:41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174</v>
      </c>
      <c r="I1306">
        <v>5.7000000000000002E-2</v>
      </c>
      <c r="J1306">
        <f t="shared" si="531"/>
        <v>1</v>
      </c>
      <c r="K1306">
        <f t="shared" si="532"/>
        <v>51</v>
      </c>
      <c r="L1306">
        <f t="shared" ca="1" si="533"/>
        <v>38818.051231278128</v>
      </c>
      <c r="M1306">
        <f t="shared" ca="1" si="511"/>
        <v>201853.86640264626</v>
      </c>
      <c r="N1306">
        <f t="shared" ca="1" si="512"/>
        <v>2.5998258658784543</v>
      </c>
      <c r="O1306">
        <f t="shared" ca="1" si="513"/>
        <v>2.5265802884482871E-4</v>
      </c>
      <c r="P1306">
        <f t="shared" ca="1" si="514"/>
        <v>39450.035231278125</v>
      </c>
      <c r="Q1306">
        <f t="shared" ca="1" si="515"/>
        <v>39450.035231281377</v>
      </c>
      <c r="R1306">
        <f t="shared" ca="1" si="516"/>
        <v>4.0178129257556468E-12</v>
      </c>
      <c r="S1306">
        <f t="shared" ca="1" si="534"/>
        <v>4.999999946448952E-4</v>
      </c>
      <c r="T1306">
        <f t="shared" ca="1" si="535"/>
        <v>1</v>
      </c>
      <c r="U1306">
        <f t="shared" ca="1" si="517"/>
        <v>0.05</v>
      </c>
      <c r="V1306">
        <f t="shared" ca="1" si="518"/>
        <v>0.26</v>
      </c>
      <c r="W1306">
        <f t="shared" ca="1" si="519"/>
        <v>4.9056603773584909E-2</v>
      </c>
      <c r="X1306">
        <f t="shared" ca="1" si="520"/>
        <v>196.15384615384616</v>
      </c>
      <c r="Y1306">
        <f t="shared" ca="1" si="521"/>
        <v>632.03399999999999</v>
      </c>
      <c r="Z1306">
        <f t="shared" ca="1" si="522"/>
        <v>2593.111031648662</v>
      </c>
      <c r="AA1306">
        <f t="shared" ca="1" si="523"/>
        <v>482.07306851378365</v>
      </c>
      <c r="AB1306">
        <f t="shared" ca="1" si="524"/>
        <v>482.25887083179032</v>
      </c>
      <c r="AC1306">
        <f t="shared" ca="1" si="525"/>
        <v>0</v>
      </c>
      <c r="AD1306">
        <f ca="1">IF(V32="Supercritical",L1306,U1306)</f>
        <v>0.05</v>
      </c>
      <c r="AE1306">
        <f t="shared" ca="1" si="526"/>
        <v>632.03399999999999</v>
      </c>
      <c r="AF1306">
        <f t="shared" ca="1" si="527"/>
        <v>2593.111031648662</v>
      </c>
      <c r="AI1306">
        <v>0</v>
      </c>
      <c r="AJ1306">
        <v>0</v>
      </c>
      <c r="AK1306">
        <f t="shared" si="528"/>
        <v>0</v>
      </c>
      <c r="AL1306">
        <f t="shared" si="536"/>
        <v>0</v>
      </c>
      <c r="AM1306">
        <f t="shared" ca="1" si="529"/>
        <v>280.07692026646265</v>
      </c>
      <c r="AN1306" t="str">
        <f t="shared" ca="1" si="530"/>
        <v>Supercritical</v>
      </c>
      <c r="AO1306">
        <f ca="1">IF(V32="Supercritical",R1306,AA1306)</f>
        <v>482.07306851378365</v>
      </c>
    </row>
    <row r="1307" spans="1:41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174</v>
      </c>
      <c r="I1307">
        <v>5.7000000000000002E-2</v>
      </c>
      <c r="J1307">
        <f t="shared" si="531"/>
        <v>1</v>
      </c>
      <c r="K1307">
        <f t="shared" si="532"/>
        <v>51</v>
      </c>
      <c r="L1307">
        <f t="shared" ca="1" si="533"/>
        <v>38818.051231278128</v>
      </c>
      <c r="M1307">
        <f t="shared" ca="1" si="511"/>
        <v>201853.86640264626</v>
      </c>
      <c r="N1307">
        <f t="shared" ca="1" si="512"/>
        <v>2.5998258658784543</v>
      </c>
      <c r="O1307">
        <f t="shared" ca="1" si="513"/>
        <v>2.5265802884482871E-4</v>
      </c>
      <c r="P1307">
        <f t="shared" ca="1" si="514"/>
        <v>39450.03473127813</v>
      </c>
      <c r="Q1307">
        <f t="shared" ca="1" si="515"/>
        <v>39450.034731281383</v>
      </c>
      <c r="R1307">
        <f t="shared" ca="1" si="516"/>
        <v>4.0178129257556468E-12</v>
      </c>
      <c r="S1307">
        <f t="shared" ca="1" si="534"/>
        <v>4.9999998736893758E-4</v>
      </c>
      <c r="T1307">
        <f t="shared" ca="1" si="535"/>
        <v>1</v>
      </c>
      <c r="U1307">
        <f t="shared" ca="1" si="517"/>
        <v>0.05</v>
      </c>
      <c r="V1307">
        <f t="shared" ca="1" si="518"/>
        <v>0.26</v>
      </c>
      <c r="W1307">
        <f t="shared" ca="1" si="519"/>
        <v>4.9056603773584909E-2</v>
      </c>
      <c r="X1307">
        <f t="shared" ca="1" si="520"/>
        <v>196.15384615384616</v>
      </c>
      <c r="Y1307">
        <f t="shared" ca="1" si="521"/>
        <v>632.0335</v>
      </c>
      <c r="Z1307">
        <f t="shared" ca="1" si="522"/>
        <v>2593.1105316486619</v>
      </c>
      <c r="AA1307">
        <f t="shared" ca="1" si="523"/>
        <v>482.07306851378365</v>
      </c>
      <c r="AB1307">
        <f t="shared" ca="1" si="524"/>
        <v>482.07256851378361</v>
      </c>
      <c r="AC1307">
        <f t="shared" ca="1" si="525"/>
        <v>0</v>
      </c>
      <c r="AD1307">
        <f ca="1">IF(V32="Supercritical",L1307,U1307)</f>
        <v>0.05</v>
      </c>
      <c r="AE1307">
        <f t="shared" ca="1" si="526"/>
        <v>632.0335</v>
      </c>
      <c r="AF1307">
        <f t="shared" ca="1" si="527"/>
        <v>2593.1105316486619</v>
      </c>
      <c r="AI1307">
        <v>0</v>
      </c>
      <c r="AJ1307">
        <v>0</v>
      </c>
      <c r="AK1307">
        <f t="shared" si="528"/>
        <v>0</v>
      </c>
      <c r="AL1307">
        <f t="shared" si="536"/>
        <v>0</v>
      </c>
      <c r="AM1307">
        <f t="shared" ca="1" si="529"/>
        <v>280.07692026646265</v>
      </c>
      <c r="AN1307" t="str">
        <f t="shared" ca="1" si="530"/>
        <v>Supercritical</v>
      </c>
      <c r="AO1307">
        <f ca="1">IF(V32="Supercritical",R1307,AA1307)</f>
        <v>482.07306851378365</v>
      </c>
    </row>
    <row r="1308" spans="1:41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174</v>
      </c>
      <c r="I1308">
        <v>0</v>
      </c>
      <c r="J1308">
        <f t="shared" si="531"/>
        <v>1</v>
      </c>
      <c r="K1308">
        <f t="shared" si="532"/>
        <v>51</v>
      </c>
      <c r="L1308">
        <f t="shared" ca="1" si="533"/>
        <v>38818.051231278128</v>
      </c>
      <c r="M1308">
        <f t="shared" ca="1" si="511"/>
        <v>201853.86640264626</v>
      </c>
      <c r="N1308">
        <f t="shared" ca="1" si="512"/>
        <v>2.5998258658784543</v>
      </c>
      <c r="O1308">
        <f t="shared" ca="1" si="513"/>
        <v>2.5265802884482871E-4</v>
      </c>
      <c r="P1308">
        <f t="shared" ca="1" si="514"/>
        <v>39450.034231278129</v>
      </c>
      <c r="Q1308">
        <f t="shared" ca="1" si="515"/>
        <v>39450.034231281381</v>
      </c>
      <c r="R1308">
        <f t="shared" ca="1" si="516"/>
        <v>4.0178129257556468E-12</v>
      </c>
      <c r="S1308">
        <f t="shared" ca="1" si="534"/>
        <v>4.999999946448952E-4</v>
      </c>
      <c r="T1308">
        <f t="shared" ca="1" si="535"/>
        <v>1</v>
      </c>
      <c r="U1308">
        <f t="shared" ca="1" si="517"/>
        <v>0.05</v>
      </c>
      <c r="V1308">
        <f t="shared" ca="1" si="518"/>
        <v>0.26</v>
      </c>
      <c r="W1308">
        <f t="shared" ca="1" si="519"/>
        <v>4.9056603773584909E-2</v>
      </c>
      <c r="X1308">
        <f t="shared" ca="1" si="520"/>
        <v>196.15384615384616</v>
      </c>
      <c r="Y1308">
        <f t="shared" ca="1" si="521"/>
        <v>632.0329999999999</v>
      </c>
      <c r="Z1308">
        <f t="shared" ca="1" si="522"/>
        <v>2593.1100316486618</v>
      </c>
      <c r="AA1308">
        <f t="shared" ca="1" si="523"/>
        <v>482.07306851378365</v>
      </c>
      <c r="AB1308">
        <f t="shared" ca="1" si="524"/>
        <v>482.07256851378406</v>
      </c>
      <c r="AC1308">
        <f t="shared" ca="1" si="525"/>
        <v>0</v>
      </c>
      <c r="AD1308">
        <f ca="1">IF(V32="Supercritical",L1308,U1308)</f>
        <v>0.05</v>
      </c>
      <c r="AE1308">
        <f t="shared" ca="1" si="526"/>
        <v>632.0329999999999</v>
      </c>
      <c r="AF1308">
        <f t="shared" ca="1" si="527"/>
        <v>2593.1100316486618</v>
      </c>
      <c r="AI1308">
        <v>0</v>
      </c>
      <c r="AJ1308">
        <v>0</v>
      </c>
      <c r="AK1308">
        <f t="shared" si="528"/>
        <v>0</v>
      </c>
      <c r="AL1308">
        <f t="shared" si="536"/>
        <v>0</v>
      </c>
      <c r="AM1308">
        <f t="shared" ca="1" si="529"/>
        <v>280.07692026646265</v>
      </c>
      <c r="AN1308" t="str">
        <f t="shared" ca="1" si="530"/>
        <v>Supercritical</v>
      </c>
      <c r="AO1308">
        <f ca="1">IF(V32="Supercritical",R1308,AA1308)</f>
        <v>482.07306851378365</v>
      </c>
    </row>
    <row r="1309" spans="1:41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174</v>
      </c>
      <c r="I1309">
        <v>0</v>
      </c>
      <c r="J1309">
        <f t="shared" si="531"/>
        <v>1</v>
      </c>
      <c r="K1309">
        <f t="shared" si="532"/>
        <v>51</v>
      </c>
      <c r="L1309">
        <f t="shared" ca="1" si="533"/>
        <v>38818.051231278128</v>
      </c>
      <c r="M1309">
        <f t="shared" ca="1" si="511"/>
        <v>201853.86640264626</v>
      </c>
      <c r="N1309">
        <f t="shared" ca="1" si="512"/>
        <v>2.5998258658784543</v>
      </c>
      <c r="O1309">
        <f t="shared" ca="1" si="513"/>
        <v>2.5265802884482871E-4</v>
      </c>
      <c r="P1309">
        <f t="shared" ca="1" si="514"/>
        <v>39450.033731278127</v>
      </c>
      <c r="Q1309">
        <f t="shared" ca="1" si="515"/>
        <v>39450.033731281379</v>
      </c>
      <c r="R1309">
        <f t="shared" ca="1" si="516"/>
        <v>4.0178129257556468E-12</v>
      </c>
      <c r="S1309">
        <f t="shared" ca="1" si="534"/>
        <v>4.999999946448952E-4</v>
      </c>
      <c r="T1309">
        <f t="shared" ca="1" si="535"/>
        <v>1</v>
      </c>
      <c r="U1309">
        <f t="shared" ca="1" si="517"/>
        <v>0.05</v>
      </c>
      <c r="V1309">
        <f t="shared" ca="1" si="518"/>
        <v>0.26</v>
      </c>
      <c r="W1309">
        <f t="shared" ca="1" si="519"/>
        <v>4.9056603773584909E-2</v>
      </c>
      <c r="X1309">
        <f t="shared" ca="1" si="520"/>
        <v>196.15384615384616</v>
      </c>
      <c r="Y1309">
        <f t="shared" ca="1" si="521"/>
        <v>632.03249999999991</v>
      </c>
      <c r="Z1309">
        <f t="shared" ca="1" si="522"/>
        <v>2593.1095316486621</v>
      </c>
      <c r="AA1309">
        <f t="shared" ca="1" si="523"/>
        <v>482.07306851378365</v>
      </c>
      <c r="AB1309">
        <f t="shared" ca="1" si="524"/>
        <v>482.25887083179032</v>
      </c>
      <c r="AC1309">
        <f t="shared" ca="1" si="525"/>
        <v>0</v>
      </c>
      <c r="AD1309">
        <f ca="1">IF(V32="Supercritical",L1309,U1309)</f>
        <v>0.05</v>
      </c>
      <c r="AE1309">
        <f t="shared" ca="1" si="526"/>
        <v>632.03249999999991</v>
      </c>
      <c r="AF1309">
        <f t="shared" ca="1" si="527"/>
        <v>2593.1095316486621</v>
      </c>
      <c r="AI1309">
        <v>0</v>
      </c>
      <c r="AJ1309">
        <v>0</v>
      </c>
      <c r="AK1309">
        <f t="shared" si="528"/>
        <v>0</v>
      </c>
      <c r="AL1309">
        <f t="shared" si="536"/>
        <v>0</v>
      </c>
      <c r="AM1309">
        <f t="shared" ca="1" si="529"/>
        <v>280.07692026646265</v>
      </c>
      <c r="AN1309" t="str">
        <f t="shared" ca="1" si="530"/>
        <v>Supercritical</v>
      </c>
      <c r="AO1309">
        <f ca="1">IF(V32="Supercritical",R1309,AA1309)</f>
        <v>482.07306851378365</v>
      </c>
    </row>
    <row r="1310" spans="1:41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174</v>
      </c>
      <c r="I1310">
        <v>5.7000000000000002E-2</v>
      </c>
      <c r="J1310">
        <f t="shared" si="531"/>
        <v>1</v>
      </c>
      <c r="K1310">
        <f t="shared" si="532"/>
        <v>51</v>
      </c>
      <c r="L1310">
        <f t="shared" ca="1" si="533"/>
        <v>38818.051231278128</v>
      </c>
      <c r="M1310">
        <f t="shared" ca="1" si="511"/>
        <v>201853.86640264626</v>
      </c>
      <c r="N1310">
        <f t="shared" ca="1" si="512"/>
        <v>2.5998258658784543</v>
      </c>
      <c r="O1310">
        <f t="shared" ca="1" si="513"/>
        <v>2.5265802884482871E-4</v>
      </c>
      <c r="P1310">
        <f t="shared" ca="1" si="514"/>
        <v>39450.033231278125</v>
      </c>
      <c r="Q1310">
        <f t="shared" ca="1" si="515"/>
        <v>39450.033231281377</v>
      </c>
      <c r="R1310">
        <f t="shared" ca="1" si="516"/>
        <v>4.0178129257556468E-12</v>
      </c>
      <c r="S1310">
        <f t="shared" ca="1" si="534"/>
        <v>4.999999946448952E-4</v>
      </c>
      <c r="T1310">
        <f t="shared" ca="1" si="535"/>
        <v>1</v>
      </c>
      <c r="U1310">
        <f t="shared" ca="1" si="517"/>
        <v>0.05</v>
      </c>
      <c r="V1310">
        <f t="shared" ca="1" si="518"/>
        <v>0.26</v>
      </c>
      <c r="W1310">
        <f t="shared" ca="1" si="519"/>
        <v>4.9056603773584909E-2</v>
      </c>
      <c r="X1310">
        <f t="shared" ca="1" si="520"/>
        <v>196.15384615384616</v>
      </c>
      <c r="Y1310">
        <f t="shared" ca="1" si="521"/>
        <v>632.03199999999993</v>
      </c>
      <c r="Z1310">
        <f t="shared" ca="1" si="522"/>
        <v>2593.109031648662</v>
      </c>
      <c r="AA1310">
        <f t="shared" ca="1" si="523"/>
        <v>482.07306851378365</v>
      </c>
      <c r="AB1310">
        <f t="shared" ca="1" si="524"/>
        <v>482.26867621694828</v>
      </c>
      <c r="AC1310">
        <f t="shared" ca="1" si="525"/>
        <v>0</v>
      </c>
      <c r="AD1310">
        <f ca="1">IF(V32="Supercritical",L1310,U1310)</f>
        <v>0.05</v>
      </c>
      <c r="AE1310">
        <f t="shared" ca="1" si="526"/>
        <v>632.03199999999993</v>
      </c>
      <c r="AF1310">
        <f t="shared" ca="1" si="527"/>
        <v>2593.109031648662</v>
      </c>
      <c r="AI1310">
        <v>0</v>
      </c>
      <c r="AJ1310">
        <v>0</v>
      </c>
      <c r="AK1310">
        <f t="shared" si="528"/>
        <v>0</v>
      </c>
      <c r="AL1310">
        <f t="shared" si="536"/>
        <v>0</v>
      </c>
      <c r="AM1310">
        <f t="shared" ca="1" si="529"/>
        <v>280.07692026646265</v>
      </c>
      <c r="AN1310" t="str">
        <f t="shared" ca="1" si="530"/>
        <v>Supercritical</v>
      </c>
      <c r="AO1310">
        <f ca="1">IF(V32="Supercritical",R1310,AA1310)</f>
        <v>482.07306851378365</v>
      </c>
    </row>
    <row r="1311" spans="1:41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174</v>
      </c>
      <c r="I1311">
        <v>0.06</v>
      </c>
      <c r="J1311">
        <f t="shared" si="531"/>
        <v>1</v>
      </c>
      <c r="K1311">
        <f t="shared" si="532"/>
        <v>51</v>
      </c>
      <c r="L1311">
        <f t="shared" ca="1" si="533"/>
        <v>38818.051231278128</v>
      </c>
      <c r="M1311">
        <f t="shared" ca="1" si="511"/>
        <v>201853.86640264626</v>
      </c>
      <c r="N1311">
        <f t="shared" ca="1" si="512"/>
        <v>2.5998258658784543</v>
      </c>
      <c r="O1311">
        <f t="shared" ca="1" si="513"/>
        <v>2.5265802884482871E-4</v>
      </c>
      <c r="P1311">
        <f t="shared" ca="1" si="514"/>
        <v>39450.03273127813</v>
      </c>
      <c r="Q1311">
        <f t="shared" ca="1" si="515"/>
        <v>39450.032731281382</v>
      </c>
      <c r="R1311">
        <f t="shared" ca="1" si="516"/>
        <v>4.0178129257556468E-12</v>
      </c>
      <c r="S1311">
        <f t="shared" ca="1" si="534"/>
        <v>4.9999998736893758E-4</v>
      </c>
      <c r="T1311">
        <f t="shared" ca="1" si="535"/>
        <v>1</v>
      </c>
      <c r="U1311">
        <f t="shared" ca="1" si="517"/>
        <v>0.05</v>
      </c>
      <c r="V1311">
        <f t="shared" ca="1" si="518"/>
        <v>0.26</v>
      </c>
      <c r="W1311">
        <f t="shared" ca="1" si="519"/>
        <v>4.9056603773584909E-2</v>
      </c>
      <c r="X1311">
        <f t="shared" ca="1" si="520"/>
        <v>196.15384615384616</v>
      </c>
      <c r="Y1311">
        <f t="shared" ca="1" si="521"/>
        <v>632.03149999999994</v>
      </c>
      <c r="Z1311">
        <f t="shared" ca="1" si="522"/>
        <v>2593.1085316486619</v>
      </c>
      <c r="AA1311">
        <f t="shared" ca="1" si="523"/>
        <v>482.07306851378365</v>
      </c>
      <c r="AB1311">
        <f t="shared" ca="1" si="524"/>
        <v>482.56117850583496</v>
      </c>
      <c r="AC1311">
        <f t="shared" ca="1" si="525"/>
        <v>0</v>
      </c>
      <c r="AD1311">
        <f ca="1">IF(V32="Supercritical",L1311,U1311)</f>
        <v>0.05</v>
      </c>
      <c r="AE1311">
        <f t="shared" ca="1" si="526"/>
        <v>632.03149999999994</v>
      </c>
      <c r="AF1311">
        <f t="shared" ca="1" si="527"/>
        <v>2593.1085316486619</v>
      </c>
      <c r="AI1311">
        <v>0</v>
      </c>
      <c r="AJ1311">
        <v>0</v>
      </c>
      <c r="AK1311">
        <f t="shared" si="528"/>
        <v>0</v>
      </c>
      <c r="AL1311">
        <f t="shared" si="536"/>
        <v>0</v>
      </c>
      <c r="AM1311">
        <f t="shared" ca="1" si="529"/>
        <v>280.07692026646265</v>
      </c>
      <c r="AN1311" t="str">
        <f t="shared" ca="1" si="530"/>
        <v>Supercritical</v>
      </c>
      <c r="AO1311">
        <f ca="1">IF(V32="Supercritical",R1311,AA1311)</f>
        <v>482.07306851378365</v>
      </c>
    </row>
    <row r="1312" spans="1:41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174</v>
      </c>
      <c r="I1312">
        <v>2E-3</v>
      </c>
      <c r="J1312">
        <f t="shared" si="531"/>
        <v>1.0010000000002037</v>
      </c>
      <c r="K1312">
        <f t="shared" si="532"/>
        <v>51</v>
      </c>
      <c r="L1312">
        <f t="shared" ca="1" si="533"/>
        <v>38818.051231278128</v>
      </c>
      <c r="M1312">
        <f t="shared" ca="1" si="511"/>
        <v>201853.86640264626</v>
      </c>
      <c r="N1312">
        <f t="shared" ca="1" si="512"/>
        <v>2.5998258658784543</v>
      </c>
      <c r="O1312">
        <f t="shared" ca="1" si="513"/>
        <v>2.5265802884482871E-4</v>
      </c>
      <c r="P1312">
        <f t="shared" ca="1" si="514"/>
        <v>39450.032231278128</v>
      </c>
      <c r="Q1312">
        <f t="shared" ca="1" si="515"/>
        <v>39450.032231281381</v>
      </c>
      <c r="R1312">
        <f t="shared" ca="1" si="516"/>
        <v>4.0178129257556468E-12</v>
      </c>
      <c r="S1312">
        <f t="shared" ca="1" si="534"/>
        <v>4.999999946448952E-4</v>
      </c>
      <c r="T1312">
        <f t="shared" ca="1" si="535"/>
        <v>1</v>
      </c>
      <c r="U1312">
        <f t="shared" ca="1" si="517"/>
        <v>0.05</v>
      </c>
      <c r="V1312">
        <f t="shared" ca="1" si="518"/>
        <v>0.26</v>
      </c>
      <c r="W1312">
        <f t="shared" ca="1" si="519"/>
        <v>4.9056603773584909E-2</v>
      </c>
      <c r="X1312">
        <f t="shared" ca="1" si="520"/>
        <v>196.15384615384616</v>
      </c>
      <c r="Y1312">
        <f t="shared" ca="1" si="521"/>
        <v>632.03099999999995</v>
      </c>
      <c r="Z1312">
        <f t="shared" ca="1" si="522"/>
        <v>2593.1080316486623</v>
      </c>
      <c r="AA1312">
        <f t="shared" ca="1" si="523"/>
        <v>482.07306851378365</v>
      </c>
      <c r="AB1312">
        <f t="shared" ca="1" si="524"/>
        <v>482.07256851378361</v>
      </c>
      <c r="AC1312">
        <f t="shared" ca="1" si="525"/>
        <v>0</v>
      </c>
      <c r="AD1312">
        <f ca="1">IF(V32="Supercritical",L1312,U1312)</f>
        <v>0.05</v>
      </c>
      <c r="AE1312">
        <f t="shared" ca="1" si="526"/>
        <v>632.03099999999995</v>
      </c>
      <c r="AF1312">
        <f t="shared" ca="1" si="527"/>
        <v>2593.1080316486623</v>
      </c>
      <c r="AI1312">
        <v>0</v>
      </c>
      <c r="AJ1312">
        <v>0</v>
      </c>
      <c r="AK1312">
        <f t="shared" si="528"/>
        <v>0</v>
      </c>
      <c r="AL1312">
        <f t="shared" si="536"/>
        <v>0</v>
      </c>
      <c r="AM1312">
        <f t="shared" ca="1" si="529"/>
        <v>280.07692026646265</v>
      </c>
      <c r="AN1312" t="str">
        <f t="shared" ca="1" si="530"/>
        <v>Supercritical</v>
      </c>
      <c r="AO1312">
        <f ca="1">IF(V32="Supercritical",R1312,AA1312)</f>
        <v>482.07306851378365</v>
      </c>
    </row>
    <row r="1313" spans="1:41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174</v>
      </c>
      <c r="I1313">
        <v>0</v>
      </c>
      <c r="J1313">
        <f t="shared" si="531"/>
        <v>1</v>
      </c>
      <c r="K1313">
        <f t="shared" si="532"/>
        <v>51</v>
      </c>
      <c r="L1313">
        <f t="shared" ca="1" si="533"/>
        <v>38818.051231278128</v>
      </c>
      <c r="M1313">
        <f t="shared" ca="1" si="511"/>
        <v>201853.86640264626</v>
      </c>
      <c r="N1313">
        <f t="shared" ca="1" si="512"/>
        <v>2.5998258658784543</v>
      </c>
      <c r="O1313">
        <f t="shared" ca="1" si="513"/>
        <v>2.5265802884482871E-4</v>
      </c>
      <c r="P1313">
        <f t="shared" ca="1" si="514"/>
        <v>39450.031731278126</v>
      </c>
      <c r="Q1313">
        <f t="shared" ca="1" si="515"/>
        <v>39450.031731281379</v>
      </c>
      <c r="R1313">
        <f t="shared" ca="1" si="516"/>
        <v>4.0178129257556468E-12</v>
      </c>
      <c r="S1313">
        <f t="shared" ca="1" si="534"/>
        <v>4.999999946448952E-4</v>
      </c>
      <c r="T1313">
        <f t="shared" ca="1" si="535"/>
        <v>1</v>
      </c>
      <c r="U1313">
        <f t="shared" ca="1" si="517"/>
        <v>0.05</v>
      </c>
      <c r="V1313">
        <f t="shared" ca="1" si="518"/>
        <v>0.26</v>
      </c>
      <c r="W1313">
        <f t="shared" ca="1" si="519"/>
        <v>4.9056603773584909E-2</v>
      </c>
      <c r="X1313">
        <f t="shared" ca="1" si="520"/>
        <v>196.15384615384616</v>
      </c>
      <c r="Y1313">
        <f t="shared" ca="1" si="521"/>
        <v>632.03049999999996</v>
      </c>
      <c r="Z1313">
        <f t="shared" ca="1" si="522"/>
        <v>2593.1075316486622</v>
      </c>
      <c r="AA1313">
        <f t="shared" ca="1" si="523"/>
        <v>482.07306851378365</v>
      </c>
      <c r="AB1313">
        <f t="shared" ca="1" si="524"/>
        <v>482.25887083179032</v>
      </c>
      <c r="AC1313">
        <f t="shared" ca="1" si="525"/>
        <v>0</v>
      </c>
      <c r="AD1313">
        <f ca="1">IF(V32="Supercritical",L1313,U1313)</f>
        <v>0.05</v>
      </c>
      <c r="AE1313">
        <f t="shared" ca="1" si="526"/>
        <v>632.03049999999996</v>
      </c>
      <c r="AF1313">
        <f t="shared" ca="1" si="527"/>
        <v>2593.1075316486622</v>
      </c>
      <c r="AI1313">
        <v>0</v>
      </c>
      <c r="AJ1313">
        <v>0</v>
      </c>
      <c r="AK1313">
        <f t="shared" si="528"/>
        <v>0</v>
      </c>
      <c r="AL1313">
        <f t="shared" si="536"/>
        <v>0</v>
      </c>
      <c r="AM1313">
        <f t="shared" ca="1" si="529"/>
        <v>280.07692026646265</v>
      </c>
      <c r="AN1313" t="str">
        <f t="shared" ca="1" si="530"/>
        <v>Supercritical</v>
      </c>
      <c r="AO1313">
        <f ca="1">IF(V32="Supercritical",R1313,AA1313)</f>
        <v>482.07306851378365</v>
      </c>
    </row>
    <row r="1314" spans="1:41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174</v>
      </c>
      <c r="I1314">
        <v>5.7000000000000002E-2</v>
      </c>
      <c r="J1314">
        <f t="shared" si="531"/>
        <v>1</v>
      </c>
      <c r="K1314">
        <f t="shared" si="532"/>
        <v>51</v>
      </c>
      <c r="L1314">
        <f t="shared" ca="1" si="533"/>
        <v>38818.051231278128</v>
      </c>
      <c r="M1314">
        <f t="shared" ca="1" si="511"/>
        <v>201853.86640264626</v>
      </c>
      <c r="N1314">
        <f t="shared" ca="1" si="512"/>
        <v>2.5998258658784543</v>
      </c>
      <c r="O1314">
        <f t="shared" ca="1" si="513"/>
        <v>2.5265802884482871E-4</v>
      </c>
      <c r="P1314">
        <f t="shared" ca="1" si="514"/>
        <v>39450.031231278132</v>
      </c>
      <c r="Q1314">
        <f t="shared" ca="1" si="515"/>
        <v>39450.031231281384</v>
      </c>
      <c r="R1314">
        <f t="shared" ca="1" si="516"/>
        <v>4.0178129257556468E-12</v>
      </c>
      <c r="S1314">
        <f t="shared" ca="1" si="534"/>
        <v>4.9999998736893758E-4</v>
      </c>
      <c r="T1314">
        <f t="shared" ca="1" si="535"/>
        <v>1</v>
      </c>
      <c r="U1314">
        <f t="shared" ca="1" si="517"/>
        <v>0.05</v>
      </c>
      <c r="V1314">
        <f t="shared" ca="1" si="518"/>
        <v>0.26</v>
      </c>
      <c r="W1314">
        <f t="shared" ca="1" si="519"/>
        <v>4.9056603773584909E-2</v>
      </c>
      <c r="X1314">
        <f t="shared" ca="1" si="520"/>
        <v>196.15384615384616</v>
      </c>
      <c r="Y1314">
        <f t="shared" ca="1" si="521"/>
        <v>632.03</v>
      </c>
      <c r="Z1314">
        <f t="shared" ca="1" si="522"/>
        <v>2593.1070316486621</v>
      </c>
      <c r="AA1314">
        <f t="shared" ca="1" si="523"/>
        <v>482.07306851378365</v>
      </c>
      <c r="AB1314">
        <f t="shared" ca="1" si="524"/>
        <v>481.77679776317837</v>
      </c>
      <c r="AC1314">
        <f t="shared" ca="1" si="525"/>
        <v>0</v>
      </c>
      <c r="AD1314">
        <f ca="1">IF(V32="Supercritical",L1314,U1314)</f>
        <v>0.05</v>
      </c>
      <c r="AE1314">
        <f t="shared" ca="1" si="526"/>
        <v>632.03</v>
      </c>
      <c r="AF1314">
        <f t="shared" ca="1" si="527"/>
        <v>2593.1070316486621</v>
      </c>
      <c r="AI1314">
        <v>0</v>
      </c>
      <c r="AJ1314">
        <v>0</v>
      </c>
      <c r="AK1314">
        <f t="shared" si="528"/>
        <v>0</v>
      </c>
      <c r="AL1314">
        <f t="shared" si="536"/>
        <v>0</v>
      </c>
      <c r="AM1314">
        <f t="shared" ca="1" si="529"/>
        <v>280.07692026646265</v>
      </c>
      <c r="AN1314" t="str">
        <f t="shared" ca="1" si="530"/>
        <v>Supercritical</v>
      </c>
      <c r="AO1314">
        <f ca="1">IF(V32="Supercritical",R1314,AA1314)</f>
        <v>482.07306851378365</v>
      </c>
    </row>
    <row r="1315" spans="1:41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174</v>
      </c>
      <c r="I1315">
        <v>5.7000000000000002E-2</v>
      </c>
      <c r="J1315">
        <f t="shared" si="531"/>
        <v>0.99899999999979627</v>
      </c>
      <c r="K1315">
        <f t="shared" si="532"/>
        <v>51</v>
      </c>
      <c r="L1315">
        <f t="shared" ca="1" si="533"/>
        <v>38818.051231278128</v>
      </c>
      <c r="M1315">
        <f t="shared" ca="1" si="511"/>
        <v>201853.86640264626</v>
      </c>
      <c r="N1315">
        <f t="shared" ca="1" si="512"/>
        <v>2.5998258658784543</v>
      </c>
      <c r="O1315">
        <f t="shared" ca="1" si="513"/>
        <v>2.5265802884482871E-4</v>
      </c>
      <c r="P1315">
        <f t="shared" ca="1" si="514"/>
        <v>39450.03073127813</v>
      </c>
      <c r="Q1315">
        <f t="shared" ca="1" si="515"/>
        <v>39450.030731281382</v>
      </c>
      <c r="R1315">
        <f t="shared" ca="1" si="516"/>
        <v>4.0178129257556468E-12</v>
      </c>
      <c r="S1315">
        <f t="shared" ca="1" si="534"/>
        <v>4.999999946448952E-4</v>
      </c>
      <c r="T1315">
        <f t="shared" ca="1" si="535"/>
        <v>1</v>
      </c>
      <c r="U1315">
        <f t="shared" ca="1" si="517"/>
        <v>0.05</v>
      </c>
      <c r="V1315">
        <f t="shared" ca="1" si="518"/>
        <v>0.26</v>
      </c>
      <c r="W1315">
        <f t="shared" ca="1" si="519"/>
        <v>4.9056603773584909E-2</v>
      </c>
      <c r="X1315">
        <f t="shared" ca="1" si="520"/>
        <v>196.15384615384616</v>
      </c>
      <c r="Y1315">
        <f t="shared" ca="1" si="521"/>
        <v>632.02949999999998</v>
      </c>
      <c r="Z1315">
        <f t="shared" ca="1" si="522"/>
        <v>2593.106531648662</v>
      </c>
      <c r="AA1315">
        <f t="shared" ca="1" si="523"/>
        <v>482.07306851378365</v>
      </c>
      <c r="AB1315">
        <f t="shared" ca="1" si="524"/>
        <v>482.07256851378361</v>
      </c>
      <c r="AC1315">
        <f t="shared" ca="1" si="525"/>
        <v>0</v>
      </c>
      <c r="AD1315">
        <f ca="1">IF(V32="Supercritical",L1315,U1315)</f>
        <v>0.05</v>
      </c>
      <c r="AE1315">
        <f t="shared" ca="1" si="526"/>
        <v>632.02949999999998</v>
      </c>
      <c r="AF1315">
        <f t="shared" ca="1" si="527"/>
        <v>2593.106531648662</v>
      </c>
      <c r="AI1315">
        <v>0</v>
      </c>
      <c r="AJ1315">
        <v>0</v>
      </c>
      <c r="AK1315">
        <f t="shared" si="528"/>
        <v>0</v>
      </c>
      <c r="AL1315">
        <f t="shared" si="536"/>
        <v>0</v>
      </c>
      <c r="AM1315">
        <f t="shared" ca="1" si="529"/>
        <v>280.07692026646265</v>
      </c>
      <c r="AN1315" t="str">
        <f t="shared" ca="1" si="530"/>
        <v>Supercritical</v>
      </c>
      <c r="AO1315">
        <f ca="1">IF(V32="Supercritical",R1315,AA1315)</f>
        <v>482.07306851378365</v>
      </c>
    </row>
    <row r="1316" spans="1:41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174</v>
      </c>
      <c r="I1316">
        <v>0</v>
      </c>
      <c r="J1316">
        <f t="shared" si="531"/>
        <v>1</v>
      </c>
      <c r="K1316">
        <f t="shared" si="532"/>
        <v>51</v>
      </c>
      <c r="L1316">
        <f t="shared" ca="1" si="533"/>
        <v>38818.051231278128</v>
      </c>
      <c r="M1316">
        <f t="shared" ca="1" si="511"/>
        <v>201853.86640264626</v>
      </c>
      <c r="N1316">
        <f t="shared" ca="1" si="512"/>
        <v>2.5998258658784543</v>
      </c>
      <c r="O1316">
        <f t="shared" ca="1" si="513"/>
        <v>2.5265802884482871E-4</v>
      </c>
      <c r="P1316">
        <f t="shared" ca="1" si="514"/>
        <v>39450.030231278128</v>
      </c>
      <c r="Q1316">
        <f t="shared" ca="1" si="515"/>
        <v>39450.03023128138</v>
      </c>
      <c r="R1316">
        <f t="shared" ca="1" si="516"/>
        <v>4.0178129257556468E-12</v>
      </c>
      <c r="S1316">
        <f t="shared" ca="1" si="534"/>
        <v>4.999999946448952E-4</v>
      </c>
      <c r="T1316">
        <f t="shared" ca="1" si="535"/>
        <v>1</v>
      </c>
      <c r="U1316">
        <f t="shared" ca="1" si="517"/>
        <v>0.05</v>
      </c>
      <c r="V1316">
        <f t="shared" ca="1" si="518"/>
        <v>0.26</v>
      </c>
      <c r="W1316">
        <f t="shared" ca="1" si="519"/>
        <v>4.9056603773584909E-2</v>
      </c>
      <c r="X1316">
        <f t="shared" ca="1" si="520"/>
        <v>196.15384615384616</v>
      </c>
      <c r="Y1316">
        <f t="shared" ca="1" si="521"/>
        <v>632.029</v>
      </c>
      <c r="Z1316">
        <f t="shared" ca="1" si="522"/>
        <v>2593.1060316486619</v>
      </c>
      <c r="AA1316">
        <f t="shared" ca="1" si="523"/>
        <v>482.07306851378365</v>
      </c>
      <c r="AB1316">
        <f t="shared" ca="1" si="524"/>
        <v>482.07256851378406</v>
      </c>
      <c r="AC1316">
        <f t="shared" ca="1" si="525"/>
        <v>0</v>
      </c>
      <c r="AD1316">
        <f ca="1">IF(V32="Supercritical",L1316,U1316)</f>
        <v>0.05</v>
      </c>
      <c r="AE1316">
        <f t="shared" ca="1" si="526"/>
        <v>632.029</v>
      </c>
      <c r="AF1316">
        <f t="shared" ca="1" si="527"/>
        <v>2593.1060316486619</v>
      </c>
      <c r="AI1316">
        <v>0</v>
      </c>
      <c r="AJ1316">
        <v>0</v>
      </c>
      <c r="AK1316">
        <f t="shared" si="528"/>
        <v>0</v>
      </c>
      <c r="AL1316">
        <f t="shared" si="536"/>
        <v>0</v>
      </c>
      <c r="AM1316">
        <f t="shared" ca="1" si="529"/>
        <v>280.07692026646265</v>
      </c>
      <c r="AN1316" t="str">
        <f t="shared" ca="1" si="530"/>
        <v>Supercritical</v>
      </c>
      <c r="AO1316">
        <f ca="1">IF(V32="Supercritical",R1316,AA1316)</f>
        <v>482.07306851378365</v>
      </c>
    </row>
    <row r="1317" spans="1:41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174</v>
      </c>
      <c r="I1317">
        <v>0</v>
      </c>
      <c r="J1317">
        <f t="shared" si="531"/>
        <v>1</v>
      </c>
      <c r="K1317">
        <f t="shared" si="532"/>
        <v>51</v>
      </c>
      <c r="L1317">
        <f t="shared" ca="1" si="533"/>
        <v>38818.051231278128</v>
      </c>
      <c r="M1317">
        <f t="shared" ca="1" si="511"/>
        <v>201853.86640264626</v>
      </c>
      <c r="N1317">
        <f t="shared" ca="1" si="512"/>
        <v>2.5998258658784543</v>
      </c>
      <c r="O1317">
        <f t="shared" ca="1" si="513"/>
        <v>2.5265802884482871E-4</v>
      </c>
      <c r="P1317">
        <f t="shared" ca="1" si="514"/>
        <v>39450.029731278126</v>
      </c>
      <c r="Q1317">
        <f t="shared" ca="1" si="515"/>
        <v>39450.029731281378</v>
      </c>
      <c r="R1317">
        <f t="shared" ca="1" si="516"/>
        <v>4.0178129257556468E-12</v>
      </c>
      <c r="S1317">
        <f t="shared" ca="1" si="534"/>
        <v>4.999999946448952E-4</v>
      </c>
      <c r="T1317">
        <f t="shared" ca="1" si="535"/>
        <v>1</v>
      </c>
      <c r="U1317">
        <f t="shared" ca="1" si="517"/>
        <v>0.05</v>
      </c>
      <c r="V1317">
        <f t="shared" ca="1" si="518"/>
        <v>0.26</v>
      </c>
      <c r="W1317">
        <f t="shared" ca="1" si="519"/>
        <v>4.9056603773584909E-2</v>
      </c>
      <c r="X1317">
        <f t="shared" ca="1" si="520"/>
        <v>196.15384615384616</v>
      </c>
      <c r="Y1317">
        <f t="shared" ca="1" si="521"/>
        <v>632.02850000000001</v>
      </c>
      <c r="Z1317">
        <f t="shared" ca="1" si="522"/>
        <v>2593.1055316486622</v>
      </c>
      <c r="AA1317">
        <f t="shared" ca="1" si="523"/>
        <v>482.07306851378365</v>
      </c>
      <c r="AB1317">
        <f t="shared" ca="1" si="524"/>
        <v>482.25887083179032</v>
      </c>
      <c r="AC1317">
        <f t="shared" ca="1" si="525"/>
        <v>0</v>
      </c>
      <c r="AD1317">
        <f ca="1">IF(V32="Supercritical",L1317,U1317)</f>
        <v>0.05</v>
      </c>
      <c r="AE1317">
        <f t="shared" ca="1" si="526"/>
        <v>632.02850000000001</v>
      </c>
      <c r="AF1317">
        <f t="shared" ca="1" si="527"/>
        <v>2593.1055316486622</v>
      </c>
      <c r="AI1317">
        <v>0</v>
      </c>
      <c r="AJ1317">
        <v>0</v>
      </c>
      <c r="AK1317">
        <f t="shared" si="528"/>
        <v>0</v>
      </c>
      <c r="AL1317">
        <f t="shared" si="536"/>
        <v>0</v>
      </c>
      <c r="AM1317">
        <f t="shared" ca="1" si="529"/>
        <v>280.07692026646265</v>
      </c>
      <c r="AN1317" t="str">
        <f t="shared" ca="1" si="530"/>
        <v>Supercritical</v>
      </c>
      <c r="AO1317">
        <f ca="1">IF(V32="Supercritical",R1317,AA1317)</f>
        <v>482.07306851378365</v>
      </c>
    </row>
    <row r="1318" spans="1:41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174</v>
      </c>
      <c r="I1318">
        <v>5.7000000000000002E-2</v>
      </c>
      <c r="J1318">
        <f t="shared" si="531"/>
        <v>1</v>
      </c>
      <c r="K1318">
        <f t="shared" si="532"/>
        <v>51</v>
      </c>
      <c r="L1318">
        <f t="shared" ca="1" si="533"/>
        <v>38818.051231278128</v>
      </c>
      <c r="M1318">
        <f t="shared" ca="1" si="511"/>
        <v>201853.86640264626</v>
      </c>
      <c r="N1318">
        <f t="shared" ca="1" si="512"/>
        <v>2.5998258658784543</v>
      </c>
      <c r="O1318">
        <f t="shared" ca="1" si="513"/>
        <v>2.5265802884482871E-4</v>
      </c>
      <c r="P1318">
        <f t="shared" ca="1" si="514"/>
        <v>39450.029231278131</v>
      </c>
      <c r="Q1318">
        <f t="shared" ca="1" si="515"/>
        <v>39450.029231281384</v>
      </c>
      <c r="R1318">
        <f t="shared" ca="1" si="516"/>
        <v>4.0178129257556468E-12</v>
      </c>
      <c r="S1318">
        <f t="shared" ca="1" si="534"/>
        <v>4.9999998736893758E-4</v>
      </c>
      <c r="T1318">
        <f t="shared" ca="1" si="535"/>
        <v>1</v>
      </c>
      <c r="U1318">
        <f t="shared" ca="1" si="517"/>
        <v>0.05</v>
      </c>
      <c r="V1318">
        <f t="shared" ca="1" si="518"/>
        <v>0.26</v>
      </c>
      <c r="W1318">
        <f t="shared" ca="1" si="519"/>
        <v>4.9056603773584909E-2</v>
      </c>
      <c r="X1318">
        <f t="shared" ca="1" si="520"/>
        <v>196.15384615384616</v>
      </c>
      <c r="Y1318">
        <f t="shared" ca="1" si="521"/>
        <v>632.02799999999991</v>
      </c>
      <c r="Z1318">
        <f t="shared" ca="1" si="522"/>
        <v>2593.1050316486621</v>
      </c>
      <c r="AA1318">
        <f t="shared" ca="1" si="523"/>
        <v>482.07306851378365</v>
      </c>
      <c r="AB1318">
        <f t="shared" ca="1" si="524"/>
        <v>482.25887083179032</v>
      </c>
      <c r="AC1318">
        <f t="shared" ca="1" si="525"/>
        <v>0</v>
      </c>
      <c r="AD1318">
        <f ca="1">IF(V32="Supercritical",L1318,U1318)</f>
        <v>0.05</v>
      </c>
      <c r="AE1318">
        <f t="shared" ca="1" si="526"/>
        <v>632.02799999999991</v>
      </c>
      <c r="AF1318">
        <f t="shared" ca="1" si="527"/>
        <v>2593.1050316486621</v>
      </c>
      <c r="AI1318">
        <v>0</v>
      </c>
      <c r="AJ1318">
        <v>0</v>
      </c>
      <c r="AK1318">
        <f t="shared" si="528"/>
        <v>0</v>
      </c>
      <c r="AL1318">
        <f t="shared" si="536"/>
        <v>0</v>
      </c>
      <c r="AM1318">
        <f t="shared" ca="1" si="529"/>
        <v>280.07692026646265</v>
      </c>
      <c r="AN1318" t="str">
        <f t="shared" ca="1" si="530"/>
        <v>Supercritical</v>
      </c>
      <c r="AO1318">
        <f ca="1">IF(V32="Supercritical",R1318,AA1318)</f>
        <v>482.07306851378365</v>
      </c>
    </row>
    <row r="1319" spans="1:41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174</v>
      </c>
      <c r="I1319">
        <v>5.7000000000000002E-2</v>
      </c>
      <c r="J1319">
        <f t="shared" si="531"/>
        <v>1</v>
      </c>
      <c r="K1319">
        <f t="shared" si="532"/>
        <v>51</v>
      </c>
      <c r="L1319">
        <f t="shared" ca="1" si="533"/>
        <v>38818.051231278128</v>
      </c>
      <c r="M1319">
        <f t="shared" ca="1" si="511"/>
        <v>201853.86640264626</v>
      </c>
      <c r="N1319">
        <f t="shared" ca="1" si="512"/>
        <v>2.5998258658784543</v>
      </c>
      <c r="O1319">
        <f t="shared" ca="1" si="513"/>
        <v>2.5265802884482871E-4</v>
      </c>
      <c r="P1319">
        <f t="shared" ca="1" si="514"/>
        <v>39450.028731278129</v>
      </c>
      <c r="Q1319">
        <f t="shared" ca="1" si="515"/>
        <v>39450.028731281382</v>
      </c>
      <c r="R1319">
        <f t="shared" ca="1" si="516"/>
        <v>4.0178129257556468E-12</v>
      </c>
      <c r="S1319">
        <f t="shared" ca="1" si="534"/>
        <v>4.999999946448952E-4</v>
      </c>
      <c r="T1319">
        <f t="shared" ca="1" si="535"/>
        <v>1</v>
      </c>
      <c r="U1319">
        <f t="shared" ca="1" si="517"/>
        <v>0.05</v>
      </c>
      <c r="V1319">
        <f t="shared" ca="1" si="518"/>
        <v>0.26</v>
      </c>
      <c r="W1319">
        <f t="shared" ca="1" si="519"/>
        <v>4.9056603773584909E-2</v>
      </c>
      <c r="X1319">
        <f t="shared" ca="1" si="520"/>
        <v>196.15384615384616</v>
      </c>
      <c r="Y1319">
        <f t="shared" ca="1" si="521"/>
        <v>632.02749999999992</v>
      </c>
      <c r="Z1319">
        <f t="shared" ca="1" si="522"/>
        <v>2593.104531648662</v>
      </c>
      <c r="AA1319">
        <f t="shared" ca="1" si="523"/>
        <v>482.07306851378365</v>
      </c>
      <c r="AB1319">
        <f t="shared" ca="1" si="524"/>
        <v>482.07256851378361</v>
      </c>
      <c r="AC1319">
        <f t="shared" ca="1" si="525"/>
        <v>0</v>
      </c>
      <c r="AD1319">
        <f ca="1">IF(V32="Supercritical",L1319,U1319)</f>
        <v>0.05</v>
      </c>
      <c r="AE1319">
        <f t="shared" ca="1" si="526"/>
        <v>632.02749999999992</v>
      </c>
      <c r="AF1319">
        <f t="shared" ca="1" si="527"/>
        <v>2593.104531648662</v>
      </c>
      <c r="AI1319">
        <v>0</v>
      </c>
      <c r="AJ1319">
        <v>0</v>
      </c>
      <c r="AK1319">
        <f t="shared" si="528"/>
        <v>0</v>
      </c>
      <c r="AL1319">
        <f t="shared" si="536"/>
        <v>0</v>
      </c>
      <c r="AM1319">
        <f t="shared" ca="1" si="529"/>
        <v>280.07692026646265</v>
      </c>
      <c r="AN1319" t="str">
        <f t="shared" ca="1" si="530"/>
        <v>Supercritical</v>
      </c>
      <c r="AO1319">
        <f ca="1">IF(V32="Supercritical",R1319,AA1319)</f>
        <v>482.07306851378365</v>
      </c>
    </row>
    <row r="1320" spans="1:41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174</v>
      </c>
      <c r="I1320">
        <v>0</v>
      </c>
      <c r="J1320">
        <f t="shared" si="531"/>
        <v>1</v>
      </c>
      <c r="K1320">
        <f t="shared" si="532"/>
        <v>51</v>
      </c>
      <c r="L1320">
        <f t="shared" ca="1" si="533"/>
        <v>38818.051231278128</v>
      </c>
      <c r="M1320">
        <f t="shared" ca="1" si="511"/>
        <v>201853.86640264626</v>
      </c>
      <c r="N1320">
        <f t="shared" ca="1" si="512"/>
        <v>2.5998258658784543</v>
      </c>
      <c r="O1320">
        <f t="shared" ca="1" si="513"/>
        <v>2.5265802884482871E-4</v>
      </c>
      <c r="P1320">
        <f t="shared" ca="1" si="514"/>
        <v>39450.028231278127</v>
      </c>
      <c r="Q1320">
        <f t="shared" ca="1" si="515"/>
        <v>39450.02823128138</v>
      </c>
      <c r="R1320">
        <f t="shared" ca="1" si="516"/>
        <v>4.0178129257556468E-12</v>
      </c>
      <c r="S1320">
        <f t="shared" ca="1" si="534"/>
        <v>4.999999946448952E-4</v>
      </c>
      <c r="T1320">
        <f t="shared" ca="1" si="535"/>
        <v>1</v>
      </c>
      <c r="U1320">
        <f t="shared" ca="1" si="517"/>
        <v>0.05</v>
      </c>
      <c r="V1320">
        <f t="shared" ca="1" si="518"/>
        <v>0.26</v>
      </c>
      <c r="W1320">
        <f t="shared" ca="1" si="519"/>
        <v>4.9056603773584909E-2</v>
      </c>
      <c r="X1320">
        <f t="shared" ca="1" si="520"/>
        <v>196.15384615384616</v>
      </c>
      <c r="Y1320">
        <f t="shared" ca="1" si="521"/>
        <v>632.02699999999993</v>
      </c>
      <c r="Z1320">
        <f t="shared" ca="1" si="522"/>
        <v>2593.1040316486619</v>
      </c>
      <c r="AA1320">
        <f t="shared" ca="1" si="523"/>
        <v>482.07306851378365</v>
      </c>
      <c r="AB1320">
        <f t="shared" ca="1" si="524"/>
        <v>482.25233390835183</v>
      </c>
      <c r="AC1320">
        <f t="shared" ca="1" si="525"/>
        <v>0</v>
      </c>
      <c r="AD1320">
        <f ca="1">IF(V32="Supercritical",L1320,U1320)</f>
        <v>0.05</v>
      </c>
      <c r="AE1320">
        <f t="shared" ca="1" si="526"/>
        <v>632.02699999999993</v>
      </c>
      <c r="AF1320">
        <f t="shared" ca="1" si="527"/>
        <v>2593.1040316486619</v>
      </c>
      <c r="AI1320">
        <v>0</v>
      </c>
      <c r="AJ1320">
        <v>0</v>
      </c>
      <c r="AK1320">
        <f t="shared" si="528"/>
        <v>0</v>
      </c>
      <c r="AL1320">
        <f t="shared" si="536"/>
        <v>0</v>
      </c>
      <c r="AM1320">
        <f t="shared" ca="1" si="529"/>
        <v>280.07692026646265</v>
      </c>
      <c r="AN1320" t="str">
        <f t="shared" ca="1" si="530"/>
        <v>Supercritical</v>
      </c>
      <c r="AO1320">
        <f ca="1">IF(V32="Supercritical",R1320,AA1320)</f>
        <v>482.07306851378365</v>
      </c>
    </row>
    <row r="1321" spans="1:41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174</v>
      </c>
      <c r="I1321">
        <v>5.5E-2</v>
      </c>
      <c r="J1321">
        <f t="shared" si="531"/>
        <v>1</v>
      </c>
      <c r="K1321">
        <f t="shared" si="532"/>
        <v>51</v>
      </c>
      <c r="L1321">
        <f t="shared" ca="1" si="533"/>
        <v>38818.051231278128</v>
      </c>
      <c r="M1321">
        <f t="shared" ca="1" si="511"/>
        <v>201853.86640264626</v>
      </c>
      <c r="N1321">
        <f t="shared" ca="1" si="512"/>
        <v>2.5998258658784543</v>
      </c>
      <c r="O1321">
        <f t="shared" ca="1" si="513"/>
        <v>2.5265802884482871E-4</v>
      </c>
      <c r="P1321">
        <f t="shared" ca="1" si="514"/>
        <v>39450.027731278125</v>
      </c>
      <c r="Q1321">
        <f t="shared" ca="1" si="515"/>
        <v>39450.027731281378</v>
      </c>
      <c r="R1321">
        <f t="shared" ca="1" si="516"/>
        <v>4.0178129257556468E-12</v>
      </c>
      <c r="S1321">
        <f t="shared" ca="1" si="534"/>
        <v>4.999999946448952E-4</v>
      </c>
      <c r="T1321">
        <f t="shared" ca="1" si="535"/>
        <v>1</v>
      </c>
      <c r="U1321">
        <f t="shared" ca="1" si="517"/>
        <v>0.05</v>
      </c>
      <c r="V1321">
        <f t="shared" ca="1" si="518"/>
        <v>0.26</v>
      </c>
      <c r="W1321">
        <f t="shared" ca="1" si="519"/>
        <v>4.9056603773584909E-2</v>
      </c>
      <c r="X1321">
        <f t="shared" ca="1" si="520"/>
        <v>196.15384615384616</v>
      </c>
      <c r="Y1321">
        <f t="shared" ca="1" si="521"/>
        <v>632.02649999999994</v>
      </c>
      <c r="Z1321">
        <f t="shared" ca="1" si="522"/>
        <v>2593.1035316486623</v>
      </c>
      <c r="AA1321">
        <f t="shared" ca="1" si="523"/>
        <v>482.07306851378365</v>
      </c>
      <c r="AB1321">
        <f t="shared" ca="1" si="524"/>
        <v>482.73440697696333</v>
      </c>
      <c r="AC1321">
        <f t="shared" ca="1" si="525"/>
        <v>0</v>
      </c>
      <c r="AD1321">
        <f ca="1">IF(V32="Supercritical",L1321,U1321)</f>
        <v>0.05</v>
      </c>
      <c r="AE1321">
        <f t="shared" ca="1" si="526"/>
        <v>632.02649999999994</v>
      </c>
      <c r="AF1321">
        <f t="shared" ca="1" si="527"/>
        <v>2593.1035316486623</v>
      </c>
      <c r="AI1321">
        <v>0</v>
      </c>
      <c r="AJ1321">
        <v>0</v>
      </c>
      <c r="AK1321">
        <f t="shared" si="528"/>
        <v>0</v>
      </c>
      <c r="AL1321">
        <f t="shared" si="536"/>
        <v>0</v>
      </c>
      <c r="AM1321">
        <f t="shared" ca="1" si="529"/>
        <v>280.07692026646265</v>
      </c>
      <c r="AN1321" t="str">
        <f t="shared" ca="1" si="530"/>
        <v>Supercritical</v>
      </c>
      <c r="AO1321">
        <f ca="1">IF(V32="Supercritical",R1321,AA1321)</f>
        <v>482.07306851378365</v>
      </c>
    </row>
    <row r="1322" spans="1:41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174</v>
      </c>
      <c r="I1322">
        <v>5.5E-2</v>
      </c>
      <c r="J1322">
        <f t="shared" si="531"/>
        <v>1.0010000000002037</v>
      </c>
      <c r="K1322">
        <f t="shared" si="532"/>
        <v>51</v>
      </c>
      <c r="L1322">
        <f t="shared" ca="1" si="533"/>
        <v>38818.051231278128</v>
      </c>
      <c r="M1322">
        <f t="shared" ca="1" si="511"/>
        <v>201853.86640264626</v>
      </c>
      <c r="N1322">
        <f t="shared" ca="1" si="512"/>
        <v>2.5998258658784543</v>
      </c>
      <c r="O1322">
        <f t="shared" ca="1" si="513"/>
        <v>2.5265802884482871E-4</v>
      </c>
      <c r="P1322">
        <f t="shared" ca="1" si="514"/>
        <v>39450.027231278131</v>
      </c>
      <c r="Q1322">
        <f t="shared" ca="1" si="515"/>
        <v>39450.027231281383</v>
      </c>
      <c r="R1322">
        <f t="shared" ca="1" si="516"/>
        <v>4.0178129257556468E-12</v>
      </c>
      <c r="S1322">
        <f t="shared" ca="1" si="534"/>
        <v>4.9999998736893758E-4</v>
      </c>
      <c r="T1322">
        <f t="shared" ca="1" si="535"/>
        <v>1</v>
      </c>
      <c r="U1322">
        <f t="shared" ca="1" si="517"/>
        <v>0.05</v>
      </c>
      <c r="V1322">
        <f t="shared" ca="1" si="518"/>
        <v>0.26</v>
      </c>
      <c r="W1322">
        <f t="shared" ca="1" si="519"/>
        <v>4.9056603773584909E-2</v>
      </c>
      <c r="X1322">
        <f t="shared" ca="1" si="520"/>
        <v>196.15384615384616</v>
      </c>
      <c r="Y1322">
        <f t="shared" ca="1" si="521"/>
        <v>632.02599999999995</v>
      </c>
      <c r="Z1322">
        <f t="shared" ca="1" si="522"/>
        <v>2593.1030316486622</v>
      </c>
      <c r="AA1322">
        <f t="shared" ca="1" si="523"/>
        <v>482.07306851378365</v>
      </c>
      <c r="AB1322">
        <f t="shared" ca="1" si="524"/>
        <v>482.07256851378361</v>
      </c>
      <c r="AC1322">
        <f t="shared" ca="1" si="525"/>
        <v>0</v>
      </c>
      <c r="AD1322">
        <f ca="1">IF(V32="Supercritical",L1322,U1322)</f>
        <v>0.05</v>
      </c>
      <c r="AE1322">
        <f t="shared" ca="1" si="526"/>
        <v>632.02599999999995</v>
      </c>
      <c r="AF1322">
        <f t="shared" ca="1" si="527"/>
        <v>2593.1030316486622</v>
      </c>
      <c r="AI1322">
        <v>0</v>
      </c>
      <c r="AJ1322">
        <v>0</v>
      </c>
      <c r="AK1322">
        <f t="shared" si="528"/>
        <v>0</v>
      </c>
      <c r="AL1322">
        <f t="shared" si="536"/>
        <v>0</v>
      </c>
      <c r="AM1322">
        <f t="shared" ca="1" si="529"/>
        <v>280.07692026646265</v>
      </c>
      <c r="AN1322" t="str">
        <f t="shared" ca="1" si="530"/>
        <v>Supercritical</v>
      </c>
      <c r="AO1322">
        <f ca="1">IF(V32="Supercritical",R1322,AA1322)</f>
        <v>482.07306851378365</v>
      </c>
    </row>
    <row r="1323" spans="1:41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174</v>
      </c>
      <c r="I1323">
        <v>0</v>
      </c>
      <c r="J1323">
        <f t="shared" si="531"/>
        <v>1</v>
      </c>
      <c r="K1323">
        <f t="shared" si="532"/>
        <v>51</v>
      </c>
      <c r="L1323">
        <f t="shared" ca="1" si="533"/>
        <v>38818.051231278128</v>
      </c>
      <c r="M1323">
        <f t="shared" ca="1" si="511"/>
        <v>201853.86640264626</v>
      </c>
      <c r="N1323">
        <f t="shared" ca="1" si="512"/>
        <v>2.5998258658784543</v>
      </c>
      <c r="O1323">
        <f t="shared" ca="1" si="513"/>
        <v>2.5265802884482871E-4</v>
      </c>
      <c r="P1323">
        <f t="shared" ca="1" si="514"/>
        <v>39450.026731278129</v>
      </c>
      <c r="Q1323">
        <f t="shared" ca="1" si="515"/>
        <v>39450.026731281381</v>
      </c>
      <c r="R1323">
        <f t="shared" ca="1" si="516"/>
        <v>4.0178129257556468E-12</v>
      </c>
      <c r="S1323">
        <f t="shared" ca="1" si="534"/>
        <v>4.999999946448952E-4</v>
      </c>
      <c r="T1323">
        <f t="shared" ca="1" si="535"/>
        <v>1</v>
      </c>
      <c r="U1323">
        <f t="shared" ca="1" si="517"/>
        <v>0.05</v>
      </c>
      <c r="V1323">
        <f t="shared" ca="1" si="518"/>
        <v>0.26</v>
      </c>
      <c r="W1323">
        <f t="shared" ca="1" si="519"/>
        <v>4.9056603773584909E-2</v>
      </c>
      <c r="X1323">
        <f t="shared" ca="1" si="520"/>
        <v>196.15384615384616</v>
      </c>
      <c r="Y1323">
        <f t="shared" ca="1" si="521"/>
        <v>632.02549999999997</v>
      </c>
      <c r="Z1323">
        <f t="shared" ca="1" si="522"/>
        <v>2593.1025316486621</v>
      </c>
      <c r="AA1323">
        <f t="shared" ca="1" si="523"/>
        <v>482.07306851378365</v>
      </c>
      <c r="AB1323">
        <f t="shared" ca="1" si="524"/>
        <v>481.59049544517165</v>
      </c>
      <c r="AC1323">
        <f t="shared" ca="1" si="525"/>
        <v>0</v>
      </c>
      <c r="AD1323">
        <f ca="1">IF(V32="Supercritical",L1323,U1323)</f>
        <v>0.05</v>
      </c>
      <c r="AE1323">
        <f t="shared" ca="1" si="526"/>
        <v>632.02549999999997</v>
      </c>
      <c r="AF1323">
        <f t="shared" ca="1" si="527"/>
        <v>2593.1025316486621</v>
      </c>
      <c r="AI1323">
        <v>0</v>
      </c>
      <c r="AJ1323">
        <v>0</v>
      </c>
      <c r="AK1323">
        <f t="shared" si="528"/>
        <v>0</v>
      </c>
      <c r="AL1323">
        <f t="shared" si="536"/>
        <v>0</v>
      </c>
      <c r="AM1323">
        <f t="shared" ca="1" si="529"/>
        <v>280.07692026646265</v>
      </c>
      <c r="AN1323" t="str">
        <f t="shared" ca="1" si="530"/>
        <v>Supercritical</v>
      </c>
      <c r="AO1323">
        <f ca="1">IF(V32="Supercritical",R1323,AA1323)</f>
        <v>482.07306851378365</v>
      </c>
    </row>
    <row r="1324" spans="1:41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174</v>
      </c>
      <c r="I1324">
        <v>0</v>
      </c>
      <c r="J1324">
        <f t="shared" si="531"/>
        <v>0.99899999999979627</v>
      </c>
      <c r="K1324">
        <f t="shared" si="532"/>
        <v>51</v>
      </c>
      <c r="L1324">
        <f t="shared" ca="1" si="533"/>
        <v>38818.051231278128</v>
      </c>
      <c r="M1324">
        <f t="shared" ca="1" si="511"/>
        <v>201853.86640264626</v>
      </c>
      <c r="N1324">
        <f t="shared" ca="1" si="512"/>
        <v>2.5998258658784543</v>
      </c>
      <c r="O1324">
        <f t="shared" ca="1" si="513"/>
        <v>2.5265802884482871E-4</v>
      </c>
      <c r="P1324">
        <f t="shared" ca="1" si="514"/>
        <v>39450.026231278127</v>
      </c>
      <c r="Q1324">
        <f t="shared" ca="1" si="515"/>
        <v>39450.026231281379</v>
      </c>
      <c r="R1324">
        <f t="shared" ca="1" si="516"/>
        <v>4.0178129257556468E-12</v>
      </c>
      <c r="S1324">
        <f t="shared" ca="1" si="534"/>
        <v>4.999999946448952E-4</v>
      </c>
      <c r="T1324">
        <f t="shared" ca="1" si="535"/>
        <v>1</v>
      </c>
      <c r="U1324">
        <f t="shared" ca="1" si="517"/>
        <v>0.05</v>
      </c>
      <c r="V1324">
        <f t="shared" ca="1" si="518"/>
        <v>0.26</v>
      </c>
      <c r="W1324">
        <f t="shared" ca="1" si="519"/>
        <v>4.9056603773584909E-2</v>
      </c>
      <c r="X1324">
        <f t="shared" ca="1" si="520"/>
        <v>196.15384615384616</v>
      </c>
      <c r="Y1324">
        <f t="shared" ca="1" si="521"/>
        <v>632.02499999999998</v>
      </c>
      <c r="Z1324">
        <f t="shared" ca="1" si="522"/>
        <v>2593.102031648662</v>
      </c>
      <c r="AA1324">
        <f t="shared" ca="1" si="523"/>
        <v>482.07306851378365</v>
      </c>
      <c r="AB1324">
        <f t="shared" ca="1" si="524"/>
        <v>482.25887083179032</v>
      </c>
      <c r="AC1324">
        <f t="shared" ca="1" si="525"/>
        <v>0</v>
      </c>
      <c r="AD1324">
        <f ca="1">IF(V32="Supercritical",L1324,U1324)</f>
        <v>0.05</v>
      </c>
      <c r="AE1324">
        <f t="shared" ca="1" si="526"/>
        <v>632.02499999999998</v>
      </c>
      <c r="AF1324">
        <f t="shared" ca="1" si="527"/>
        <v>2593.102031648662</v>
      </c>
      <c r="AI1324">
        <v>0</v>
      </c>
      <c r="AJ1324">
        <v>0</v>
      </c>
      <c r="AK1324">
        <f t="shared" si="528"/>
        <v>0</v>
      </c>
      <c r="AL1324">
        <f t="shared" si="536"/>
        <v>0</v>
      </c>
      <c r="AM1324">
        <f t="shared" ca="1" si="529"/>
        <v>280.07692026646265</v>
      </c>
      <c r="AN1324" t="str">
        <f t="shared" ca="1" si="530"/>
        <v>Supercritical</v>
      </c>
      <c r="AO1324">
        <f ca="1">IF(V32="Supercritical",R1324,AA1324)</f>
        <v>482.07306851378365</v>
      </c>
    </row>
    <row r="1325" spans="1:41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174</v>
      </c>
      <c r="I1325">
        <v>5.7000000000000002E-2</v>
      </c>
      <c r="J1325">
        <f t="shared" si="531"/>
        <v>1</v>
      </c>
      <c r="K1325">
        <f t="shared" si="532"/>
        <v>51</v>
      </c>
      <c r="L1325">
        <f t="shared" ca="1" si="533"/>
        <v>38818.051231278128</v>
      </c>
      <c r="M1325">
        <f t="shared" ca="1" si="511"/>
        <v>201853.86640264626</v>
      </c>
      <c r="N1325">
        <f t="shared" ca="1" si="512"/>
        <v>2.5998258658784543</v>
      </c>
      <c r="O1325">
        <f t="shared" ca="1" si="513"/>
        <v>2.5265802884482871E-4</v>
      </c>
      <c r="P1325">
        <f t="shared" ca="1" si="514"/>
        <v>39450.025731278125</v>
      </c>
      <c r="Q1325">
        <f t="shared" ca="1" si="515"/>
        <v>39450.025731281377</v>
      </c>
      <c r="R1325">
        <f t="shared" ca="1" si="516"/>
        <v>4.0178129257556468E-12</v>
      </c>
      <c r="S1325">
        <f t="shared" ca="1" si="534"/>
        <v>4.999999946448952E-4</v>
      </c>
      <c r="T1325">
        <f t="shared" ca="1" si="535"/>
        <v>1</v>
      </c>
      <c r="U1325">
        <f t="shared" ca="1" si="517"/>
        <v>0.05</v>
      </c>
      <c r="V1325">
        <f t="shared" ca="1" si="518"/>
        <v>0.26</v>
      </c>
      <c r="W1325">
        <f t="shared" ca="1" si="519"/>
        <v>4.9056603773584909E-2</v>
      </c>
      <c r="X1325">
        <f t="shared" ca="1" si="520"/>
        <v>196.15384615384616</v>
      </c>
      <c r="Y1325">
        <f t="shared" ca="1" si="521"/>
        <v>632.02449999999999</v>
      </c>
      <c r="Z1325">
        <f t="shared" ca="1" si="522"/>
        <v>2593.1015316486619</v>
      </c>
      <c r="AA1325">
        <f t="shared" ca="1" si="523"/>
        <v>482.07306851378365</v>
      </c>
      <c r="AB1325">
        <f t="shared" ca="1" si="524"/>
        <v>482.25887083179077</v>
      </c>
      <c r="AC1325">
        <f t="shared" ca="1" si="525"/>
        <v>0</v>
      </c>
      <c r="AD1325">
        <f ca="1">IF(V32="Supercritical",L1325,U1325)</f>
        <v>0.05</v>
      </c>
      <c r="AE1325">
        <f t="shared" ca="1" si="526"/>
        <v>632.02449999999999</v>
      </c>
      <c r="AF1325">
        <f t="shared" ca="1" si="527"/>
        <v>2593.1015316486619</v>
      </c>
      <c r="AI1325">
        <v>0</v>
      </c>
      <c r="AJ1325">
        <v>0</v>
      </c>
      <c r="AK1325">
        <f t="shared" si="528"/>
        <v>0</v>
      </c>
      <c r="AL1325">
        <f t="shared" si="536"/>
        <v>0</v>
      </c>
      <c r="AM1325">
        <f t="shared" ca="1" si="529"/>
        <v>280.07692026646265</v>
      </c>
      <c r="AN1325" t="str">
        <f t="shared" ca="1" si="530"/>
        <v>Supercritical</v>
      </c>
      <c r="AO1325">
        <f ca="1">IF(V32="Supercritical",R1325,AA1325)</f>
        <v>482.07306851378365</v>
      </c>
    </row>
    <row r="1326" spans="1:41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174</v>
      </c>
      <c r="I1326">
        <v>5.7000000000000002E-2</v>
      </c>
      <c r="J1326">
        <f t="shared" si="531"/>
        <v>1</v>
      </c>
      <c r="K1326">
        <f t="shared" si="532"/>
        <v>51</v>
      </c>
      <c r="L1326">
        <f t="shared" ca="1" si="533"/>
        <v>38818.051231278128</v>
      </c>
      <c r="M1326">
        <f t="shared" ca="1" si="511"/>
        <v>201853.86640264626</v>
      </c>
      <c r="N1326">
        <f t="shared" ca="1" si="512"/>
        <v>2.5998258658784543</v>
      </c>
      <c r="O1326">
        <f t="shared" ca="1" si="513"/>
        <v>2.5265802884482871E-4</v>
      </c>
      <c r="P1326">
        <f t="shared" ca="1" si="514"/>
        <v>39450.02523127813</v>
      </c>
      <c r="Q1326">
        <f t="shared" ca="1" si="515"/>
        <v>39450.025231281383</v>
      </c>
      <c r="R1326">
        <f t="shared" ca="1" si="516"/>
        <v>4.0178129257556468E-12</v>
      </c>
      <c r="S1326">
        <f t="shared" ca="1" si="534"/>
        <v>4.9999998736893758E-4</v>
      </c>
      <c r="T1326">
        <f t="shared" ca="1" si="535"/>
        <v>1</v>
      </c>
      <c r="U1326">
        <f t="shared" ca="1" si="517"/>
        <v>0.05</v>
      </c>
      <c r="V1326">
        <f t="shared" ca="1" si="518"/>
        <v>0.26</v>
      </c>
      <c r="W1326">
        <f t="shared" ca="1" si="519"/>
        <v>4.9056603773584909E-2</v>
      </c>
      <c r="X1326">
        <f t="shared" ca="1" si="520"/>
        <v>196.15384615384616</v>
      </c>
      <c r="Y1326">
        <f t="shared" ca="1" si="521"/>
        <v>632.024</v>
      </c>
      <c r="Z1326">
        <f t="shared" ca="1" si="522"/>
        <v>2593.1010316486622</v>
      </c>
      <c r="AA1326">
        <f t="shared" ca="1" si="523"/>
        <v>482.07306851378365</v>
      </c>
      <c r="AB1326">
        <f t="shared" ca="1" si="524"/>
        <v>482.07256851378361</v>
      </c>
      <c r="AC1326">
        <f t="shared" ca="1" si="525"/>
        <v>0</v>
      </c>
      <c r="AD1326">
        <f ca="1">IF(V32="Supercritical",L1326,U1326)</f>
        <v>0.05</v>
      </c>
      <c r="AE1326">
        <f t="shared" ca="1" si="526"/>
        <v>632.024</v>
      </c>
      <c r="AF1326">
        <f t="shared" ca="1" si="527"/>
        <v>2593.1010316486622</v>
      </c>
      <c r="AI1326">
        <v>0</v>
      </c>
      <c r="AJ1326">
        <v>0</v>
      </c>
      <c r="AK1326">
        <f t="shared" si="528"/>
        <v>0</v>
      </c>
      <c r="AL1326">
        <f t="shared" si="536"/>
        <v>0</v>
      </c>
      <c r="AM1326">
        <f t="shared" ca="1" si="529"/>
        <v>280.07692026646265</v>
      </c>
      <c r="AN1326" t="str">
        <f t="shared" ca="1" si="530"/>
        <v>Supercritical</v>
      </c>
      <c r="AO1326">
        <f ca="1">IF(V32="Supercritical",R1326,AA1326)</f>
        <v>482.07306851378365</v>
      </c>
    </row>
    <row r="1327" spans="1:41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174</v>
      </c>
      <c r="I1327">
        <v>0</v>
      </c>
      <c r="J1327">
        <f t="shared" si="531"/>
        <v>1</v>
      </c>
      <c r="K1327">
        <f t="shared" si="532"/>
        <v>51</v>
      </c>
      <c r="L1327">
        <f t="shared" ca="1" si="533"/>
        <v>38818.051231278128</v>
      </c>
      <c r="M1327">
        <f t="shared" ca="1" si="511"/>
        <v>201853.86640264626</v>
      </c>
      <c r="N1327">
        <f t="shared" ca="1" si="512"/>
        <v>2.5998258658784543</v>
      </c>
      <c r="O1327">
        <f t="shared" ca="1" si="513"/>
        <v>2.5265802884482871E-4</v>
      </c>
      <c r="P1327">
        <f t="shared" ca="1" si="514"/>
        <v>39450.024731278128</v>
      </c>
      <c r="Q1327">
        <f t="shared" ca="1" si="515"/>
        <v>39450.024731281381</v>
      </c>
      <c r="R1327">
        <f t="shared" ca="1" si="516"/>
        <v>4.0178129257556468E-12</v>
      </c>
      <c r="S1327">
        <f t="shared" ca="1" si="534"/>
        <v>4.999999946448952E-4</v>
      </c>
      <c r="T1327">
        <f t="shared" ca="1" si="535"/>
        <v>1</v>
      </c>
      <c r="U1327">
        <f t="shared" ca="1" si="517"/>
        <v>0.05</v>
      </c>
      <c r="V1327">
        <f t="shared" ca="1" si="518"/>
        <v>0.26</v>
      </c>
      <c r="W1327">
        <f t="shared" ca="1" si="519"/>
        <v>4.9056603773584909E-2</v>
      </c>
      <c r="X1327">
        <f t="shared" ca="1" si="520"/>
        <v>196.15384615384616</v>
      </c>
      <c r="Y1327">
        <f t="shared" ca="1" si="521"/>
        <v>632.0234999999999</v>
      </c>
      <c r="Z1327">
        <f t="shared" ca="1" si="522"/>
        <v>2593.1005316486621</v>
      </c>
      <c r="AA1327">
        <f t="shared" ca="1" si="523"/>
        <v>482.07306851378365</v>
      </c>
      <c r="AB1327">
        <f t="shared" ca="1" si="524"/>
        <v>482.07256851378361</v>
      </c>
      <c r="AC1327">
        <f t="shared" ca="1" si="525"/>
        <v>0</v>
      </c>
      <c r="AD1327">
        <f ca="1">IF(V32="Supercritical",L1327,U1327)</f>
        <v>0.05</v>
      </c>
      <c r="AE1327">
        <f t="shared" ca="1" si="526"/>
        <v>632.0234999999999</v>
      </c>
      <c r="AF1327">
        <f t="shared" ca="1" si="527"/>
        <v>2593.1005316486621</v>
      </c>
      <c r="AI1327">
        <v>0</v>
      </c>
      <c r="AJ1327">
        <v>0</v>
      </c>
      <c r="AK1327">
        <f t="shared" si="528"/>
        <v>0</v>
      </c>
      <c r="AL1327">
        <f t="shared" si="536"/>
        <v>0</v>
      </c>
      <c r="AM1327">
        <f t="shared" ca="1" si="529"/>
        <v>280.07692026646265</v>
      </c>
      <c r="AN1327" t="str">
        <f t="shared" ca="1" si="530"/>
        <v>Supercritical</v>
      </c>
      <c r="AO1327">
        <f ca="1">IF(V32="Supercritical",R1327,AA1327)</f>
        <v>482.07306851378365</v>
      </c>
    </row>
    <row r="1328" spans="1:41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174</v>
      </c>
      <c r="I1328">
        <v>0</v>
      </c>
      <c r="J1328">
        <f t="shared" si="531"/>
        <v>1</v>
      </c>
      <c r="K1328">
        <f t="shared" si="532"/>
        <v>51</v>
      </c>
      <c r="L1328">
        <f t="shared" ca="1" si="533"/>
        <v>38818.051231278128</v>
      </c>
      <c r="M1328">
        <f t="shared" ca="1" si="511"/>
        <v>201853.86640264626</v>
      </c>
      <c r="N1328">
        <f t="shared" ca="1" si="512"/>
        <v>2.5998258658784543</v>
      </c>
      <c r="O1328">
        <f t="shared" ca="1" si="513"/>
        <v>2.5265802884482871E-4</v>
      </c>
      <c r="P1328">
        <f t="shared" ca="1" si="514"/>
        <v>39450.024231278127</v>
      </c>
      <c r="Q1328">
        <f t="shared" ca="1" si="515"/>
        <v>39450.024231281379</v>
      </c>
      <c r="R1328">
        <f t="shared" ca="1" si="516"/>
        <v>4.0178129257556468E-12</v>
      </c>
      <c r="S1328">
        <f t="shared" ca="1" si="534"/>
        <v>4.999999946448952E-4</v>
      </c>
      <c r="T1328">
        <f t="shared" ca="1" si="535"/>
        <v>1</v>
      </c>
      <c r="U1328">
        <f t="shared" ca="1" si="517"/>
        <v>0.05</v>
      </c>
      <c r="V1328">
        <f t="shared" ca="1" si="518"/>
        <v>0.26</v>
      </c>
      <c r="W1328">
        <f t="shared" ca="1" si="519"/>
        <v>4.9056603773584909E-2</v>
      </c>
      <c r="X1328">
        <f t="shared" ca="1" si="520"/>
        <v>196.15384615384616</v>
      </c>
      <c r="Y1328">
        <f t="shared" ca="1" si="521"/>
        <v>632.02299999999991</v>
      </c>
      <c r="Z1328">
        <f t="shared" ca="1" si="522"/>
        <v>2593.100031648662</v>
      </c>
      <c r="AA1328">
        <f t="shared" ca="1" si="523"/>
        <v>482.07306851378365</v>
      </c>
      <c r="AB1328">
        <f t="shared" ca="1" si="524"/>
        <v>482.25887083179032</v>
      </c>
      <c r="AC1328">
        <f t="shared" ca="1" si="525"/>
        <v>0</v>
      </c>
      <c r="AD1328">
        <f ca="1">IF(V32="Supercritical",L1328,U1328)</f>
        <v>0.05</v>
      </c>
      <c r="AE1328">
        <f t="shared" ca="1" si="526"/>
        <v>632.02299999999991</v>
      </c>
      <c r="AF1328">
        <f t="shared" ca="1" si="527"/>
        <v>2593.100031648662</v>
      </c>
      <c r="AI1328">
        <v>0</v>
      </c>
      <c r="AJ1328">
        <v>0</v>
      </c>
      <c r="AK1328">
        <f t="shared" si="528"/>
        <v>0</v>
      </c>
      <c r="AL1328">
        <f t="shared" si="536"/>
        <v>0</v>
      </c>
      <c r="AM1328">
        <f t="shared" ca="1" si="529"/>
        <v>280.07692026646265</v>
      </c>
      <c r="AN1328" t="str">
        <f t="shared" ca="1" si="530"/>
        <v>Supercritical</v>
      </c>
      <c r="AO1328">
        <f ca="1">IF(V32="Supercritical",R1328,AA1328)</f>
        <v>482.07306851378365</v>
      </c>
    </row>
    <row r="1329" spans="1:41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174</v>
      </c>
      <c r="I1329">
        <v>5.7000000000000002E-2</v>
      </c>
      <c r="J1329">
        <f t="shared" si="531"/>
        <v>1</v>
      </c>
      <c r="K1329">
        <f t="shared" si="532"/>
        <v>51</v>
      </c>
      <c r="L1329">
        <f t="shared" ca="1" si="533"/>
        <v>38818.051231278128</v>
      </c>
      <c r="M1329">
        <f t="shared" ca="1" si="511"/>
        <v>201853.86640264626</v>
      </c>
      <c r="N1329">
        <f t="shared" ca="1" si="512"/>
        <v>2.5998258658784543</v>
      </c>
      <c r="O1329">
        <f t="shared" ca="1" si="513"/>
        <v>2.5265802884482871E-4</v>
      </c>
      <c r="P1329">
        <f t="shared" ca="1" si="514"/>
        <v>39450.023731278132</v>
      </c>
      <c r="Q1329">
        <f t="shared" ca="1" si="515"/>
        <v>39450.023731281384</v>
      </c>
      <c r="R1329">
        <f t="shared" ca="1" si="516"/>
        <v>4.0178129257556468E-12</v>
      </c>
      <c r="S1329">
        <f t="shared" ca="1" si="534"/>
        <v>4.9999998736893758E-4</v>
      </c>
      <c r="T1329">
        <f t="shared" ca="1" si="535"/>
        <v>1</v>
      </c>
      <c r="U1329">
        <f t="shared" ca="1" si="517"/>
        <v>0.05</v>
      </c>
      <c r="V1329">
        <f t="shared" ca="1" si="518"/>
        <v>0.26</v>
      </c>
      <c r="W1329">
        <f t="shared" ca="1" si="519"/>
        <v>4.9056603773584909E-2</v>
      </c>
      <c r="X1329">
        <f t="shared" ca="1" si="520"/>
        <v>196.15384615384616</v>
      </c>
      <c r="Y1329">
        <f t="shared" ca="1" si="521"/>
        <v>632.02249999999992</v>
      </c>
      <c r="Z1329">
        <f t="shared" ca="1" si="522"/>
        <v>2593.0995316486619</v>
      </c>
      <c r="AA1329">
        <f t="shared" ca="1" si="523"/>
        <v>482.07306851378365</v>
      </c>
      <c r="AB1329">
        <f t="shared" ca="1" si="524"/>
        <v>482.26867621694873</v>
      </c>
      <c r="AC1329">
        <f t="shared" ca="1" si="525"/>
        <v>0</v>
      </c>
      <c r="AD1329">
        <f ca="1">IF(V32="Supercritical",L1329,U1329)</f>
        <v>0.05</v>
      </c>
      <c r="AE1329">
        <f t="shared" ca="1" si="526"/>
        <v>632.02249999999992</v>
      </c>
      <c r="AF1329">
        <f t="shared" ca="1" si="527"/>
        <v>2593.0995316486619</v>
      </c>
      <c r="AI1329">
        <v>0</v>
      </c>
      <c r="AJ1329">
        <v>0</v>
      </c>
      <c r="AK1329">
        <f t="shared" si="528"/>
        <v>0</v>
      </c>
      <c r="AL1329">
        <f t="shared" si="536"/>
        <v>0</v>
      </c>
      <c r="AM1329">
        <f t="shared" ca="1" si="529"/>
        <v>280.07692026646265</v>
      </c>
      <c r="AN1329" t="str">
        <f t="shared" ca="1" si="530"/>
        <v>Supercritical</v>
      </c>
      <c r="AO1329">
        <f ca="1">IF(V32="Supercritical",R1329,AA1329)</f>
        <v>482.07306851378365</v>
      </c>
    </row>
    <row r="1330" spans="1:41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174</v>
      </c>
      <c r="I1330">
        <v>0.06</v>
      </c>
      <c r="J1330">
        <f t="shared" si="531"/>
        <v>1</v>
      </c>
      <c r="K1330">
        <f t="shared" si="532"/>
        <v>51</v>
      </c>
      <c r="L1330">
        <f t="shared" ca="1" si="533"/>
        <v>38818.051231278128</v>
      </c>
      <c r="M1330">
        <f t="shared" ca="1" si="511"/>
        <v>201853.86640264626</v>
      </c>
      <c r="N1330">
        <f t="shared" ca="1" si="512"/>
        <v>2.5998258658784543</v>
      </c>
      <c r="O1330">
        <f t="shared" ca="1" si="513"/>
        <v>2.5265802884482871E-4</v>
      </c>
      <c r="P1330">
        <f t="shared" ca="1" si="514"/>
        <v>39450.02323127813</v>
      </c>
      <c r="Q1330">
        <f t="shared" ca="1" si="515"/>
        <v>39450.023231281382</v>
      </c>
      <c r="R1330">
        <f t="shared" ca="1" si="516"/>
        <v>4.0178129257556468E-12</v>
      </c>
      <c r="S1330">
        <f t="shared" ca="1" si="534"/>
        <v>4.999999946448952E-4</v>
      </c>
      <c r="T1330">
        <f t="shared" ca="1" si="535"/>
        <v>1</v>
      </c>
      <c r="U1330">
        <f t="shared" ca="1" si="517"/>
        <v>0.05</v>
      </c>
      <c r="V1330">
        <f t="shared" ca="1" si="518"/>
        <v>0.26</v>
      </c>
      <c r="W1330">
        <f t="shared" ca="1" si="519"/>
        <v>4.9056603773584909E-2</v>
      </c>
      <c r="X1330">
        <f t="shared" ca="1" si="520"/>
        <v>196.15384615384616</v>
      </c>
      <c r="Y1330">
        <f t="shared" ca="1" si="521"/>
        <v>632.02199999999993</v>
      </c>
      <c r="Z1330">
        <f t="shared" ca="1" si="522"/>
        <v>2593.0990316486623</v>
      </c>
      <c r="AA1330">
        <f t="shared" ca="1" si="523"/>
        <v>482.07306851378365</v>
      </c>
      <c r="AB1330">
        <f t="shared" ca="1" si="524"/>
        <v>482.5611785058345</v>
      </c>
      <c r="AC1330">
        <f t="shared" ca="1" si="525"/>
        <v>0</v>
      </c>
      <c r="AD1330">
        <f ca="1">IF(V32="Supercritical",L1330,U1330)</f>
        <v>0.05</v>
      </c>
      <c r="AE1330">
        <f t="shared" ca="1" si="526"/>
        <v>632.02199999999993</v>
      </c>
      <c r="AF1330">
        <f t="shared" ca="1" si="527"/>
        <v>2593.0990316486623</v>
      </c>
      <c r="AI1330">
        <v>0</v>
      </c>
      <c r="AJ1330">
        <v>0</v>
      </c>
      <c r="AK1330">
        <f t="shared" si="528"/>
        <v>0</v>
      </c>
      <c r="AL1330">
        <f t="shared" si="536"/>
        <v>0</v>
      </c>
      <c r="AM1330">
        <f t="shared" ca="1" si="529"/>
        <v>280.07692026646265</v>
      </c>
      <c r="AN1330" t="str">
        <f t="shared" ca="1" si="530"/>
        <v>Supercritical</v>
      </c>
      <c r="AO1330">
        <f ca="1">IF(V32="Supercritical",R1330,AA1330)</f>
        <v>482.07306851378365</v>
      </c>
    </row>
    <row r="1331" spans="1:41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174</v>
      </c>
      <c r="I1331">
        <v>2E-3</v>
      </c>
      <c r="J1331">
        <f t="shared" si="531"/>
        <v>1.0010000000002037</v>
      </c>
      <c r="K1331">
        <f t="shared" si="532"/>
        <v>51</v>
      </c>
      <c r="L1331">
        <f t="shared" ca="1" si="533"/>
        <v>38818.051231278128</v>
      </c>
      <c r="M1331">
        <f t="shared" ca="1" si="511"/>
        <v>201853.86640264626</v>
      </c>
      <c r="N1331">
        <f t="shared" ca="1" si="512"/>
        <v>2.5998258658784543</v>
      </c>
      <c r="O1331">
        <f t="shared" ca="1" si="513"/>
        <v>2.5265802884482871E-4</v>
      </c>
      <c r="P1331">
        <f t="shared" ca="1" si="514"/>
        <v>39450.022731278128</v>
      </c>
      <c r="Q1331">
        <f t="shared" ca="1" si="515"/>
        <v>39450.02273128138</v>
      </c>
      <c r="R1331">
        <f t="shared" ca="1" si="516"/>
        <v>4.0178129257556468E-12</v>
      </c>
      <c r="S1331">
        <f t="shared" ca="1" si="534"/>
        <v>4.999999946448952E-4</v>
      </c>
      <c r="T1331">
        <f t="shared" ca="1" si="535"/>
        <v>1</v>
      </c>
      <c r="U1331">
        <f t="shared" ca="1" si="517"/>
        <v>0.05</v>
      </c>
      <c r="V1331">
        <f t="shared" ca="1" si="518"/>
        <v>0.26</v>
      </c>
      <c r="W1331">
        <f t="shared" ca="1" si="519"/>
        <v>4.9056603773584909E-2</v>
      </c>
      <c r="X1331">
        <f t="shared" ca="1" si="520"/>
        <v>196.15384615384616</v>
      </c>
      <c r="Y1331">
        <f t="shared" ca="1" si="521"/>
        <v>632.02149999999995</v>
      </c>
      <c r="Z1331">
        <f t="shared" ca="1" si="522"/>
        <v>2593.0985316486622</v>
      </c>
      <c r="AA1331">
        <f t="shared" ca="1" si="523"/>
        <v>482.07306851378365</v>
      </c>
      <c r="AB1331">
        <f t="shared" ca="1" si="524"/>
        <v>482.07256851378361</v>
      </c>
      <c r="AC1331">
        <f t="shared" ca="1" si="525"/>
        <v>0</v>
      </c>
      <c r="AD1331">
        <f ca="1">IF(V32="Supercritical",L1331,U1331)</f>
        <v>0.05</v>
      </c>
      <c r="AE1331">
        <f t="shared" ca="1" si="526"/>
        <v>632.02149999999995</v>
      </c>
      <c r="AF1331">
        <f t="shared" ca="1" si="527"/>
        <v>2593.0985316486622</v>
      </c>
      <c r="AI1331">
        <v>0</v>
      </c>
      <c r="AJ1331">
        <v>0</v>
      </c>
      <c r="AK1331">
        <f t="shared" si="528"/>
        <v>0</v>
      </c>
      <c r="AL1331">
        <f t="shared" si="536"/>
        <v>0</v>
      </c>
      <c r="AM1331">
        <f t="shared" ca="1" si="529"/>
        <v>280.07692026646265</v>
      </c>
      <c r="AN1331" t="str">
        <f t="shared" ca="1" si="530"/>
        <v>Supercritical</v>
      </c>
      <c r="AO1331">
        <f ca="1">IF(V32="Supercritical",R1331,AA1331)</f>
        <v>482.07306851378365</v>
      </c>
    </row>
    <row r="1332" spans="1:41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174</v>
      </c>
      <c r="I1332">
        <v>0</v>
      </c>
      <c r="J1332">
        <f t="shared" si="531"/>
        <v>1</v>
      </c>
      <c r="K1332">
        <f t="shared" si="532"/>
        <v>51</v>
      </c>
      <c r="L1332">
        <f t="shared" ca="1" si="533"/>
        <v>38818.051231278128</v>
      </c>
      <c r="M1332">
        <f t="shared" ca="1" si="511"/>
        <v>201853.86640264626</v>
      </c>
      <c r="N1332">
        <f t="shared" ca="1" si="512"/>
        <v>2.5998258658784543</v>
      </c>
      <c r="O1332">
        <f t="shared" ca="1" si="513"/>
        <v>2.5265802884482871E-4</v>
      </c>
      <c r="P1332">
        <f t="shared" ca="1" si="514"/>
        <v>39450.022231278126</v>
      </c>
      <c r="Q1332">
        <f t="shared" ca="1" si="515"/>
        <v>39450.022231281378</v>
      </c>
      <c r="R1332">
        <f t="shared" ca="1" si="516"/>
        <v>4.0178129257556468E-12</v>
      </c>
      <c r="S1332">
        <f t="shared" ca="1" si="534"/>
        <v>4.999999946448952E-4</v>
      </c>
      <c r="T1332">
        <f t="shared" ca="1" si="535"/>
        <v>1</v>
      </c>
      <c r="U1332">
        <f t="shared" ca="1" si="517"/>
        <v>0.05</v>
      </c>
      <c r="V1332">
        <f t="shared" ca="1" si="518"/>
        <v>0.26</v>
      </c>
      <c r="W1332">
        <f t="shared" ca="1" si="519"/>
        <v>4.9056603773584909E-2</v>
      </c>
      <c r="X1332">
        <f t="shared" ca="1" si="520"/>
        <v>196.15384615384616</v>
      </c>
      <c r="Y1332">
        <f t="shared" ca="1" si="521"/>
        <v>632.02099999999996</v>
      </c>
      <c r="Z1332">
        <f t="shared" ca="1" si="522"/>
        <v>2593.0980316486621</v>
      </c>
      <c r="AA1332">
        <f t="shared" ca="1" si="523"/>
        <v>482.07306851378365</v>
      </c>
      <c r="AB1332">
        <f t="shared" ca="1" si="524"/>
        <v>481.77679776317837</v>
      </c>
      <c r="AC1332">
        <f t="shared" ca="1" si="525"/>
        <v>0</v>
      </c>
      <c r="AD1332">
        <f ca="1">IF(V32="Supercritical",L1332,U1332)</f>
        <v>0.05</v>
      </c>
      <c r="AE1332">
        <f t="shared" ca="1" si="526"/>
        <v>632.02099999999996</v>
      </c>
      <c r="AF1332">
        <f t="shared" ca="1" si="527"/>
        <v>2593.0980316486621</v>
      </c>
      <c r="AI1332">
        <v>0</v>
      </c>
      <c r="AJ1332">
        <v>0</v>
      </c>
      <c r="AK1332">
        <f t="shared" si="528"/>
        <v>0</v>
      </c>
      <c r="AL1332">
        <f t="shared" si="536"/>
        <v>0</v>
      </c>
      <c r="AM1332">
        <f t="shared" ca="1" si="529"/>
        <v>280.07692026646265</v>
      </c>
      <c r="AN1332" t="str">
        <f t="shared" ca="1" si="530"/>
        <v>Supercritical</v>
      </c>
      <c r="AO1332">
        <f ca="1">IF(V32="Supercritical",R1332,AA1332)</f>
        <v>482.07306851378365</v>
      </c>
    </row>
    <row r="1333" spans="1:41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174</v>
      </c>
      <c r="I1333">
        <v>5.7000000000000002E-2</v>
      </c>
      <c r="J1333">
        <f t="shared" si="531"/>
        <v>0.99899999999979627</v>
      </c>
      <c r="K1333">
        <f t="shared" si="532"/>
        <v>51</v>
      </c>
      <c r="L1333">
        <f t="shared" ca="1" si="533"/>
        <v>38818.051231278128</v>
      </c>
      <c r="M1333">
        <f t="shared" ca="1" si="511"/>
        <v>201853.86640264626</v>
      </c>
      <c r="N1333">
        <f t="shared" ca="1" si="512"/>
        <v>2.5998258658784543</v>
      </c>
      <c r="O1333">
        <f t="shared" ca="1" si="513"/>
        <v>2.5265802884482871E-4</v>
      </c>
      <c r="P1333">
        <f t="shared" ca="1" si="514"/>
        <v>39450.021731278131</v>
      </c>
      <c r="Q1333">
        <f t="shared" ca="1" si="515"/>
        <v>39450.021731281384</v>
      </c>
      <c r="R1333">
        <f t="shared" ca="1" si="516"/>
        <v>4.0178129257556468E-12</v>
      </c>
      <c r="S1333">
        <f t="shared" ca="1" si="534"/>
        <v>4.9999998736893758E-4</v>
      </c>
      <c r="T1333">
        <f t="shared" ca="1" si="535"/>
        <v>1</v>
      </c>
      <c r="U1333">
        <f t="shared" ca="1" si="517"/>
        <v>0.05</v>
      </c>
      <c r="V1333">
        <f t="shared" ca="1" si="518"/>
        <v>0.26</v>
      </c>
      <c r="W1333">
        <f t="shared" ca="1" si="519"/>
        <v>4.9056603773584909E-2</v>
      </c>
      <c r="X1333">
        <f t="shared" ca="1" si="520"/>
        <v>196.15384615384616</v>
      </c>
      <c r="Y1333">
        <f t="shared" ca="1" si="521"/>
        <v>632.02049999999997</v>
      </c>
      <c r="Z1333">
        <f t="shared" ca="1" si="522"/>
        <v>2593.097531648662</v>
      </c>
      <c r="AA1333">
        <f t="shared" ca="1" si="523"/>
        <v>482.07306851378365</v>
      </c>
      <c r="AB1333">
        <f t="shared" ca="1" si="524"/>
        <v>482.25887083179032</v>
      </c>
      <c r="AC1333">
        <f t="shared" ca="1" si="525"/>
        <v>0</v>
      </c>
      <c r="AD1333">
        <f ca="1">IF(V32="Supercritical",L1333,U1333)</f>
        <v>0.05</v>
      </c>
      <c r="AE1333">
        <f t="shared" ca="1" si="526"/>
        <v>632.02049999999997</v>
      </c>
      <c r="AF1333">
        <f t="shared" ca="1" si="527"/>
        <v>2593.097531648662</v>
      </c>
      <c r="AI1333">
        <v>0</v>
      </c>
      <c r="AJ1333">
        <v>0</v>
      </c>
      <c r="AK1333">
        <f t="shared" si="528"/>
        <v>0</v>
      </c>
      <c r="AL1333">
        <f t="shared" si="536"/>
        <v>0</v>
      </c>
      <c r="AM1333">
        <f t="shared" ca="1" si="529"/>
        <v>280.07692026646265</v>
      </c>
      <c r="AN1333" t="str">
        <f t="shared" ca="1" si="530"/>
        <v>Supercritical</v>
      </c>
      <c r="AO1333">
        <f ca="1">IF(V32="Supercritical",R1333,AA1333)</f>
        <v>482.07306851378365</v>
      </c>
    </row>
    <row r="1334" spans="1:41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174</v>
      </c>
      <c r="I1334">
        <v>5.7000000000000002E-2</v>
      </c>
      <c r="J1334">
        <f t="shared" si="531"/>
        <v>1</v>
      </c>
      <c r="K1334">
        <f t="shared" si="532"/>
        <v>51</v>
      </c>
      <c r="L1334">
        <f t="shared" ca="1" si="533"/>
        <v>38818.051231278128</v>
      </c>
      <c r="M1334">
        <f t="shared" ca="1" si="511"/>
        <v>201853.86640264626</v>
      </c>
      <c r="N1334">
        <f t="shared" ca="1" si="512"/>
        <v>2.5998258658784543</v>
      </c>
      <c r="O1334">
        <f t="shared" ca="1" si="513"/>
        <v>2.5265802884482871E-4</v>
      </c>
      <c r="P1334">
        <f t="shared" ca="1" si="514"/>
        <v>39450.02123127813</v>
      </c>
      <c r="Q1334">
        <f t="shared" ca="1" si="515"/>
        <v>39450.021231281382</v>
      </c>
      <c r="R1334">
        <f t="shared" ca="1" si="516"/>
        <v>4.0178129257556468E-12</v>
      </c>
      <c r="S1334">
        <f t="shared" ca="1" si="534"/>
        <v>4.999999946448952E-4</v>
      </c>
      <c r="T1334">
        <f t="shared" ca="1" si="535"/>
        <v>1</v>
      </c>
      <c r="U1334">
        <f t="shared" ca="1" si="517"/>
        <v>0.05</v>
      </c>
      <c r="V1334">
        <f t="shared" ca="1" si="518"/>
        <v>0.26</v>
      </c>
      <c r="W1334">
        <f t="shared" ca="1" si="519"/>
        <v>4.9056603773584909E-2</v>
      </c>
      <c r="X1334">
        <f t="shared" ca="1" si="520"/>
        <v>196.15384615384616</v>
      </c>
      <c r="Y1334">
        <f t="shared" ca="1" si="521"/>
        <v>632.02</v>
      </c>
      <c r="Z1334">
        <f t="shared" ca="1" si="522"/>
        <v>2593.0970316486619</v>
      </c>
      <c r="AA1334">
        <f t="shared" ca="1" si="523"/>
        <v>482.07306851378365</v>
      </c>
      <c r="AB1334">
        <f t="shared" ca="1" si="524"/>
        <v>482.07256851378406</v>
      </c>
      <c r="AC1334">
        <f t="shared" ca="1" si="525"/>
        <v>0</v>
      </c>
      <c r="AD1334">
        <f ca="1">IF(V32="Supercritical",L1334,U1334)</f>
        <v>0.05</v>
      </c>
      <c r="AE1334">
        <f t="shared" ca="1" si="526"/>
        <v>632.02</v>
      </c>
      <c r="AF1334">
        <f t="shared" ca="1" si="527"/>
        <v>2593.0970316486619</v>
      </c>
      <c r="AI1334">
        <v>0</v>
      </c>
      <c r="AJ1334">
        <v>0</v>
      </c>
      <c r="AK1334">
        <f t="shared" si="528"/>
        <v>0</v>
      </c>
      <c r="AL1334">
        <f t="shared" si="536"/>
        <v>0</v>
      </c>
      <c r="AM1334">
        <f t="shared" ca="1" si="529"/>
        <v>280.07692026646265</v>
      </c>
      <c r="AN1334" t="str">
        <f t="shared" ca="1" si="530"/>
        <v>Supercritical</v>
      </c>
      <c r="AO1334">
        <f ca="1">IF(V32="Supercritical",R1334,AA1334)</f>
        <v>482.07306851378365</v>
      </c>
    </row>
    <row r="1335" spans="1:41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174</v>
      </c>
      <c r="I1335">
        <v>0</v>
      </c>
      <c r="J1335">
        <f t="shared" si="531"/>
        <v>1</v>
      </c>
      <c r="K1335">
        <f t="shared" si="532"/>
        <v>51</v>
      </c>
      <c r="L1335">
        <f t="shared" ca="1" si="533"/>
        <v>38818.051231278128</v>
      </c>
      <c r="M1335">
        <f t="shared" ca="1" si="511"/>
        <v>201853.86640264626</v>
      </c>
      <c r="N1335">
        <f t="shared" ca="1" si="512"/>
        <v>2.5998258658784543</v>
      </c>
      <c r="O1335">
        <f t="shared" ca="1" si="513"/>
        <v>2.5265802884482871E-4</v>
      </c>
      <c r="P1335">
        <f t="shared" ca="1" si="514"/>
        <v>39450.020731278128</v>
      </c>
      <c r="Q1335">
        <f t="shared" ca="1" si="515"/>
        <v>39450.02073128138</v>
      </c>
      <c r="R1335">
        <f t="shared" ca="1" si="516"/>
        <v>4.0178129257556468E-12</v>
      </c>
      <c r="S1335">
        <f t="shared" ca="1" si="534"/>
        <v>4.999999946448952E-4</v>
      </c>
      <c r="T1335">
        <f t="shared" ca="1" si="535"/>
        <v>1</v>
      </c>
      <c r="U1335">
        <f t="shared" ca="1" si="517"/>
        <v>0.05</v>
      </c>
      <c r="V1335">
        <f t="shared" ca="1" si="518"/>
        <v>0.26</v>
      </c>
      <c r="W1335">
        <f t="shared" ca="1" si="519"/>
        <v>4.9056603773584909E-2</v>
      </c>
      <c r="X1335">
        <f t="shared" ca="1" si="520"/>
        <v>196.15384615384616</v>
      </c>
      <c r="Y1335">
        <f t="shared" ca="1" si="521"/>
        <v>632.01949999999999</v>
      </c>
      <c r="Z1335">
        <f t="shared" ca="1" si="522"/>
        <v>2593.0965316486622</v>
      </c>
      <c r="AA1335">
        <f t="shared" ca="1" si="523"/>
        <v>482.07306851378365</v>
      </c>
      <c r="AB1335">
        <f t="shared" ca="1" si="524"/>
        <v>482.07256851378361</v>
      </c>
      <c r="AC1335">
        <f t="shared" ca="1" si="525"/>
        <v>0</v>
      </c>
      <c r="AD1335">
        <f ca="1">IF(V32="Supercritical",L1335,U1335)</f>
        <v>0.05</v>
      </c>
      <c r="AE1335">
        <f t="shared" ca="1" si="526"/>
        <v>632.01949999999999</v>
      </c>
      <c r="AF1335">
        <f t="shared" ca="1" si="527"/>
        <v>2593.0965316486622</v>
      </c>
      <c r="AI1335">
        <v>0</v>
      </c>
      <c r="AJ1335">
        <v>0</v>
      </c>
      <c r="AK1335">
        <f t="shared" si="528"/>
        <v>0</v>
      </c>
      <c r="AL1335">
        <f t="shared" si="536"/>
        <v>0</v>
      </c>
      <c r="AM1335">
        <f t="shared" ca="1" si="529"/>
        <v>280.07692026646265</v>
      </c>
      <c r="AN1335" t="str">
        <f t="shared" ca="1" si="530"/>
        <v>Supercritical</v>
      </c>
      <c r="AO1335">
        <f ca="1">IF(V32="Supercritical",R1335,AA1335)</f>
        <v>482.07306851378365</v>
      </c>
    </row>
    <row r="1336" spans="1:41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174</v>
      </c>
      <c r="I1336">
        <v>0</v>
      </c>
      <c r="J1336">
        <f t="shared" si="531"/>
        <v>1</v>
      </c>
      <c r="K1336">
        <f t="shared" si="532"/>
        <v>51</v>
      </c>
      <c r="L1336">
        <f t="shared" ca="1" si="533"/>
        <v>38818.051231278128</v>
      </c>
      <c r="M1336">
        <f t="shared" ca="1" si="511"/>
        <v>201853.86640264626</v>
      </c>
      <c r="N1336">
        <f t="shared" ca="1" si="512"/>
        <v>2.5998258658784543</v>
      </c>
      <c r="O1336">
        <f t="shared" ca="1" si="513"/>
        <v>2.5265802884482871E-4</v>
      </c>
      <c r="P1336">
        <f t="shared" ca="1" si="514"/>
        <v>39450.020231278126</v>
      </c>
      <c r="Q1336">
        <f t="shared" ca="1" si="515"/>
        <v>39450.020231281378</v>
      </c>
      <c r="R1336">
        <f t="shared" ca="1" si="516"/>
        <v>4.0178129257556468E-12</v>
      </c>
      <c r="S1336">
        <f t="shared" ca="1" si="534"/>
        <v>4.999999946448952E-4</v>
      </c>
      <c r="T1336">
        <f t="shared" ca="1" si="535"/>
        <v>1</v>
      </c>
      <c r="U1336">
        <f t="shared" ca="1" si="517"/>
        <v>0.05</v>
      </c>
      <c r="V1336">
        <f t="shared" ca="1" si="518"/>
        <v>0.26</v>
      </c>
      <c r="W1336">
        <f t="shared" ca="1" si="519"/>
        <v>4.9056603773584909E-2</v>
      </c>
      <c r="X1336">
        <f t="shared" ca="1" si="520"/>
        <v>196.15384615384616</v>
      </c>
      <c r="Y1336">
        <f t="shared" ca="1" si="521"/>
        <v>632.01900000000001</v>
      </c>
      <c r="Z1336">
        <f t="shared" ca="1" si="522"/>
        <v>2593.0960316486621</v>
      </c>
      <c r="AA1336">
        <f t="shared" ca="1" si="523"/>
        <v>482.07306851378365</v>
      </c>
      <c r="AB1336">
        <f t="shared" ca="1" si="524"/>
        <v>482.25887083179032</v>
      </c>
      <c r="AC1336">
        <f t="shared" ca="1" si="525"/>
        <v>0</v>
      </c>
      <c r="AD1336">
        <f ca="1">IF(V32="Supercritical",L1336,U1336)</f>
        <v>0.05</v>
      </c>
      <c r="AE1336">
        <f t="shared" ca="1" si="526"/>
        <v>632.01900000000001</v>
      </c>
      <c r="AF1336">
        <f t="shared" ca="1" si="527"/>
        <v>2593.0960316486621</v>
      </c>
      <c r="AI1336">
        <v>0</v>
      </c>
      <c r="AJ1336">
        <v>0</v>
      </c>
      <c r="AK1336">
        <f t="shared" si="528"/>
        <v>0</v>
      </c>
      <c r="AL1336">
        <f t="shared" si="536"/>
        <v>0</v>
      </c>
      <c r="AM1336">
        <f t="shared" ca="1" si="529"/>
        <v>280.07692026646265</v>
      </c>
      <c r="AN1336" t="str">
        <f t="shared" ca="1" si="530"/>
        <v>Supercritical</v>
      </c>
      <c r="AO1336">
        <f ca="1">IF(V32="Supercritical",R1336,AA1336)</f>
        <v>482.07306851378365</v>
      </c>
    </row>
    <row r="1337" spans="1:41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174</v>
      </c>
      <c r="I1337">
        <v>5.7000000000000002E-2</v>
      </c>
      <c r="J1337">
        <f t="shared" si="531"/>
        <v>1</v>
      </c>
      <c r="K1337">
        <f t="shared" si="532"/>
        <v>51</v>
      </c>
      <c r="L1337">
        <f t="shared" ca="1" si="533"/>
        <v>38818.051231278128</v>
      </c>
      <c r="M1337">
        <f t="shared" ca="1" si="511"/>
        <v>201853.86640264626</v>
      </c>
      <c r="N1337">
        <f t="shared" ca="1" si="512"/>
        <v>2.5998258658784543</v>
      </c>
      <c r="O1337">
        <f t="shared" ca="1" si="513"/>
        <v>2.5265802884482871E-4</v>
      </c>
      <c r="P1337">
        <f t="shared" ca="1" si="514"/>
        <v>39450.019731278131</v>
      </c>
      <c r="Q1337">
        <f t="shared" ca="1" si="515"/>
        <v>39450.019731281383</v>
      </c>
      <c r="R1337">
        <f t="shared" ca="1" si="516"/>
        <v>4.0178129257556468E-12</v>
      </c>
      <c r="S1337">
        <f t="shared" ca="1" si="534"/>
        <v>4.9999998736893758E-4</v>
      </c>
      <c r="T1337">
        <f t="shared" ca="1" si="535"/>
        <v>1</v>
      </c>
      <c r="U1337">
        <f t="shared" ca="1" si="517"/>
        <v>0.05</v>
      </c>
      <c r="V1337">
        <f t="shared" ca="1" si="518"/>
        <v>0.26</v>
      </c>
      <c r="W1337">
        <f t="shared" ca="1" si="519"/>
        <v>4.9056603773584909E-2</v>
      </c>
      <c r="X1337">
        <f t="shared" ca="1" si="520"/>
        <v>196.15384615384616</v>
      </c>
      <c r="Y1337">
        <f t="shared" ca="1" si="521"/>
        <v>632.0184999999999</v>
      </c>
      <c r="Z1337">
        <f t="shared" ca="1" si="522"/>
        <v>2593.095531648662</v>
      </c>
      <c r="AA1337">
        <f t="shared" ca="1" si="523"/>
        <v>482.07306851378365</v>
      </c>
      <c r="AB1337">
        <f t="shared" ca="1" si="524"/>
        <v>482.25887083179032</v>
      </c>
      <c r="AC1337">
        <f t="shared" ca="1" si="525"/>
        <v>0</v>
      </c>
      <c r="AD1337">
        <f ca="1">IF(V32="Supercritical",L1337,U1337)</f>
        <v>0.05</v>
      </c>
      <c r="AE1337">
        <f t="shared" ca="1" si="526"/>
        <v>632.0184999999999</v>
      </c>
      <c r="AF1337">
        <f t="shared" ca="1" si="527"/>
        <v>2593.095531648662</v>
      </c>
      <c r="AI1337">
        <v>0</v>
      </c>
      <c r="AJ1337">
        <v>0</v>
      </c>
      <c r="AK1337">
        <f t="shared" si="528"/>
        <v>0</v>
      </c>
      <c r="AL1337">
        <f t="shared" si="536"/>
        <v>0</v>
      </c>
      <c r="AM1337">
        <f t="shared" ca="1" si="529"/>
        <v>280.07692026646265</v>
      </c>
      <c r="AN1337" t="str">
        <f t="shared" ca="1" si="530"/>
        <v>Supercritical</v>
      </c>
      <c r="AO1337">
        <f ca="1">IF(V32="Supercritical",R1337,AA1337)</f>
        <v>482.07306851378365</v>
      </c>
    </row>
    <row r="1338" spans="1:41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174</v>
      </c>
      <c r="I1338">
        <v>5.7000000000000002E-2</v>
      </c>
      <c r="J1338">
        <f t="shared" si="531"/>
        <v>1</v>
      </c>
      <c r="K1338">
        <f t="shared" si="532"/>
        <v>51</v>
      </c>
      <c r="L1338">
        <f t="shared" ca="1" si="533"/>
        <v>38818.051231278128</v>
      </c>
      <c r="M1338">
        <f t="shared" ca="1" si="511"/>
        <v>201853.86640264626</v>
      </c>
      <c r="N1338">
        <f t="shared" ca="1" si="512"/>
        <v>2.5998258658784543</v>
      </c>
      <c r="O1338">
        <f t="shared" ca="1" si="513"/>
        <v>2.5265802884482871E-4</v>
      </c>
      <c r="P1338">
        <f t="shared" ca="1" si="514"/>
        <v>39450.019231278129</v>
      </c>
      <c r="Q1338">
        <f t="shared" ca="1" si="515"/>
        <v>39450.019231281382</v>
      </c>
      <c r="R1338">
        <f t="shared" ca="1" si="516"/>
        <v>4.0178129257556468E-12</v>
      </c>
      <c r="S1338">
        <f t="shared" ca="1" si="534"/>
        <v>4.999999946448952E-4</v>
      </c>
      <c r="T1338">
        <f t="shared" ca="1" si="535"/>
        <v>1</v>
      </c>
      <c r="U1338">
        <f t="shared" ca="1" si="517"/>
        <v>0.05</v>
      </c>
      <c r="V1338">
        <f t="shared" ca="1" si="518"/>
        <v>0.26</v>
      </c>
      <c r="W1338">
        <f t="shared" ca="1" si="519"/>
        <v>4.9056603773584909E-2</v>
      </c>
      <c r="X1338">
        <f t="shared" ca="1" si="520"/>
        <v>196.15384615384616</v>
      </c>
      <c r="Y1338">
        <f t="shared" ca="1" si="521"/>
        <v>632.01799999999992</v>
      </c>
      <c r="Z1338">
        <f t="shared" ca="1" si="522"/>
        <v>2593.0950316486619</v>
      </c>
      <c r="AA1338">
        <f t="shared" ca="1" si="523"/>
        <v>482.07306851378365</v>
      </c>
      <c r="AB1338">
        <f t="shared" ca="1" si="524"/>
        <v>482.07910543722301</v>
      </c>
      <c r="AC1338">
        <f t="shared" ca="1" si="525"/>
        <v>0</v>
      </c>
      <c r="AD1338">
        <f ca="1">IF(V32="Supercritical",L1338,U1338)</f>
        <v>0.05</v>
      </c>
      <c r="AE1338">
        <f t="shared" ca="1" si="526"/>
        <v>632.01799999999992</v>
      </c>
      <c r="AF1338">
        <f t="shared" ca="1" si="527"/>
        <v>2593.0950316486619</v>
      </c>
      <c r="AI1338">
        <v>0</v>
      </c>
      <c r="AJ1338">
        <v>0</v>
      </c>
      <c r="AK1338">
        <f t="shared" si="528"/>
        <v>0</v>
      </c>
      <c r="AL1338">
        <f t="shared" si="536"/>
        <v>0</v>
      </c>
      <c r="AM1338">
        <f t="shared" ca="1" si="529"/>
        <v>280.07692026646265</v>
      </c>
      <c r="AN1338" t="str">
        <f t="shared" ca="1" si="530"/>
        <v>Supercritical</v>
      </c>
      <c r="AO1338">
        <f ca="1">IF(V32="Supercritical",R1338,AA1338)</f>
        <v>482.07306851378365</v>
      </c>
    </row>
    <row r="1339" spans="1:41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174</v>
      </c>
      <c r="I1339">
        <v>2E-3</v>
      </c>
      <c r="J1339">
        <f t="shared" si="531"/>
        <v>1</v>
      </c>
      <c r="K1339">
        <f t="shared" si="532"/>
        <v>51</v>
      </c>
      <c r="L1339">
        <f t="shared" ca="1" si="533"/>
        <v>38818.051231278128</v>
      </c>
      <c r="M1339">
        <f t="shared" ca="1" si="511"/>
        <v>201853.86640264626</v>
      </c>
      <c r="N1339">
        <f t="shared" ca="1" si="512"/>
        <v>2.5998258658784543</v>
      </c>
      <c r="O1339">
        <f t="shared" ca="1" si="513"/>
        <v>2.5265802884482871E-4</v>
      </c>
      <c r="P1339">
        <f t="shared" ca="1" si="514"/>
        <v>39450.018731278127</v>
      </c>
      <c r="Q1339">
        <f t="shared" ca="1" si="515"/>
        <v>39450.01873128138</v>
      </c>
      <c r="R1339">
        <f t="shared" ca="1" si="516"/>
        <v>4.0178129257556468E-12</v>
      </c>
      <c r="S1339">
        <f t="shared" ca="1" si="534"/>
        <v>4.999999946448952E-4</v>
      </c>
      <c r="T1339">
        <f t="shared" ca="1" si="535"/>
        <v>1</v>
      </c>
      <c r="U1339">
        <f t="shared" ca="1" si="517"/>
        <v>0.05</v>
      </c>
      <c r="V1339">
        <f t="shared" ca="1" si="518"/>
        <v>0.26</v>
      </c>
      <c r="W1339">
        <f t="shared" ca="1" si="519"/>
        <v>4.9056603773584909E-2</v>
      </c>
      <c r="X1339">
        <f t="shared" ca="1" si="520"/>
        <v>196.15384615384616</v>
      </c>
      <c r="Y1339">
        <f t="shared" ca="1" si="521"/>
        <v>632.01749999999993</v>
      </c>
      <c r="Z1339">
        <f t="shared" ca="1" si="522"/>
        <v>2593.0945316486623</v>
      </c>
      <c r="AA1339">
        <f t="shared" ca="1" si="523"/>
        <v>482.07306851378365</v>
      </c>
      <c r="AB1339">
        <f t="shared" ca="1" si="524"/>
        <v>482.5611785058345</v>
      </c>
      <c r="AC1339">
        <f t="shared" ca="1" si="525"/>
        <v>0</v>
      </c>
      <c r="AD1339">
        <f ca="1">IF(V32="Supercritical",L1339,U1339)</f>
        <v>0.05</v>
      </c>
      <c r="AE1339">
        <f t="shared" ca="1" si="526"/>
        <v>632.01749999999993</v>
      </c>
      <c r="AF1339">
        <f t="shared" ca="1" si="527"/>
        <v>2593.0945316486623</v>
      </c>
      <c r="AI1339">
        <v>0</v>
      </c>
      <c r="AJ1339">
        <v>0</v>
      </c>
      <c r="AK1339">
        <f t="shared" si="528"/>
        <v>0</v>
      </c>
      <c r="AL1339">
        <f t="shared" si="536"/>
        <v>0</v>
      </c>
      <c r="AM1339">
        <f t="shared" ca="1" si="529"/>
        <v>280.07692026646265</v>
      </c>
      <c r="AN1339" t="str">
        <f t="shared" ca="1" si="530"/>
        <v>Supercritical</v>
      </c>
      <c r="AO1339">
        <f ca="1">IF(V32="Supercritical",R1339,AA1339)</f>
        <v>482.07306851378365</v>
      </c>
    </row>
    <row r="1340" spans="1:41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174</v>
      </c>
      <c r="I1340">
        <v>2E-3</v>
      </c>
      <c r="J1340">
        <f t="shared" si="531"/>
        <v>1.0010000000002037</v>
      </c>
      <c r="K1340">
        <f t="shared" si="532"/>
        <v>51</v>
      </c>
      <c r="L1340">
        <f t="shared" ca="1" si="533"/>
        <v>38818.051231278128</v>
      </c>
      <c r="M1340">
        <f t="shared" ca="1" si="511"/>
        <v>201853.86640264626</v>
      </c>
      <c r="N1340">
        <f t="shared" ca="1" si="512"/>
        <v>2.5998258658784543</v>
      </c>
      <c r="O1340">
        <f t="shared" ca="1" si="513"/>
        <v>2.5265802884482871E-4</v>
      </c>
      <c r="P1340">
        <f t="shared" ca="1" si="514"/>
        <v>39450.018231278125</v>
      </c>
      <c r="Q1340">
        <f t="shared" ca="1" si="515"/>
        <v>39450.018231281378</v>
      </c>
      <c r="R1340">
        <f t="shared" ca="1" si="516"/>
        <v>4.0178129257556468E-12</v>
      </c>
      <c r="S1340">
        <f t="shared" ca="1" si="534"/>
        <v>4.999999946448952E-4</v>
      </c>
      <c r="T1340">
        <f t="shared" ca="1" si="535"/>
        <v>1</v>
      </c>
      <c r="U1340">
        <f t="shared" ca="1" si="517"/>
        <v>0.05</v>
      </c>
      <c r="V1340">
        <f t="shared" ca="1" si="518"/>
        <v>0.26</v>
      </c>
      <c r="W1340">
        <f t="shared" ca="1" si="519"/>
        <v>4.9056603773584909E-2</v>
      </c>
      <c r="X1340">
        <f t="shared" ca="1" si="520"/>
        <v>196.15384615384616</v>
      </c>
      <c r="Y1340">
        <f t="shared" ca="1" si="521"/>
        <v>632.01699999999994</v>
      </c>
      <c r="Z1340">
        <f t="shared" ca="1" si="522"/>
        <v>2593.0940316486622</v>
      </c>
      <c r="AA1340">
        <f t="shared" ca="1" si="523"/>
        <v>482.07306851378365</v>
      </c>
      <c r="AB1340">
        <f t="shared" ca="1" si="524"/>
        <v>482.25887083179032</v>
      </c>
      <c r="AC1340">
        <f t="shared" ca="1" si="525"/>
        <v>0</v>
      </c>
      <c r="AD1340">
        <f ca="1">IF(V32="Supercritical",L1340,U1340)</f>
        <v>0.05</v>
      </c>
      <c r="AE1340">
        <f t="shared" ca="1" si="526"/>
        <v>632.01699999999994</v>
      </c>
      <c r="AF1340">
        <f t="shared" ca="1" si="527"/>
        <v>2593.0940316486622</v>
      </c>
      <c r="AI1340">
        <v>0</v>
      </c>
      <c r="AJ1340">
        <v>0</v>
      </c>
      <c r="AK1340">
        <f t="shared" si="528"/>
        <v>0</v>
      </c>
      <c r="AL1340">
        <f t="shared" si="536"/>
        <v>0</v>
      </c>
      <c r="AM1340">
        <f t="shared" ca="1" si="529"/>
        <v>280.07692026646265</v>
      </c>
      <c r="AN1340" t="str">
        <f t="shared" ca="1" si="530"/>
        <v>Supercritical</v>
      </c>
      <c r="AO1340">
        <f ca="1">IF(V32="Supercritical",R1340,AA1340)</f>
        <v>482.07306851378365</v>
      </c>
    </row>
    <row r="1341" spans="1:41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174</v>
      </c>
      <c r="I1341">
        <v>5.7000000000000002E-2</v>
      </c>
      <c r="J1341">
        <f t="shared" si="531"/>
        <v>1</v>
      </c>
      <c r="K1341">
        <f t="shared" si="532"/>
        <v>51</v>
      </c>
      <c r="L1341">
        <f t="shared" ca="1" si="533"/>
        <v>38818.051231278128</v>
      </c>
      <c r="M1341">
        <f t="shared" ca="1" si="511"/>
        <v>201853.86640264626</v>
      </c>
      <c r="N1341">
        <f t="shared" ca="1" si="512"/>
        <v>2.5998258658784543</v>
      </c>
      <c r="O1341">
        <f t="shared" ca="1" si="513"/>
        <v>2.5265802884482871E-4</v>
      </c>
      <c r="P1341">
        <f t="shared" ca="1" si="514"/>
        <v>39450.017731278131</v>
      </c>
      <c r="Q1341">
        <f t="shared" ca="1" si="515"/>
        <v>39450.017731281383</v>
      </c>
      <c r="R1341">
        <f t="shared" ca="1" si="516"/>
        <v>4.0178129257556468E-12</v>
      </c>
      <c r="S1341">
        <f t="shared" ca="1" si="534"/>
        <v>4.9999998736893758E-4</v>
      </c>
      <c r="T1341">
        <f t="shared" ca="1" si="535"/>
        <v>1</v>
      </c>
      <c r="U1341">
        <f t="shared" ca="1" si="517"/>
        <v>0.05</v>
      </c>
      <c r="V1341">
        <f t="shared" ca="1" si="518"/>
        <v>0.26</v>
      </c>
      <c r="W1341">
        <f t="shared" ca="1" si="519"/>
        <v>4.9056603773584909E-2</v>
      </c>
      <c r="X1341">
        <f t="shared" ca="1" si="520"/>
        <v>196.15384615384616</v>
      </c>
      <c r="Y1341">
        <f t="shared" ca="1" si="521"/>
        <v>632.01649999999995</v>
      </c>
      <c r="Z1341">
        <f t="shared" ca="1" si="522"/>
        <v>2593.0935316486621</v>
      </c>
      <c r="AA1341">
        <f t="shared" ca="1" si="523"/>
        <v>482.07306851378365</v>
      </c>
      <c r="AB1341">
        <f t="shared" ca="1" si="524"/>
        <v>482.25887083179032</v>
      </c>
      <c r="AC1341">
        <f t="shared" ca="1" si="525"/>
        <v>0</v>
      </c>
      <c r="AD1341">
        <f ca="1">IF(V32="Supercritical",L1341,U1341)</f>
        <v>0.05</v>
      </c>
      <c r="AE1341">
        <f t="shared" ca="1" si="526"/>
        <v>632.01649999999995</v>
      </c>
      <c r="AF1341">
        <f t="shared" ca="1" si="527"/>
        <v>2593.0935316486621</v>
      </c>
      <c r="AI1341">
        <v>0</v>
      </c>
      <c r="AJ1341">
        <v>0</v>
      </c>
      <c r="AK1341">
        <f t="shared" si="528"/>
        <v>0</v>
      </c>
      <c r="AL1341">
        <f t="shared" si="536"/>
        <v>0</v>
      </c>
      <c r="AM1341">
        <f t="shared" ca="1" si="529"/>
        <v>280.07692026646265</v>
      </c>
      <c r="AN1341" t="str">
        <f t="shared" ca="1" si="530"/>
        <v>Supercritical</v>
      </c>
      <c r="AO1341">
        <f ca="1">IF(V32="Supercritical",R1341,AA1341)</f>
        <v>482.07306851378365</v>
      </c>
    </row>
    <row r="1342" spans="1:41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174</v>
      </c>
      <c r="I1342">
        <v>5.7000000000000002E-2</v>
      </c>
      <c r="J1342">
        <f t="shared" si="531"/>
        <v>1</v>
      </c>
      <c r="K1342">
        <f t="shared" si="532"/>
        <v>51</v>
      </c>
      <c r="L1342">
        <f t="shared" ca="1" si="533"/>
        <v>38818.051231278128</v>
      </c>
      <c r="M1342">
        <f t="shared" ca="1" si="511"/>
        <v>201853.86640264626</v>
      </c>
      <c r="N1342">
        <f t="shared" ca="1" si="512"/>
        <v>2.5998258658784543</v>
      </c>
      <c r="O1342">
        <f t="shared" ca="1" si="513"/>
        <v>2.5265802884482871E-4</v>
      </c>
      <c r="P1342">
        <f t="shared" ca="1" si="514"/>
        <v>39450.017231278129</v>
      </c>
      <c r="Q1342">
        <f t="shared" ca="1" si="515"/>
        <v>39450.017231281381</v>
      </c>
      <c r="R1342">
        <f t="shared" ca="1" si="516"/>
        <v>4.0178129257556468E-12</v>
      </c>
      <c r="S1342">
        <f t="shared" ca="1" si="534"/>
        <v>4.999999946448952E-4</v>
      </c>
      <c r="T1342">
        <f t="shared" ca="1" si="535"/>
        <v>1</v>
      </c>
      <c r="U1342">
        <f t="shared" ca="1" si="517"/>
        <v>0.05</v>
      </c>
      <c r="V1342">
        <f t="shared" ca="1" si="518"/>
        <v>0.26</v>
      </c>
      <c r="W1342">
        <f t="shared" ca="1" si="519"/>
        <v>4.9056603773584909E-2</v>
      </c>
      <c r="X1342">
        <f t="shared" ca="1" si="520"/>
        <v>196.15384615384616</v>
      </c>
      <c r="Y1342">
        <f t="shared" ca="1" si="521"/>
        <v>632.01599999999996</v>
      </c>
      <c r="Z1342">
        <f t="shared" ca="1" si="522"/>
        <v>2593.093031648662</v>
      </c>
      <c r="AA1342">
        <f t="shared" ca="1" si="523"/>
        <v>482.07306851378365</v>
      </c>
      <c r="AB1342">
        <f t="shared" ca="1" si="524"/>
        <v>481.59049544517165</v>
      </c>
      <c r="AC1342">
        <f t="shared" ca="1" si="525"/>
        <v>0</v>
      </c>
      <c r="AD1342">
        <f ca="1">IF(V32="Supercritical",L1342,U1342)</f>
        <v>0.05</v>
      </c>
      <c r="AE1342">
        <f t="shared" ca="1" si="526"/>
        <v>632.01599999999996</v>
      </c>
      <c r="AF1342">
        <f t="shared" ca="1" si="527"/>
        <v>2593.093031648662</v>
      </c>
      <c r="AI1342">
        <v>0</v>
      </c>
      <c r="AJ1342">
        <v>0</v>
      </c>
      <c r="AK1342">
        <f t="shared" si="528"/>
        <v>0</v>
      </c>
      <c r="AL1342">
        <f t="shared" si="536"/>
        <v>0</v>
      </c>
      <c r="AM1342">
        <f t="shared" ca="1" si="529"/>
        <v>280.07692026646265</v>
      </c>
      <c r="AN1342" t="str">
        <f t="shared" ca="1" si="530"/>
        <v>Supercritical</v>
      </c>
      <c r="AO1342">
        <f ca="1">IF(V32="Supercritical",R1342,AA1342)</f>
        <v>482.07306851378365</v>
      </c>
    </row>
    <row r="1343" spans="1:41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174</v>
      </c>
      <c r="I1343">
        <v>0</v>
      </c>
      <c r="J1343">
        <f t="shared" si="531"/>
        <v>0.99899999999979627</v>
      </c>
      <c r="K1343">
        <f t="shared" si="532"/>
        <v>51</v>
      </c>
      <c r="L1343">
        <f t="shared" ca="1" si="533"/>
        <v>38818.051231278128</v>
      </c>
      <c r="M1343">
        <f t="shared" ca="1" si="511"/>
        <v>201853.86640264626</v>
      </c>
      <c r="N1343">
        <f t="shared" ca="1" si="512"/>
        <v>2.5998258658784543</v>
      </c>
      <c r="O1343">
        <f t="shared" ca="1" si="513"/>
        <v>2.5265802884482871E-4</v>
      </c>
      <c r="P1343">
        <f t="shared" ca="1" si="514"/>
        <v>39450.016731278127</v>
      </c>
      <c r="Q1343">
        <f t="shared" ca="1" si="515"/>
        <v>39450.016731281379</v>
      </c>
      <c r="R1343">
        <f t="shared" ca="1" si="516"/>
        <v>4.0178129257556468E-12</v>
      </c>
      <c r="S1343">
        <f t="shared" ca="1" si="534"/>
        <v>4.999999946448952E-4</v>
      </c>
      <c r="T1343">
        <f t="shared" ca="1" si="535"/>
        <v>1</v>
      </c>
      <c r="U1343">
        <f t="shared" ca="1" si="517"/>
        <v>0.05</v>
      </c>
      <c r="V1343">
        <f t="shared" ca="1" si="518"/>
        <v>0.26</v>
      </c>
      <c r="W1343">
        <f t="shared" ca="1" si="519"/>
        <v>4.9056603773584909E-2</v>
      </c>
      <c r="X1343">
        <f t="shared" ca="1" si="520"/>
        <v>196.15384615384616</v>
      </c>
      <c r="Y1343">
        <f t="shared" ca="1" si="521"/>
        <v>632.01549999999997</v>
      </c>
      <c r="Z1343">
        <f t="shared" ca="1" si="522"/>
        <v>2593.0925316486619</v>
      </c>
      <c r="AA1343">
        <f t="shared" ca="1" si="523"/>
        <v>482.07306851378365</v>
      </c>
      <c r="AB1343">
        <f t="shared" ca="1" si="524"/>
        <v>482.07256851378406</v>
      </c>
      <c r="AC1343">
        <f t="shared" ca="1" si="525"/>
        <v>0</v>
      </c>
      <c r="AD1343">
        <f ca="1">IF(V32="Supercritical",L1343,U1343)</f>
        <v>0.05</v>
      </c>
      <c r="AE1343">
        <f t="shared" ca="1" si="526"/>
        <v>632.01549999999997</v>
      </c>
      <c r="AF1343">
        <f t="shared" ca="1" si="527"/>
        <v>2593.0925316486619</v>
      </c>
      <c r="AI1343">
        <v>0</v>
      </c>
      <c r="AJ1343">
        <v>0</v>
      </c>
      <c r="AK1343">
        <f t="shared" si="528"/>
        <v>0</v>
      </c>
      <c r="AL1343">
        <f t="shared" si="536"/>
        <v>0</v>
      </c>
      <c r="AM1343">
        <f t="shared" ca="1" si="529"/>
        <v>280.07692026646265</v>
      </c>
      <c r="AN1343" t="str">
        <f t="shared" ca="1" si="530"/>
        <v>Supercritical</v>
      </c>
      <c r="AO1343">
        <f ca="1">IF(V32="Supercritical",R1343,AA1343)</f>
        <v>482.07306851378365</v>
      </c>
    </row>
    <row r="1344" spans="1:41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174</v>
      </c>
      <c r="I1344">
        <v>0</v>
      </c>
      <c r="J1344">
        <f t="shared" si="531"/>
        <v>1</v>
      </c>
      <c r="K1344">
        <f t="shared" si="532"/>
        <v>51</v>
      </c>
      <c r="L1344">
        <f t="shared" ca="1" si="533"/>
        <v>38818.051231278128</v>
      </c>
      <c r="M1344">
        <f t="shared" ca="1" si="511"/>
        <v>201853.86640264626</v>
      </c>
      <c r="N1344">
        <f t="shared" ca="1" si="512"/>
        <v>2.5998258658784543</v>
      </c>
      <c r="O1344">
        <f t="shared" ca="1" si="513"/>
        <v>2.5265802884482871E-4</v>
      </c>
      <c r="P1344">
        <f t="shared" ca="1" si="514"/>
        <v>39450.016231278125</v>
      </c>
      <c r="Q1344">
        <f t="shared" ca="1" si="515"/>
        <v>39450.016231281377</v>
      </c>
      <c r="R1344">
        <f t="shared" ca="1" si="516"/>
        <v>4.0178129257556468E-12</v>
      </c>
      <c r="S1344">
        <f t="shared" ca="1" si="534"/>
        <v>4.999999946448952E-4</v>
      </c>
      <c r="T1344">
        <f t="shared" ca="1" si="535"/>
        <v>1</v>
      </c>
      <c r="U1344">
        <f t="shared" ca="1" si="517"/>
        <v>0.05</v>
      </c>
      <c r="V1344">
        <f t="shared" ca="1" si="518"/>
        <v>0.26</v>
      </c>
      <c r="W1344">
        <f t="shared" ca="1" si="519"/>
        <v>4.9056603773584909E-2</v>
      </c>
      <c r="X1344">
        <f t="shared" ca="1" si="520"/>
        <v>196.15384615384616</v>
      </c>
      <c r="Y1344">
        <f t="shared" ca="1" si="521"/>
        <v>632.01499999999999</v>
      </c>
      <c r="Z1344">
        <f t="shared" ca="1" si="522"/>
        <v>2593.0920316486622</v>
      </c>
      <c r="AA1344">
        <f t="shared" ca="1" si="523"/>
        <v>482.07306851378365</v>
      </c>
      <c r="AB1344">
        <f t="shared" ca="1" si="524"/>
        <v>482.25887083179032</v>
      </c>
      <c r="AC1344">
        <f t="shared" ca="1" si="525"/>
        <v>0</v>
      </c>
      <c r="AD1344">
        <f ca="1">IF(V32="Supercritical",L1344,U1344)</f>
        <v>0.05</v>
      </c>
      <c r="AE1344">
        <f t="shared" ca="1" si="526"/>
        <v>632.01499999999999</v>
      </c>
      <c r="AF1344">
        <f t="shared" ca="1" si="527"/>
        <v>2593.0920316486622</v>
      </c>
      <c r="AI1344">
        <v>0</v>
      </c>
      <c r="AJ1344">
        <v>0</v>
      </c>
      <c r="AK1344">
        <f t="shared" si="528"/>
        <v>0</v>
      </c>
      <c r="AL1344">
        <f t="shared" si="536"/>
        <v>0</v>
      </c>
      <c r="AM1344">
        <f t="shared" ca="1" si="529"/>
        <v>280.07692026646265</v>
      </c>
      <c r="AN1344" t="str">
        <f t="shared" ca="1" si="530"/>
        <v>Supercritical</v>
      </c>
      <c r="AO1344">
        <f ca="1">IF(V32="Supercritical",R1344,AA1344)</f>
        <v>482.07306851378365</v>
      </c>
    </row>
    <row r="1345" spans="1:41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174</v>
      </c>
      <c r="I1345">
        <v>5.7000000000000002E-2</v>
      </c>
      <c r="J1345">
        <f t="shared" si="531"/>
        <v>1</v>
      </c>
      <c r="K1345">
        <f t="shared" si="532"/>
        <v>51</v>
      </c>
      <c r="L1345">
        <f t="shared" ca="1" si="533"/>
        <v>38818.051231278128</v>
      </c>
      <c r="M1345">
        <f t="shared" ca="1" si="511"/>
        <v>201853.86640264626</v>
      </c>
      <c r="N1345">
        <f t="shared" ca="1" si="512"/>
        <v>2.5998258658784543</v>
      </c>
      <c r="O1345">
        <f t="shared" ca="1" si="513"/>
        <v>2.5265802884482871E-4</v>
      </c>
      <c r="P1345">
        <f t="shared" ca="1" si="514"/>
        <v>39450.01573127813</v>
      </c>
      <c r="Q1345">
        <f t="shared" ca="1" si="515"/>
        <v>39450.015731281383</v>
      </c>
      <c r="R1345">
        <f t="shared" ca="1" si="516"/>
        <v>4.0178129257556468E-12</v>
      </c>
      <c r="S1345">
        <f t="shared" ca="1" si="534"/>
        <v>4.9999998736893758E-4</v>
      </c>
      <c r="T1345">
        <f t="shared" ca="1" si="535"/>
        <v>1</v>
      </c>
      <c r="U1345">
        <f t="shared" ca="1" si="517"/>
        <v>0.05</v>
      </c>
      <c r="V1345">
        <f t="shared" ca="1" si="518"/>
        <v>0.26</v>
      </c>
      <c r="W1345">
        <f t="shared" ca="1" si="519"/>
        <v>4.9056603773584909E-2</v>
      </c>
      <c r="X1345">
        <f t="shared" ca="1" si="520"/>
        <v>196.15384615384616</v>
      </c>
      <c r="Y1345">
        <f t="shared" ca="1" si="521"/>
        <v>632.0145</v>
      </c>
      <c r="Z1345">
        <f t="shared" ca="1" si="522"/>
        <v>2593.0915316486621</v>
      </c>
      <c r="AA1345">
        <f t="shared" ca="1" si="523"/>
        <v>482.07306851378365</v>
      </c>
      <c r="AB1345">
        <f t="shared" ca="1" si="524"/>
        <v>482.25887083179032</v>
      </c>
      <c r="AC1345">
        <f t="shared" ca="1" si="525"/>
        <v>0</v>
      </c>
      <c r="AD1345">
        <f ca="1">IF(V32="Supercritical",L1345,U1345)</f>
        <v>0.05</v>
      </c>
      <c r="AE1345">
        <f t="shared" ca="1" si="526"/>
        <v>632.0145</v>
      </c>
      <c r="AF1345">
        <f t="shared" ca="1" si="527"/>
        <v>2593.0915316486621</v>
      </c>
      <c r="AI1345">
        <v>0</v>
      </c>
      <c r="AJ1345">
        <v>0</v>
      </c>
      <c r="AK1345">
        <f t="shared" si="528"/>
        <v>0</v>
      </c>
      <c r="AL1345">
        <f t="shared" si="536"/>
        <v>0</v>
      </c>
      <c r="AM1345">
        <f t="shared" ca="1" si="529"/>
        <v>280.07692026646265</v>
      </c>
      <c r="AN1345" t="str">
        <f t="shared" ca="1" si="530"/>
        <v>Supercritical</v>
      </c>
      <c r="AO1345">
        <f ca="1">IF(V32="Supercritical",R1345,AA1345)</f>
        <v>482.07306851378365</v>
      </c>
    </row>
    <row r="1346" spans="1:41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174</v>
      </c>
      <c r="I1346">
        <v>5.7000000000000002E-2</v>
      </c>
      <c r="J1346">
        <f t="shared" si="531"/>
        <v>1</v>
      </c>
      <c r="K1346">
        <f t="shared" si="532"/>
        <v>51</v>
      </c>
      <c r="L1346">
        <f t="shared" ca="1" si="533"/>
        <v>38818.051231278128</v>
      </c>
      <c r="M1346">
        <f t="shared" ca="1" si="511"/>
        <v>201853.86640264626</v>
      </c>
      <c r="N1346">
        <f t="shared" ca="1" si="512"/>
        <v>2.5998258658784543</v>
      </c>
      <c r="O1346">
        <f t="shared" ca="1" si="513"/>
        <v>2.5265802884482871E-4</v>
      </c>
      <c r="P1346">
        <f t="shared" ca="1" si="514"/>
        <v>39450.015231278128</v>
      </c>
      <c r="Q1346">
        <f t="shared" ca="1" si="515"/>
        <v>39450.015231281381</v>
      </c>
      <c r="R1346">
        <f t="shared" ca="1" si="516"/>
        <v>4.0178129257556468E-12</v>
      </c>
      <c r="S1346">
        <f t="shared" ca="1" si="534"/>
        <v>4.999999946448952E-4</v>
      </c>
      <c r="T1346">
        <f t="shared" ca="1" si="535"/>
        <v>1</v>
      </c>
      <c r="U1346">
        <f t="shared" ca="1" si="517"/>
        <v>0.05</v>
      </c>
      <c r="V1346">
        <f t="shared" ca="1" si="518"/>
        <v>0.26</v>
      </c>
      <c r="W1346">
        <f t="shared" ca="1" si="519"/>
        <v>4.9056603773584909E-2</v>
      </c>
      <c r="X1346">
        <f t="shared" ca="1" si="520"/>
        <v>196.15384615384616</v>
      </c>
      <c r="Y1346">
        <f t="shared" ca="1" si="521"/>
        <v>632.01400000000001</v>
      </c>
      <c r="Z1346">
        <f t="shared" ca="1" si="522"/>
        <v>2593.091031648662</v>
      </c>
      <c r="AA1346">
        <f t="shared" ca="1" si="523"/>
        <v>482.07306851378365</v>
      </c>
      <c r="AB1346">
        <f t="shared" ca="1" si="524"/>
        <v>482.07256851378361</v>
      </c>
      <c r="AC1346">
        <f t="shared" ca="1" si="525"/>
        <v>0</v>
      </c>
      <c r="AD1346">
        <f ca="1">IF(V32="Supercritical",L1346,U1346)</f>
        <v>0.05</v>
      </c>
      <c r="AE1346">
        <f t="shared" ca="1" si="526"/>
        <v>632.01400000000001</v>
      </c>
      <c r="AF1346">
        <f t="shared" ca="1" si="527"/>
        <v>2593.091031648662</v>
      </c>
      <c r="AI1346">
        <v>0</v>
      </c>
      <c r="AJ1346">
        <v>0</v>
      </c>
      <c r="AK1346">
        <f t="shared" si="528"/>
        <v>0</v>
      </c>
      <c r="AL1346">
        <f t="shared" si="536"/>
        <v>0</v>
      </c>
      <c r="AM1346">
        <f t="shared" ca="1" si="529"/>
        <v>280.07692026646265</v>
      </c>
      <c r="AN1346" t="str">
        <f t="shared" ca="1" si="530"/>
        <v>Supercritical</v>
      </c>
      <c r="AO1346">
        <f ca="1">IF(V32="Supercritical",R1346,AA1346)</f>
        <v>482.07306851378365</v>
      </c>
    </row>
    <row r="1347" spans="1:41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174</v>
      </c>
      <c r="I1347">
        <v>0</v>
      </c>
      <c r="J1347">
        <f t="shared" si="531"/>
        <v>1</v>
      </c>
      <c r="K1347">
        <f t="shared" si="532"/>
        <v>51</v>
      </c>
      <c r="L1347">
        <f t="shared" ca="1" si="533"/>
        <v>38818.051231278128</v>
      </c>
      <c r="M1347">
        <f t="shared" ca="1" si="511"/>
        <v>201853.86640264626</v>
      </c>
      <c r="N1347">
        <f t="shared" ca="1" si="512"/>
        <v>2.5998258658784543</v>
      </c>
      <c r="O1347">
        <f t="shared" ca="1" si="513"/>
        <v>2.5265802884482871E-4</v>
      </c>
      <c r="P1347">
        <f t="shared" ca="1" si="514"/>
        <v>39450.014731278126</v>
      </c>
      <c r="Q1347">
        <f t="shared" ca="1" si="515"/>
        <v>39450.014731281379</v>
      </c>
      <c r="R1347">
        <f t="shared" ca="1" si="516"/>
        <v>4.0178129257556468E-12</v>
      </c>
      <c r="S1347">
        <f t="shared" ca="1" si="534"/>
        <v>4.999999946448952E-4</v>
      </c>
      <c r="T1347">
        <f t="shared" ca="1" si="535"/>
        <v>1</v>
      </c>
      <c r="U1347">
        <f t="shared" ca="1" si="517"/>
        <v>0.05</v>
      </c>
      <c r="V1347">
        <f t="shared" ca="1" si="518"/>
        <v>0.26</v>
      </c>
      <c r="W1347">
        <f t="shared" ca="1" si="519"/>
        <v>4.9056603773584909E-2</v>
      </c>
      <c r="X1347">
        <f t="shared" ca="1" si="520"/>
        <v>196.15384615384616</v>
      </c>
      <c r="Y1347">
        <f t="shared" ca="1" si="521"/>
        <v>632.01349999999991</v>
      </c>
      <c r="Z1347">
        <f t="shared" ca="1" si="522"/>
        <v>2593.0905316486619</v>
      </c>
      <c r="AA1347">
        <f t="shared" ca="1" si="523"/>
        <v>482.07306851378365</v>
      </c>
      <c r="AB1347">
        <f t="shared" ca="1" si="524"/>
        <v>482.25887083179077</v>
      </c>
      <c r="AC1347">
        <f t="shared" ca="1" si="525"/>
        <v>0</v>
      </c>
      <c r="AD1347">
        <f ca="1">IF(V32="Supercritical",L1347,U1347)</f>
        <v>0.05</v>
      </c>
      <c r="AE1347">
        <f t="shared" ca="1" si="526"/>
        <v>632.01349999999991</v>
      </c>
      <c r="AF1347">
        <f t="shared" ca="1" si="527"/>
        <v>2593.0905316486619</v>
      </c>
      <c r="AI1347">
        <v>0</v>
      </c>
      <c r="AJ1347">
        <v>0</v>
      </c>
      <c r="AK1347">
        <f t="shared" si="528"/>
        <v>0</v>
      </c>
      <c r="AL1347">
        <f t="shared" si="536"/>
        <v>0</v>
      </c>
      <c r="AM1347">
        <f t="shared" ca="1" si="529"/>
        <v>280.07692026646265</v>
      </c>
      <c r="AN1347" t="str">
        <f t="shared" ca="1" si="530"/>
        <v>Supercritical</v>
      </c>
      <c r="AO1347">
        <f ca="1">IF(V32="Supercritical",R1347,AA1347)</f>
        <v>482.07306851378365</v>
      </c>
    </row>
    <row r="1348" spans="1:41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174</v>
      </c>
      <c r="I1348">
        <v>5.7000000000000002E-2</v>
      </c>
      <c r="J1348">
        <f t="shared" si="531"/>
        <v>1</v>
      </c>
      <c r="K1348">
        <f t="shared" si="532"/>
        <v>51</v>
      </c>
      <c r="L1348">
        <f t="shared" ca="1" si="533"/>
        <v>38818.051231278128</v>
      </c>
      <c r="M1348">
        <f t="shared" ca="1" si="511"/>
        <v>201853.86640264626</v>
      </c>
      <c r="N1348">
        <f t="shared" ca="1" si="512"/>
        <v>2.5998258658784543</v>
      </c>
      <c r="O1348">
        <f t="shared" ca="1" si="513"/>
        <v>2.5265802884482871E-4</v>
      </c>
      <c r="P1348">
        <f t="shared" ca="1" si="514"/>
        <v>39450.014231278132</v>
      </c>
      <c r="Q1348">
        <f t="shared" ca="1" si="515"/>
        <v>39450.014231281384</v>
      </c>
      <c r="R1348">
        <f t="shared" ca="1" si="516"/>
        <v>4.0178129257556468E-12</v>
      </c>
      <c r="S1348">
        <f t="shared" ca="1" si="534"/>
        <v>4.9999998736893758E-4</v>
      </c>
      <c r="T1348">
        <f t="shared" ca="1" si="535"/>
        <v>1</v>
      </c>
      <c r="U1348">
        <f t="shared" ca="1" si="517"/>
        <v>0.05</v>
      </c>
      <c r="V1348">
        <f t="shared" ca="1" si="518"/>
        <v>0.26</v>
      </c>
      <c r="W1348">
        <f t="shared" ca="1" si="519"/>
        <v>4.9056603773584909E-2</v>
      </c>
      <c r="X1348">
        <f t="shared" ca="1" si="520"/>
        <v>196.15384615384616</v>
      </c>
      <c r="Y1348">
        <f t="shared" ca="1" si="521"/>
        <v>632.01299999999992</v>
      </c>
      <c r="Z1348">
        <f t="shared" ca="1" si="522"/>
        <v>2593.0900316486623</v>
      </c>
      <c r="AA1348">
        <f t="shared" ca="1" si="523"/>
        <v>482.07306851378365</v>
      </c>
      <c r="AB1348">
        <f t="shared" ca="1" si="524"/>
        <v>482.26867621694828</v>
      </c>
      <c r="AC1348">
        <f t="shared" ca="1" si="525"/>
        <v>0</v>
      </c>
      <c r="AD1348">
        <f ca="1">IF(V32="Supercritical",L1348,U1348)</f>
        <v>0.05</v>
      </c>
      <c r="AE1348">
        <f t="shared" ca="1" si="526"/>
        <v>632.01299999999992</v>
      </c>
      <c r="AF1348">
        <f t="shared" ca="1" si="527"/>
        <v>2593.0900316486623</v>
      </c>
      <c r="AI1348">
        <v>0</v>
      </c>
      <c r="AJ1348">
        <v>0</v>
      </c>
      <c r="AK1348">
        <f t="shared" si="528"/>
        <v>0</v>
      </c>
      <c r="AL1348">
        <f t="shared" si="536"/>
        <v>0</v>
      </c>
      <c r="AM1348">
        <f t="shared" ca="1" si="529"/>
        <v>280.07692026646265</v>
      </c>
      <c r="AN1348" t="str">
        <f t="shared" ca="1" si="530"/>
        <v>Supercritical</v>
      </c>
      <c r="AO1348">
        <f ca="1">IF(V32="Supercritical",R1348,AA1348)</f>
        <v>482.07306851378365</v>
      </c>
    </row>
    <row r="1349" spans="1:41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174</v>
      </c>
      <c r="I1349">
        <v>0.06</v>
      </c>
      <c r="J1349">
        <f t="shared" si="531"/>
        <v>1</v>
      </c>
      <c r="K1349">
        <f t="shared" si="532"/>
        <v>51</v>
      </c>
      <c r="L1349">
        <f t="shared" ca="1" si="533"/>
        <v>38818.051231278128</v>
      </c>
      <c r="M1349">
        <f t="shared" ca="1" si="511"/>
        <v>201853.86640264626</v>
      </c>
      <c r="N1349">
        <f t="shared" ca="1" si="512"/>
        <v>2.5998258658784543</v>
      </c>
      <c r="O1349">
        <f t="shared" ca="1" si="513"/>
        <v>2.5265802884482871E-4</v>
      </c>
      <c r="P1349">
        <f t="shared" ca="1" si="514"/>
        <v>39450.01373127813</v>
      </c>
      <c r="Q1349">
        <f t="shared" ca="1" si="515"/>
        <v>39450.013731281382</v>
      </c>
      <c r="R1349">
        <f t="shared" ca="1" si="516"/>
        <v>4.0178129257556468E-12</v>
      </c>
      <c r="S1349">
        <f t="shared" ca="1" si="534"/>
        <v>4.999999946448952E-4</v>
      </c>
      <c r="T1349">
        <f t="shared" ca="1" si="535"/>
        <v>1</v>
      </c>
      <c r="U1349">
        <f t="shared" ca="1" si="517"/>
        <v>0.05</v>
      </c>
      <c r="V1349">
        <f t="shared" ca="1" si="518"/>
        <v>0.26</v>
      </c>
      <c r="W1349">
        <f t="shared" ca="1" si="519"/>
        <v>4.9056603773584909E-2</v>
      </c>
      <c r="X1349">
        <f t="shared" ca="1" si="520"/>
        <v>196.15384615384616</v>
      </c>
      <c r="Y1349">
        <f t="shared" ca="1" si="521"/>
        <v>632.01249999999993</v>
      </c>
      <c r="Z1349">
        <f t="shared" ca="1" si="522"/>
        <v>2593.0895316486622</v>
      </c>
      <c r="AA1349">
        <f t="shared" ca="1" si="523"/>
        <v>482.07306851378365</v>
      </c>
      <c r="AB1349">
        <f t="shared" ca="1" si="524"/>
        <v>482.5611785058345</v>
      </c>
      <c r="AC1349">
        <f t="shared" ca="1" si="525"/>
        <v>0</v>
      </c>
      <c r="AD1349">
        <f ca="1">IF(V32="Supercritical",L1349,U1349)</f>
        <v>0.05</v>
      </c>
      <c r="AE1349">
        <f t="shared" ca="1" si="526"/>
        <v>632.01249999999993</v>
      </c>
      <c r="AF1349">
        <f t="shared" ca="1" si="527"/>
        <v>2593.0895316486622</v>
      </c>
      <c r="AI1349">
        <v>0</v>
      </c>
      <c r="AJ1349">
        <v>0</v>
      </c>
      <c r="AK1349">
        <f t="shared" si="528"/>
        <v>0</v>
      </c>
      <c r="AL1349">
        <f t="shared" si="536"/>
        <v>0</v>
      </c>
      <c r="AM1349">
        <f t="shared" ca="1" si="529"/>
        <v>280.07692026646265</v>
      </c>
      <c r="AN1349" t="str">
        <f t="shared" ca="1" si="530"/>
        <v>Supercritical</v>
      </c>
      <c r="AO1349">
        <f ca="1">IF(V32="Supercritical",R1349,AA1349)</f>
        <v>482.07306851378365</v>
      </c>
    </row>
    <row r="1350" spans="1:41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174</v>
      </c>
      <c r="I1350">
        <v>2E-3</v>
      </c>
      <c r="J1350">
        <f t="shared" si="531"/>
        <v>1.0010000000002037</v>
      </c>
      <c r="K1350">
        <f t="shared" si="532"/>
        <v>51</v>
      </c>
      <c r="L1350">
        <f t="shared" ca="1" si="533"/>
        <v>38818.051231278128</v>
      </c>
      <c r="M1350">
        <f t="shared" ca="1" si="511"/>
        <v>201853.86640264626</v>
      </c>
      <c r="N1350">
        <f t="shared" ca="1" si="512"/>
        <v>2.5998258658784543</v>
      </c>
      <c r="O1350">
        <f t="shared" ca="1" si="513"/>
        <v>2.5265802884482871E-4</v>
      </c>
      <c r="P1350">
        <f t="shared" ca="1" si="514"/>
        <v>39450.013231278128</v>
      </c>
      <c r="Q1350">
        <f t="shared" ca="1" si="515"/>
        <v>39450.01323128138</v>
      </c>
      <c r="R1350">
        <f t="shared" ca="1" si="516"/>
        <v>4.0178129257556468E-12</v>
      </c>
      <c r="S1350">
        <f t="shared" ca="1" si="534"/>
        <v>4.999999946448952E-4</v>
      </c>
      <c r="T1350">
        <f t="shared" ca="1" si="535"/>
        <v>1</v>
      </c>
      <c r="U1350">
        <f t="shared" ca="1" si="517"/>
        <v>0.05</v>
      </c>
      <c r="V1350">
        <f t="shared" ca="1" si="518"/>
        <v>0.26</v>
      </c>
      <c r="W1350">
        <f t="shared" ca="1" si="519"/>
        <v>4.9056603773584909E-2</v>
      </c>
      <c r="X1350">
        <f t="shared" ca="1" si="520"/>
        <v>196.15384615384616</v>
      </c>
      <c r="Y1350">
        <f t="shared" ca="1" si="521"/>
        <v>632.01199999999994</v>
      </c>
      <c r="Z1350">
        <f t="shared" ca="1" si="522"/>
        <v>2593.0890316486621</v>
      </c>
      <c r="AA1350">
        <f t="shared" ca="1" si="523"/>
        <v>482.07306851378365</v>
      </c>
      <c r="AB1350">
        <f t="shared" ca="1" si="524"/>
        <v>482.07256851378361</v>
      </c>
      <c r="AC1350">
        <f t="shared" ca="1" si="525"/>
        <v>0</v>
      </c>
      <c r="AD1350">
        <f ca="1">IF(V32="Supercritical",L1350,U1350)</f>
        <v>0.05</v>
      </c>
      <c r="AE1350">
        <f t="shared" ca="1" si="526"/>
        <v>632.01199999999994</v>
      </c>
      <c r="AF1350">
        <f t="shared" ca="1" si="527"/>
        <v>2593.0890316486621</v>
      </c>
      <c r="AI1350">
        <v>0</v>
      </c>
      <c r="AJ1350">
        <v>0</v>
      </c>
      <c r="AK1350">
        <f t="shared" si="528"/>
        <v>0</v>
      </c>
      <c r="AL1350">
        <f t="shared" si="536"/>
        <v>0</v>
      </c>
      <c r="AM1350">
        <f t="shared" ca="1" si="529"/>
        <v>280.07692026646265</v>
      </c>
      <c r="AN1350" t="str">
        <f t="shared" ca="1" si="530"/>
        <v>Supercritical</v>
      </c>
      <c r="AO1350">
        <f ca="1">IF(V32="Supercritical",R1350,AA1350)</f>
        <v>482.07306851378365</v>
      </c>
    </row>
    <row r="1351" spans="1:41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174</v>
      </c>
      <c r="I1351">
        <v>0</v>
      </c>
      <c r="J1351">
        <f t="shared" si="531"/>
        <v>1</v>
      </c>
      <c r="K1351">
        <f t="shared" si="532"/>
        <v>51</v>
      </c>
      <c r="L1351">
        <f t="shared" ca="1" si="533"/>
        <v>38818.051231278128</v>
      </c>
      <c r="M1351">
        <f t="shared" ca="1" si="511"/>
        <v>201853.86640264626</v>
      </c>
      <c r="N1351">
        <f t="shared" ca="1" si="512"/>
        <v>2.5998258658784543</v>
      </c>
      <c r="O1351">
        <f t="shared" ca="1" si="513"/>
        <v>2.5265802884482871E-4</v>
      </c>
      <c r="P1351">
        <f t="shared" ca="1" si="514"/>
        <v>39450.012731278126</v>
      </c>
      <c r="Q1351">
        <f t="shared" ca="1" si="515"/>
        <v>39450.012731281378</v>
      </c>
      <c r="R1351">
        <f t="shared" ca="1" si="516"/>
        <v>4.0178129257556468E-12</v>
      </c>
      <c r="S1351">
        <f t="shared" ca="1" si="534"/>
        <v>4.999999946448952E-4</v>
      </c>
      <c r="T1351">
        <f t="shared" ca="1" si="535"/>
        <v>1</v>
      </c>
      <c r="U1351">
        <f t="shared" ca="1" si="517"/>
        <v>0.05</v>
      </c>
      <c r="V1351">
        <f t="shared" ca="1" si="518"/>
        <v>0.26</v>
      </c>
      <c r="W1351">
        <f t="shared" ca="1" si="519"/>
        <v>4.9056603773584909E-2</v>
      </c>
      <c r="X1351">
        <f t="shared" ca="1" si="520"/>
        <v>196.15384615384616</v>
      </c>
      <c r="Y1351">
        <f t="shared" ca="1" si="521"/>
        <v>632.01149999999996</v>
      </c>
      <c r="Z1351">
        <f t="shared" ca="1" si="522"/>
        <v>2593.088531648662</v>
      </c>
      <c r="AA1351">
        <f t="shared" ca="1" si="523"/>
        <v>482.07306851378365</v>
      </c>
      <c r="AB1351">
        <f t="shared" ca="1" si="524"/>
        <v>481.77679776317837</v>
      </c>
      <c r="AC1351">
        <f t="shared" ca="1" si="525"/>
        <v>0</v>
      </c>
      <c r="AD1351">
        <f ca="1">IF(V32="Supercritical",L1351,U1351)</f>
        <v>0.05</v>
      </c>
      <c r="AE1351">
        <f t="shared" ca="1" si="526"/>
        <v>632.01149999999996</v>
      </c>
      <c r="AF1351">
        <f t="shared" ca="1" si="527"/>
        <v>2593.088531648662</v>
      </c>
      <c r="AI1351">
        <v>0</v>
      </c>
      <c r="AJ1351">
        <v>0</v>
      </c>
      <c r="AK1351">
        <f t="shared" si="528"/>
        <v>0</v>
      </c>
      <c r="AL1351">
        <f t="shared" si="536"/>
        <v>0</v>
      </c>
      <c r="AM1351">
        <f t="shared" ca="1" si="529"/>
        <v>280.07692026646265</v>
      </c>
      <c r="AN1351" t="str">
        <f t="shared" ca="1" si="530"/>
        <v>Supercritical</v>
      </c>
      <c r="AO1351">
        <f ca="1">IF(V32="Supercritical",R1351,AA1351)</f>
        <v>482.07306851378365</v>
      </c>
    </row>
    <row r="1352" spans="1:41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174</v>
      </c>
      <c r="I1352">
        <v>5.7000000000000002E-2</v>
      </c>
      <c r="J1352">
        <f t="shared" si="531"/>
        <v>0.99899999999979627</v>
      </c>
      <c r="K1352">
        <f t="shared" si="532"/>
        <v>51</v>
      </c>
      <c r="L1352">
        <f t="shared" ca="1" si="533"/>
        <v>38818.051231278128</v>
      </c>
      <c r="M1352">
        <f t="shared" ca="1" si="511"/>
        <v>201853.86640264626</v>
      </c>
      <c r="N1352">
        <f t="shared" ca="1" si="512"/>
        <v>2.5998258658784543</v>
      </c>
      <c r="O1352">
        <f t="shared" ca="1" si="513"/>
        <v>2.5265802884482871E-4</v>
      </c>
      <c r="P1352">
        <f t="shared" ca="1" si="514"/>
        <v>39450.012231278131</v>
      </c>
      <c r="Q1352">
        <f t="shared" ca="1" si="515"/>
        <v>39450.012231281384</v>
      </c>
      <c r="R1352">
        <f t="shared" ca="1" si="516"/>
        <v>4.0178129257556468E-12</v>
      </c>
      <c r="S1352">
        <f t="shared" ca="1" si="534"/>
        <v>4.9999998736893758E-4</v>
      </c>
      <c r="T1352">
        <f t="shared" ca="1" si="535"/>
        <v>1</v>
      </c>
      <c r="U1352">
        <f t="shared" ca="1" si="517"/>
        <v>0.05</v>
      </c>
      <c r="V1352">
        <f t="shared" ca="1" si="518"/>
        <v>0.26</v>
      </c>
      <c r="W1352">
        <f t="shared" ca="1" si="519"/>
        <v>4.9056603773584909E-2</v>
      </c>
      <c r="X1352">
        <f t="shared" ca="1" si="520"/>
        <v>196.15384615384616</v>
      </c>
      <c r="Y1352">
        <f t="shared" ca="1" si="521"/>
        <v>632.01099999999997</v>
      </c>
      <c r="Z1352">
        <f t="shared" ca="1" si="522"/>
        <v>2593.0880316486619</v>
      </c>
      <c r="AA1352">
        <f t="shared" ca="1" si="523"/>
        <v>482.07306851378365</v>
      </c>
      <c r="AB1352">
        <f t="shared" ca="1" si="524"/>
        <v>482.25887083179077</v>
      </c>
      <c r="AC1352">
        <f t="shared" ca="1" si="525"/>
        <v>0</v>
      </c>
      <c r="AD1352">
        <f ca="1">IF(V32="Supercritical",L1352,U1352)</f>
        <v>0.05</v>
      </c>
      <c r="AE1352">
        <f t="shared" ca="1" si="526"/>
        <v>632.01099999999997</v>
      </c>
      <c r="AF1352">
        <f t="shared" ca="1" si="527"/>
        <v>2593.0880316486619</v>
      </c>
      <c r="AI1352">
        <v>0</v>
      </c>
      <c r="AJ1352">
        <v>0</v>
      </c>
      <c r="AK1352">
        <f t="shared" si="528"/>
        <v>0</v>
      </c>
      <c r="AL1352">
        <f t="shared" si="536"/>
        <v>0</v>
      </c>
      <c r="AM1352">
        <f t="shared" ca="1" si="529"/>
        <v>280.07692026646265</v>
      </c>
      <c r="AN1352" t="str">
        <f t="shared" ca="1" si="530"/>
        <v>Supercritical</v>
      </c>
      <c r="AO1352">
        <f ca="1">IF(V32="Supercritical",R1352,AA1352)</f>
        <v>482.07306851378365</v>
      </c>
    </row>
    <row r="1353" spans="1:41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174</v>
      </c>
      <c r="I1353">
        <v>5.7000000000000002E-2</v>
      </c>
      <c r="J1353">
        <f t="shared" si="531"/>
        <v>1</v>
      </c>
      <c r="K1353">
        <f t="shared" si="532"/>
        <v>51</v>
      </c>
      <c r="L1353">
        <f t="shared" ca="1" si="533"/>
        <v>38818.051231278128</v>
      </c>
      <c r="M1353">
        <f t="shared" ca="1" si="511"/>
        <v>201853.86640264626</v>
      </c>
      <c r="N1353">
        <f t="shared" ca="1" si="512"/>
        <v>2.5998258658784543</v>
      </c>
      <c r="O1353">
        <f t="shared" ca="1" si="513"/>
        <v>2.5265802884482871E-4</v>
      </c>
      <c r="P1353">
        <f t="shared" ca="1" si="514"/>
        <v>39450.011731278129</v>
      </c>
      <c r="Q1353">
        <f t="shared" ca="1" si="515"/>
        <v>39450.011731281382</v>
      </c>
      <c r="R1353">
        <f t="shared" ca="1" si="516"/>
        <v>4.0178129257556468E-12</v>
      </c>
      <c r="S1353">
        <f t="shared" ca="1" si="534"/>
        <v>4.999999946448952E-4</v>
      </c>
      <c r="T1353">
        <f t="shared" ca="1" si="535"/>
        <v>1</v>
      </c>
      <c r="U1353">
        <f t="shared" ca="1" si="517"/>
        <v>0.05</v>
      </c>
      <c r="V1353">
        <f t="shared" ca="1" si="518"/>
        <v>0.26</v>
      </c>
      <c r="W1353">
        <f t="shared" ca="1" si="519"/>
        <v>4.9056603773584909E-2</v>
      </c>
      <c r="X1353">
        <f t="shared" ca="1" si="520"/>
        <v>196.15384615384616</v>
      </c>
      <c r="Y1353">
        <f t="shared" ca="1" si="521"/>
        <v>632.01049999999998</v>
      </c>
      <c r="Z1353">
        <f t="shared" ca="1" si="522"/>
        <v>2593.0875316486622</v>
      </c>
      <c r="AA1353">
        <f t="shared" ca="1" si="523"/>
        <v>482.07306851378365</v>
      </c>
      <c r="AB1353">
        <f t="shared" ca="1" si="524"/>
        <v>482.07256851378361</v>
      </c>
      <c r="AC1353">
        <f t="shared" ca="1" si="525"/>
        <v>0</v>
      </c>
      <c r="AD1353">
        <f ca="1">IF(V32="Supercritical",L1353,U1353)</f>
        <v>0.05</v>
      </c>
      <c r="AE1353">
        <f t="shared" ca="1" si="526"/>
        <v>632.01049999999998</v>
      </c>
      <c r="AF1353">
        <f t="shared" ca="1" si="527"/>
        <v>2593.0875316486622</v>
      </c>
      <c r="AI1353">
        <v>0</v>
      </c>
      <c r="AJ1353">
        <v>0</v>
      </c>
      <c r="AK1353">
        <f t="shared" si="528"/>
        <v>0</v>
      </c>
      <c r="AL1353">
        <f t="shared" si="536"/>
        <v>0</v>
      </c>
      <c r="AM1353">
        <f t="shared" ca="1" si="529"/>
        <v>280.07692026646265</v>
      </c>
      <c r="AN1353" t="str">
        <f t="shared" ca="1" si="530"/>
        <v>Supercritical</v>
      </c>
      <c r="AO1353">
        <f ca="1">IF(V32="Supercritical",R1353,AA1353)</f>
        <v>482.07306851378365</v>
      </c>
    </row>
    <row r="1354" spans="1:41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174</v>
      </c>
      <c r="I1354">
        <v>0</v>
      </c>
      <c r="J1354">
        <f t="shared" si="531"/>
        <v>1</v>
      </c>
      <c r="K1354">
        <f t="shared" si="532"/>
        <v>51</v>
      </c>
      <c r="L1354">
        <f t="shared" ca="1" si="533"/>
        <v>38818.051231278128</v>
      </c>
      <c r="M1354">
        <f t="shared" ca="1" si="511"/>
        <v>201853.86640264626</v>
      </c>
      <c r="N1354">
        <f t="shared" ca="1" si="512"/>
        <v>2.5998258658784543</v>
      </c>
      <c r="O1354">
        <f t="shared" ca="1" si="513"/>
        <v>2.5265802884482871E-4</v>
      </c>
      <c r="P1354">
        <f t="shared" ca="1" si="514"/>
        <v>39450.011231278128</v>
      </c>
      <c r="Q1354">
        <f t="shared" ca="1" si="515"/>
        <v>39450.01123128138</v>
      </c>
      <c r="R1354">
        <f t="shared" ca="1" si="516"/>
        <v>4.0178129257556468E-12</v>
      </c>
      <c r="S1354">
        <f t="shared" ca="1" si="534"/>
        <v>4.999999946448952E-4</v>
      </c>
      <c r="T1354">
        <f t="shared" ca="1" si="535"/>
        <v>1</v>
      </c>
      <c r="U1354">
        <f t="shared" ca="1" si="517"/>
        <v>0.05</v>
      </c>
      <c r="V1354">
        <f t="shared" ca="1" si="518"/>
        <v>0.26</v>
      </c>
      <c r="W1354">
        <f t="shared" ca="1" si="519"/>
        <v>4.9056603773584909E-2</v>
      </c>
      <c r="X1354">
        <f t="shared" ca="1" si="520"/>
        <v>196.15384615384616</v>
      </c>
      <c r="Y1354">
        <f t="shared" ca="1" si="521"/>
        <v>632.01</v>
      </c>
      <c r="Z1354">
        <f t="shared" ca="1" si="522"/>
        <v>2593.0870316486621</v>
      </c>
      <c r="AA1354">
        <f t="shared" ca="1" si="523"/>
        <v>482.07306851378365</v>
      </c>
      <c r="AB1354">
        <f t="shared" ca="1" si="524"/>
        <v>482.07256851378361</v>
      </c>
      <c r="AC1354">
        <f t="shared" ca="1" si="525"/>
        <v>0</v>
      </c>
      <c r="AD1354">
        <f ca="1">IF(V32="Supercritical",L1354,U1354)</f>
        <v>0.05</v>
      </c>
      <c r="AE1354">
        <f t="shared" ca="1" si="526"/>
        <v>632.01</v>
      </c>
      <c r="AF1354">
        <f t="shared" ca="1" si="527"/>
        <v>2593.0870316486621</v>
      </c>
      <c r="AI1354">
        <v>0</v>
      </c>
      <c r="AJ1354">
        <v>0</v>
      </c>
      <c r="AK1354">
        <f t="shared" si="528"/>
        <v>0</v>
      </c>
      <c r="AL1354">
        <f t="shared" si="536"/>
        <v>0</v>
      </c>
      <c r="AM1354">
        <f t="shared" ca="1" si="529"/>
        <v>280.07692026646265</v>
      </c>
      <c r="AN1354" t="str">
        <f t="shared" ca="1" si="530"/>
        <v>Supercritical</v>
      </c>
      <c r="AO1354">
        <f ca="1">IF(V32="Supercritical",R1354,AA1354)</f>
        <v>482.07306851378365</v>
      </c>
    </row>
    <row r="1355" spans="1:41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174</v>
      </c>
      <c r="I1355">
        <v>0</v>
      </c>
      <c r="J1355">
        <f t="shared" si="531"/>
        <v>1</v>
      </c>
      <c r="K1355">
        <f t="shared" si="532"/>
        <v>51</v>
      </c>
      <c r="L1355">
        <f t="shared" ca="1" si="533"/>
        <v>38818.051231278128</v>
      </c>
      <c r="M1355">
        <f t="shared" ca="1" si="511"/>
        <v>201853.86640264626</v>
      </c>
      <c r="N1355">
        <f t="shared" ca="1" si="512"/>
        <v>2.5998258658784543</v>
      </c>
      <c r="O1355">
        <f t="shared" ca="1" si="513"/>
        <v>2.5265802884482871E-4</v>
      </c>
      <c r="P1355">
        <f t="shared" ca="1" si="514"/>
        <v>39450.010731278126</v>
      </c>
      <c r="Q1355">
        <f t="shared" ca="1" si="515"/>
        <v>39450.010731281378</v>
      </c>
      <c r="R1355">
        <f t="shared" ca="1" si="516"/>
        <v>4.0178129257556468E-12</v>
      </c>
      <c r="S1355">
        <f t="shared" ca="1" si="534"/>
        <v>4.999999946448952E-4</v>
      </c>
      <c r="T1355">
        <f t="shared" ca="1" si="535"/>
        <v>1</v>
      </c>
      <c r="U1355">
        <f t="shared" ca="1" si="517"/>
        <v>0.05</v>
      </c>
      <c r="V1355">
        <f t="shared" ca="1" si="518"/>
        <v>0.26</v>
      </c>
      <c r="W1355">
        <f t="shared" ca="1" si="519"/>
        <v>4.9056603773584909E-2</v>
      </c>
      <c r="X1355">
        <f t="shared" ca="1" si="520"/>
        <v>196.15384615384616</v>
      </c>
      <c r="Y1355">
        <f t="shared" ca="1" si="521"/>
        <v>632.0095</v>
      </c>
      <c r="Z1355">
        <f t="shared" ca="1" si="522"/>
        <v>2593.086531648662</v>
      </c>
      <c r="AA1355">
        <f t="shared" ca="1" si="523"/>
        <v>482.07306851378365</v>
      </c>
      <c r="AB1355">
        <f t="shared" ca="1" si="524"/>
        <v>482.25887083179032</v>
      </c>
      <c r="AC1355">
        <f t="shared" ca="1" si="525"/>
        <v>0</v>
      </c>
      <c r="AD1355">
        <f ca="1">IF(V32="Supercritical",L1355,U1355)</f>
        <v>0.05</v>
      </c>
      <c r="AE1355">
        <f t="shared" ca="1" si="526"/>
        <v>632.0095</v>
      </c>
      <c r="AF1355">
        <f t="shared" ca="1" si="527"/>
        <v>2593.086531648662</v>
      </c>
      <c r="AI1355">
        <v>0</v>
      </c>
      <c r="AJ1355">
        <v>0</v>
      </c>
      <c r="AK1355">
        <f t="shared" si="528"/>
        <v>0</v>
      </c>
      <c r="AL1355">
        <f t="shared" si="536"/>
        <v>0</v>
      </c>
      <c r="AM1355">
        <f t="shared" ca="1" si="529"/>
        <v>280.07692026646265</v>
      </c>
      <c r="AN1355" t="str">
        <f t="shared" ca="1" si="530"/>
        <v>Supercritical</v>
      </c>
      <c r="AO1355">
        <f ca="1">IF(V32="Supercritical",R1355,AA1355)</f>
        <v>482.07306851378365</v>
      </c>
    </row>
    <row r="1356" spans="1:41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174</v>
      </c>
      <c r="I1356">
        <v>5.7000000000000002E-2</v>
      </c>
      <c r="J1356">
        <f t="shared" si="531"/>
        <v>1</v>
      </c>
      <c r="K1356">
        <f t="shared" si="532"/>
        <v>51</v>
      </c>
      <c r="L1356">
        <f t="shared" ca="1" si="533"/>
        <v>38818.051231278128</v>
      </c>
      <c r="M1356">
        <f t="shared" ca="1" si="511"/>
        <v>201853.86640264626</v>
      </c>
      <c r="N1356">
        <f t="shared" ca="1" si="512"/>
        <v>2.5998258658784543</v>
      </c>
      <c r="O1356">
        <f t="shared" ca="1" si="513"/>
        <v>2.5265802884482871E-4</v>
      </c>
      <c r="P1356">
        <f t="shared" ca="1" si="514"/>
        <v>39450.010231278131</v>
      </c>
      <c r="Q1356">
        <f t="shared" ca="1" si="515"/>
        <v>39450.010231281383</v>
      </c>
      <c r="R1356">
        <f t="shared" ca="1" si="516"/>
        <v>4.0178129257556468E-12</v>
      </c>
      <c r="S1356">
        <f t="shared" ca="1" si="534"/>
        <v>4.9999998736893758E-4</v>
      </c>
      <c r="T1356">
        <f t="shared" ca="1" si="535"/>
        <v>1</v>
      </c>
      <c r="U1356">
        <f t="shared" ca="1" si="517"/>
        <v>0.05</v>
      </c>
      <c r="V1356">
        <f t="shared" ca="1" si="518"/>
        <v>0.26</v>
      </c>
      <c r="W1356">
        <f t="shared" ca="1" si="519"/>
        <v>4.9056603773584909E-2</v>
      </c>
      <c r="X1356">
        <f t="shared" ca="1" si="520"/>
        <v>196.15384615384616</v>
      </c>
      <c r="Y1356">
        <f t="shared" ca="1" si="521"/>
        <v>632.0089999999999</v>
      </c>
      <c r="Z1356">
        <f t="shared" ca="1" si="522"/>
        <v>2593.0860316486619</v>
      </c>
      <c r="AA1356">
        <f t="shared" ca="1" si="523"/>
        <v>482.07306851378365</v>
      </c>
      <c r="AB1356">
        <f t="shared" ca="1" si="524"/>
        <v>482.25887083179077</v>
      </c>
      <c r="AC1356">
        <f t="shared" ca="1" si="525"/>
        <v>0</v>
      </c>
      <c r="AD1356">
        <f ca="1">IF(V32="Supercritical",L1356,U1356)</f>
        <v>0.05</v>
      </c>
      <c r="AE1356">
        <f t="shared" ca="1" si="526"/>
        <v>632.0089999999999</v>
      </c>
      <c r="AF1356">
        <f t="shared" ca="1" si="527"/>
        <v>2593.0860316486619</v>
      </c>
      <c r="AI1356">
        <v>0</v>
      </c>
      <c r="AJ1356">
        <v>0</v>
      </c>
      <c r="AK1356">
        <f t="shared" si="528"/>
        <v>0</v>
      </c>
      <c r="AL1356">
        <f t="shared" si="536"/>
        <v>0</v>
      </c>
      <c r="AM1356">
        <f t="shared" ca="1" si="529"/>
        <v>280.07692026646265</v>
      </c>
      <c r="AN1356" t="str">
        <f t="shared" ca="1" si="530"/>
        <v>Supercritical</v>
      </c>
      <c r="AO1356">
        <f ca="1">IF(V32="Supercritical",R1356,AA1356)</f>
        <v>482.07306851378365</v>
      </c>
    </row>
    <row r="1357" spans="1:41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174</v>
      </c>
      <c r="I1357">
        <v>5.7000000000000002E-2</v>
      </c>
      <c r="J1357">
        <f t="shared" si="531"/>
        <v>1</v>
      </c>
      <c r="K1357">
        <f t="shared" si="532"/>
        <v>51</v>
      </c>
      <c r="L1357">
        <f t="shared" ca="1" si="533"/>
        <v>38818.051231278128</v>
      </c>
      <c r="M1357">
        <f t="shared" ca="1" si="511"/>
        <v>201853.86640264626</v>
      </c>
      <c r="N1357">
        <f t="shared" ca="1" si="512"/>
        <v>2.5998258658784543</v>
      </c>
      <c r="O1357">
        <f t="shared" ca="1" si="513"/>
        <v>2.5265802884482871E-4</v>
      </c>
      <c r="P1357">
        <f t="shared" ca="1" si="514"/>
        <v>39450.009731278129</v>
      </c>
      <c r="Q1357">
        <f t="shared" ca="1" si="515"/>
        <v>39450.009731281381</v>
      </c>
      <c r="R1357">
        <f t="shared" ca="1" si="516"/>
        <v>4.0178129257556468E-12</v>
      </c>
      <c r="S1357">
        <f t="shared" ca="1" si="534"/>
        <v>4.999999946448952E-4</v>
      </c>
      <c r="T1357">
        <f t="shared" ca="1" si="535"/>
        <v>1</v>
      </c>
      <c r="U1357">
        <f t="shared" ca="1" si="517"/>
        <v>0.05</v>
      </c>
      <c r="V1357">
        <f t="shared" ca="1" si="518"/>
        <v>0.26</v>
      </c>
      <c r="W1357">
        <f t="shared" ca="1" si="519"/>
        <v>4.9056603773584909E-2</v>
      </c>
      <c r="X1357">
        <f t="shared" ca="1" si="520"/>
        <v>196.15384615384616</v>
      </c>
      <c r="Y1357">
        <f t="shared" ca="1" si="521"/>
        <v>632.00849999999991</v>
      </c>
      <c r="Z1357">
        <f t="shared" ca="1" si="522"/>
        <v>2593.0855316486623</v>
      </c>
      <c r="AA1357">
        <f t="shared" ca="1" si="523"/>
        <v>482.07306851378365</v>
      </c>
      <c r="AB1357">
        <f t="shared" ca="1" si="524"/>
        <v>482.07910543722255</v>
      </c>
      <c r="AC1357">
        <f t="shared" ca="1" si="525"/>
        <v>0</v>
      </c>
      <c r="AD1357">
        <f ca="1">IF(V32="Supercritical",L1357,U1357)</f>
        <v>0.05</v>
      </c>
      <c r="AE1357">
        <f t="shared" ca="1" si="526"/>
        <v>632.00849999999991</v>
      </c>
      <c r="AF1357">
        <f t="shared" ca="1" si="527"/>
        <v>2593.0855316486623</v>
      </c>
      <c r="AI1357">
        <v>0</v>
      </c>
      <c r="AJ1357">
        <v>0</v>
      </c>
      <c r="AK1357">
        <f t="shared" si="528"/>
        <v>0</v>
      </c>
      <c r="AL1357">
        <f t="shared" si="536"/>
        <v>0</v>
      </c>
      <c r="AM1357">
        <f t="shared" ca="1" si="529"/>
        <v>280.07692026646265</v>
      </c>
      <c r="AN1357" t="str">
        <f t="shared" ca="1" si="530"/>
        <v>Supercritical</v>
      </c>
      <c r="AO1357">
        <f ca="1">IF(V32="Supercritical",R1357,AA1357)</f>
        <v>482.07306851378365</v>
      </c>
    </row>
    <row r="1358" spans="1:41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174</v>
      </c>
      <c r="I1358">
        <v>2E-3</v>
      </c>
      <c r="J1358">
        <f t="shared" si="531"/>
        <v>1</v>
      </c>
      <c r="K1358">
        <f t="shared" si="532"/>
        <v>51</v>
      </c>
      <c r="L1358">
        <f t="shared" ca="1" si="533"/>
        <v>38818.051231278128</v>
      </c>
      <c r="M1358">
        <f t="shared" ca="1" si="511"/>
        <v>201853.86640264626</v>
      </c>
      <c r="N1358">
        <f t="shared" ca="1" si="512"/>
        <v>2.5998258658784543</v>
      </c>
      <c r="O1358">
        <f t="shared" ca="1" si="513"/>
        <v>2.5265802884482871E-4</v>
      </c>
      <c r="P1358">
        <f t="shared" ca="1" si="514"/>
        <v>39450.009231278127</v>
      </c>
      <c r="Q1358">
        <f t="shared" ca="1" si="515"/>
        <v>39450.009231281379</v>
      </c>
      <c r="R1358">
        <f t="shared" ca="1" si="516"/>
        <v>4.0178129257556468E-12</v>
      </c>
      <c r="S1358">
        <f t="shared" ca="1" si="534"/>
        <v>4.999999946448952E-4</v>
      </c>
      <c r="T1358">
        <f t="shared" ca="1" si="535"/>
        <v>1</v>
      </c>
      <c r="U1358">
        <f t="shared" ca="1" si="517"/>
        <v>0.05</v>
      </c>
      <c r="V1358">
        <f t="shared" ca="1" si="518"/>
        <v>0.26</v>
      </c>
      <c r="W1358">
        <f t="shared" ca="1" si="519"/>
        <v>4.9056603773584909E-2</v>
      </c>
      <c r="X1358">
        <f t="shared" ca="1" si="520"/>
        <v>196.15384615384616</v>
      </c>
      <c r="Y1358">
        <f t="shared" ca="1" si="521"/>
        <v>632.00799999999992</v>
      </c>
      <c r="Z1358">
        <f t="shared" ca="1" si="522"/>
        <v>2593.0850316486622</v>
      </c>
      <c r="AA1358">
        <f t="shared" ca="1" si="523"/>
        <v>482.07306851378365</v>
      </c>
      <c r="AB1358">
        <f t="shared" ca="1" si="524"/>
        <v>482.5611785058345</v>
      </c>
      <c r="AC1358">
        <f t="shared" ca="1" si="525"/>
        <v>0</v>
      </c>
      <c r="AD1358">
        <f ca="1">IF(V32="Supercritical",L1358,U1358)</f>
        <v>0.05</v>
      </c>
      <c r="AE1358">
        <f t="shared" ca="1" si="526"/>
        <v>632.00799999999992</v>
      </c>
      <c r="AF1358">
        <f t="shared" ca="1" si="527"/>
        <v>2593.0850316486622</v>
      </c>
      <c r="AI1358">
        <v>0</v>
      </c>
      <c r="AJ1358">
        <v>0</v>
      </c>
      <c r="AK1358">
        <f t="shared" si="528"/>
        <v>0</v>
      </c>
      <c r="AL1358">
        <f t="shared" si="536"/>
        <v>0</v>
      </c>
      <c r="AM1358">
        <f t="shared" ca="1" si="529"/>
        <v>280.07692026646265</v>
      </c>
      <c r="AN1358" t="str">
        <f t="shared" ca="1" si="530"/>
        <v>Supercritical</v>
      </c>
      <c r="AO1358">
        <f ca="1">IF(V32="Supercritical",R1358,AA1358)</f>
        <v>482.07306851378365</v>
      </c>
    </row>
    <row r="1359" spans="1:41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174</v>
      </c>
      <c r="I1359">
        <v>2E-3</v>
      </c>
      <c r="J1359">
        <f t="shared" si="531"/>
        <v>1.0010000000002037</v>
      </c>
      <c r="K1359">
        <f t="shared" si="532"/>
        <v>51</v>
      </c>
      <c r="L1359">
        <f t="shared" ca="1" si="533"/>
        <v>38818.051231278128</v>
      </c>
      <c r="M1359">
        <f t="shared" ca="1" si="511"/>
        <v>201853.86640264626</v>
      </c>
      <c r="N1359">
        <f t="shared" ca="1" si="512"/>
        <v>2.5998258658784543</v>
      </c>
      <c r="O1359">
        <f t="shared" ca="1" si="513"/>
        <v>2.5265802884482871E-4</v>
      </c>
      <c r="P1359">
        <f t="shared" ca="1" si="514"/>
        <v>39450.008731278125</v>
      </c>
      <c r="Q1359">
        <f t="shared" ca="1" si="515"/>
        <v>39450.008731281378</v>
      </c>
      <c r="R1359">
        <f t="shared" ca="1" si="516"/>
        <v>4.0178129257556468E-12</v>
      </c>
      <c r="S1359">
        <f t="shared" ca="1" si="534"/>
        <v>4.999999946448952E-4</v>
      </c>
      <c r="T1359">
        <f t="shared" ca="1" si="535"/>
        <v>1</v>
      </c>
      <c r="U1359">
        <f t="shared" ca="1" si="517"/>
        <v>0.05</v>
      </c>
      <c r="V1359">
        <f t="shared" ca="1" si="518"/>
        <v>0.26</v>
      </c>
      <c r="W1359">
        <f t="shared" ca="1" si="519"/>
        <v>4.9056603773584909E-2</v>
      </c>
      <c r="X1359">
        <f t="shared" ca="1" si="520"/>
        <v>196.15384615384616</v>
      </c>
      <c r="Y1359">
        <f t="shared" ca="1" si="521"/>
        <v>632.00749999999994</v>
      </c>
      <c r="Z1359">
        <f t="shared" ca="1" si="522"/>
        <v>2593.0845316486621</v>
      </c>
      <c r="AA1359">
        <f t="shared" ca="1" si="523"/>
        <v>482.07306851378365</v>
      </c>
      <c r="AB1359">
        <f t="shared" ca="1" si="524"/>
        <v>482.25887083179032</v>
      </c>
      <c r="AC1359">
        <f t="shared" ca="1" si="525"/>
        <v>0</v>
      </c>
      <c r="AD1359">
        <f ca="1">IF(V32="Supercritical",L1359,U1359)</f>
        <v>0.05</v>
      </c>
      <c r="AE1359">
        <f t="shared" ca="1" si="526"/>
        <v>632.00749999999994</v>
      </c>
      <c r="AF1359">
        <f t="shared" ca="1" si="527"/>
        <v>2593.0845316486621</v>
      </c>
      <c r="AI1359">
        <v>0</v>
      </c>
      <c r="AJ1359">
        <v>0</v>
      </c>
      <c r="AK1359">
        <f t="shared" si="528"/>
        <v>0</v>
      </c>
      <c r="AL1359">
        <f t="shared" si="536"/>
        <v>0</v>
      </c>
      <c r="AM1359">
        <f t="shared" ca="1" si="529"/>
        <v>280.07692026646265</v>
      </c>
      <c r="AN1359" t="str">
        <f t="shared" ca="1" si="530"/>
        <v>Supercritical</v>
      </c>
      <c r="AO1359">
        <f ca="1">IF(V32="Supercritical",R1359,AA1359)</f>
        <v>482.07306851378365</v>
      </c>
    </row>
    <row r="1360" spans="1:41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174</v>
      </c>
      <c r="I1360">
        <v>5.7000000000000002E-2</v>
      </c>
      <c r="J1360">
        <f t="shared" si="531"/>
        <v>1</v>
      </c>
      <c r="K1360">
        <f t="shared" si="532"/>
        <v>51</v>
      </c>
      <c r="L1360">
        <f t="shared" ca="1" si="533"/>
        <v>38818.051231278128</v>
      </c>
      <c r="M1360">
        <f t="shared" ca="1" si="511"/>
        <v>201853.86640264626</v>
      </c>
      <c r="N1360">
        <f t="shared" ca="1" si="512"/>
        <v>2.5998258658784543</v>
      </c>
      <c r="O1360">
        <f t="shared" ca="1" si="513"/>
        <v>2.5265802884482871E-4</v>
      </c>
      <c r="P1360">
        <f t="shared" ca="1" si="514"/>
        <v>39450.008231278131</v>
      </c>
      <c r="Q1360">
        <f t="shared" ca="1" si="515"/>
        <v>39450.008231281383</v>
      </c>
      <c r="R1360">
        <f t="shared" ca="1" si="516"/>
        <v>4.0178129257556468E-12</v>
      </c>
      <c r="S1360">
        <f t="shared" ca="1" si="534"/>
        <v>4.9999998736893758E-4</v>
      </c>
      <c r="T1360">
        <f t="shared" ca="1" si="535"/>
        <v>1</v>
      </c>
      <c r="U1360">
        <f t="shared" ca="1" si="517"/>
        <v>0.05</v>
      </c>
      <c r="V1360">
        <f t="shared" ca="1" si="518"/>
        <v>0.26</v>
      </c>
      <c r="W1360">
        <f t="shared" ca="1" si="519"/>
        <v>4.9056603773584909E-2</v>
      </c>
      <c r="X1360">
        <f t="shared" ca="1" si="520"/>
        <v>196.15384615384616</v>
      </c>
      <c r="Y1360">
        <f t="shared" ca="1" si="521"/>
        <v>632.00699999999995</v>
      </c>
      <c r="Z1360">
        <f t="shared" ca="1" si="522"/>
        <v>2593.0840316486619</v>
      </c>
      <c r="AA1360">
        <f t="shared" ca="1" si="523"/>
        <v>482.07306851378365</v>
      </c>
      <c r="AB1360">
        <f t="shared" ca="1" si="524"/>
        <v>482.25887083179032</v>
      </c>
      <c r="AC1360">
        <f t="shared" ca="1" si="525"/>
        <v>0</v>
      </c>
      <c r="AD1360">
        <f ca="1">IF(V32="Supercritical",L1360,U1360)</f>
        <v>0.05</v>
      </c>
      <c r="AE1360">
        <f t="shared" ca="1" si="526"/>
        <v>632.00699999999995</v>
      </c>
      <c r="AF1360">
        <f t="shared" ca="1" si="527"/>
        <v>2593.0840316486619</v>
      </c>
      <c r="AI1360">
        <v>0</v>
      </c>
      <c r="AJ1360">
        <v>0</v>
      </c>
      <c r="AK1360">
        <f t="shared" si="528"/>
        <v>0</v>
      </c>
      <c r="AL1360">
        <f t="shared" si="536"/>
        <v>0</v>
      </c>
      <c r="AM1360">
        <f t="shared" ca="1" si="529"/>
        <v>280.07692026646265</v>
      </c>
      <c r="AN1360" t="str">
        <f t="shared" ca="1" si="530"/>
        <v>Supercritical</v>
      </c>
      <c r="AO1360">
        <f ca="1">IF(V32="Supercritical",R1360,AA1360)</f>
        <v>482.07306851378365</v>
      </c>
    </row>
    <row r="1361" spans="1:41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174</v>
      </c>
      <c r="I1361">
        <v>5.7000000000000002E-2</v>
      </c>
      <c r="J1361">
        <f t="shared" si="531"/>
        <v>1</v>
      </c>
      <c r="K1361">
        <f t="shared" si="532"/>
        <v>51</v>
      </c>
      <c r="L1361">
        <f t="shared" ca="1" si="533"/>
        <v>38818.051231278128</v>
      </c>
      <c r="M1361">
        <f t="shared" ca="1" si="511"/>
        <v>201853.86640264626</v>
      </c>
      <c r="N1361">
        <f t="shared" ca="1" si="512"/>
        <v>2.5998258658784543</v>
      </c>
      <c r="O1361">
        <f t="shared" ca="1" si="513"/>
        <v>2.5265802884482871E-4</v>
      </c>
      <c r="P1361">
        <f t="shared" ca="1" si="514"/>
        <v>39450.007731278129</v>
      </c>
      <c r="Q1361">
        <f t="shared" ca="1" si="515"/>
        <v>39450.007731281381</v>
      </c>
      <c r="R1361">
        <f t="shared" ca="1" si="516"/>
        <v>4.0178129257556468E-12</v>
      </c>
      <c r="S1361">
        <f t="shared" ca="1" si="534"/>
        <v>4.999999946448952E-4</v>
      </c>
      <c r="T1361">
        <f t="shared" ca="1" si="535"/>
        <v>1</v>
      </c>
      <c r="U1361">
        <f t="shared" ca="1" si="517"/>
        <v>0.05</v>
      </c>
      <c r="V1361">
        <f t="shared" ca="1" si="518"/>
        <v>0.26</v>
      </c>
      <c r="W1361">
        <f t="shared" ca="1" si="519"/>
        <v>4.9056603773584909E-2</v>
      </c>
      <c r="X1361">
        <f t="shared" ca="1" si="520"/>
        <v>196.15384615384616</v>
      </c>
      <c r="Y1361">
        <f t="shared" ca="1" si="521"/>
        <v>632.00649999999996</v>
      </c>
      <c r="Z1361">
        <f t="shared" ca="1" si="522"/>
        <v>2593.0835316486618</v>
      </c>
      <c r="AA1361">
        <f t="shared" ca="1" si="523"/>
        <v>482.07306851378365</v>
      </c>
      <c r="AB1361">
        <f t="shared" ca="1" si="524"/>
        <v>481.59049544517211</v>
      </c>
      <c r="AC1361">
        <f t="shared" ca="1" si="525"/>
        <v>0</v>
      </c>
      <c r="AD1361">
        <f ca="1">IF(V32="Supercritical",L1361,U1361)</f>
        <v>0.05</v>
      </c>
      <c r="AE1361">
        <f t="shared" ca="1" si="526"/>
        <v>632.00649999999996</v>
      </c>
      <c r="AF1361">
        <f t="shared" ca="1" si="527"/>
        <v>2593.0835316486618</v>
      </c>
      <c r="AI1361">
        <v>0</v>
      </c>
      <c r="AJ1361">
        <v>0</v>
      </c>
      <c r="AK1361">
        <f t="shared" si="528"/>
        <v>0</v>
      </c>
      <c r="AL1361">
        <f t="shared" si="536"/>
        <v>0</v>
      </c>
      <c r="AM1361">
        <f t="shared" ca="1" si="529"/>
        <v>280.07692026646265</v>
      </c>
      <c r="AN1361" t="str">
        <f t="shared" ca="1" si="530"/>
        <v>Supercritical</v>
      </c>
      <c r="AO1361">
        <f ca="1">IF(V32="Supercritical",R1361,AA1361)</f>
        <v>482.07306851378365</v>
      </c>
    </row>
    <row r="1362" spans="1:41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174</v>
      </c>
      <c r="I1362">
        <v>0</v>
      </c>
      <c r="J1362">
        <f t="shared" si="531"/>
        <v>0.99899999999979627</v>
      </c>
      <c r="K1362">
        <f t="shared" si="532"/>
        <v>51</v>
      </c>
      <c r="L1362">
        <f t="shared" ca="1" si="533"/>
        <v>38818.051231278128</v>
      </c>
      <c r="M1362">
        <f t="shared" ca="1" si="511"/>
        <v>201853.86640264626</v>
      </c>
      <c r="N1362">
        <f t="shared" ca="1" si="512"/>
        <v>2.5998258658784543</v>
      </c>
      <c r="O1362">
        <f t="shared" ca="1" si="513"/>
        <v>2.5265802884482871E-4</v>
      </c>
      <c r="P1362">
        <f t="shared" ca="1" si="514"/>
        <v>39450.007231278127</v>
      </c>
      <c r="Q1362">
        <f t="shared" ca="1" si="515"/>
        <v>39450.007231281379</v>
      </c>
      <c r="R1362">
        <f t="shared" ca="1" si="516"/>
        <v>4.0178129257556468E-12</v>
      </c>
      <c r="S1362">
        <f t="shared" ca="1" si="534"/>
        <v>4.999999946448952E-4</v>
      </c>
      <c r="T1362">
        <f t="shared" ca="1" si="535"/>
        <v>1</v>
      </c>
      <c r="U1362">
        <f t="shared" ca="1" si="517"/>
        <v>0.05</v>
      </c>
      <c r="V1362">
        <f t="shared" ca="1" si="518"/>
        <v>0.26</v>
      </c>
      <c r="W1362">
        <f t="shared" ca="1" si="519"/>
        <v>4.9056603773584909E-2</v>
      </c>
      <c r="X1362">
        <f t="shared" ca="1" si="520"/>
        <v>196.15384615384616</v>
      </c>
      <c r="Y1362">
        <f t="shared" ca="1" si="521"/>
        <v>632.00599999999997</v>
      </c>
      <c r="Z1362">
        <f t="shared" ca="1" si="522"/>
        <v>2593.0830316486622</v>
      </c>
      <c r="AA1362">
        <f t="shared" ca="1" si="523"/>
        <v>482.07306851378365</v>
      </c>
      <c r="AB1362">
        <f t="shared" ca="1" si="524"/>
        <v>482.07256851378361</v>
      </c>
      <c r="AC1362">
        <f t="shared" ca="1" si="525"/>
        <v>0</v>
      </c>
      <c r="AD1362">
        <f ca="1">IF(V32="Supercritical",L1362,U1362)</f>
        <v>0.05</v>
      </c>
      <c r="AE1362">
        <f t="shared" ca="1" si="526"/>
        <v>632.00599999999997</v>
      </c>
      <c r="AF1362">
        <f t="shared" ca="1" si="527"/>
        <v>2593.0830316486622</v>
      </c>
      <c r="AI1362">
        <v>0</v>
      </c>
      <c r="AJ1362">
        <v>0</v>
      </c>
      <c r="AK1362">
        <f t="shared" si="528"/>
        <v>0</v>
      </c>
      <c r="AL1362">
        <f t="shared" si="536"/>
        <v>0</v>
      </c>
      <c r="AM1362">
        <f t="shared" ca="1" si="529"/>
        <v>280.07692026646265</v>
      </c>
      <c r="AN1362" t="str">
        <f t="shared" ca="1" si="530"/>
        <v>Supercritical</v>
      </c>
      <c r="AO1362">
        <f ca="1">IF(V32="Supercritical",R1362,AA1362)</f>
        <v>482.07306851378365</v>
      </c>
    </row>
    <row r="1363" spans="1:41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174</v>
      </c>
      <c r="I1363">
        <v>0</v>
      </c>
      <c r="J1363">
        <f t="shared" si="531"/>
        <v>1</v>
      </c>
      <c r="K1363">
        <f t="shared" si="532"/>
        <v>51</v>
      </c>
      <c r="L1363">
        <f t="shared" ca="1" si="533"/>
        <v>38818.051231278128</v>
      </c>
      <c r="M1363">
        <f t="shared" ca="1" si="511"/>
        <v>201853.86640264626</v>
      </c>
      <c r="N1363">
        <f t="shared" ca="1" si="512"/>
        <v>2.5998258658784543</v>
      </c>
      <c r="O1363">
        <f t="shared" ca="1" si="513"/>
        <v>2.5265802884482871E-4</v>
      </c>
      <c r="P1363">
        <f t="shared" ca="1" si="514"/>
        <v>39450.006731278132</v>
      </c>
      <c r="Q1363">
        <f t="shared" ca="1" si="515"/>
        <v>39450.006731281384</v>
      </c>
      <c r="R1363">
        <f t="shared" ca="1" si="516"/>
        <v>4.0178129257556468E-12</v>
      </c>
      <c r="S1363">
        <f t="shared" ca="1" si="534"/>
        <v>4.9999998736893758E-4</v>
      </c>
      <c r="T1363">
        <f t="shared" ca="1" si="535"/>
        <v>1</v>
      </c>
      <c r="U1363">
        <f t="shared" ca="1" si="517"/>
        <v>0.05</v>
      </c>
      <c r="V1363">
        <f t="shared" ca="1" si="518"/>
        <v>0.26</v>
      </c>
      <c r="W1363">
        <f t="shared" ca="1" si="519"/>
        <v>4.9056603773584909E-2</v>
      </c>
      <c r="X1363">
        <f t="shared" ca="1" si="520"/>
        <v>196.15384615384616</v>
      </c>
      <c r="Y1363">
        <f t="shared" ca="1" si="521"/>
        <v>632.00549999999998</v>
      </c>
      <c r="Z1363">
        <f t="shared" ca="1" si="522"/>
        <v>2593.0825316486621</v>
      </c>
      <c r="AA1363">
        <f t="shared" ca="1" si="523"/>
        <v>482.07306851378365</v>
      </c>
      <c r="AB1363">
        <f t="shared" ca="1" si="524"/>
        <v>482.25887083179032</v>
      </c>
      <c r="AC1363">
        <f t="shared" ca="1" si="525"/>
        <v>0</v>
      </c>
      <c r="AD1363">
        <f ca="1">IF(V32="Supercritical",L1363,U1363)</f>
        <v>0.05</v>
      </c>
      <c r="AE1363">
        <f t="shared" ca="1" si="526"/>
        <v>632.00549999999998</v>
      </c>
      <c r="AF1363">
        <f t="shared" ca="1" si="527"/>
        <v>2593.0825316486621</v>
      </c>
      <c r="AI1363">
        <v>0</v>
      </c>
      <c r="AJ1363">
        <v>0</v>
      </c>
      <c r="AK1363">
        <f t="shared" si="528"/>
        <v>0</v>
      </c>
      <c r="AL1363">
        <f t="shared" si="536"/>
        <v>0</v>
      </c>
      <c r="AM1363">
        <f t="shared" ca="1" si="529"/>
        <v>280.07692026646265</v>
      </c>
      <c r="AN1363" t="str">
        <f t="shared" ca="1" si="530"/>
        <v>Supercritical</v>
      </c>
      <c r="AO1363">
        <f ca="1">IF(V32="Supercritical",R1363,AA1363)</f>
        <v>482.07306851378365</v>
      </c>
    </row>
    <row r="1364" spans="1:41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174</v>
      </c>
      <c r="I1364">
        <v>5.7000000000000002E-2</v>
      </c>
      <c r="J1364">
        <f t="shared" si="531"/>
        <v>1</v>
      </c>
      <c r="K1364">
        <f t="shared" si="532"/>
        <v>51</v>
      </c>
      <c r="L1364">
        <f t="shared" ca="1" si="533"/>
        <v>38818.051231278128</v>
      </c>
      <c r="M1364">
        <f t="shared" ca="1" si="511"/>
        <v>201853.86640264626</v>
      </c>
      <c r="N1364">
        <f t="shared" ca="1" si="512"/>
        <v>2.5998258658784543</v>
      </c>
      <c r="O1364">
        <f t="shared" ca="1" si="513"/>
        <v>2.5265802884482871E-4</v>
      </c>
      <c r="P1364">
        <f t="shared" ca="1" si="514"/>
        <v>39450.00623127813</v>
      </c>
      <c r="Q1364">
        <f t="shared" ca="1" si="515"/>
        <v>39450.006231281382</v>
      </c>
      <c r="R1364">
        <f t="shared" ca="1" si="516"/>
        <v>4.0178129257556468E-12</v>
      </c>
      <c r="S1364">
        <f t="shared" ca="1" si="534"/>
        <v>4.999999946448952E-4</v>
      </c>
      <c r="T1364">
        <f t="shared" ca="1" si="535"/>
        <v>1</v>
      </c>
      <c r="U1364">
        <f t="shared" ca="1" si="517"/>
        <v>0.05</v>
      </c>
      <c r="V1364">
        <f t="shared" ca="1" si="518"/>
        <v>0.26</v>
      </c>
      <c r="W1364">
        <f t="shared" ca="1" si="519"/>
        <v>4.9056603773584909E-2</v>
      </c>
      <c r="X1364">
        <f t="shared" ca="1" si="520"/>
        <v>196.15384615384616</v>
      </c>
      <c r="Y1364">
        <f t="shared" ca="1" si="521"/>
        <v>632.005</v>
      </c>
      <c r="Z1364">
        <f t="shared" ca="1" si="522"/>
        <v>2593.082031648662</v>
      </c>
      <c r="AA1364">
        <f t="shared" ca="1" si="523"/>
        <v>482.07306851378365</v>
      </c>
      <c r="AB1364">
        <f t="shared" ca="1" si="524"/>
        <v>482.25887083179077</v>
      </c>
      <c r="AC1364">
        <f t="shared" ca="1" si="525"/>
        <v>0</v>
      </c>
      <c r="AD1364">
        <f ca="1">IF(V32="Supercritical",L1364,U1364)</f>
        <v>0.05</v>
      </c>
      <c r="AE1364">
        <f t="shared" ca="1" si="526"/>
        <v>632.005</v>
      </c>
      <c r="AF1364">
        <f t="shared" ca="1" si="527"/>
        <v>2593.082031648662</v>
      </c>
      <c r="AI1364">
        <v>0</v>
      </c>
      <c r="AJ1364">
        <v>0</v>
      </c>
      <c r="AK1364">
        <f t="shared" si="528"/>
        <v>0</v>
      </c>
      <c r="AL1364">
        <f t="shared" si="536"/>
        <v>0</v>
      </c>
      <c r="AM1364">
        <f t="shared" ca="1" si="529"/>
        <v>280.07692026646265</v>
      </c>
      <c r="AN1364" t="str">
        <f t="shared" ca="1" si="530"/>
        <v>Supercritical</v>
      </c>
      <c r="AO1364">
        <f ca="1">IF(V32="Supercritical",R1364,AA1364)</f>
        <v>482.07306851378365</v>
      </c>
    </row>
    <row r="1365" spans="1:41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174</v>
      </c>
      <c r="I1365">
        <v>5.7000000000000002E-2</v>
      </c>
      <c r="J1365">
        <f t="shared" si="531"/>
        <v>1</v>
      </c>
      <c r="K1365">
        <f t="shared" si="532"/>
        <v>51</v>
      </c>
      <c r="L1365">
        <f t="shared" ca="1" si="533"/>
        <v>38818.051231278128</v>
      </c>
      <c r="M1365">
        <f t="shared" ca="1" si="511"/>
        <v>201853.86640264626</v>
      </c>
      <c r="N1365">
        <f t="shared" ca="1" si="512"/>
        <v>2.5998258658784543</v>
      </c>
      <c r="O1365">
        <f t="shared" ca="1" si="513"/>
        <v>2.5265802884482871E-4</v>
      </c>
      <c r="P1365">
        <f t="shared" ca="1" si="514"/>
        <v>39450.005731278128</v>
      </c>
      <c r="Q1365">
        <f t="shared" ca="1" si="515"/>
        <v>39450.005731281381</v>
      </c>
      <c r="R1365">
        <f t="shared" ca="1" si="516"/>
        <v>4.0178129257556468E-12</v>
      </c>
      <c r="S1365">
        <f t="shared" ca="1" si="534"/>
        <v>4.999999946448952E-4</v>
      </c>
      <c r="T1365">
        <f t="shared" ca="1" si="535"/>
        <v>1</v>
      </c>
      <c r="U1365">
        <f t="shared" ca="1" si="517"/>
        <v>0.05</v>
      </c>
      <c r="V1365">
        <f t="shared" ca="1" si="518"/>
        <v>0.26</v>
      </c>
      <c r="W1365">
        <f t="shared" ca="1" si="519"/>
        <v>4.9056603773584909E-2</v>
      </c>
      <c r="X1365">
        <f t="shared" ca="1" si="520"/>
        <v>196.15384615384616</v>
      </c>
      <c r="Y1365">
        <f t="shared" ca="1" si="521"/>
        <v>632.00450000000001</v>
      </c>
      <c r="Z1365">
        <f t="shared" ca="1" si="522"/>
        <v>2593.0815316486623</v>
      </c>
      <c r="AA1365">
        <f t="shared" ca="1" si="523"/>
        <v>482.07306851378365</v>
      </c>
      <c r="AB1365">
        <f t="shared" ca="1" si="524"/>
        <v>482.07256851378361</v>
      </c>
      <c r="AC1365">
        <f t="shared" ca="1" si="525"/>
        <v>0</v>
      </c>
      <c r="AD1365">
        <f ca="1">IF(V32="Supercritical",L1365,U1365)</f>
        <v>0.05</v>
      </c>
      <c r="AE1365">
        <f t="shared" ca="1" si="526"/>
        <v>632.00450000000001</v>
      </c>
      <c r="AF1365">
        <f t="shared" ca="1" si="527"/>
        <v>2593.0815316486623</v>
      </c>
      <c r="AI1365">
        <v>0</v>
      </c>
      <c r="AJ1365">
        <v>0</v>
      </c>
      <c r="AK1365">
        <f t="shared" si="528"/>
        <v>0</v>
      </c>
      <c r="AL1365">
        <f t="shared" si="536"/>
        <v>0</v>
      </c>
      <c r="AM1365">
        <f t="shared" ca="1" si="529"/>
        <v>280.07692026646265</v>
      </c>
      <c r="AN1365" t="str">
        <f t="shared" ca="1" si="530"/>
        <v>Supercritical</v>
      </c>
      <c r="AO1365">
        <f ca="1">IF(V32="Supercritical",R1365,AA1365)</f>
        <v>482.07306851378365</v>
      </c>
    </row>
    <row r="1366" spans="1:41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174</v>
      </c>
      <c r="I1366">
        <v>0</v>
      </c>
      <c r="J1366">
        <f t="shared" si="531"/>
        <v>1</v>
      </c>
      <c r="K1366">
        <f t="shared" si="532"/>
        <v>51</v>
      </c>
      <c r="L1366">
        <f t="shared" ca="1" si="533"/>
        <v>38818.051231278128</v>
      </c>
      <c r="M1366">
        <f t="shared" ref="M1366:M1429" ca="1" si="537">((F1366)+(G1366)*(L1366))*(L1366)</f>
        <v>201853.86640264626</v>
      </c>
      <c r="N1366">
        <f t="shared" ref="N1366:N1429" ca="1" si="538">(((F1366)+(G1366)*(L1366))*(L1366))/MAX((F1366)+2*(L1366)*SQRT(1+(G1366)^2),0.000001)</f>
        <v>2.5998258658784543</v>
      </c>
      <c r="O1366">
        <f t="shared" ref="O1366:O1429" ca="1" si="539">ABS(K1366)/MAX(((F1366)+(G1366)*(L1366))*(L1366),0.000001)</f>
        <v>2.5265802884482871E-4</v>
      </c>
      <c r="P1366">
        <f t="shared" ref="P1366:P1429" ca="1" si="540">E1366+L1366</f>
        <v>39450.005231278126</v>
      </c>
      <c r="Q1366">
        <f t="shared" ref="Q1366:Q1429" ca="1" si="541">P1366+((ABS(K1366)/MAX(((F1366)+(G1366)*(L1366))*(L1366),0.000001))^2)/(2*$I$5)</f>
        <v>39450.005231281379</v>
      </c>
      <c r="R1366">
        <f t="shared" ref="R1366:R1429" ca="1" si="542">((ABS(K1366)*$D$6)/(MAX(((F1366)+(G1366)*(L1366))*(L1366),0.000001)*MAX(((((F1366)+(G1366)*(L1366))*(L1366))/MAX((F1366)+2*(L1366)*SQRT(1+(G1366)^2),0.000001))^(2/3),0.000001)))^2</f>
        <v>4.0178129257556468E-12</v>
      </c>
      <c r="S1366">
        <f t="shared" ca="1" si="534"/>
        <v>4.999999946448952E-4</v>
      </c>
      <c r="T1366">
        <f t="shared" ca="1" si="535"/>
        <v>1</v>
      </c>
      <c r="U1366">
        <f t="shared" ref="U1366:U1429" ca="1" si="543">IF($D$20=0,U1367,IF(AC1367=0,U1367,IF(U1366=0,U1367,IF(ABS(AB1366)&gt;$D$19,MAX($D$16,U1366+((AB1366)*$D$18*IF((ABS(ABS(K1366)/MAX(((F1366)+(G1366)*(U1366))*(U1366),0.000001))/SQRT($I$5*MAX((((F1366)+(G1366)*(U1366))*(U1366))/MAX((F1366)+2*(G1366)*(U1366),0.000001),0.000001)))&lt;1,1,-1))),U1366))))</f>
        <v>0.05</v>
      </c>
      <c r="V1366">
        <f t="shared" ref="V1366:V1429" ca="1" si="544">((F1366)+(G1366)*(U1366))*(U1366)</f>
        <v>0.26</v>
      </c>
      <c r="W1366">
        <f t="shared" ref="W1366:W1429" ca="1" si="545">(((F1366)+(G1366)*(U1366))*(U1366))/MAX((F1366)+2*(U1366)*SQRT(1+(G1366)^2),0.000001)</f>
        <v>4.9056603773584909E-2</v>
      </c>
      <c r="X1366">
        <f t="shared" ref="X1366:X1429" ca="1" si="546">ABS(K1366)/MAX(((F1366)+(G1366)*(U1366))*(U1366),0.000001)</f>
        <v>196.15384615384616</v>
      </c>
      <c r="Y1366">
        <f t="shared" ref="Y1366:Y1429" ca="1" si="547">E1366+U1366</f>
        <v>632.00399999999991</v>
      </c>
      <c r="Z1366">
        <f t="shared" ref="Z1366:Z1429" ca="1" si="548">Y1366+((ABS(K1366)/MAX(((F1366)+(G1366)*(U1366))*(U1366),0.000001))^2)/(2*$I$5)</f>
        <v>2593.0810316486622</v>
      </c>
      <c r="AA1366">
        <f t="shared" ref="AA1366:AA1429" ca="1" si="549">((ABS(K1366)*$D$6)/(MAX(((F1366)+(G1366)*(U1366))*(U1366),0.000001)*MAX(((((F1366)+(G1366)*(U1366))*(U1366))/MAX((F1366)+2*(U1366)*SQRT(1+(G1366)^2),0.000001))^(2/3),0.000001)))^2</f>
        <v>482.07306851378365</v>
      </c>
      <c r="AB1366">
        <f t="shared" ref="AB1366:AB1429" ca="1" si="550">Z1367+(((AA1366+AA1367)/2)*J1367)+(IF(X1366&gt;X1367,$D$8*((X1366^2-X1367^2)/(2*$I$5)),$D$9*((X1367^2-X1366^2)/(2*$I$5)))+($D$10*(ABS(I1367)/90)*(MAX(X1366^2,X1367^2)/(2*$I$5))))-Z1366</f>
        <v>482.07910543722255</v>
      </c>
      <c r="AC1366">
        <f t="shared" ref="AC1366:AC1429" ca="1" si="551">IF(ABS(AB1366)&lt;$D$19,1,0)</f>
        <v>0</v>
      </c>
      <c r="AD1366">
        <f ca="1">IF(V32="Supercritical",L1366,U1366)</f>
        <v>0.05</v>
      </c>
      <c r="AE1366">
        <f t="shared" ref="AE1366:AE1429" ca="1" si="552">E1366+AD1366</f>
        <v>632.00399999999991</v>
      </c>
      <c r="AF1366">
        <f t="shared" ref="AF1366:AF1429" ca="1" si="553">AE1366+((ABS(K1366)/MAX(((F1366)+(G1366)*(AD1366))*(AD1366),0.000001))^2)/(2*$I$5)</f>
        <v>2593.0810316486622</v>
      </c>
      <c r="AI1366">
        <v>0</v>
      </c>
      <c r="AJ1366">
        <v>0</v>
      </c>
      <c r="AK1366">
        <f t="shared" ref="AK1366:AK1429" si="554">AI1366+AJ1366</f>
        <v>0</v>
      </c>
      <c r="AL1366">
        <f t="shared" si="536"/>
        <v>0</v>
      </c>
      <c r="AM1366">
        <f t="shared" ref="AM1366:AM1429" ca="1" si="555">ABS(ABS(K1366)/MAX(((F1366)+(G1366)*(AD1366))*(AD1366),0.000001))/SQRT($I$5*MAX((((F1366)+(G1366)*(AD1366))*(AD1366))/MAX((F1366)+2*(G1366)*(AD1366),0.000001),0.000001))</f>
        <v>280.07692026646265</v>
      </c>
      <c r="AN1366" t="str">
        <f t="shared" ref="AN1366:AN1429" ca="1" si="556">IF(AM1366&lt;1,"Subcritical","Supercritical")</f>
        <v>Supercritical</v>
      </c>
      <c r="AO1366">
        <f ca="1">IF(V32="Supercritical",R1366,AA1366)</f>
        <v>482.07306851378365</v>
      </c>
    </row>
    <row r="1367" spans="1:41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174</v>
      </c>
      <c r="I1367">
        <v>2E-3</v>
      </c>
      <c r="J1367">
        <f t="shared" ref="J1367:J1430" si="557">B1367-B1366</f>
        <v>1</v>
      </c>
      <c r="K1367">
        <f t="shared" ref="K1367:K1430" si="558">MAX(0,K1366-AK1366)</f>
        <v>51</v>
      </c>
      <c r="L1367">
        <f t="shared" ref="L1367:L1430" ca="1" si="559">IF($D$20=0,L1366,IF(T1366=0,L1366,IF(L1367=0,L1366,IF(ABS(S1367)&gt;$D$19,MAX($D$16,L1367+((S1367)*$D$18*IF((ABS(ABS(K1367)/MAX(((F1367)+(G1367)*(L1367))*(L1367),0.000001))/SQRT($I$5*MAX((((F1367)+(G1367)*(L1367))*(L1367))/MAX((F1367)+2*(G1367)*(L1367),0.000001),0.000001)))&lt;1,1,-1))),L1367))))</f>
        <v>38818.051231278128</v>
      </c>
      <c r="M1367">
        <f t="shared" ca="1" si="537"/>
        <v>201853.86640264626</v>
      </c>
      <c r="N1367">
        <f t="shared" ca="1" si="538"/>
        <v>2.5998258658784543</v>
      </c>
      <c r="O1367">
        <f t="shared" ca="1" si="539"/>
        <v>2.5265802884482871E-4</v>
      </c>
      <c r="P1367">
        <f t="shared" ca="1" si="540"/>
        <v>39450.004731278132</v>
      </c>
      <c r="Q1367">
        <f t="shared" ca="1" si="541"/>
        <v>39450.004731281384</v>
      </c>
      <c r="R1367">
        <f t="shared" ca="1" si="542"/>
        <v>4.0178129257556468E-12</v>
      </c>
      <c r="S1367">
        <f t="shared" ref="S1367:S1430" ca="1" si="560">Q1366-(((R1366+R1367)/2)*J1367)-(IF(O1366&gt;O1367,$D$8*((O1366^2-O1367^2)/(2*$I$5)),$D$9*((O1367^2-O1366^2)/(2*$I$5)))+($D$10*(ABS(I1367)/90)*(MAX(O1366^2,O1367^2)/(2*$I$5))))-Q1367</f>
        <v>4.9999998736893758E-4</v>
      </c>
      <c r="T1367">
        <f t="shared" ref="T1367:T1430" ca="1" si="561">IF(ABS(S1367)&lt;$D$19,1,0)</f>
        <v>1</v>
      </c>
      <c r="U1367">
        <f t="shared" ca="1" si="543"/>
        <v>0.05</v>
      </c>
      <c r="V1367">
        <f t="shared" ca="1" si="544"/>
        <v>0.26</v>
      </c>
      <c r="W1367">
        <f t="shared" ca="1" si="545"/>
        <v>4.9056603773584909E-2</v>
      </c>
      <c r="X1367">
        <f t="shared" ca="1" si="546"/>
        <v>196.15384615384616</v>
      </c>
      <c r="Y1367">
        <f t="shared" ca="1" si="547"/>
        <v>632.00349999999992</v>
      </c>
      <c r="Z1367">
        <f t="shared" ca="1" si="548"/>
        <v>2593.0805316486621</v>
      </c>
      <c r="AA1367">
        <f t="shared" ca="1" si="549"/>
        <v>482.07306851378365</v>
      </c>
      <c r="AB1367">
        <f t="shared" ca="1" si="550"/>
        <v>482.75074928556023</v>
      </c>
      <c r="AC1367">
        <f t="shared" ca="1" si="551"/>
        <v>0</v>
      </c>
      <c r="AD1367">
        <f ca="1">IF(V32="Supercritical",L1367,U1367)</f>
        <v>0.05</v>
      </c>
      <c r="AE1367">
        <f t="shared" ca="1" si="552"/>
        <v>632.00349999999992</v>
      </c>
      <c r="AF1367">
        <f t="shared" ca="1" si="553"/>
        <v>2593.0805316486621</v>
      </c>
      <c r="AI1367">
        <v>0</v>
      </c>
      <c r="AJ1367">
        <v>0</v>
      </c>
      <c r="AK1367">
        <f t="shared" si="554"/>
        <v>0</v>
      </c>
      <c r="AL1367">
        <f t="shared" ref="AL1367:AL1430" si="562">AL1366+AK1367</f>
        <v>0</v>
      </c>
      <c r="AM1367">
        <f t="shared" ca="1" si="555"/>
        <v>280.07692026646265</v>
      </c>
      <c r="AN1367" t="str">
        <f t="shared" ca="1" si="556"/>
        <v>Supercritical</v>
      </c>
      <c r="AO1367">
        <f ca="1">IF(V32="Supercritical",R1367,AA1367)</f>
        <v>482.07306851378365</v>
      </c>
    </row>
    <row r="1368" spans="1:41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174</v>
      </c>
      <c r="I1368">
        <v>0.06</v>
      </c>
      <c r="J1368">
        <f t="shared" si="557"/>
        <v>1.0010000000002037</v>
      </c>
      <c r="K1368">
        <f t="shared" si="558"/>
        <v>51</v>
      </c>
      <c r="L1368">
        <f t="shared" ca="1" si="559"/>
        <v>38818.051231278128</v>
      </c>
      <c r="M1368">
        <f t="shared" ca="1" si="537"/>
        <v>201853.86640264626</v>
      </c>
      <c r="N1368">
        <f t="shared" ca="1" si="538"/>
        <v>2.5998258658784543</v>
      </c>
      <c r="O1368">
        <f t="shared" ca="1" si="539"/>
        <v>2.5265802884482871E-4</v>
      </c>
      <c r="P1368">
        <f t="shared" ca="1" si="540"/>
        <v>39450.00423127813</v>
      </c>
      <c r="Q1368">
        <f t="shared" ca="1" si="541"/>
        <v>39450.004231281382</v>
      </c>
      <c r="R1368">
        <f t="shared" ca="1" si="542"/>
        <v>4.0178129257556468E-12</v>
      </c>
      <c r="S1368">
        <f t="shared" ca="1" si="560"/>
        <v>4.999999946448952E-4</v>
      </c>
      <c r="T1368">
        <f t="shared" ca="1" si="561"/>
        <v>1</v>
      </c>
      <c r="U1368">
        <f t="shared" ca="1" si="543"/>
        <v>0.05</v>
      </c>
      <c r="V1368">
        <f t="shared" ca="1" si="544"/>
        <v>0.26</v>
      </c>
      <c r="W1368">
        <f t="shared" ca="1" si="545"/>
        <v>4.9056603773584909E-2</v>
      </c>
      <c r="X1368">
        <f t="shared" ca="1" si="546"/>
        <v>196.15384615384616</v>
      </c>
      <c r="Y1368">
        <f t="shared" ca="1" si="547"/>
        <v>632.00299999999993</v>
      </c>
      <c r="Z1368">
        <f t="shared" ca="1" si="548"/>
        <v>2593.080031648662</v>
      </c>
      <c r="AA1368">
        <f t="shared" ca="1" si="549"/>
        <v>482.07306851378365</v>
      </c>
      <c r="AB1368">
        <f t="shared" ca="1" si="550"/>
        <v>482.25887083179032</v>
      </c>
      <c r="AC1368">
        <f t="shared" ca="1" si="551"/>
        <v>0</v>
      </c>
      <c r="AD1368">
        <f ca="1">IF(V32="Supercritical",L1368,U1368)</f>
        <v>0.05</v>
      </c>
      <c r="AE1368">
        <f t="shared" ca="1" si="552"/>
        <v>632.00299999999993</v>
      </c>
      <c r="AF1368">
        <f t="shared" ca="1" si="553"/>
        <v>2593.080031648662</v>
      </c>
      <c r="AI1368">
        <v>0</v>
      </c>
      <c r="AJ1368">
        <v>0</v>
      </c>
      <c r="AK1368">
        <f t="shared" si="554"/>
        <v>0</v>
      </c>
      <c r="AL1368">
        <f t="shared" si="562"/>
        <v>0</v>
      </c>
      <c r="AM1368">
        <f t="shared" ca="1" si="555"/>
        <v>280.07692026646265</v>
      </c>
      <c r="AN1368" t="str">
        <f t="shared" ca="1" si="556"/>
        <v>Supercritical</v>
      </c>
      <c r="AO1368">
        <f ca="1">IF(V32="Supercritical",R1368,AA1368)</f>
        <v>482.07306851378365</v>
      </c>
    </row>
    <row r="1369" spans="1:41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174</v>
      </c>
      <c r="I1369">
        <v>5.7000000000000002E-2</v>
      </c>
      <c r="J1369">
        <f t="shared" si="557"/>
        <v>1</v>
      </c>
      <c r="K1369">
        <f t="shared" si="558"/>
        <v>51</v>
      </c>
      <c r="L1369">
        <f t="shared" ca="1" si="559"/>
        <v>38818.051231278128</v>
      </c>
      <c r="M1369">
        <f t="shared" ca="1" si="537"/>
        <v>201853.86640264626</v>
      </c>
      <c r="N1369">
        <f t="shared" ca="1" si="538"/>
        <v>2.5998258658784543</v>
      </c>
      <c r="O1369">
        <f t="shared" ca="1" si="539"/>
        <v>2.5265802884482871E-4</v>
      </c>
      <c r="P1369">
        <f t="shared" ca="1" si="540"/>
        <v>39450.003731278128</v>
      </c>
      <c r="Q1369">
        <f t="shared" ca="1" si="541"/>
        <v>39450.00373128138</v>
      </c>
      <c r="R1369">
        <f t="shared" ca="1" si="542"/>
        <v>4.0178129257556468E-12</v>
      </c>
      <c r="S1369">
        <f t="shared" ca="1" si="560"/>
        <v>4.999999946448952E-4</v>
      </c>
      <c r="T1369">
        <f t="shared" ca="1" si="561"/>
        <v>1</v>
      </c>
      <c r="U1369">
        <f t="shared" ca="1" si="543"/>
        <v>0.05</v>
      </c>
      <c r="V1369">
        <f t="shared" ca="1" si="544"/>
        <v>0.26</v>
      </c>
      <c r="W1369">
        <f t="shared" ca="1" si="545"/>
        <v>4.9056603773584909E-2</v>
      </c>
      <c r="X1369">
        <f t="shared" ca="1" si="546"/>
        <v>196.15384615384616</v>
      </c>
      <c r="Y1369">
        <f t="shared" ca="1" si="547"/>
        <v>632.00249999999994</v>
      </c>
      <c r="Z1369">
        <f t="shared" ca="1" si="548"/>
        <v>2593.0795316486619</v>
      </c>
      <c r="AA1369">
        <f t="shared" ca="1" si="549"/>
        <v>482.07306851378365</v>
      </c>
      <c r="AB1369">
        <f t="shared" ca="1" si="550"/>
        <v>482.07256851378361</v>
      </c>
      <c r="AC1369">
        <f t="shared" ca="1" si="551"/>
        <v>0</v>
      </c>
      <c r="AD1369">
        <f ca="1">IF(V32="Supercritical",L1369,U1369)</f>
        <v>0.05</v>
      </c>
      <c r="AE1369">
        <f t="shared" ca="1" si="552"/>
        <v>632.00249999999994</v>
      </c>
      <c r="AF1369">
        <f t="shared" ca="1" si="553"/>
        <v>2593.0795316486619</v>
      </c>
      <c r="AI1369">
        <v>0</v>
      </c>
      <c r="AJ1369">
        <v>0</v>
      </c>
      <c r="AK1369">
        <f t="shared" si="554"/>
        <v>0</v>
      </c>
      <c r="AL1369">
        <f t="shared" si="562"/>
        <v>0</v>
      </c>
      <c r="AM1369">
        <f t="shared" ca="1" si="555"/>
        <v>280.07692026646265</v>
      </c>
      <c r="AN1369" t="str">
        <f t="shared" ca="1" si="556"/>
        <v>Supercritical</v>
      </c>
      <c r="AO1369">
        <f ca="1">IF(V32="Supercritical",R1369,AA1369)</f>
        <v>482.07306851378365</v>
      </c>
    </row>
    <row r="1370" spans="1:41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174</v>
      </c>
      <c r="I1370">
        <v>0</v>
      </c>
      <c r="J1370">
        <f t="shared" si="557"/>
        <v>1</v>
      </c>
      <c r="K1370">
        <f t="shared" si="558"/>
        <v>51</v>
      </c>
      <c r="L1370">
        <f t="shared" ca="1" si="559"/>
        <v>38818.051231278128</v>
      </c>
      <c r="M1370">
        <f t="shared" ca="1" si="537"/>
        <v>201853.86640264626</v>
      </c>
      <c r="N1370">
        <f t="shared" ca="1" si="538"/>
        <v>2.5998258658784543</v>
      </c>
      <c r="O1370">
        <f t="shared" ca="1" si="539"/>
        <v>2.5265802884482871E-4</v>
      </c>
      <c r="P1370">
        <f t="shared" ca="1" si="540"/>
        <v>39450.003231278126</v>
      </c>
      <c r="Q1370">
        <f t="shared" ca="1" si="541"/>
        <v>39450.003231281378</v>
      </c>
      <c r="R1370">
        <f t="shared" ca="1" si="542"/>
        <v>4.0178129257556468E-12</v>
      </c>
      <c r="S1370">
        <f t="shared" ca="1" si="560"/>
        <v>4.999999946448952E-4</v>
      </c>
      <c r="T1370">
        <f t="shared" ca="1" si="561"/>
        <v>1</v>
      </c>
      <c r="U1370">
        <f t="shared" ca="1" si="543"/>
        <v>0.05</v>
      </c>
      <c r="V1370">
        <f t="shared" ca="1" si="544"/>
        <v>0.26</v>
      </c>
      <c r="W1370">
        <f t="shared" ca="1" si="545"/>
        <v>4.9056603773584909E-2</v>
      </c>
      <c r="X1370">
        <f t="shared" ca="1" si="546"/>
        <v>196.15384615384616</v>
      </c>
      <c r="Y1370">
        <f t="shared" ca="1" si="547"/>
        <v>632.00199999999995</v>
      </c>
      <c r="Z1370">
        <f t="shared" ca="1" si="548"/>
        <v>2593.0790316486618</v>
      </c>
      <c r="AA1370">
        <f t="shared" ca="1" si="549"/>
        <v>482.07306851378365</v>
      </c>
      <c r="AB1370">
        <f t="shared" ca="1" si="550"/>
        <v>481.59049544517211</v>
      </c>
      <c r="AC1370">
        <f t="shared" ca="1" si="551"/>
        <v>0</v>
      </c>
      <c r="AD1370">
        <f ca="1">IF(V32="Supercritical",L1370,U1370)</f>
        <v>0.05</v>
      </c>
      <c r="AE1370">
        <f t="shared" ca="1" si="552"/>
        <v>632.00199999999995</v>
      </c>
      <c r="AF1370">
        <f t="shared" ca="1" si="553"/>
        <v>2593.0790316486618</v>
      </c>
      <c r="AI1370">
        <v>0</v>
      </c>
      <c r="AJ1370">
        <v>0</v>
      </c>
      <c r="AK1370">
        <f t="shared" si="554"/>
        <v>0</v>
      </c>
      <c r="AL1370">
        <f t="shared" si="562"/>
        <v>0</v>
      </c>
      <c r="AM1370">
        <f t="shared" ca="1" si="555"/>
        <v>280.07692026646265</v>
      </c>
      <c r="AN1370" t="str">
        <f t="shared" ca="1" si="556"/>
        <v>Supercritical</v>
      </c>
      <c r="AO1370">
        <f ca="1">IF(V32="Supercritical",R1370,AA1370)</f>
        <v>482.07306851378365</v>
      </c>
    </row>
    <row r="1371" spans="1:41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174</v>
      </c>
      <c r="I1371">
        <v>0</v>
      </c>
      <c r="J1371">
        <f t="shared" si="557"/>
        <v>0.99899999999979627</v>
      </c>
      <c r="K1371">
        <f t="shared" si="558"/>
        <v>51</v>
      </c>
      <c r="L1371">
        <f t="shared" ca="1" si="559"/>
        <v>38818.051231278128</v>
      </c>
      <c r="M1371">
        <f t="shared" ca="1" si="537"/>
        <v>201853.86640264626</v>
      </c>
      <c r="N1371">
        <f t="shared" ca="1" si="538"/>
        <v>2.5998258658784543</v>
      </c>
      <c r="O1371">
        <f t="shared" ca="1" si="539"/>
        <v>2.5265802884482871E-4</v>
      </c>
      <c r="P1371">
        <f t="shared" ca="1" si="540"/>
        <v>39450.002731278131</v>
      </c>
      <c r="Q1371">
        <f t="shared" ca="1" si="541"/>
        <v>39450.002731281384</v>
      </c>
      <c r="R1371">
        <f t="shared" ca="1" si="542"/>
        <v>4.0178129257556468E-12</v>
      </c>
      <c r="S1371">
        <f t="shared" ca="1" si="560"/>
        <v>4.9999998736893758E-4</v>
      </c>
      <c r="T1371">
        <f t="shared" ca="1" si="561"/>
        <v>1</v>
      </c>
      <c r="U1371">
        <f t="shared" ca="1" si="543"/>
        <v>0.05</v>
      </c>
      <c r="V1371">
        <f t="shared" ca="1" si="544"/>
        <v>0.26</v>
      </c>
      <c r="W1371">
        <f t="shared" ca="1" si="545"/>
        <v>4.9056603773584909E-2</v>
      </c>
      <c r="X1371">
        <f t="shared" ca="1" si="546"/>
        <v>196.15384615384616</v>
      </c>
      <c r="Y1371">
        <f t="shared" ca="1" si="547"/>
        <v>632.00149999999996</v>
      </c>
      <c r="Z1371">
        <f t="shared" ca="1" si="548"/>
        <v>2593.0785316486622</v>
      </c>
      <c r="AA1371">
        <f t="shared" ca="1" si="549"/>
        <v>482.07306851378365</v>
      </c>
      <c r="AB1371">
        <f t="shared" ca="1" si="550"/>
        <v>482.25887083179032</v>
      </c>
      <c r="AC1371">
        <f t="shared" ca="1" si="551"/>
        <v>0</v>
      </c>
      <c r="AD1371">
        <f ca="1">IF(V32="Supercritical",L1371,U1371)</f>
        <v>0.05</v>
      </c>
      <c r="AE1371">
        <f t="shared" ca="1" si="552"/>
        <v>632.00149999999996</v>
      </c>
      <c r="AF1371">
        <f t="shared" ca="1" si="553"/>
        <v>2593.0785316486622</v>
      </c>
      <c r="AI1371">
        <v>0</v>
      </c>
      <c r="AJ1371">
        <v>0</v>
      </c>
      <c r="AK1371">
        <f t="shared" si="554"/>
        <v>0</v>
      </c>
      <c r="AL1371">
        <f t="shared" si="562"/>
        <v>0</v>
      </c>
      <c r="AM1371">
        <f t="shared" ca="1" si="555"/>
        <v>280.07692026646265</v>
      </c>
      <c r="AN1371" t="str">
        <f t="shared" ca="1" si="556"/>
        <v>Supercritical</v>
      </c>
      <c r="AO1371">
        <f ca="1">IF(V32="Supercritical",R1371,AA1371)</f>
        <v>482.07306851378365</v>
      </c>
    </row>
    <row r="1372" spans="1:41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174</v>
      </c>
      <c r="I1372">
        <v>5.7000000000000002E-2</v>
      </c>
      <c r="J1372">
        <f t="shared" si="557"/>
        <v>1</v>
      </c>
      <c r="K1372">
        <f t="shared" si="558"/>
        <v>51</v>
      </c>
      <c r="L1372">
        <f t="shared" ca="1" si="559"/>
        <v>38818.051231278128</v>
      </c>
      <c r="M1372">
        <f t="shared" ca="1" si="537"/>
        <v>201853.86640264626</v>
      </c>
      <c r="N1372">
        <f t="shared" ca="1" si="538"/>
        <v>2.5998258658784543</v>
      </c>
      <c r="O1372">
        <f t="shared" ca="1" si="539"/>
        <v>2.5265802884482871E-4</v>
      </c>
      <c r="P1372">
        <f t="shared" ca="1" si="540"/>
        <v>39450.002231278129</v>
      </c>
      <c r="Q1372">
        <f t="shared" ca="1" si="541"/>
        <v>39450.002231281382</v>
      </c>
      <c r="R1372">
        <f t="shared" ca="1" si="542"/>
        <v>4.0178129257556468E-12</v>
      </c>
      <c r="S1372">
        <f t="shared" ca="1" si="560"/>
        <v>4.999999946448952E-4</v>
      </c>
      <c r="T1372">
        <f t="shared" ca="1" si="561"/>
        <v>1</v>
      </c>
      <c r="U1372">
        <f t="shared" ca="1" si="543"/>
        <v>0.05</v>
      </c>
      <c r="V1372">
        <f t="shared" ca="1" si="544"/>
        <v>0.26</v>
      </c>
      <c r="W1372">
        <f t="shared" ca="1" si="545"/>
        <v>4.9056603773584909E-2</v>
      </c>
      <c r="X1372">
        <f t="shared" ca="1" si="546"/>
        <v>196.15384615384616</v>
      </c>
      <c r="Y1372">
        <f t="shared" ca="1" si="547"/>
        <v>632.00099999999998</v>
      </c>
      <c r="Z1372">
        <f t="shared" ca="1" si="548"/>
        <v>2593.0780316486621</v>
      </c>
      <c r="AA1372">
        <f t="shared" ca="1" si="549"/>
        <v>482.07306851378365</v>
      </c>
      <c r="AB1372">
        <f t="shared" ca="1" si="550"/>
        <v>482.25887083179032</v>
      </c>
      <c r="AC1372">
        <f t="shared" ca="1" si="551"/>
        <v>0</v>
      </c>
      <c r="AD1372">
        <f ca="1">IF(V32="Supercritical",L1372,U1372)</f>
        <v>0.05</v>
      </c>
      <c r="AE1372">
        <f t="shared" ca="1" si="552"/>
        <v>632.00099999999998</v>
      </c>
      <c r="AF1372">
        <f t="shared" ca="1" si="553"/>
        <v>2593.0780316486621</v>
      </c>
      <c r="AI1372">
        <v>0</v>
      </c>
      <c r="AJ1372">
        <v>0</v>
      </c>
      <c r="AK1372">
        <f t="shared" si="554"/>
        <v>0</v>
      </c>
      <c r="AL1372">
        <f t="shared" si="562"/>
        <v>0</v>
      </c>
      <c r="AM1372">
        <f t="shared" ca="1" si="555"/>
        <v>280.07692026646265</v>
      </c>
      <c r="AN1372" t="str">
        <f t="shared" ca="1" si="556"/>
        <v>Supercritical</v>
      </c>
      <c r="AO1372">
        <f ca="1">IF(V32="Supercritical",R1372,AA1372)</f>
        <v>482.07306851378365</v>
      </c>
    </row>
    <row r="1373" spans="1:41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174</v>
      </c>
      <c r="I1373">
        <v>5.7000000000000002E-2</v>
      </c>
      <c r="J1373">
        <f t="shared" si="557"/>
        <v>1</v>
      </c>
      <c r="K1373">
        <f t="shared" si="558"/>
        <v>51</v>
      </c>
      <c r="L1373">
        <f t="shared" ca="1" si="559"/>
        <v>38818.051231278128</v>
      </c>
      <c r="M1373">
        <f t="shared" ca="1" si="537"/>
        <v>201853.86640264626</v>
      </c>
      <c r="N1373">
        <f t="shared" ca="1" si="538"/>
        <v>2.5998258658784543</v>
      </c>
      <c r="O1373">
        <f t="shared" ca="1" si="539"/>
        <v>2.5265802884482871E-4</v>
      </c>
      <c r="P1373">
        <f t="shared" ca="1" si="540"/>
        <v>39450.001731278127</v>
      </c>
      <c r="Q1373">
        <f t="shared" ca="1" si="541"/>
        <v>39450.00173128138</v>
      </c>
      <c r="R1373">
        <f t="shared" ca="1" si="542"/>
        <v>4.0178129257556468E-12</v>
      </c>
      <c r="S1373">
        <f t="shared" ca="1" si="560"/>
        <v>4.999999946448952E-4</v>
      </c>
      <c r="T1373">
        <f t="shared" ca="1" si="561"/>
        <v>1</v>
      </c>
      <c r="U1373">
        <f t="shared" ca="1" si="543"/>
        <v>0.05</v>
      </c>
      <c r="V1373">
        <f t="shared" ca="1" si="544"/>
        <v>0.26</v>
      </c>
      <c r="W1373">
        <f t="shared" ca="1" si="545"/>
        <v>4.9056603773584909E-2</v>
      </c>
      <c r="X1373">
        <f t="shared" ca="1" si="546"/>
        <v>196.15384615384616</v>
      </c>
      <c r="Y1373">
        <f t="shared" ca="1" si="547"/>
        <v>632.00049999999999</v>
      </c>
      <c r="Z1373">
        <f t="shared" ca="1" si="548"/>
        <v>2593.077531648662</v>
      </c>
      <c r="AA1373">
        <f t="shared" ca="1" si="549"/>
        <v>482.07306851378365</v>
      </c>
      <c r="AB1373">
        <f t="shared" ca="1" si="550"/>
        <v>482.07256851378406</v>
      </c>
      <c r="AC1373">
        <f t="shared" ca="1" si="551"/>
        <v>0</v>
      </c>
      <c r="AD1373">
        <f ca="1">IF(V32="Supercritical",L1373,U1373)</f>
        <v>0.05</v>
      </c>
      <c r="AE1373">
        <f t="shared" ca="1" si="552"/>
        <v>632.00049999999999</v>
      </c>
      <c r="AF1373">
        <f t="shared" ca="1" si="553"/>
        <v>2593.077531648662</v>
      </c>
      <c r="AI1373">
        <v>0</v>
      </c>
      <c r="AJ1373">
        <v>0</v>
      </c>
      <c r="AK1373">
        <f t="shared" si="554"/>
        <v>0</v>
      </c>
      <c r="AL1373">
        <f t="shared" si="562"/>
        <v>0</v>
      </c>
      <c r="AM1373">
        <f t="shared" ca="1" si="555"/>
        <v>280.07692026646265</v>
      </c>
      <c r="AN1373" t="str">
        <f t="shared" ca="1" si="556"/>
        <v>Supercritical</v>
      </c>
      <c r="AO1373">
        <f ca="1">IF(V32="Supercritical",R1373,AA1373)</f>
        <v>482.07306851378365</v>
      </c>
    </row>
    <row r="1374" spans="1:41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174</v>
      </c>
      <c r="I1374">
        <v>0</v>
      </c>
      <c r="J1374">
        <f t="shared" si="557"/>
        <v>1</v>
      </c>
      <c r="K1374">
        <f t="shared" si="558"/>
        <v>51</v>
      </c>
      <c r="L1374">
        <f t="shared" ca="1" si="559"/>
        <v>38818.051231278128</v>
      </c>
      <c r="M1374">
        <f t="shared" ca="1" si="537"/>
        <v>201853.86640264626</v>
      </c>
      <c r="N1374">
        <f t="shared" ca="1" si="538"/>
        <v>2.5998258658784543</v>
      </c>
      <c r="O1374">
        <f t="shared" ca="1" si="539"/>
        <v>2.5265802884482871E-4</v>
      </c>
      <c r="P1374">
        <f t="shared" ca="1" si="540"/>
        <v>39450.001231278125</v>
      </c>
      <c r="Q1374">
        <f t="shared" ca="1" si="541"/>
        <v>39450.001231281378</v>
      </c>
      <c r="R1374">
        <f t="shared" ca="1" si="542"/>
        <v>4.0178129257556468E-12</v>
      </c>
      <c r="S1374">
        <f t="shared" ca="1" si="560"/>
        <v>4.999999946448952E-4</v>
      </c>
      <c r="T1374">
        <f t="shared" ca="1" si="561"/>
        <v>1</v>
      </c>
      <c r="U1374">
        <f t="shared" ca="1" si="543"/>
        <v>0.05</v>
      </c>
      <c r="V1374">
        <f t="shared" ca="1" si="544"/>
        <v>0.26</v>
      </c>
      <c r="W1374">
        <f t="shared" ca="1" si="545"/>
        <v>4.9056603773584909E-2</v>
      </c>
      <c r="X1374">
        <f t="shared" ca="1" si="546"/>
        <v>196.15384615384616</v>
      </c>
      <c r="Y1374">
        <f t="shared" ca="1" si="547"/>
        <v>632</v>
      </c>
      <c r="Z1374">
        <f t="shared" ca="1" si="548"/>
        <v>2593.0770316486623</v>
      </c>
      <c r="AA1374">
        <f t="shared" ca="1" si="549"/>
        <v>482.07306851378365</v>
      </c>
      <c r="AB1374">
        <f t="shared" ca="1" si="550"/>
        <v>482.25887083179032</v>
      </c>
      <c r="AC1374">
        <f t="shared" ca="1" si="551"/>
        <v>0</v>
      </c>
      <c r="AD1374">
        <f ca="1">IF(V32="Supercritical",L1374,U1374)</f>
        <v>0.05</v>
      </c>
      <c r="AE1374">
        <f t="shared" ca="1" si="552"/>
        <v>632</v>
      </c>
      <c r="AF1374">
        <f t="shared" ca="1" si="553"/>
        <v>2593.0770316486623</v>
      </c>
      <c r="AI1374">
        <v>0</v>
      </c>
      <c r="AJ1374">
        <v>0</v>
      </c>
      <c r="AK1374">
        <f t="shared" si="554"/>
        <v>0</v>
      </c>
      <c r="AL1374">
        <f t="shared" si="562"/>
        <v>0</v>
      </c>
      <c r="AM1374">
        <f t="shared" ca="1" si="555"/>
        <v>280.07692026646265</v>
      </c>
      <c r="AN1374" t="str">
        <f t="shared" ca="1" si="556"/>
        <v>Supercritical</v>
      </c>
      <c r="AO1374">
        <f ca="1">IF(V32="Supercritical",R1374,AA1374)</f>
        <v>482.07306851378365</v>
      </c>
    </row>
    <row r="1375" spans="1:41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174</v>
      </c>
      <c r="I1375">
        <v>5.7000000000000002E-2</v>
      </c>
      <c r="J1375">
        <f t="shared" si="557"/>
        <v>1</v>
      </c>
      <c r="K1375">
        <f t="shared" si="558"/>
        <v>51</v>
      </c>
      <c r="L1375">
        <f t="shared" ca="1" si="559"/>
        <v>38818.051231278128</v>
      </c>
      <c r="M1375">
        <f t="shared" ca="1" si="537"/>
        <v>201853.86640264626</v>
      </c>
      <c r="N1375">
        <f t="shared" ca="1" si="538"/>
        <v>2.5998258658784543</v>
      </c>
      <c r="O1375">
        <f t="shared" ca="1" si="539"/>
        <v>2.5265802884482871E-4</v>
      </c>
      <c r="P1375">
        <f t="shared" ca="1" si="540"/>
        <v>39450.000731278131</v>
      </c>
      <c r="Q1375">
        <f t="shared" ca="1" si="541"/>
        <v>39450.000731281383</v>
      </c>
      <c r="R1375">
        <f t="shared" ca="1" si="542"/>
        <v>4.0178129257556468E-12</v>
      </c>
      <c r="S1375">
        <f t="shared" ca="1" si="560"/>
        <v>4.9999998736893758E-4</v>
      </c>
      <c r="T1375">
        <f t="shared" ca="1" si="561"/>
        <v>1</v>
      </c>
      <c r="U1375">
        <f t="shared" ca="1" si="543"/>
        <v>0.05</v>
      </c>
      <c r="V1375">
        <f t="shared" ca="1" si="544"/>
        <v>0.26</v>
      </c>
      <c r="W1375">
        <f t="shared" ca="1" si="545"/>
        <v>4.9056603773584909E-2</v>
      </c>
      <c r="X1375">
        <f t="shared" ca="1" si="546"/>
        <v>196.15384615384616</v>
      </c>
      <c r="Y1375">
        <f t="shared" ca="1" si="547"/>
        <v>631.9994999999999</v>
      </c>
      <c r="Z1375">
        <f t="shared" ca="1" si="548"/>
        <v>2593.0765316486622</v>
      </c>
      <c r="AA1375">
        <f t="shared" ca="1" si="549"/>
        <v>482.07306851378365</v>
      </c>
      <c r="AB1375">
        <f t="shared" ca="1" si="550"/>
        <v>482.25887083179032</v>
      </c>
      <c r="AC1375">
        <f t="shared" ca="1" si="551"/>
        <v>0</v>
      </c>
      <c r="AD1375">
        <f ca="1">IF(V32="Supercritical",L1375,U1375)</f>
        <v>0.05</v>
      </c>
      <c r="AE1375">
        <f t="shared" ca="1" si="552"/>
        <v>631.9994999999999</v>
      </c>
      <c r="AF1375">
        <f t="shared" ca="1" si="553"/>
        <v>2593.0765316486622</v>
      </c>
      <c r="AI1375">
        <v>0</v>
      </c>
      <c r="AJ1375">
        <v>0</v>
      </c>
      <c r="AK1375">
        <f t="shared" si="554"/>
        <v>0</v>
      </c>
      <c r="AL1375">
        <f t="shared" si="562"/>
        <v>0</v>
      </c>
      <c r="AM1375">
        <f t="shared" ca="1" si="555"/>
        <v>280.07692026646265</v>
      </c>
      <c r="AN1375" t="str">
        <f t="shared" ca="1" si="556"/>
        <v>Supercritical</v>
      </c>
      <c r="AO1375">
        <f ca="1">IF(V32="Supercritical",R1375,AA1375)</f>
        <v>482.07306851378365</v>
      </c>
    </row>
    <row r="1376" spans="1:41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174</v>
      </c>
      <c r="I1376">
        <v>5.7000000000000002E-2</v>
      </c>
      <c r="J1376">
        <f t="shared" si="557"/>
        <v>1</v>
      </c>
      <c r="K1376">
        <f t="shared" si="558"/>
        <v>51</v>
      </c>
      <c r="L1376">
        <f t="shared" ca="1" si="559"/>
        <v>38818.051231278128</v>
      </c>
      <c r="M1376">
        <f t="shared" ca="1" si="537"/>
        <v>201853.86640264626</v>
      </c>
      <c r="N1376">
        <f t="shared" ca="1" si="538"/>
        <v>2.5998258658784543</v>
      </c>
      <c r="O1376">
        <f t="shared" ca="1" si="539"/>
        <v>2.5265802884482871E-4</v>
      </c>
      <c r="P1376">
        <f t="shared" ca="1" si="540"/>
        <v>39450.000231278129</v>
      </c>
      <c r="Q1376">
        <f t="shared" ca="1" si="541"/>
        <v>39450.000231281381</v>
      </c>
      <c r="R1376">
        <f t="shared" ca="1" si="542"/>
        <v>4.0178129257556468E-12</v>
      </c>
      <c r="S1376">
        <f t="shared" ca="1" si="560"/>
        <v>4.999999946448952E-4</v>
      </c>
      <c r="T1376">
        <f t="shared" ca="1" si="561"/>
        <v>1</v>
      </c>
      <c r="U1376">
        <f t="shared" ca="1" si="543"/>
        <v>0.05</v>
      </c>
      <c r="V1376">
        <f t="shared" ca="1" si="544"/>
        <v>0.26</v>
      </c>
      <c r="W1376">
        <f t="shared" ca="1" si="545"/>
        <v>4.9056603773584909E-2</v>
      </c>
      <c r="X1376">
        <f t="shared" ca="1" si="546"/>
        <v>196.15384615384616</v>
      </c>
      <c r="Y1376">
        <f t="shared" ca="1" si="547"/>
        <v>631.99899999999991</v>
      </c>
      <c r="Z1376">
        <f t="shared" ca="1" si="548"/>
        <v>2593.0760316486621</v>
      </c>
      <c r="AA1376">
        <f t="shared" ca="1" si="549"/>
        <v>482.07306851378365</v>
      </c>
      <c r="AB1376">
        <f t="shared" ca="1" si="550"/>
        <v>482.07910543722255</v>
      </c>
      <c r="AC1376">
        <f t="shared" ca="1" si="551"/>
        <v>0</v>
      </c>
      <c r="AD1376">
        <f ca="1">IF(V32="Supercritical",L1376,U1376)</f>
        <v>0.05</v>
      </c>
      <c r="AE1376">
        <f t="shared" ca="1" si="552"/>
        <v>631.99899999999991</v>
      </c>
      <c r="AF1376">
        <f t="shared" ca="1" si="553"/>
        <v>2593.0760316486621</v>
      </c>
      <c r="AI1376">
        <v>0</v>
      </c>
      <c r="AJ1376">
        <v>0</v>
      </c>
      <c r="AK1376">
        <f t="shared" si="554"/>
        <v>0</v>
      </c>
      <c r="AL1376">
        <f t="shared" si="562"/>
        <v>0</v>
      </c>
      <c r="AM1376">
        <f t="shared" ca="1" si="555"/>
        <v>280.07692026646265</v>
      </c>
      <c r="AN1376" t="str">
        <f t="shared" ca="1" si="556"/>
        <v>Supercritical</v>
      </c>
      <c r="AO1376">
        <f ca="1">IF(V32="Supercritical",R1376,AA1376)</f>
        <v>482.07306851378365</v>
      </c>
    </row>
    <row r="1377" spans="1:41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174</v>
      </c>
      <c r="I1377">
        <v>2E-3</v>
      </c>
      <c r="J1377">
        <f t="shared" si="557"/>
        <v>1</v>
      </c>
      <c r="K1377">
        <f t="shared" si="558"/>
        <v>51</v>
      </c>
      <c r="L1377">
        <f t="shared" ca="1" si="559"/>
        <v>38818.051231278128</v>
      </c>
      <c r="M1377">
        <f t="shared" ca="1" si="537"/>
        <v>201853.86640264626</v>
      </c>
      <c r="N1377">
        <f t="shared" ca="1" si="538"/>
        <v>2.5998258658784543</v>
      </c>
      <c r="O1377">
        <f t="shared" ca="1" si="539"/>
        <v>2.5265802884482871E-4</v>
      </c>
      <c r="P1377">
        <f t="shared" ca="1" si="540"/>
        <v>39449.999731278127</v>
      </c>
      <c r="Q1377">
        <f t="shared" ca="1" si="541"/>
        <v>39449.999731281379</v>
      </c>
      <c r="R1377">
        <f t="shared" ca="1" si="542"/>
        <v>4.0178129257556468E-12</v>
      </c>
      <c r="S1377">
        <f t="shared" ca="1" si="560"/>
        <v>4.999999946448952E-4</v>
      </c>
      <c r="T1377">
        <f t="shared" ca="1" si="561"/>
        <v>1</v>
      </c>
      <c r="U1377">
        <f t="shared" ca="1" si="543"/>
        <v>0.05</v>
      </c>
      <c r="V1377">
        <f t="shared" ca="1" si="544"/>
        <v>0.26</v>
      </c>
      <c r="W1377">
        <f t="shared" ca="1" si="545"/>
        <v>4.9056603773584909E-2</v>
      </c>
      <c r="X1377">
        <f t="shared" ca="1" si="546"/>
        <v>196.15384615384616</v>
      </c>
      <c r="Y1377">
        <f t="shared" ca="1" si="547"/>
        <v>631.99849999999992</v>
      </c>
      <c r="Z1377">
        <f t="shared" ca="1" si="548"/>
        <v>2593.075531648662</v>
      </c>
      <c r="AA1377">
        <f t="shared" ca="1" si="549"/>
        <v>482.07306851378365</v>
      </c>
      <c r="AB1377">
        <f t="shared" ca="1" si="550"/>
        <v>482.5611785058345</v>
      </c>
      <c r="AC1377">
        <f t="shared" ca="1" si="551"/>
        <v>0</v>
      </c>
      <c r="AD1377">
        <f ca="1">IF(V32="Supercritical",L1377,U1377)</f>
        <v>0.05</v>
      </c>
      <c r="AE1377">
        <f t="shared" ca="1" si="552"/>
        <v>631.99849999999992</v>
      </c>
      <c r="AF1377">
        <f t="shared" ca="1" si="553"/>
        <v>2593.075531648662</v>
      </c>
      <c r="AI1377">
        <v>0</v>
      </c>
      <c r="AJ1377">
        <v>0</v>
      </c>
      <c r="AK1377">
        <f t="shared" si="554"/>
        <v>0</v>
      </c>
      <c r="AL1377">
        <f t="shared" si="562"/>
        <v>0</v>
      </c>
      <c r="AM1377">
        <f t="shared" ca="1" si="555"/>
        <v>280.07692026646265</v>
      </c>
      <c r="AN1377" t="str">
        <f t="shared" ca="1" si="556"/>
        <v>Supercritical</v>
      </c>
      <c r="AO1377">
        <f ca="1">IF(V32="Supercritical",R1377,AA1377)</f>
        <v>482.07306851378365</v>
      </c>
    </row>
    <row r="1378" spans="1:41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174</v>
      </c>
      <c r="I1378">
        <v>2E-3</v>
      </c>
      <c r="J1378">
        <f t="shared" si="557"/>
        <v>1.0010000000002037</v>
      </c>
      <c r="K1378">
        <f t="shared" si="558"/>
        <v>51</v>
      </c>
      <c r="L1378">
        <f t="shared" ca="1" si="559"/>
        <v>38818.051231278128</v>
      </c>
      <c r="M1378">
        <f t="shared" ca="1" si="537"/>
        <v>201853.86640264626</v>
      </c>
      <c r="N1378">
        <f t="shared" ca="1" si="538"/>
        <v>2.5998258658784543</v>
      </c>
      <c r="O1378">
        <f t="shared" ca="1" si="539"/>
        <v>2.5265802884482871E-4</v>
      </c>
      <c r="P1378">
        <f t="shared" ca="1" si="540"/>
        <v>39449.999231278125</v>
      </c>
      <c r="Q1378">
        <f t="shared" ca="1" si="541"/>
        <v>39449.999231281377</v>
      </c>
      <c r="R1378">
        <f t="shared" ca="1" si="542"/>
        <v>4.0178129257556468E-12</v>
      </c>
      <c r="S1378">
        <f t="shared" ca="1" si="560"/>
        <v>4.999999946448952E-4</v>
      </c>
      <c r="T1378">
        <f t="shared" ca="1" si="561"/>
        <v>1</v>
      </c>
      <c r="U1378">
        <f t="shared" ca="1" si="543"/>
        <v>0.05</v>
      </c>
      <c r="V1378">
        <f t="shared" ca="1" si="544"/>
        <v>0.26</v>
      </c>
      <c r="W1378">
        <f t="shared" ca="1" si="545"/>
        <v>4.9056603773584909E-2</v>
      </c>
      <c r="X1378">
        <f t="shared" ca="1" si="546"/>
        <v>196.15384615384616</v>
      </c>
      <c r="Y1378">
        <f t="shared" ca="1" si="547"/>
        <v>631.99799999999993</v>
      </c>
      <c r="Z1378">
        <f t="shared" ca="1" si="548"/>
        <v>2593.0750316486619</v>
      </c>
      <c r="AA1378">
        <f t="shared" ca="1" si="549"/>
        <v>482.07306851378365</v>
      </c>
      <c r="AB1378">
        <f t="shared" ca="1" si="550"/>
        <v>482.25887083179032</v>
      </c>
      <c r="AC1378">
        <f t="shared" ca="1" si="551"/>
        <v>0</v>
      </c>
      <c r="AD1378">
        <f ca="1">IF(V32="Supercritical",L1378,U1378)</f>
        <v>0.05</v>
      </c>
      <c r="AE1378">
        <f t="shared" ca="1" si="552"/>
        <v>631.99799999999993</v>
      </c>
      <c r="AF1378">
        <f t="shared" ca="1" si="553"/>
        <v>2593.0750316486619</v>
      </c>
      <c r="AI1378">
        <v>0</v>
      </c>
      <c r="AJ1378">
        <v>0</v>
      </c>
      <c r="AK1378">
        <f t="shared" si="554"/>
        <v>0</v>
      </c>
      <c r="AL1378">
        <f t="shared" si="562"/>
        <v>0</v>
      </c>
      <c r="AM1378">
        <f t="shared" ca="1" si="555"/>
        <v>280.07692026646265</v>
      </c>
      <c r="AN1378" t="str">
        <f t="shared" ca="1" si="556"/>
        <v>Supercritical</v>
      </c>
      <c r="AO1378">
        <f ca="1">IF(V32="Supercritical",R1378,AA1378)</f>
        <v>482.07306851378365</v>
      </c>
    </row>
    <row r="1379" spans="1:41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174</v>
      </c>
      <c r="I1379">
        <v>5.7000000000000002E-2</v>
      </c>
      <c r="J1379">
        <f t="shared" si="557"/>
        <v>1</v>
      </c>
      <c r="K1379">
        <f t="shared" si="558"/>
        <v>51</v>
      </c>
      <c r="L1379">
        <f t="shared" ca="1" si="559"/>
        <v>38818.051231278128</v>
      </c>
      <c r="M1379">
        <f t="shared" ca="1" si="537"/>
        <v>201853.86640264626</v>
      </c>
      <c r="N1379">
        <f t="shared" ca="1" si="538"/>
        <v>2.5998258658784543</v>
      </c>
      <c r="O1379">
        <f t="shared" ca="1" si="539"/>
        <v>2.5265802884482871E-4</v>
      </c>
      <c r="P1379">
        <f t="shared" ca="1" si="540"/>
        <v>39449.99873127813</v>
      </c>
      <c r="Q1379">
        <f t="shared" ca="1" si="541"/>
        <v>39449.998731281383</v>
      </c>
      <c r="R1379">
        <f t="shared" ca="1" si="542"/>
        <v>4.0178129257556468E-12</v>
      </c>
      <c r="S1379">
        <f t="shared" ca="1" si="560"/>
        <v>4.9999998736893758E-4</v>
      </c>
      <c r="T1379">
        <f t="shared" ca="1" si="561"/>
        <v>1</v>
      </c>
      <c r="U1379">
        <f t="shared" ca="1" si="543"/>
        <v>0.05</v>
      </c>
      <c r="V1379">
        <f t="shared" ca="1" si="544"/>
        <v>0.26</v>
      </c>
      <c r="W1379">
        <f t="shared" ca="1" si="545"/>
        <v>4.9056603773584909E-2</v>
      </c>
      <c r="X1379">
        <f t="shared" ca="1" si="546"/>
        <v>196.15384615384616</v>
      </c>
      <c r="Y1379">
        <f t="shared" ca="1" si="547"/>
        <v>631.99749999999995</v>
      </c>
      <c r="Z1379">
        <f t="shared" ca="1" si="548"/>
        <v>2593.0745316486618</v>
      </c>
      <c r="AA1379">
        <f t="shared" ca="1" si="549"/>
        <v>482.07306851378365</v>
      </c>
      <c r="AB1379">
        <f t="shared" ca="1" si="550"/>
        <v>482.25887083179077</v>
      </c>
      <c r="AC1379">
        <f t="shared" ca="1" si="551"/>
        <v>0</v>
      </c>
      <c r="AD1379">
        <f ca="1">IF(V32="Supercritical",L1379,U1379)</f>
        <v>0.05</v>
      </c>
      <c r="AE1379">
        <f t="shared" ca="1" si="552"/>
        <v>631.99749999999995</v>
      </c>
      <c r="AF1379">
        <f t="shared" ca="1" si="553"/>
        <v>2593.0745316486618</v>
      </c>
      <c r="AI1379">
        <v>0</v>
      </c>
      <c r="AJ1379">
        <v>0</v>
      </c>
      <c r="AK1379">
        <f t="shared" si="554"/>
        <v>0</v>
      </c>
      <c r="AL1379">
        <f t="shared" si="562"/>
        <v>0</v>
      </c>
      <c r="AM1379">
        <f t="shared" ca="1" si="555"/>
        <v>280.07692026646265</v>
      </c>
      <c r="AN1379" t="str">
        <f t="shared" ca="1" si="556"/>
        <v>Supercritical</v>
      </c>
      <c r="AO1379">
        <f ca="1">IF(V32="Supercritical",R1379,AA1379)</f>
        <v>482.07306851378365</v>
      </c>
    </row>
    <row r="1380" spans="1:41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174</v>
      </c>
      <c r="I1380">
        <v>5.7000000000000002E-2</v>
      </c>
      <c r="J1380">
        <f t="shared" si="557"/>
        <v>1</v>
      </c>
      <c r="K1380">
        <f t="shared" si="558"/>
        <v>51</v>
      </c>
      <c r="L1380">
        <f t="shared" ca="1" si="559"/>
        <v>38818.051231278128</v>
      </c>
      <c r="M1380">
        <f t="shared" ca="1" si="537"/>
        <v>201853.86640264626</v>
      </c>
      <c r="N1380">
        <f t="shared" ca="1" si="538"/>
        <v>2.5998258658784543</v>
      </c>
      <c r="O1380">
        <f t="shared" ca="1" si="539"/>
        <v>2.5265802884482871E-4</v>
      </c>
      <c r="P1380">
        <f t="shared" ca="1" si="540"/>
        <v>39449.998231278129</v>
      </c>
      <c r="Q1380">
        <f t="shared" ca="1" si="541"/>
        <v>39449.998231281381</v>
      </c>
      <c r="R1380">
        <f t="shared" ca="1" si="542"/>
        <v>4.0178129257556468E-12</v>
      </c>
      <c r="S1380">
        <f t="shared" ca="1" si="560"/>
        <v>4.999999946448952E-4</v>
      </c>
      <c r="T1380">
        <f t="shared" ca="1" si="561"/>
        <v>1</v>
      </c>
      <c r="U1380">
        <f t="shared" ca="1" si="543"/>
        <v>0.05</v>
      </c>
      <c r="V1380">
        <f t="shared" ca="1" si="544"/>
        <v>0.26</v>
      </c>
      <c r="W1380">
        <f t="shared" ca="1" si="545"/>
        <v>4.9056603773584909E-2</v>
      </c>
      <c r="X1380">
        <f t="shared" ca="1" si="546"/>
        <v>196.15384615384616</v>
      </c>
      <c r="Y1380">
        <f t="shared" ca="1" si="547"/>
        <v>631.99699999999996</v>
      </c>
      <c r="Z1380">
        <f t="shared" ca="1" si="548"/>
        <v>2593.0740316486622</v>
      </c>
      <c r="AA1380">
        <f t="shared" ca="1" si="549"/>
        <v>482.07306851378365</v>
      </c>
      <c r="AB1380">
        <f t="shared" ca="1" si="550"/>
        <v>481.59049544517165</v>
      </c>
      <c r="AC1380">
        <f t="shared" ca="1" si="551"/>
        <v>0</v>
      </c>
      <c r="AD1380">
        <f ca="1">IF(V32="Supercritical",L1380,U1380)</f>
        <v>0.05</v>
      </c>
      <c r="AE1380">
        <f t="shared" ca="1" si="552"/>
        <v>631.99699999999996</v>
      </c>
      <c r="AF1380">
        <f t="shared" ca="1" si="553"/>
        <v>2593.0740316486622</v>
      </c>
      <c r="AI1380">
        <v>0</v>
      </c>
      <c r="AJ1380">
        <v>0</v>
      </c>
      <c r="AK1380">
        <f t="shared" si="554"/>
        <v>0</v>
      </c>
      <c r="AL1380">
        <f t="shared" si="562"/>
        <v>0</v>
      </c>
      <c r="AM1380">
        <f t="shared" ca="1" si="555"/>
        <v>280.07692026646265</v>
      </c>
      <c r="AN1380" t="str">
        <f t="shared" ca="1" si="556"/>
        <v>Supercritical</v>
      </c>
      <c r="AO1380">
        <f ca="1">IF(V32="Supercritical",R1380,AA1380)</f>
        <v>482.07306851378365</v>
      </c>
    </row>
    <row r="1381" spans="1:41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174</v>
      </c>
      <c r="I1381">
        <v>0</v>
      </c>
      <c r="J1381">
        <f t="shared" si="557"/>
        <v>0.99899999999979627</v>
      </c>
      <c r="K1381">
        <f t="shared" si="558"/>
        <v>51</v>
      </c>
      <c r="L1381">
        <f t="shared" ca="1" si="559"/>
        <v>38818.051231278128</v>
      </c>
      <c r="M1381">
        <f t="shared" ca="1" si="537"/>
        <v>201853.86640264626</v>
      </c>
      <c r="N1381">
        <f t="shared" ca="1" si="538"/>
        <v>2.5998258658784543</v>
      </c>
      <c r="O1381">
        <f t="shared" ca="1" si="539"/>
        <v>2.5265802884482871E-4</v>
      </c>
      <c r="P1381">
        <f t="shared" ca="1" si="540"/>
        <v>39449.997731278127</v>
      </c>
      <c r="Q1381">
        <f t="shared" ca="1" si="541"/>
        <v>39449.997731281379</v>
      </c>
      <c r="R1381">
        <f t="shared" ca="1" si="542"/>
        <v>4.0178129257556468E-12</v>
      </c>
      <c r="S1381">
        <f t="shared" ca="1" si="560"/>
        <v>4.999999946448952E-4</v>
      </c>
      <c r="T1381">
        <f t="shared" ca="1" si="561"/>
        <v>1</v>
      </c>
      <c r="U1381">
        <f t="shared" ca="1" si="543"/>
        <v>0.05</v>
      </c>
      <c r="V1381">
        <f t="shared" ca="1" si="544"/>
        <v>0.26</v>
      </c>
      <c r="W1381">
        <f t="shared" ca="1" si="545"/>
        <v>4.9056603773584909E-2</v>
      </c>
      <c r="X1381">
        <f t="shared" ca="1" si="546"/>
        <v>196.15384615384616</v>
      </c>
      <c r="Y1381">
        <f t="shared" ca="1" si="547"/>
        <v>631.99649999999997</v>
      </c>
      <c r="Z1381">
        <f t="shared" ca="1" si="548"/>
        <v>2593.0735316486621</v>
      </c>
      <c r="AA1381">
        <f t="shared" ca="1" si="549"/>
        <v>482.07306851378365</v>
      </c>
      <c r="AB1381">
        <f t="shared" ca="1" si="550"/>
        <v>482.07256851378361</v>
      </c>
      <c r="AC1381">
        <f t="shared" ca="1" si="551"/>
        <v>0</v>
      </c>
      <c r="AD1381">
        <f ca="1">IF(V32="Supercritical",L1381,U1381)</f>
        <v>0.05</v>
      </c>
      <c r="AE1381">
        <f t="shared" ca="1" si="552"/>
        <v>631.99649999999997</v>
      </c>
      <c r="AF1381">
        <f t="shared" ca="1" si="553"/>
        <v>2593.0735316486621</v>
      </c>
      <c r="AI1381">
        <v>0</v>
      </c>
      <c r="AJ1381">
        <v>0</v>
      </c>
      <c r="AK1381">
        <f t="shared" si="554"/>
        <v>0</v>
      </c>
      <c r="AL1381">
        <f t="shared" si="562"/>
        <v>0</v>
      </c>
      <c r="AM1381">
        <f t="shared" ca="1" si="555"/>
        <v>280.07692026646265</v>
      </c>
      <c r="AN1381" t="str">
        <f t="shared" ca="1" si="556"/>
        <v>Supercritical</v>
      </c>
      <c r="AO1381">
        <f ca="1">IF(V32="Supercritical",R1381,AA1381)</f>
        <v>482.07306851378365</v>
      </c>
    </row>
    <row r="1382" spans="1:41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174</v>
      </c>
      <c r="I1382">
        <v>0</v>
      </c>
      <c r="J1382">
        <f t="shared" si="557"/>
        <v>1</v>
      </c>
      <c r="K1382">
        <f t="shared" si="558"/>
        <v>51</v>
      </c>
      <c r="L1382">
        <f t="shared" ca="1" si="559"/>
        <v>38818.051231278128</v>
      </c>
      <c r="M1382">
        <f t="shared" ca="1" si="537"/>
        <v>201853.86640264626</v>
      </c>
      <c r="N1382">
        <f t="shared" ca="1" si="538"/>
        <v>2.5998258658784543</v>
      </c>
      <c r="O1382">
        <f t="shared" ca="1" si="539"/>
        <v>2.5265802884482871E-4</v>
      </c>
      <c r="P1382">
        <f t="shared" ca="1" si="540"/>
        <v>39449.997231278132</v>
      </c>
      <c r="Q1382">
        <f t="shared" ca="1" si="541"/>
        <v>39449.997231281384</v>
      </c>
      <c r="R1382">
        <f t="shared" ca="1" si="542"/>
        <v>4.0178129257556468E-12</v>
      </c>
      <c r="S1382">
        <f t="shared" ca="1" si="560"/>
        <v>4.9999998736893758E-4</v>
      </c>
      <c r="T1382">
        <f t="shared" ca="1" si="561"/>
        <v>1</v>
      </c>
      <c r="U1382">
        <f t="shared" ca="1" si="543"/>
        <v>0.05</v>
      </c>
      <c r="V1382">
        <f t="shared" ca="1" si="544"/>
        <v>0.26</v>
      </c>
      <c r="W1382">
        <f t="shared" ca="1" si="545"/>
        <v>4.9056603773584909E-2</v>
      </c>
      <c r="X1382">
        <f t="shared" ca="1" si="546"/>
        <v>196.15384615384616</v>
      </c>
      <c r="Y1382">
        <f t="shared" ca="1" si="547"/>
        <v>631.99599999999998</v>
      </c>
      <c r="Z1382">
        <f t="shared" ca="1" si="548"/>
        <v>2593.073031648662</v>
      </c>
      <c r="AA1382">
        <f t="shared" ca="1" si="549"/>
        <v>482.07306851378365</v>
      </c>
      <c r="AB1382">
        <f t="shared" ca="1" si="550"/>
        <v>482.25887083179077</v>
      </c>
      <c r="AC1382">
        <f t="shared" ca="1" si="551"/>
        <v>0</v>
      </c>
      <c r="AD1382">
        <f ca="1">IF(V32="Supercritical",L1382,U1382)</f>
        <v>0.05</v>
      </c>
      <c r="AE1382">
        <f t="shared" ca="1" si="552"/>
        <v>631.99599999999998</v>
      </c>
      <c r="AF1382">
        <f t="shared" ca="1" si="553"/>
        <v>2593.073031648662</v>
      </c>
      <c r="AI1382">
        <v>0</v>
      </c>
      <c r="AJ1382">
        <v>0</v>
      </c>
      <c r="AK1382">
        <f t="shared" si="554"/>
        <v>0</v>
      </c>
      <c r="AL1382">
        <f t="shared" si="562"/>
        <v>0</v>
      </c>
      <c r="AM1382">
        <f t="shared" ca="1" si="555"/>
        <v>280.07692026646265</v>
      </c>
      <c r="AN1382" t="str">
        <f t="shared" ca="1" si="556"/>
        <v>Supercritical</v>
      </c>
      <c r="AO1382">
        <f ca="1">IF(V32="Supercritical",R1382,AA1382)</f>
        <v>482.07306851378365</v>
      </c>
    </row>
    <row r="1383" spans="1:41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174</v>
      </c>
      <c r="I1383">
        <v>5.7000000000000002E-2</v>
      </c>
      <c r="J1383">
        <f t="shared" si="557"/>
        <v>1</v>
      </c>
      <c r="K1383">
        <f t="shared" si="558"/>
        <v>51</v>
      </c>
      <c r="L1383">
        <f t="shared" ca="1" si="559"/>
        <v>38818.051231278128</v>
      </c>
      <c r="M1383">
        <f t="shared" ca="1" si="537"/>
        <v>201853.86640264626</v>
      </c>
      <c r="N1383">
        <f t="shared" ca="1" si="538"/>
        <v>2.5998258658784543</v>
      </c>
      <c r="O1383">
        <f t="shared" ca="1" si="539"/>
        <v>2.5265802884482871E-4</v>
      </c>
      <c r="P1383">
        <f t="shared" ca="1" si="540"/>
        <v>39449.99673127813</v>
      </c>
      <c r="Q1383">
        <f t="shared" ca="1" si="541"/>
        <v>39449.996731281382</v>
      </c>
      <c r="R1383">
        <f t="shared" ca="1" si="542"/>
        <v>4.0178129257556468E-12</v>
      </c>
      <c r="S1383">
        <f t="shared" ca="1" si="560"/>
        <v>4.999999946448952E-4</v>
      </c>
      <c r="T1383">
        <f t="shared" ca="1" si="561"/>
        <v>1</v>
      </c>
      <c r="U1383">
        <f t="shared" ca="1" si="543"/>
        <v>0.05</v>
      </c>
      <c r="V1383">
        <f t="shared" ca="1" si="544"/>
        <v>0.26</v>
      </c>
      <c r="W1383">
        <f t="shared" ca="1" si="545"/>
        <v>4.9056603773584909E-2</v>
      </c>
      <c r="X1383">
        <f t="shared" ca="1" si="546"/>
        <v>196.15384615384616</v>
      </c>
      <c r="Y1383">
        <f t="shared" ca="1" si="547"/>
        <v>631.99549999999999</v>
      </c>
      <c r="Z1383">
        <f t="shared" ca="1" si="548"/>
        <v>2593.0725316486623</v>
      </c>
      <c r="AA1383">
        <f t="shared" ca="1" si="549"/>
        <v>482.07306851378365</v>
      </c>
      <c r="AB1383">
        <f t="shared" ca="1" si="550"/>
        <v>482.25887083179032</v>
      </c>
      <c r="AC1383">
        <f t="shared" ca="1" si="551"/>
        <v>0</v>
      </c>
      <c r="AD1383">
        <f ca="1">IF(V32="Supercritical",L1383,U1383)</f>
        <v>0.05</v>
      </c>
      <c r="AE1383">
        <f t="shared" ca="1" si="552"/>
        <v>631.99549999999999</v>
      </c>
      <c r="AF1383">
        <f t="shared" ca="1" si="553"/>
        <v>2593.0725316486623</v>
      </c>
      <c r="AI1383">
        <v>0</v>
      </c>
      <c r="AJ1383">
        <v>0</v>
      </c>
      <c r="AK1383">
        <f t="shared" si="554"/>
        <v>0</v>
      </c>
      <c r="AL1383">
        <f t="shared" si="562"/>
        <v>0</v>
      </c>
      <c r="AM1383">
        <f t="shared" ca="1" si="555"/>
        <v>280.07692026646265</v>
      </c>
      <c r="AN1383" t="str">
        <f t="shared" ca="1" si="556"/>
        <v>Supercritical</v>
      </c>
      <c r="AO1383">
        <f ca="1">IF(V32="Supercritical",R1383,AA1383)</f>
        <v>482.07306851378365</v>
      </c>
    </row>
    <row r="1384" spans="1:41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174</v>
      </c>
      <c r="I1384">
        <v>5.7000000000000002E-2</v>
      </c>
      <c r="J1384">
        <f t="shared" si="557"/>
        <v>1</v>
      </c>
      <c r="K1384">
        <f t="shared" si="558"/>
        <v>51</v>
      </c>
      <c r="L1384">
        <f t="shared" ca="1" si="559"/>
        <v>38818.051231278128</v>
      </c>
      <c r="M1384">
        <f t="shared" ca="1" si="537"/>
        <v>201853.86640264626</v>
      </c>
      <c r="N1384">
        <f t="shared" ca="1" si="538"/>
        <v>2.5998258658784543</v>
      </c>
      <c r="O1384">
        <f t="shared" ca="1" si="539"/>
        <v>2.5265802884482871E-4</v>
      </c>
      <c r="P1384">
        <f t="shared" ca="1" si="540"/>
        <v>39449.996231278128</v>
      </c>
      <c r="Q1384">
        <f t="shared" ca="1" si="541"/>
        <v>39449.99623128138</v>
      </c>
      <c r="R1384">
        <f t="shared" ca="1" si="542"/>
        <v>4.0178129257556468E-12</v>
      </c>
      <c r="S1384">
        <f t="shared" ca="1" si="560"/>
        <v>4.999999946448952E-4</v>
      </c>
      <c r="T1384">
        <f t="shared" ca="1" si="561"/>
        <v>1</v>
      </c>
      <c r="U1384">
        <f t="shared" ca="1" si="543"/>
        <v>0.05</v>
      </c>
      <c r="V1384">
        <f t="shared" ca="1" si="544"/>
        <v>0.26</v>
      </c>
      <c r="W1384">
        <f t="shared" ca="1" si="545"/>
        <v>4.9056603773584909E-2</v>
      </c>
      <c r="X1384">
        <f t="shared" ca="1" si="546"/>
        <v>196.15384615384616</v>
      </c>
      <c r="Y1384">
        <f t="shared" ca="1" si="547"/>
        <v>631.995</v>
      </c>
      <c r="Z1384">
        <f t="shared" ca="1" si="548"/>
        <v>2593.0720316486622</v>
      </c>
      <c r="AA1384">
        <f t="shared" ca="1" si="549"/>
        <v>482.07306851378365</v>
      </c>
      <c r="AB1384">
        <f t="shared" ca="1" si="550"/>
        <v>482.07256851378361</v>
      </c>
      <c r="AC1384">
        <f t="shared" ca="1" si="551"/>
        <v>0</v>
      </c>
      <c r="AD1384">
        <f ca="1">IF(V32="Supercritical",L1384,U1384)</f>
        <v>0.05</v>
      </c>
      <c r="AE1384">
        <f t="shared" ca="1" si="552"/>
        <v>631.995</v>
      </c>
      <c r="AF1384">
        <f t="shared" ca="1" si="553"/>
        <v>2593.0720316486622</v>
      </c>
      <c r="AI1384">
        <v>0</v>
      </c>
      <c r="AJ1384">
        <v>0</v>
      </c>
      <c r="AK1384">
        <f t="shared" si="554"/>
        <v>0</v>
      </c>
      <c r="AL1384">
        <f t="shared" si="562"/>
        <v>0</v>
      </c>
      <c r="AM1384">
        <f t="shared" ca="1" si="555"/>
        <v>280.07692026646265</v>
      </c>
      <c r="AN1384" t="str">
        <f t="shared" ca="1" si="556"/>
        <v>Supercritical</v>
      </c>
      <c r="AO1384">
        <f ca="1">IF(V32="Supercritical",R1384,AA1384)</f>
        <v>482.07306851378365</v>
      </c>
    </row>
    <row r="1385" spans="1:41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174</v>
      </c>
      <c r="I1385">
        <v>0</v>
      </c>
      <c r="J1385">
        <f t="shared" si="557"/>
        <v>1</v>
      </c>
      <c r="K1385">
        <f t="shared" si="558"/>
        <v>51</v>
      </c>
      <c r="L1385">
        <f t="shared" ca="1" si="559"/>
        <v>38818.051231278128</v>
      </c>
      <c r="M1385">
        <f t="shared" ca="1" si="537"/>
        <v>201853.86640264626</v>
      </c>
      <c r="N1385">
        <f t="shared" ca="1" si="538"/>
        <v>2.5998258658784543</v>
      </c>
      <c r="O1385">
        <f t="shared" ca="1" si="539"/>
        <v>2.5265802884482871E-4</v>
      </c>
      <c r="P1385">
        <f t="shared" ca="1" si="540"/>
        <v>39449.995731278126</v>
      </c>
      <c r="Q1385">
        <f t="shared" ca="1" si="541"/>
        <v>39449.995731281379</v>
      </c>
      <c r="R1385">
        <f t="shared" ca="1" si="542"/>
        <v>4.0178129257556468E-12</v>
      </c>
      <c r="S1385">
        <f t="shared" ca="1" si="560"/>
        <v>4.999999946448952E-4</v>
      </c>
      <c r="T1385">
        <f t="shared" ca="1" si="561"/>
        <v>1</v>
      </c>
      <c r="U1385">
        <f t="shared" ca="1" si="543"/>
        <v>0.05</v>
      </c>
      <c r="V1385">
        <f t="shared" ca="1" si="544"/>
        <v>0.26</v>
      </c>
      <c r="W1385">
        <f t="shared" ca="1" si="545"/>
        <v>4.9056603773584909E-2</v>
      </c>
      <c r="X1385">
        <f t="shared" ca="1" si="546"/>
        <v>196.15384615384616</v>
      </c>
      <c r="Y1385">
        <f t="shared" ca="1" si="547"/>
        <v>631.9944999999999</v>
      </c>
      <c r="Z1385">
        <f t="shared" ca="1" si="548"/>
        <v>2593.0715316486621</v>
      </c>
      <c r="AA1385">
        <f t="shared" ca="1" si="549"/>
        <v>482.07306851378365</v>
      </c>
      <c r="AB1385">
        <f t="shared" ca="1" si="550"/>
        <v>482.07910543722255</v>
      </c>
      <c r="AC1385">
        <f t="shared" ca="1" si="551"/>
        <v>0</v>
      </c>
      <c r="AD1385">
        <f ca="1">IF(V32="Supercritical",L1385,U1385)</f>
        <v>0.05</v>
      </c>
      <c r="AE1385">
        <f t="shared" ca="1" si="552"/>
        <v>631.9944999999999</v>
      </c>
      <c r="AF1385">
        <f t="shared" ca="1" si="553"/>
        <v>2593.0715316486621</v>
      </c>
      <c r="AI1385">
        <v>0</v>
      </c>
      <c r="AJ1385">
        <v>0</v>
      </c>
      <c r="AK1385">
        <f t="shared" si="554"/>
        <v>0</v>
      </c>
      <c r="AL1385">
        <f t="shared" si="562"/>
        <v>0</v>
      </c>
      <c r="AM1385">
        <f t="shared" ca="1" si="555"/>
        <v>280.07692026646265</v>
      </c>
      <c r="AN1385" t="str">
        <f t="shared" ca="1" si="556"/>
        <v>Supercritical</v>
      </c>
      <c r="AO1385">
        <f ca="1">IF(V32="Supercritical",R1385,AA1385)</f>
        <v>482.07306851378365</v>
      </c>
    </row>
    <row r="1386" spans="1:41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174</v>
      </c>
      <c r="I1386">
        <v>2E-3</v>
      </c>
      <c r="J1386">
        <f t="shared" si="557"/>
        <v>1</v>
      </c>
      <c r="K1386">
        <f t="shared" si="558"/>
        <v>51</v>
      </c>
      <c r="L1386">
        <f t="shared" ca="1" si="559"/>
        <v>38818.051231278128</v>
      </c>
      <c r="M1386">
        <f t="shared" ca="1" si="537"/>
        <v>201853.86640264626</v>
      </c>
      <c r="N1386">
        <f t="shared" ca="1" si="538"/>
        <v>2.5998258658784543</v>
      </c>
      <c r="O1386">
        <f t="shared" ca="1" si="539"/>
        <v>2.5265802884482871E-4</v>
      </c>
      <c r="P1386">
        <f t="shared" ca="1" si="540"/>
        <v>39449.995231278132</v>
      </c>
      <c r="Q1386">
        <f t="shared" ca="1" si="541"/>
        <v>39449.995231281384</v>
      </c>
      <c r="R1386">
        <f t="shared" ca="1" si="542"/>
        <v>4.0178129257556468E-12</v>
      </c>
      <c r="S1386">
        <f t="shared" ca="1" si="560"/>
        <v>4.9999998736893758E-4</v>
      </c>
      <c r="T1386">
        <f t="shared" ca="1" si="561"/>
        <v>1</v>
      </c>
      <c r="U1386">
        <f t="shared" ca="1" si="543"/>
        <v>0.05</v>
      </c>
      <c r="V1386">
        <f t="shared" ca="1" si="544"/>
        <v>0.26</v>
      </c>
      <c r="W1386">
        <f t="shared" ca="1" si="545"/>
        <v>4.9056603773584909E-2</v>
      </c>
      <c r="X1386">
        <f t="shared" ca="1" si="546"/>
        <v>196.15384615384616</v>
      </c>
      <c r="Y1386">
        <f t="shared" ca="1" si="547"/>
        <v>631.99399999999991</v>
      </c>
      <c r="Z1386">
        <f t="shared" ca="1" si="548"/>
        <v>2593.071031648662</v>
      </c>
      <c r="AA1386">
        <f t="shared" ca="1" si="549"/>
        <v>482.07306851378365</v>
      </c>
      <c r="AB1386">
        <f t="shared" ca="1" si="550"/>
        <v>482.75074928556023</v>
      </c>
      <c r="AC1386">
        <f t="shared" ca="1" si="551"/>
        <v>0</v>
      </c>
      <c r="AD1386">
        <f ca="1">IF(V32="Supercritical",L1386,U1386)</f>
        <v>0.05</v>
      </c>
      <c r="AE1386">
        <f t="shared" ca="1" si="552"/>
        <v>631.99399999999991</v>
      </c>
      <c r="AF1386">
        <f t="shared" ca="1" si="553"/>
        <v>2593.071031648662</v>
      </c>
      <c r="AI1386">
        <v>0</v>
      </c>
      <c r="AJ1386">
        <v>0</v>
      </c>
      <c r="AK1386">
        <f t="shared" si="554"/>
        <v>0</v>
      </c>
      <c r="AL1386">
        <f t="shared" si="562"/>
        <v>0</v>
      </c>
      <c r="AM1386">
        <f t="shared" ca="1" si="555"/>
        <v>280.07692026646265</v>
      </c>
      <c r="AN1386" t="str">
        <f t="shared" ca="1" si="556"/>
        <v>Supercritical</v>
      </c>
      <c r="AO1386">
        <f ca="1">IF(V32="Supercritical",R1386,AA1386)</f>
        <v>482.07306851378365</v>
      </c>
    </row>
    <row r="1387" spans="1:41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174</v>
      </c>
      <c r="I1387">
        <v>0.06</v>
      </c>
      <c r="J1387">
        <f t="shared" si="557"/>
        <v>1.0010000000002037</v>
      </c>
      <c r="K1387">
        <f t="shared" si="558"/>
        <v>51</v>
      </c>
      <c r="L1387">
        <f t="shared" ca="1" si="559"/>
        <v>38818.051231278128</v>
      </c>
      <c r="M1387">
        <f t="shared" ca="1" si="537"/>
        <v>201853.86640264626</v>
      </c>
      <c r="N1387">
        <f t="shared" ca="1" si="538"/>
        <v>2.5998258658784543</v>
      </c>
      <c r="O1387">
        <f t="shared" ca="1" si="539"/>
        <v>2.5265802884482871E-4</v>
      </c>
      <c r="P1387">
        <f t="shared" ca="1" si="540"/>
        <v>39449.99473127813</v>
      </c>
      <c r="Q1387">
        <f t="shared" ca="1" si="541"/>
        <v>39449.994731281382</v>
      </c>
      <c r="R1387">
        <f t="shared" ca="1" si="542"/>
        <v>4.0178129257556468E-12</v>
      </c>
      <c r="S1387">
        <f t="shared" ca="1" si="560"/>
        <v>4.999999946448952E-4</v>
      </c>
      <c r="T1387">
        <f t="shared" ca="1" si="561"/>
        <v>1</v>
      </c>
      <c r="U1387">
        <f t="shared" ca="1" si="543"/>
        <v>0.05</v>
      </c>
      <c r="V1387">
        <f t="shared" ca="1" si="544"/>
        <v>0.26</v>
      </c>
      <c r="W1387">
        <f t="shared" ca="1" si="545"/>
        <v>4.9056603773584909E-2</v>
      </c>
      <c r="X1387">
        <f t="shared" ca="1" si="546"/>
        <v>196.15384615384616</v>
      </c>
      <c r="Y1387">
        <f t="shared" ca="1" si="547"/>
        <v>631.99349999999993</v>
      </c>
      <c r="Z1387">
        <f t="shared" ca="1" si="548"/>
        <v>2593.0705316486619</v>
      </c>
      <c r="AA1387">
        <f t="shared" ca="1" si="549"/>
        <v>482.07306851378365</v>
      </c>
      <c r="AB1387">
        <f t="shared" ca="1" si="550"/>
        <v>482.25887083179032</v>
      </c>
      <c r="AC1387">
        <f t="shared" ca="1" si="551"/>
        <v>0</v>
      </c>
      <c r="AD1387">
        <f ca="1">IF(V32="Supercritical",L1387,U1387)</f>
        <v>0.05</v>
      </c>
      <c r="AE1387">
        <f t="shared" ca="1" si="552"/>
        <v>631.99349999999993</v>
      </c>
      <c r="AF1387">
        <f t="shared" ca="1" si="553"/>
        <v>2593.0705316486619</v>
      </c>
      <c r="AI1387">
        <v>0</v>
      </c>
      <c r="AJ1387">
        <v>0</v>
      </c>
      <c r="AK1387">
        <f t="shared" si="554"/>
        <v>0</v>
      </c>
      <c r="AL1387">
        <f t="shared" si="562"/>
        <v>0</v>
      </c>
      <c r="AM1387">
        <f t="shared" ca="1" si="555"/>
        <v>280.07692026646265</v>
      </c>
      <c r="AN1387" t="str">
        <f t="shared" ca="1" si="556"/>
        <v>Supercritical</v>
      </c>
      <c r="AO1387">
        <f ca="1">IF(V32="Supercritical",R1387,AA1387)</f>
        <v>482.07306851378365</v>
      </c>
    </row>
    <row r="1388" spans="1:41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174</v>
      </c>
      <c r="I1388">
        <v>5.7000000000000002E-2</v>
      </c>
      <c r="J1388">
        <f t="shared" si="557"/>
        <v>1</v>
      </c>
      <c r="K1388">
        <f t="shared" si="558"/>
        <v>51</v>
      </c>
      <c r="L1388">
        <f t="shared" ca="1" si="559"/>
        <v>38818.051231278128</v>
      </c>
      <c r="M1388">
        <f t="shared" ca="1" si="537"/>
        <v>201853.86640264626</v>
      </c>
      <c r="N1388">
        <f t="shared" ca="1" si="538"/>
        <v>2.5998258658784543</v>
      </c>
      <c r="O1388">
        <f t="shared" ca="1" si="539"/>
        <v>2.5265802884482871E-4</v>
      </c>
      <c r="P1388">
        <f t="shared" ca="1" si="540"/>
        <v>39449.994231278128</v>
      </c>
      <c r="Q1388">
        <f t="shared" ca="1" si="541"/>
        <v>39449.99423128138</v>
      </c>
      <c r="R1388">
        <f t="shared" ca="1" si="542"/>
        <v>4.0178129257556468E-12</v>
      </c>
      <c r="S1388">
        <f t="shared" ca="1" si="560"/>
        <v>4.999999946448952E-4</v>
      </c>
      <c r="T1388">
        <f t="shared" ca="1" si="561"/>
        <v>1</v>
      </c>
      <c r="U1388">
        <f t="shared" ca="1" si="543"/>
        <v>0.05</v>
      </c>
      <c r="V1388">
        <f t="shared" ca="1" si="544"/>
        <v>0.26</v>
      </c>
      <c r="W1388">
        <f t="shared" ca="1" si="545"/>
        <v>4.9056603773584909E-2</v>
      </c>
      <c r="X1388">
        <f t="shared" ca="1" si="546"/>
        <v>196.15384615384616</v>
      </c>
      <c r="Y1388">
        <f t="shared" ca="1" si="547"/>
        <v>631.99299999999994</v>
      </c>
      <c r="Z1388">
        <f t="shared" ca="1" si="548"/>
        <v>2593.0700316486618</v>
      </c>
      <c r="AA1388">
        <f t="shared" ca="1" si="549"/>
        <v>482.07306851378365</v>
      </c>
      <c r="AB1388">
        <f t="shared" ca="1" si="550"/>
        <v>482.07256851378406</v>
      </c>
      <c r="AC1388">
        <f t="shared" ca="1" si="551"/>
        <v>0</v>
      </c>
      <c r="AD1388">
        <f ca="1">IF(V32="Supercritical",L1388,U1388)</f>
        <v>0.05</v>
      </c>
      <c r="AE1388">
        <f t="shared" ca="1" si="552"/>
        <v>631.99299999999994</v>
      </c>
      <c r="AF1388">
        <f t="shared" ca="1" si="553"/>
        <v>2593.0700316486618</v>
      </c>
      <c r="AI1388">
        <v>0</v>
      </c>
      <c r="AJ1388">
        <v>0</v>
      </c>
      <c r="AK1388">
        <f t="shared" si="554"/>
        <v>0</v>
      </c>
      <c r="AL1388">
        <f t="shared" si="562"/>
        <v>0</v>
      </c>
      <c r="AM1388">
        <f t="shared" ca="1" si="555"/>
        <v>280.07692026646265</v>
      </c>
      <c r="AN1388" t="str">
        <f t="shared" ca="1" si="556"/>
        <v>Supercritical</v>
      </c>
      <c r="AO1388">
        <f ca="1">IF(V32="Supercritical",R1388,AA1388)</f>
        <v>482.07306851378365</v>
      </c>
    </row>
    <row r="1389" spans="1:41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174</v>
      </c>
      <c r="I1389">
        <v>0</v>
      </c>
      <c r="J1389">
        <f t="shared" si="557"/>
        <v>1</v>
      </c>
      <c r="K1389">
        <f t="shared" si="558"/>
        <v>51</v>
      </c>
      <c r="L1389">
        <f t="shared" ca="1" si="559"/>
        <v>38818.051231278128</v>
      </c>
      <c r="M1389">
        <f t="shared" ca="1" si="537"/>
        <v>201853.86640264626</v>
      </c>
      <c r="N1389">
        <f t="shared" ca="1" si="538"/>
        <v>2.5998258658784543</v>
      </c>
      <c r="O1389">
        <f t="shared" ca="1" si="539"/>
        <v>2.5265802884482871E-4</v>
      </c>
      <c r="P1389">
        <f t="shared" ca="1" si="540"/>
        <v>39449.993731278126</v>
      </c>
      <c r="Q1389">
        <f t="shared" ca="1" si="541"/>
        <v>39449.993731281378</v>
      </c>
      <c r="R1389">
        <f t="shared" ca="1" si="542"/>
        <v>4.0178129257556468E-12</v>
      </c>
      <c r="S1389">
        <f t="shared" ca="1" si="560"/>
        <v>4.999999946448952E-4</v>
      </c>
      <c r="T1389">
        <f t="shared" ca="1" si="561"/>
        <v>1</v>
      </c>
      <c r="U1389">
        <f t="shared" ca="1" si="543"/>
        <v>0.05</v>
      </c>
      <c r="V1389">
        <f t="shared" ca="1" si="544"/>
        <v>0.26</v>
      </c>
      <c r="W1389">
        <f t="shared" ca="1" si="545"/>
        <v>4.9056603773584909E-2</v>
      </c>
      <c r="X1389">
        <f t="shared" ca="1" si="546"/>
        <v>196.15384615384616</v>
      </c>
      <c r="Y1389">
        <f t="shared" ca="1" si="547"/>
        <v>631.99249999999995</v>
      </c>
      <c r="Z1389">
        <f t="shared" ca="1" si="548"/>
        <v>2593.0695316486622</v>
      </c>
      <c r="AA1389">
        <f t="shared" ca="1" si="549"/>
        <v>482.07306851378365</v>
      </c>
      <c r="AB1389">
        <f t="shared" ca="1" si="550"/>
        <v>481.59049544517165</v>
      </c>
      <c r="AC1389">
        <f t="shared" ca="1" si="551"/>
        <v>0</v>
      </c>
      <c r="AD1389">
        <f ca="1">IF(V32="Supercritical",L1389,U1389)</f>
        <v>0.05</v>
      </c>
      <c r="AE1389">
        <f t="shared" ca="1" si="552"/>
        <v>631.99249999999995</v>
      </c>
      <c r="AF1389">
        <f t="shared" ca="1" si="553"/>
        <v>2593.0695316486622</v>
      </c>
      <c r="AI1389">
        <v>0</v>
      </c>
      <c r="AJ1389">
        <v>0</v>
      </c>
      <c r="AK1389">
        <f t="shared" si="554"/>
        <v>0</v>
      </c>
      <c r="AL1389">
        <f t="shared" si="562"/>
        <v>0</v>
      </c>
      <c r="AM1389">
        <f t="shared" ca="1" si="555"/>
        <v>280.07692026646265</v>
      </c>
      <c r="AN1389" t="str">
        <f t="shared" ca="1" si="556"/>
        <v>Supercritical</v>
      </c>
      <c r="AO1389">
        <f ca="1">IF(V32="Supercritical",R1389,AA1389)</f>
        <v>482.07306851378365</v>
      </c>
    </row>
    <row r="1390" spans="1:41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174</v>
      </c>
      <c r="I1390">
        <v>0</v>
      </c>
      <c r="J1390">
        <f t="shared" si="557"/>
        <v>0.99899999999979627</v>
      </c>
      <c r="K1390">
        <f t="shared" si="558"/>
        <v>51</v>
      </c>
      <c r="L1390">
        <f t="shared" ca="1" si="559"/>
        <v>38818.051231278128</v>
      </c>
      <c r="M1390">
        <f t="shared" ca="1" si="537"/>
        <v>201853.86640264626</v>
      </c>
      <c r="N1390">
        <f t="shared" ca="1" si="538"/>
        <v>2.5998258658784543</v>
      </c>
      <c r="O1390">
        <f t="shared" ca="1" si="539"/>
        <v>2.5265802884482871E-4</v>
      </c>
      <c r="P1390">
        <f t="shared" ca="1" si="540"/>
        <v>39449.993231278131</v>
      </c>
      <c r="Q1390">
        <f t="shared" ca="1" si="541"/>
        <v>39449.993231281383</v>
      </c>
      <c r="R1390">
        <f t="shared" ca="1" si="542"/>
        <v>4.0178129257556468E-12</v>
      </c>
      <c r="S1390">
        <f t="shared" ca="1" si="560"/>
        <v>4.9999998736893758E-4</v>
      </c>
      <c r="T1390">
        <f t="shared" ca="1" si="561"/>
        <v>1</v>
      </c>
      <c r="U1390">
        <f t="shared" ca="1" si="543"/>
        <v>0.05</v>
      </c>
      <c r="V1390">
        <f t="shared" ca="1" si="544"/>
        <v>0.26</v>
      </c>
      <c r="W1390">
        <f t="shared" ca="1" si="545"/>
        <v>4.9056603773584909E-2</v>
      </c>
      <c r="X1390">
        <f t="shared" ca="1" si="546"/>
        <v>196.15384615384616</v>
      </c>
      <c r="Y1390">
        <f t="shared" ca="1" si="547"/>
        <v>631.99199999999996</v>
      </c>
      <c r="Z1390">
        <f t="shared" ca="1" si="548"/>
        <v>2593.0690316486621</v>
      </c>
      <c r="AA1390">
        <f t="shared" ca="1" si="549"/>
        <v>482.07306851378365</v>
      </c>
      <c r="AB1390">
        <f t="shared" ca="1" si="550"/>
        <v>482.25887083179032</v>
      </c>
      <c r="AC1390">
        <f t="shared" ca="1" si="551"/>
        <v>0</v>
      </c>
      <c r="AD1390">
        <f ca="1">IF(V32="Supercritical",L1390,U1390)</f>
        <v>0.05</v>
      </c>
      <c r="AE1390">
        <f t="shared" ca="1" si="552"/>
        <v>631.99199999999996</v>
      </c>
      <c r="AF1390">
        <f t="shared" ca="1" si="553"/>
        <v>2593.0690316486621</v>
      </c>
      <c r="AI1390">
        <v>0</v>
      </c>
      <c r="AJ1390">
        <v>0</v>
      </c>
      <c r="AK1390">
        <f t="shared" si="554"/>
        <v>0</v>
      </c>
      <c r="AL1390">
        <f t="shared" si="562"/>
        <v>0</v>
      </c>
      <c r="AM1390">
        <f t="shared" ca="1" si="555"/>
        <v>280.07692026646265</v>
      </c>
      <c r="AN1390" t="str">
        <f t="shared" ca="1" si="556"/>
        <v>Supercritical</v>
      </c>
      <c r="AO1390">
        <f ca="1">IF(V32="Supercritical",R1390,AA1390)</f>
        <v>482.07306851378365</v>
      </c>
    </row>
    <row r="1391" spans="1:41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174</v>
      </c>
      <c r="I1391">
        <v>5.7000000000000002E-2</v>
      </c>
      <c r="J1391">
        <f t="shared" si="557"/>
        <v>1</v>
      </c>
      <c r="K1391">
        <f t="shared" si="558"/>
        <v>51</v>
      </c>
      <c r="L1391">
        <f t="shared" ca="1" si="559"/>
        <v>38818.051231278128</v>
      </c>
      <c r="M1391">
        <f t="shared" ca="1" si="537"/>
        <v>201853.86640264626</v>
      </c>
      <c r="N1391">
        <f t="shared" ca="1" si="538"/>
        <v>2.5998258658784543</v>
      </c>
      <c r="O1391">
        <f t="shared" ca="1" si="539"/>
        <v>2.5265802884482871E-4</v>
      </c>
      <c r="P1391">
        <f t="shared" ca="1" si="540"/>
        <v>39449.992731278129</v>
      </c>
      <c r="Q1391">
        <f t="shared" ca="1" si="541"/>
        <v>39449.992731281382</v>
      </c>
      <c r="R1391">
        <f t="shared" ca="1" si="542"/>
        <v>4.0178129257556468E-12</v>
      </c>
      <c r="S1391">
        <f t="shared" ca="1" si="560"/>
        <v>4.999999946448952E-4</v>
      </c>
      <c r="T1391">
        <f t="shared" ca="1" si="561"/>
        <v>1</v>
      </c>
      <c r="U1391">
        <f t="shared" ca="1" si="543"/>
        <v>0.05</v>
      </c>
      <c r="V1391">
        <f t="shared" ca="1" si="544"/>
        <v>0.26</v>
      </c>
      <c r="W1391">
        <f t="shared" ca="1" si="545"/>
        <v>4.9056603773584909E-2</v>
      </c>
      <c r="X1391">
        <f t="shared" ca="1" si="546"/>
        <v>196.15384615384616</v>
      </c>
      <c r="Y1391">
        <f t="shared" ca="1" si="547"/>
        <v>631.99149999999997</v>
      </c>
      <c r="Z1391">
        <f t="shared" ca="1" si="548"/>
        <v>2593.068531648662</v>
      </c>
      <c r="AA1391">
        <f t="shared" ca="1" si="549"/>
        <v>482.07306851378365</v>
      </c>
      <c r="AB1391">
        <f t="shared" ca="1" si="550"/>
        <v>482.25887083179077</v>
      </c>
      <c r="AC1391">
        <f t="shared" ca="1" si="551"/>
        <v>0</v>
      </c>
      <c r="AD1391">
        <f ca="1">IF(V32="Supercritical",L1391,U1391)</f>
        <v>0.05</v>
      </c>
      <c r="AE1391">
        <f t="shared" ca="1" si="552"/>
        <v>631.99149999999997</v>
      </c>
      <c r="AF1391">
        <f t="shared" ca="1" si="553"/>
        <v>2593.068531648662</v>
      </c>
      <c r="AI1391">
        <v>0</v>
      </c>
      <c r="AJ1391">
        <v>0</v>
      </c>
      <c r="AK1391">
        <f t="shared" si="554"/>
        <v>0</v>
      </c>
      <c r="AL1391">
        <f t="shared" si="562"/>
        <v>0</v>
      </c>
      <c r="AM1391">
        <f t="shared" ca="1" si="555"/>
        <v>280.07692026646265</v>
      </c>
      <c r="AN1391" t="str">
        <f t="shared" ca="1" si="556"/>
        <v>Supercritical</v>
      </c>
      <c r="AO1391">
        <f ca="1">IF(V32="Supercritical",R1391,AA1391)</f>
        <v>482.07306851378365</v>
      </c>
    </row>
    <row r="1392" spans="1:41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174</v>
      </c>
      <c r="I1392">
        <v>5.7000000000000002E-2</v>
      </c>
      <c r="J1392">
        <f t="shared" si="557"/>
        <v>1</v>
      </c>
      <c r="K1392">
        <f t="shared" si="558"/>
        <v>51</v>
      </c>
      <c r="L1392">
        <f t="shared" ca="1" si="559"/>
        <v>38818.051231278128</v>
      </c>
      <c r="M1392">
        <f t="shared" ca="1" si="537"/>
        <v>201853.86640264626</v>
      </c>
      <c r="N1392">
        <f t="shared" ca="1" si="538"/>
        <v>2.5998258658784543</v>
      </c>
      <c r="O1392">
        <f t="shared" ca="1" si="539"/>
        <v>2.5265802884482871E-4</v>
      </c>
      <c r="P1392">
        <f t="shared" ca="1" si="540"/>
        <v>39449.992231278127</v>
      </c>
      <c r="Q1392">
        <f t="shared" ca="1" si="541"/>
        <v>39449.99223128138</v>
      </c>
      <c r="R1392">
        <f t="shared" ca="1" si="542"/>
        <v>4.0178129257556468E-12</v>
      </c>
      <c r="S1392">
        <f t="shared" ca="1" si="560"/>
        <v>4.999999946448952E-4</v>
      </c>
      <c r="T1392">
        <f t="shared" ca="1" si="561"/>
        <v>1</v>
      </c>
      <c r="U1392">
        <f t="shared" ca="1" si="543"/>
        <v>0.05</v>
      </c>
      <c r="V1392">
        <f t="shared" ca="1" si="544"/>
        <v>0.26</v>
      </c>
      <c r="W1392">
        <f t="shared" ca="1" si="545"/>
        <v>4.9056603773584909E-2</v>
      </c>
      <c r="X1392">
        <f t="shared" ca="1" si="546"/>
        <v>196.15384615384616</v>
      </c>
      <c r="Y1392">
        <f t="shared" ca="1" si="547"/>
        <v>631.99099999999999</v>
      </c>
      <c r="Z1392">
        <f t="shared" ca="1" si="548"/>
        <v>2593.0680316486623</v>
      </c>
      <c r="AA1392">
        <f t="shared" ca="1" si="549"/>
        <v>482.07306851378365</v>
      </c>
      <c r="AB1392">
        <f t="shared" ca="1" si="550"/>
        <v>482.07256851378361</v>
      </c>
      <c r="AC1392">
        <f t="shared" ca="1" si="551"/>
        <v>0</v>
      </c>
      <c r="AD1392">
        <f ca="1">IF(V32="Supercritical",L1392,U1392)</f>
        <v>0.05</v>
      </c>
      <c r="AE1392">
        <f t="shared" ca="1" si="552"/>
        <v>631.99099999999999</v>
      </c>
      <c r="AF1392">
        <f t="shared" ca="1" si="553"/>
        <v>2593.0680316486623</v>
      </c>
      <c r="AI1392">
        <v>0</v>
      </c>
      <c r="AJ1392">
        <v>0</v>
      </c>
      <c r="AK1392">
        <f t="shared" si="554"/>
        <v>0</v>
      </c>
      <c r="AL1392">
        <f t="shared" si="562"/>
        <v>0</v>
      </c>
      <c r="AM1392">
        <f t="shared" ca="1" si="555"/>
        <v>280.07692026646265</v>
      </c>
      <c r="AN1392" t="str">
        <f t="shared" ca="1" si="556"/>
        <v>Supercritical</v>
      </c>
      <c r="AO1392">
        <f ca="1">IF(V32="Supercritical",R1392,AA1392)</f>
        <v>482.07306851378365</v>
      </c>
    </row>
    <row r="1393" spans="1:41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174</v>
      </c>
      <c r="I1393">
        <v>0</v>
      </c>
      <c r="J1393">
        <f t="shared" si="557"/>
        <v>1</v>
      </c>
      <c r="K1393">
        <f t="shared" si="558"/>
        <v>51</v>
      </c>
      <c r="L1393">
        <f t="shared" ca="1" si="559"/>
        <v>38818.051231278128</v>
      </c>
      <c r="M1393">
        <f t="shared" ca="1" si="537"/>
        <v>201853.86640264626</v>
      </c>
      <c r="N1393">
        <f t="shared" ca="1" si="538"/>
        <v>2.5998258658784543</v>
      </c>
      <c r="O1393">
        <f t="shared" ca="1" si="539"/>
        <v>2.5265802884482871E-4</v>
      </c>
      <c r="P1393">
        <f t="shared" ca="1" si="540"/>
        <v>39449.991731278125</v>
      </c>
      <c r="Q1393">
        <f t="shared" ca="1" si="541"/>
        <v>39449.991731281378</v>
      </c>
      <c r="R1393">
        <f t="shared" ca="1" si="542"/>
        <v>4.0178129257556468E-12</v>
      </c>
      <c r="S1393">
        <f t="shared" ca="1" si="560"/>
        <v>4.999999946448952E-4</v>
      </c>
      <c r="T1393">
        <f t="shared" ca="1" si="561"/>
        <v>1</v>
      </c>
      <c r="U1393">
        <f t="shared" ca="1" si="543"/>
        <v>0.05</v>
      </c>
      <c r="V1393">
        <f t="shared" ca="1" si="544"/>
        <v>0.26</v>
      </c>
      <c r="W1393">
        <f t="shared" ca="1" si="545"/>
        <v>4.9056603773584909E-2</v>
      </c>
      <c r="X1393">
        <f t="shared" ca="1" si="546"/>
        <v>196.15384615384616</v>
      </c>
      <c r="Y1393">
        <f t="shared" ca="1" si="547"/>
        <v>631.9905</v>
      </c>
      <c r="Z1393">
        <f t="shared" ca="1" si="548"/>
        <v>2593.0675316486622</v>
      </c>
      <c r="AA1393">
        <f t="shared" ca="1" si="549"/>
        <v>482.07306851378365</v>
      </c>
      <c r="AB1393">
        <f t="shared" ca="1" si="550"/>
        <v>482.07256851378361</v>
      </c>
      <c r="AC1393">
        <f t="shared" ca="1" si="551"/>
        <v>0</v>
      </c>
      <c r="AD1393">
        <f ca="1">IF(V32="Supercritical",L1393,U1393)</f>
        <v>0.05</v>
      </c>
      <c r="AE1393">
        <f t="shared" ca="1" si="552"/>
        <v>631.9905</v>
      </c>
      <c r="AF1393">
        <f t="shared" ca="1" si="553"/>
        <v>2593.0675316486622</v>
      </c>
      <c r="AI1393">
        <v>0</v>
      </c>
      <c r="AJ1393">
        <v>0</v>
      </c>
      <c r="AK1393">
        <f t="shared" si="554"/>
        <v>0</v>
      </c>
      <c r="AL1393">
        <f t="shared" si="562"/>
        <v>0</v>
      </c>
      <c r="AM1393">
        <f t="shared" ca="1" si="555"/>
        <v>280.07692026646265</v>
      </c>
      <c r="AN1393" t="str">
        <f t="shared" ca="1" si="556"/>
        <v>Supercritical</v>
      </c>
      <c r="AO1393">
        <f ca="1">IF(V32="Supercritical",R1393,AA1393)</f>
        <v>482.07306851378365</v>
      </c>
    </row>
    <row r="1394" spans="1:41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174</v>
      </c>
      <c r="I1394">
        <v>0</v>
      </c>
      <c r="J1394">
        <f t="shared" si="557"/>
        <v>1</v>
      </c>
      <c r="K1394">
        <f t="shared" si="558"/>
        <v>51</v>
      </c>
      <c r="L1394">
        <f t="shared" ca="1" si="559"/>
        <v>38818.051231278128</v>
      </c>
      <c r="M1394">
        <f t="shared" ca="1" si="537"/>
        <v>201853.86640264626</v>
      </c>
      <c r="N1394">
        <f t="shared" ca="1" si="538"/>
        <v>2.5998258658784543</v>
      </c>
      <c r="O1394">
        <f t="shared" ca="1" si="539"/>
        <v>2.5265802884482871E-4</v>
      </c>
      <c r="P1394">
        <f t="shared" ca="1" si="540"/>
        <v>39449.991231278131</v>
      </c>
      <c r="Q1394">
        <f t="shared" ca="1" si="541"/>
        <v>39449.991231281383</v>
      </c>
      <c r="R1394">
        <f t="shared" ca="1" si="542"/>
        <v>4.0178129257556468E-12</v>
      </c>
      <c r="S1394">
        <f t="shared" ca="1" si="560"/>
        <v>4.9999998736893758E-4</v>
      </c>
      <c r="T1394">
        <f t="shared" ca="1" si="561"/>
        <v>1</v>
      </c>
      <c r="U1394">
        <f t="shared" ca="1" si="543"/>
        <v>0.05</v>
      </c>
      <c r="V1394">
        <f t="shared" ca="1" si="544"/>
        <v>0.26</v>
      </c>
      <c r="W1394">
        <f t="shared" ca="1" si="545"/>
        <v>4.9056603773584909E-2</v>
      </c>
      <c r="X1394">
        <f t="shared" ca="1" si="546"/>
        <v>196.15384615384616</v>
      </c>
      <c r="Y1394">
        <f t="shared" ca="1" si="547"/>
        <v>631.99</v>
      </c>
      <c r="Z1394">
        <f t="shared" ca="1" si="548"/>
        <v>2593.0670316486621</v>
      </c>
      <c r="AA1394">
        <f t="shared" ca="1" si="549"/>
        <v>482.07306851378365</v>
      </c>
      <c r="AB1394">
        <f t="shared" ca="1" si="550"/>
        <v>482.25887083179032</v>
      </c>
      <c r="AC1394">
        <f t="shared" ca="1" si="551"/>
        <v>0</v>
      </c>
      <c r="AD1394">
        <f ca="1">IF(V32="Supercritical",L1394,U1394)</f>
        <v>0.05</v>
      </c>
      <c r="AE1394">
        <f t="shared" ca="1" si="552"/>
        <v>631.99</v>
      </c>
      <c r="AF1394">
        <f t="shared" ca="1" si="553"/>
        <v>2593.0670316486621</v>
      </c>
      <c r="AI1394">
        <v>0</v>
      </c>
      <c r="AJ1394">
        <v>0</v>
      </c>
      <c r="AK1394">
        <f t="shared" si="554"/>
        <v>0</v>
      </c>
      <c r="AL1394">
        <f t="shared" si="562"/>
        <v>0</v>
      </c>
      <c r="AM1394">
        <f t="shared" ca="1" si="555"/>
        <v>280.07692026646265</v>
      </c>
      <c r="AN1394" t="str">
        <f t="shared" ca="1" si="556"/>
        <v>Supercritical</v>
      </c>
      <c r="AO1394">
        <f ca="1">IF(V32="Supercritical",R1394,AA1394)</f>
        <v>482.07306851378365</v>
      </c>
    </row>
    <row r="1395" spans="1:41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174</v>
      </c>
      <c r="I1395">
        <v>5.7000000000000002E-2</v>
      </c>
      <c r="J1395">
        <f t="shared" si="557"/>
        <v>1</v>
      </c>
      <c r="K1395">
        <f t="shared" si="558"/>
        <v>51</v>
      </c>
      <c r="L1395">
        <f t="shared" ca="1" si="559"/>
        <v>38818.051231278128</v>
      </c>
      <c r="M1395">
        <f t="shared" ca="1" si="537"/>
        <v>201853.86640264626</v>
      </c>
      <c r="N1395">
        <f t="shared" ca="1" si="538"/>
        <v>2.5998258658784543</v>
      </c>
      <c r="O1395">
        <f t="shared" ca="1" si="539"/>
        <v>2.5265802884482871E-4</v>
      </c>
      <c r="P1395">
        <f t="shared" ca="1" si="540"/>
        <v>39449.990731278129</v>
      </c>
      <c r="Q1395">
        <f t="shared" ca="1" si="541"/>
        <v>39449.990731281381</v>
      </c>
      <c r="R1395">
        <f t="shared" ca="1" si="542"/>
        <v>4.0178129257556468E-12</v>
      </c>
      <c r="S1395">
        <f t="shared" ca="1" si="560"/>
        <v>4.999999946448952E-4</v>
      </c>
      <c r="T1395">
        <f t="shared" ca="1" si="561"/>
        <v>1</v>
      </c>
      <c r="U1395">
        <f t="shared" ca="1" si="543"/>
        <v>0.05</v>
      </c>
      <c r="V1395">
        <f t="shared" ca="1" si="544"/>
        <v>0.26</v>
      </c>
      <c r="W1395">
        <f t="shared" ca="1" si="545"/>
        <v>4.9056603773584909E-2</v>
      </c>
      <c r="X1395">
        <f t="shared" ca="1" si="546"/>
        <v>196.15384615384616</v>
      </c>
      <c r="Y1395">
        <f t="shared" ca="1" si="547"/>
        <v>631.98949999999991</v>
      </c>
      <c r="Z1395">
        <f t="shared" ca="1" si="548"/>
        <v>2593.066531648662</v>
      </c>
      <c r="AA1395">
        <f t="shared" ca="1" si="549"/>
        <v>482.07306851378365</v>
      </c>
      <c r="AB1395">
        <f t="shared" ca="1" si="550"/>
        <v>482.26867621694828</v>
      </c>
      <c r="AC1395">
        <f t="shared" ca="1" si="551"/>
        <v>0</v>
      </c>
      <c r="AD1395">
        <f ca="1">IF(V32="Supercritical",L1395,U1395)</f>
        <v>0.05</v>
      </c>
      <c r="AE1395">
        <f t="shared" ca="1" si="552"/>
        <v>631.98949999999991</v>
      </c>
      <c r="AF1395">
        <f t="shared" ca="1" si="553"/>
        <v>2593.066531648662</v>
      </c>
      <c r="AI1395">
        <v>0</v>
      </c>
      <c r="AJ1395">
        <v>0</v>
      </c>
      <c r="AK1395">
        <f t="shared" si="554"/>
        <v>0</v>
      </c>
      <c r="AL1395">
        <f t="shared" si="562"/>
        <v>0</v>
      </c>
      <c r="AM1395">
        <f t="shared" ca="1" si="555"/>
        <v>280.07692026646265</v>
      </c>
      <c r="AN1395" t="str">
        <f t="shared" ca="1" si="556"/>
        <v>Supercritical</v>
      </c>
      <c r="AO1395">
        <f ca="1">IF(V32="Supercritical",R1395,AA1395)</f>
        <v>482.07306851378365</v>
      </c>
    </row>
    <row r="1396" spans="1:41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174</v>
      </c>
      <c r="I1396">
        <v>0.06</v>
      </c>
      <c r="J1396">
        <f t="shared" si="557"/>
        <v>1</v>
      </c>
      <c r="K1396">
        <f t="shared" si="558"/>
        <v>51</v>
      </c>
      <c r="L1396">
        <f t="shared" ca="1" si="559"/>
        <v>38818.051231278128</v>
      </c>
      <c r="M1396">
        <f t="shared" ca="1" si="537"/>
        <v>201853.86640264626</v>
      </c>
      <c r="N1396">
        <f t="shared" ca="1" si="538"/>
        <v>2.5998258658784543</v>
      </c>
      <c r="O1396">
        <f t="shared" ca="1" si="539"/>
        <v>2.5265802884482871E-4</v>
      </c>
      <c r="P1396">
        <f t="shared" ca="1" si="540"/>
        <v>39449.990231278127</v>
      </c>
      <c r="Q1396">
        <f t="shared" ca="1" si="541"/>
        <v>39449.990231281379</v>
      </c>
      <c r="R1396">
        <f t="shared" ca="1" si="542"/>
        <v>4.0178129257556468E-12</v>
      </c>
      <c r="S1396">
        <f t="shared" ca="1" si="560"/>
        <v>4.999999946448952E-4</v>
      </c>
      <c r="T1396">
        <f t="shared" ca="1" si="561"/>
        <v>1</v>
      </c>
      <c r="U1396">
        <f t="shared" ca="1" si="543"/>
        <v>0.05</v>
      </c>
      <c r="V1396">
        <f t="shared" ca="1" si="544"/>
        <v>0.26</v>
      </c>
      <c r="W1396">
        <f t="shared" ca="1" si="545"/>
        <v>4.9056603773584909E-2</v>
      </c>
      <c r="X1396">
        <f t="shared" ca="1" si="546"/>
        <v>196.15384615384616</v>
      </c>
      <c r="Y1396">
        <f t="shared" ca="1" si="547"/>
        <v>631.98899999999992</v>
      </c>
      <c r="Z1396">
        <f t="shared" ca="1" si="548"/>
        <v>2593.0660316486619</v>
      </c>
      <c r="AA1396">
        <f t="shared" ca="1" si="549"/>
        <v>482.07306851378365</v>
      </c>
      <c r="AB1396">
        <f t="shared" ca="1" si="550"/>
        <v>482.5611785058345</v>
      </c>
      <c r="AC1396">
        <f t="shared" ca="1" si="551"/>
        <v>0</v>
      </c>
      <c r="AD1396">
        <f ca="1">IF(V32="Supercritical",L1396,U1396)</f>
        <v>0.05</v>
      </c>
      <c r="AE1396">
        <f t="shared" ca="1" si="552"/>
        <v>631.98899999999992</v>
      </c>
      <c r="AF1396">
        <f t="shared" ca="1" si="553"/>
        <v>2593.0660316486619</v>
      </c>
      <c r="AI1396">
        <v>0</v>
      </c>
      <c r="AJ1396">
        <v>0</v>
      </c>
      <c r="AK1396">
        <f t="shared" si="554"/>
        <v>0</v>
      </c>
      <c r="AL1396">
        <f t="shared" si="562"/>
        <v>0</v>
      </c>
      <c r="AM1396">
        <f t="shared" ca="1" si="555"/>
        <v>280.07692026646265</v>
      </c>
      <c r="AN1396" t="str">
        <f t="shared" ca="1" si="556"/>
        <v>Supercritical</v>
      </c>
      <c r="AO1396">
        <f ca="1">IF(V32="Supercritical",R1396,AA1396)</f>
        <v>482.07306851378365</v>
      </c>
    </row>
    <row r="1397" spans="1:41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174</v>
      </c>
      <c r="I1397">
        <v>2E-3</v>
      </c>
      <c r="J1397">
        <f t="shared" si="557"/>
        <v>1.0010000000002037</v>
      </c>
      <c r="K1397">
        <f t="shared" si="558"/>
        <v>51</v>
      </c>
      <c r="L1397">
        <f t="shared" ca="1" si="559"/>
        <v>38818.051231278128</v>
      </c>
      <c r="M1397">
        <f t="shared" ca="1" si="537"/>
        <v>201853.86640264626</v>
      </c>
      <c r="N1397">
        <f t="shared" ca="1" si="538"/>
        <v>2.5998258658784543</v>
      </c>
      <c r="O1397">
        <f t="shared" ca="1" si="539"/>
        <v>2.5265802884482871E-4</v>
      </c>
      <c r="P1397">
        <f t="shared" ca="1" si="540"/>
        <v>39449.989731278125</v>
      </c>
      <c r="Q1397">
        <f t="shared" ca="1" si="541"/>
        <v>39449.989731281377</v>
      </c>
      <c r="R1397">
        <f t="shared" ca="1" si="542"/>
        <v>4.0178129257556468E-12</v>
      </c>
      <c r="S1397">
        <f t="shared" ca="1" si="560"/>
        <v>4.999999946448952E-4</v>
      </c>
      <c r="T1397">
        <f t="shared" ca="1" si="561"/>
        <v>1</v>
      </c>
      <c r="U1397">
        <f t="shared" ca="1" si="543"/>
        <v>0.05</v>
      </c>
      <c r="V1397">
        <f t="shared" ca="1" si="544"/>
        <v>0.26</v>
      </c>
      <c r="W1397">
        <f t="shared" ca="1" si="545"/>
        <v>4.9056603773584909E-2</v>
      </c>
      <c r="X1397">
        <f t="shared" ca="1" si="546"/>
        <v>196.15384615384616</v>
      </c>
      <c r="Y1397">
        <f t="shared" ca="1" si="547"/>
        <v>631.98849999999993</v>
      </c>
      <c r="Z1397">
        <f t="shared" ca="1" si="548"/>
        <v>2593.0655316486618</v>
      </c>
      <c r="AA1397">
        <f t="shared" ca="1" si="549"/>
        <v>482.07306851378365</v>
      </c>
      <c r="AB1397">
        <f t="shared" ca="1" si="550"/>
        <v>482.07256851378406</v>
      </c>
      <c r="AC1397">
        <f t="shared" ca="1" si="551"/>
        <v>0</v>
      </c>
      <c r="AD1397">
        <f ca="1">IF(V32="Supercritical",L1397,U1397)</f>
        <v>0.05</v>
      </c>
      <c r="AE1397">
        <f t="shared" ca="1" si="552"/>
        <v>631.98849999999993</v>
      </c>
      <c r="AF1397">
        <f t="shared" ca="1" si="553"/>
        <v>2593.0655316486618</v>
      </c>
      <c r="AI1397">
        <v>0</v>
      </c>
      <c r="AJ1397">
        <v>0</v>
      </c>
      <c r="AK1397">
        <f t="shared" si="554"/>
        <v>0</v>
      </c>
      <c r="AL1397">
        <f t="shared" si="562"/>
        <v>0</v>
      </c>
      <c r="AM1397">
        <f t="shared" ca="1" si="555"/>
        <v>280.07692026646265</v>
      </c>
      <c r="AN1397" t="str">
        <f t="shared" ca="1" si="556"/>
        <v>Supercritical</v>
      </c>
      <c r="AO1397">
        <f ca="1">IF(V32="Supercritical",R1397,AA1397)</f>
        <v>482.07306851378365</v>
      </c>
    </row>
    <row r="1398" spans="1:41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174</v>
      </c>
      <c r="I1398">
        <v>0</v>
      </c>
      <c r="J1398">
        <f t="shared" si="557"/>
        <v>1</v>
      </c>
      <c r="K1398">
        <f t="shared" si="558"/>
        <v>51</v>
      </c>
      <c r="L1398">
        <f t="shared" ca="1" si="559"/>
        <v>38818.051231278128</v>
      </c>
      <c r="M1398">
        <f t="shared" ca="1" si="537"/>
        <v>201853.86640264626</v>
      </c>
      <c r="N1398">
        <f t="shared" ca="1" si="538"/>
        <v>2.5998258658784543</v>
      </c>
      <c r="O1398">
        <f t="shared" ca="1" si="539"/>
        <v>2.5265802884482871E-4</v>
      </c>
      <c r="P1398">
        <f t="shared" ca="1" si="540"/>
        <v>39449.98923127813</v>
      </c>
      <c r="Q1398">
        <f t="shared" ca="1" si="541"/>
        <v>39449.989231281383</v>
      </c>
      <c r="R1398">
        <f t="shared" ca="1" si="542"/>
        <v>4.0178129257556468E-12</v>
      </c>
      <c r="S1398">
        <f t="shared" ca="1" si="560"/>
        <v>4.9999998736893758E-4</v>
      </c>
      <c r="T1398">
        <f t="shared" ca="1" si="561"/>
        <v>1</v>
      </c>
      <c r="U1398">
        <f t="shared" ca="1" si="543"/>
        <v>0.05</v>
      </c>
      <c r="V1398">
        <f t="shared" ca="1" si="544"/>
        <v>0.26</v>
      </c>
      <c r="W1398">
        <f t="shared" ca="1" si="545"/>
        <v>4.9056603773584909E-2</v>
      </c>
      <c r="X1398">
        <f t="shared" ca="1" si="546"/>
        <v>196.15384615384616</v>
      </c>
      <c r="Y1398">
        <f t="shared" ca="1" si="547"/>
        <v>631.98799999999994</v>
      </c>
      <c r="Z1398">
        <f t="shared" ca="1" si="548"/>
        <v>2593.0650316486622</v>
      </c>
      <c r="AA1398">
        <f t="shared" ca="1" si="549"/>
        <v>482.07306851378365</v>
      </c>
      <c r="AB1398">
        <f t="shared" ca="1" si="550"/>
        <v>481.77679776317837</v>
      </c>
      <c r="AC1398">
        <f t="shared" ca="1" si="551"/>
        <v>0</v>
      </c>
      <c r="AD1398">
        <f ca="1">IF(V32="Supercritical",L1398,U1398)</f>
        <v>0.05</v>
      </c>
      <c r="AE1398">
        <f t="shared" ca="1" si="552"/>
        <v>631.98799999999994</v>
      </c>
      <c r="AF1398">
        <f t="shared" ca="1" si="553"/>
        <v>2593.0650316486622</v>
      </c>
      <c r="AI1398">
        <v>0</v>
      </c>
      <c r="AJ1398">
        <v>0</v>
      </c>
      <c r="AK1398">
        <f t="shared" si="554"/>
        <v>0</v>
      </c>
      <c r="AL1398">
        <f t="shared" si="562"/>
        <v>0</v>
      </c>
      <c r="AM1398">
        <f t="shared" ca="1" si="555"/>
        <v>280.07692026646265</v>
      </c>
      <c r="AN1398" t="str">
        <f t="shared" ca="1" si="556"/>
        <v>Supercritical</v>
      </c>
      <c r="AO1398">
        <f ca="1">IF(V32="Supercritical",R1398,AA1398)</f>
        <v>482.07306851378365</v>
      </c>
    </row>
    <row r="1399" spans="1:41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174</v>
      </c>
      <c r="I1399">
        <v>5.7000000000000002E-2</v>
      </c>
      <c r="J1399">
        <f t="shared" si="557"/>
        <v>0.99899999999979627</v>
      </c>
      <c r="K1399">
        <f t="shared" si="558"/>
        <v>51</v>
      </c>
      <c r="L1399">
        <f t="shared" ca="1" si="559"/>
        <v>38818.051231278128</v>
      </c>
      <c r="M1399">
        <f t="shared" ca="1" si="537"/>
        <v>201853.86640264626</v>
      </c>
      <c r="N1399">
        <f t="shared" ca="1" si="538"/>
        <v>2.5998258658784543</v>
      </c>
      <c r="O1399">
        <f t="shared" ca="1" si="539"/>
        <v>2.5265802884482871E-4</v>
      </c>
      <c r="P1399">
        <f t="shared" ca="1" si="540"/>
        <v>39449.988731278128</v>
      </c>
      <c r="Q1399">
        <f t="shared" ca="1" si="541"/>
        <v>39449.988731281381</v>
      </c>
      <c r="R1399">
        <f t="shared" ca="1" si="542"/>
        <v>4.0178129257556468E-12</v>
      </c>
      <c r="S1399">
        <f t="shared" ca="1" si="560"/>
        <v>4.999999946448952E-4</v>
      </c>
      <c r="T1399">
        <f t="shared" ca="1" si="561"/>
        <v>1</v>
      </c>
      <c r="U1399">
        <f t="shared" ca="1" si="543"/>
        <v>0.05</v>
      </c>
      <c r="V1399">
        <f t="shared" ca="1" si="544"/>
        <v>0.26</v>
      </c>
      <c r="W1399">
        <f t="shared" ca="1" si="545"/>
        <v>4.9056603773584909E-2</v>
      </c>
      <c r="X1399">
        <f t="shared" ca="1" si="546"/>
        <v>196.15384615384616</v>
      </c>
      <c r="Y1399">
        <f t="shared" ca="1" si="547"/>
        <v>631.98749999999995</v>
      </c>
      <c r="Z1399">
        <f t="shared" ca="1" si="548"/>
        <v>2593.0645316486621</v>
      </c>
      <c r="AA1399">
        <f t="shared" ca="1" si="549"/>
        <v>482.07306851378365</v>
      </c>
      <c r="AB1399">
        <f t="shared" ca="1" si="550"/>
        <v>482.25887083179032</v>
      </c>
      <c r="AC1399">
        <f t="shared" ca="1" si="551"/>
        <v>0</v>
      </c>
      <c r="AD1399">
        <f ca="1">IF(V32="Supercritical",L1399,U1399)</f>
        <v>0.05</v>
      </c>
      <c r="AE1399">
        <f t="shared" ca="1" si="552"/>
        <v>631.98749999999995</v>
      </c>
      <c r="AF1399">
        <f t="shared" ca="1" si="553"/>
        <v>2593.0645316486621</v>
      </c>
      <c r="AI1399">
        <v>0</v>
      </c>
      <c r="AJ1399">
        <v>0</v>
      </c>
      <c r="AK1399">
        <f t="shared" si="554"/>
        <v>0</v>
      </c>
      <c r="AL1399">
        <f t="shared" si="562"/>
        <v>0</v>
      </c>
      <c r="AM1399">
        <f t="shared" ca="1" si="555"/>
        <v>280.07692026646265</v>
      </c>
      <c r="AN1399" t="str">
        <f t="shared" ca="1" si="556"/>
        <v>Supercritical</v>
      </c>
      <c r="AO1399">
        <f ca="1">IF(V32="Supercritical",R1399,AA1399)</f>
        <v>482.07306851378365</v>
      </c>
    </row>
    <row r="1400" spans="1:41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174</v>
      </c>
      <c r="I1400">
        <v>5.7000000000000002E-2</v>
      </c>
      <c r="J1400">
        <f t="shared" si="557"/>
        <v>1</v>
      </c>
      <c r="K1400">
        <f t="shared" si="558"/>
        <v>51</v>
      </c>
      <c r="L1400">
        <f t="shared" ca="1" si="559"/>
        <v>38818.051231278128</v>
      </c>
      <c r="M1400">
        <f t="shared" ca="1" si="537"/>
        <v>201853.86640264626</v>
      </c>
      <c r="N1400">
        <f t="shared" ca="1" si="538"/>
        <v>2.5998258658784543</v>
      </c>
      <c r="O1400">
        <f t="shared" ca="1" si="539"/>
        <v>2.5265802884482871E-4</v>
      </c>
      <c r="P1400">
        <f t="shared" ca="1" si="540"/>
        <v>39449.988231278126</v>
      </c>
      <c r="Q1400">
        <f t="shared" ca="1" si="541"/>
        <v>39449.988231281379</v>
      </c>
      <c r="R1400">
        <f t="shared" ca="1" si="542"/>
        <v>4.0178129257556468E-12</v>
      </c>
      <c r="S1400">
        <f t="shared" ca="1" si="560"/>
        <v>4.999999946448952E-4</v>
      </c>
      <c r="T1400">
        <f t="shared" ca="1" si="561"/>
        <v>1</v>
      </c>
      <c r="U1400">
        <f t="shared" ca="1" si="543"/>
        <v>0.05</v>
      </c>
      <c r="V1400">
        <f t="shared" ca="1" si="544"/>
        <v>0.26</v>
      </c>
      <c r="W1400">
        <f t="shared" ca="1" si="545"/>
        <v>4.9056603773584909E-2</v>
      </c>
      <c r="X1400">
        <f t="shared" ca="1" si="546"/>
        <v>196.15384615384616</v>
      </c>
      <c r="Y1400">
        <f t="shared" ca="1" si="547"/>
        <v>631.98699999999997</v>
      </c>
      <c r="Z1400">
        <f t="shared" ca="1" si="548"/>
        <v>2593.064031648662</v>
      </c>
      <c r="AA1400">
        <f t="shared" ca="1" si="549"/>
        <v>482.07306851378365</v>
      </c>
      <c r="AB1400">
        <f t="shared" ca="1" si="550"/>
        <v>482.07256851378406</v>
      </c>
      <c r="AC1400">
        <f t="shared" ca="1" si="551"/>
        <v>0</v>
      </c>
      <c r="AD1400">
        <f ca="1">IF(V32="Supercritical",L1400,U1400)</f>
        <v>0.05</v>
      </c>
      <c r="AE1400">
        <f t="shared" ca="1" si="552"/>
        <v>631.98699999999997</v>
      </c>
      <c r="AF1400">
        <f t="shared" ca="1" si="553"/>
        <v>2593.064031648662</v>
      </c>
      <c r="AI1400">
        <v>0</v>
      </c>
      <c r="AJ1400">
        <v>0</v>
      </c>
      <c r="AK1400">
        <f t="shared" si="554"/>
        <v>0</v>
      </c>
      <c r="AL1400">
        <f t="shared" si="562"/>
        <v>0</v>
      </c>
      <c r="AM1400">
        <f t="shared" ca="1" si="555"/>
        <v>280.07692026646265</v>
      </c>
      <c r="AN1400" t="str">
        <f t="shared" ca="1" si="556"/>
        <v>Supercritical</v>
      </c>
      <c r="AO1400">
        <f ca="1">IF(V32="Supercritical",R1400,AA1400)</f>
        <v>482.07306851378365</v>
      </c>
    </row>
    <row r="1401" spans="1:41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174</v>
      </c>
      <c r="I1401">
        <v>0</v>
      </c>
      <c r="J1401">
        <f t="shared" si="557"/>
        <v>1</v>
      </c>
      <c r="K1401">
        <f t="shared" si="558"/>
        <v>51</v>
      </c>
      <c r="L1401">
        <f t="shared" ca="1" si="559"/>
        <v>38818.051231278128</v>
      </c>
      <c r="M1401">
        <f t="shared" ca="1" si="537"/>
        <v>201853.86640264626</v>
      </c>
      <c r="N1401">
        <f t="shared" ca="1" si="538"/>
        <v>2.5998258658784543</v>
      </c>
      <c r="O1401">
        <f t="shared" ca="1" si="539"/>
        <v>2.5265802884482871E-4</v>
      </c>
      <c r="P1401">
        <f t="shared" ca="1" si="540"/>
        <v>39449.987731278132</v>
      </c>
      <c r="Q1401">
        <f t="shared" ca="1" si="541"/>
        <v>39449.987731281384</v>
      </c>
      <c r="R1401">
        <f t="shared" ca="1" si="542"/>
        <v>4.0178129257556468E-12</v>
      </c>
      <c r="S1401">
        <f t="shared" ca="1" si="560"/>
        <v>4.9999998736893758E-4</v>
      </c>
      <c r="T1401">
        <f t="shared" ca="1" si="561"/>
        <v>1</v>
      </c>
      <c r="U1401">
        <f t="shared" ca="1" si="543"/>
        <v>0.05</v>
      </c>
      <c r="V1401">
        <f t="shared" ca="1" si="544"/>
        <v>0.26</v>
      </c>
      <c r="W1401">
        <f t="shared" ca="1" si="545"/>
        <v>4.9056603773584909E-2</v>
      </c>
      <c r="X1401">
        <f t="shared" ca="1" si="546"/>
        <v>196.15384615384616</v>
      </c>
      <c r="Y1401">
        <f t="shared" ca="1" si="547"/>
        <v>631.98649999999998</v>
      </c>
      <c r="Z1401">
        <f t="shared" ca="1" si="548"/>
        <v>2593.0635316486623</v>
      </c>
      <c r="AA1401">
        <f t="shared" ca="1" si="549"/>
        <v>482.07306851378365</v>
      </c>
      <c r="AB1401">
        <f t="shared" ca="1" si="550"/>
        <v>482.25887083179032</v>
      </c>
      <c r="AC1401">
        <f t="shared" ca="1" si="551"/>
        <v>0</v>
      </c>
      <c r="AD1401">
        <f ca="1">IF(V32="Supercritical",L1401,U1401)</f>
        <v>0.05</v>
      </c>
      <c r="AE1401">
        <f t="shared" ca="1" si="552"/>
        <v>631.98649999999998</v>
      </c>
      <c r="AF1401">
        <f t="shared" ca="1" si="553"/>
        <v>2593.0635316486623</v>
      </c>
      <c r="AI1401">
        <v>0</v>
      </c>
      <c r="AJ1401">
        <v>0</v>
      </c>
      <c r="AK1401">
        <f t="shared" si="554"/>
        <v>0</v>
      </c>
      <c r="AL1401">
        <f t="shared" si="562"/>
        <v>0</v>
      </c>
      <c r="AM1401">
        <f t="shared" ca="1" si="555"/>
        <v>280.07692026646265</v>
      </c>
      <c r="AN1401" t="str">
        <f t="shared" ca="1" si="556"/>
        <v>Supercritical</v>
      </c>
      <c r="AO1401">
        <f ca="1">IF(V32="Supercritical",R1401,AA1401)</f>
        <v>482.07306851378365</v>
      </c>
    </row>
    <row r="1402" spans="1:41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174</v>
      </c>
      <c r="I1402">
        <v>5.7000000000000002E-2</v>
      </c>
      <c r="J1402">
        <f t="shared" si="557"/>
        <v>1</v>
      </c>
      <c r="K1402">
        <f t="shared" si="558"/>
        <v>51</v>
      </c>
      <c r="L1402">
        <f t="shared" ca="1" si="559"/>
        <v>38818.051231278128</v>
      </c>
      <c r="M1402">
        <f t="shared" ca="1" si="537"/>
        <v>201853.86640264626</v>
      </c>
      <c r="N1402">
        <f t="shared" ca="1" si="538"/>
        <v>2.5998258658784543</v>
      </c>
      <c r="O1402">
        <f t="shared" ca="1" si="539"/>
        <v>2.5265802884482871E-4</v>
      </c>
      <c r="P1402">
        <f t="shared" ca="1" si="540"/>
        <v>39449.98723127813</v>
      </c>
      <c r="Q1402">
        <f t="shared" ca="1" si="541"/>
        <v>39449.987231281382</v>
      </c>
      <c r="R1402">
        <f t="shared" ca="1" si="542"/>
        <v>4.0178129257556468E-12</v>
      </c>
      <c r="S1402">
        <f t="shared" ca="1" si="560"/>
        <v>4.999999946448952E-4</v>
      </c>
      <c r="T1402">
        <f t="shared" ca="1" si="561"/>
        <v>1</v>
      </c>
      <c r="U1402">
        <f t="shared" ca="1" si="543"/>
        <v>0.05</v>
      </c>
      <c r="V1402">
        <f t="shared" ca="1" si="544"/>
        <v>0.26</v>
      </c>
      <c r="W1402">
        <f t="shared" ca="1" si="545"/>
        <v>4.9056603773584909E-2</v>
      </c>
      <c r="X1402">
        <f t="shared" ca="1" si="546"/>
        <v>196.15384615384616</v>
      </c>
      <c r="Y1402">
        <f t="shared" ca="1" si="547"/>
        <v>631.98599999999999</v>
      </c>
      <c r="Z1402">
        <f t="shared" ca="1" si="548"/>
        <v>2593.0630316486622</v>
      </c>
      <c r="AA1402">
        <f t="shared" ca="1" si="549"/>
        <v>482.07306851378365</v>
      </c>
      <c r="AB1402">
        <f t="shared" ca="1" si="550"/>
        <v>482.25887083179032</v>
      </c>
      <c r="AC1402">
        <f t="shared" ca="1" si="551"/>
        <v>0</v>
      </c>
      <c r="AD1402">
        <f ca="1">IF(V32="Supercritical",L1402,U1402)</f>
        <v>0.05</v>
      </c>
      <c r="AE1402">
        <f t="shared" ca="1" si="552"/>
        <v>631.98599999999999</v>
      </c>
      <c r="AF1402">
        <f t="shared" ca="1" si="553"/>
        <v>2593.0630316486622</v>
      </c>
      <c r="AI1402">
        <v>0</v>
      </c>
      <c r="AJ1402">
        <v>0</v>
      </c>
      <c r="AK1402">
        <f t="shared" si="554"/>
        <v>0</v>
      </c>
      <c r="AL1402">
        <f t="shared" si="562"/>
        <v>0</v>
      </c>
      <c r="AM1402">
        <f t="shared" ca="1" si="555"/>
        <v>280.07692026646265</v>
      </c>
      <c r="AN1402" t="str">
        <f t="shared" ca="1" si="556"/>
        <v>Supercritical</v>
      </c>
      <c r="AO1402">
        <f ca="1">IF(V32="Supercritical",R1402,AA1402)</f>
        <v>482.07306851378365</v>
      </c>
    </row>
    <row r="1403" spans="1:41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174</v>
      </c>
      <c r="I1403">
        <v>5.7000000000000002E-2</v>
      </c>
      <c r="J1403">
        <f t="shared" si="557"/>
        <v>1</v>
      </c>
      <c r="K1403">
        <f t="shared" si="558"/>
        <v>51</v>
      </c>
      <c r="L1403">
        <f t="shared" ca="1" si="559"/>
        <v>38818.051231278128</v>
      </c>
      <c r="M1403">
        <f t="shared" ca="1" si="537"/>
        <v>201853.86640264626</v>
      </c>
      <c r="N1403">
        <f t="shared" ca="1" si="538"/>
        <v>2.5998258658784543</v>
      </c>
      <c r="O1403">
        <f t="shared" ca="1" si="539"/>
        <v>2.5265802884482871E-4</v>
      </c>
      <c r="P1403">
        <f t="shared" ca="1" si="540"/>
        <v>39449.986731278128</v>
      </c>
      <c r="Q1403">
        <f t="shared" ca="1" si="541"/>
        <v>39449.98673128138</v>
      </c>
      <c r="R1403">
        <f t="shared" ca="1" si="542"/>
        <v>4.0178129257556468E-12</v>
      </c>
      <c r="S1403">
        <f t="shared" ca="1" si="560"/>
        <v>4.999999946448952E-4</v>
      </c>
      <c r="T1403">
        <f t="shared" ca="1" si="561"/>
        <v>1</v>
      </c>
      <c r="U1403">
        <f t="shared" ca="1" si="543"/>
        <v>0.05</v>
      </c>
      <c r="V1403">
        <f t="shared" ca="1" si="544"/>
        <v>0.26</v>
      </c>
      <c r="W1403">
        <f t="shared" ca="1" si="545"/>
        <v>4.9056603773584909E-2</v>
      </c>
      <c r="X1403">
        <f t="shared" ca="1" si="546"/>
        <v>196.15384615384616</v>
      </c>
      <c r="Y1403">
        <f t="shared" ca="1" si="547"/>
        <v>631.9855</v>
      </c>
      <c r="Z1403">
        <f t="shared" ca="1" si="548"/>
        <v>2593.0625316486621</v>
      </c>
      <c r="AA1403">
        <f t="shared" ca="1" si="549"/>
        <v>482.07306851378365</v>
      </c>
      <c r="AB1403">
        <f t="shared" ca="1" si="550"/>
        <v>482.07256851378361</v>
      </c>
      <c r="AC1403">
        <f t="shared" ca="1" si="551"/>
        <v>0</v>
      </c>
      <c r="AD1403">
        <f ca="1">IF(V32="Supercritical",L1403,U1403)</f>
        <v>0.05</v>
      </c>
      <c r="AE1403">
        <f t="shared" ca="1" si="552"/>
        <v>631.9855</v>
      </c>
      <c r="AF1403">
        <f t="shared" ca="1" si="553"/>
        <v>2593.0625316486621</v>
      </c>
      <c r="AI1403">
        <v>0</v>
      </c>
      <c r="AJ1403">
        <v>0</v>
      </c>
      <c r="AK1403">
        <f t="shared" si="554"/>
        <v>0</v>
      </c>
      <c r="AL1403">
        <f t="shared" si="562"/>
        <v>0</v>
      </c>
      <c r="AM1403">
        <f t="shared" ca="1" si="555"/>
        <v>280.07692026646265</v>
      </c>
      <c r="AN1403" t="str">
        <f t="shared" ca="1" si="556"/>
        <v>Supercritical</v>
      </c>
      <c r="AO1403">
        <f ca="1">IF(V32="Supercritical",R1403,AA1403)</f>
        <v>482.07306851378365</v>
      </c>
    </row>
    <row r="1404" spans="1:41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174</v>
      </c>
      <c r="I1404">
        <v>0</v>
      </c>
      <c r="J1404">
        <f t="shared" si="557"/>
        <v>1</v>
      </c>
      <c r="K1404">
        <f t="shared" si="558"/>
        <v>51</v>
      </c>
      <c r="L1404">
        <f t="shared" ca="1" si="559"/>
        <v>38818.051231278128</v>
      </c>
      <c r="M1404">
        <f t="shared" ca="1" si="537"/>
        <v>201853.86640264626</v>
      </c>
      <c r="N1404">
        <f t="shared" ca="1" si="538"/>
        <v>2.5998258658784543</v>
      </c>
      <c r="O1404">
        <f t="shared" ca="1" si="539"/>
        <v>2.5265802884482871E-4</v>
      </c>
      <c r="P1404">
        <f t="shared" ca="1" si="540"/>
        <v>39449.986231278126</v>
      </c>
      <c r="Q1404">
        <f t="shared" ca="1" si="541"/>
        <v>39449.986231281378</v>
      </c>
      <c r="R1404">
        <f t="shared" ca="1" si="542"/>
        <v>4.0178129257556468E-12</v>
      </c>
      <c r="S1404">
        <f t="shared" ca="1" si="560"/>
        <v>4.999999946448952E-4</v>
      </c>
      <c r="T1404">
        <f t="shared" ca="1" si="561"/>
        <v>1</v>
      </c>
      <c r="U1404">
        <f t="shared" ca="1" si="543"/>
        <v>0.05</v>
      </c>
      <c r="V1404">
        <f t="shared" ca="1" si="544"/>
        <v>0.26</v>
      </c>
      <c r="W1404">
        <f t="shared" ca="1" si="545"/>
        <v>4.9056603773584909E-2</v>
      </c>
      <c r="X1404">
        <f t="shared" ca="1" si="546"/>
        <v>196.15384615384616</v>
      </c>
      <c r="Y1404">
        <f t="shared" ca="1" si="547"/>
        <v>631.9849999999999</v>
      </c>
      <c r="Z1404">
        <f t="shared" ca="1" si="548"/>
        <v>2593.062031648662</v>
      </c>
      <c r="AA1404">
        <f t="shared" ca="1" si="549"/>
        <v>482.07306851378365</v>
      </c>
      <c r="AB1404">
        <f t="shared" ca="1" si="550"/>
        <v>482.07910543722255</v>
      </c>
      <c r="AC1404">
        <f t="shared" ca="1" si="551"/>
        <v>0</v>
      </c>
      <c r="AD1404">
        <f ca="1">IF(V32="Supercritical",L1404,U1404)</f>
        <v>0.05</v>
      </c>
      <c r="AE1404">
        <f t="shared" ca="1" si="552"/>
        <v>631.9849999999999</v>
      </c>
      <c r="AF1404">
        <f t="shared" ca="1" si="553"/>
        <v>2593.062031648662</v>
      </c>
      <c r="AI1404">
        <v>0</v>
      </c>
      <c r="AJ1404">
        <v>0</v>
      </c>
      <c r="AK1404">
        <f t="shared" si="554"/>
        <v>0</v>
      </c>
      <c r="AL1404">
        <f t="shared" si="562"/>
        <v>0</v>
      </c>
      <c r="AM1404">
        <f t="shared" ca="1" si="555"/>
        <v>280.07692026646265</v>
      </c>
      <c r="AN1404" t="str">
        <f t="shared" ca="1" si="556"/>
        <v>Supercritical</v>
      </c>
      <c r="AO1404">
        <f ca="1">IF(V32="Supercritical",R1404,AA1404)</f>
        <v>482.07306851378365</v>
      </c>
    </row>
    <row r="1405" spans="1:41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174</v>
      </c>
      <c r="I1405">
        <v>2E-3</v>
      </c>
      <c r="J1405">
        <f t="shared" si="557"/>
        <v>1</v>
      </c>
      <c r="K1405">
        <f t="shared" si="558"/>
        <v>51</v>
      </c>
      <c r="L1405">
        <f t="shared" ca="1" si="559"/>
        <v>38818.051231278128</v>
      </c>
      <c r="M1405">
        <f t="shared" ca="1" si="537"/>
        <v>201853.86640264626</v>
      </c>
      <c r="N1405">
        <f t="shared" ca="1" si="538"/>
        <v>2.5998258658784543</v>
      </c>
      <c r="O1405">
        <f t="shared" ca="1" si="539"/>
        <v>2.5265802884482871E-4</v>
      </c>
      <c r="P1405">
        <f t="shared" ca="1" si="540"/>
        <v>39449.985731278131</v>
      </c>
      <c r="Q1405">
        <f t="shared" ca="1" si="541"/>
        <v>39449.985731281384</v>
      </c>
      <c r="R1405">
        <f t="shared" ca="1" si="542"/>
        <v>4.0178129257556468E-12</v>
      </c>
      <c r="S1405">
        <f t="shared" ca="1" si="560"/>
        <v>4.9999998736893758E-4</v>
      </c>
      <c r="T1405">
        <f t="shared" ca="1" si="561"/>
        <v>1</v>
      </c>
      <c r="U1405">
        <f t="shared" ca="1" si="543"/>
        <v>0.05</v>
      </c>
      <c r="V1405">
        <f t="shared" ca="1" si="544"/>
        <v>0.26</v>
      </c>
      <c r="W1405">
        <f t="shared" ca="1" si="545"/>
        <v>4.9056603773584909E-2</v>
      </c>
      <c r="X1405">
        <f t="shared" ca="1" si="546"/>
        <v>196.15384615384616</v>
      </c>
      <c r="Y1405">
        <f t="shared" ca="1" si="547"/>
        <v>631.98449999999991</v>
      </c>
      <c r="Z1405">
        <f t="shared" ca="1" si="548"/>
        <v>2593.0615316486619</v>
      </c>
      <c r="AA1405">
        <f t="shared" ca="1" si="549"/>
        <v>482.07306851378365</v>
      </c>
      <c r="AB1405">
        <f t="shared" ca="1" si="550"/>
        <v>482.75074928556023</v>
      </c>
      <c r="AC1405">
        <f t="shared" ca="1" si="551"/>
        <v>0</v>
      </c>
      <c r="AD1405">
        <f ca="1">IF(V32="Supercritical",L1405,U1405)</f>
        <v>0.05</v>
      </c>
      <c r="AE1405">
        <f t="shared" ca="1" si="552"/>
        <v>631.98449999999991</v>
      </c>
      <c r="AF1405">
        <f t="shared" ca="1" si="553"/>
        <v>2593.0615316486619</v>
      </c>
      <c r="AI1405">
        <v>0</v>
      </c>
      <c r="AJ1405">
        <v>0</v>
      </c>
      <c r="AK1405">
        <f t="shared" si="554"/>
        <v>0</v>
      </c>
      <c r="AL1405">
        <f t="shared" si="562"/>
        <v>0</v>
      </c>
      <c r="AM1405">
        <f t="shared" ca="1" si="555"/>
        <v>280.07692026646265</v>
      </c>
      <c r="AN1405" t="str">
        <f t="shared" ca="1" si="556"/>
        <v>Supercritical</v>
      </c>
      <c r="AO1405">
        <f ca="1">IF(V32="Supercritical",R1405,AA1405)</f>
        <v>482.07306851378365</v>
      </c>
    </row>
    <row r="1406" spans="1:41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174</v>
      </c>
      <c r="I1406">
        <v>0.06</v>
      </c>
      <c r="J1406">
        <f t="shared" si="557"/>
        <v>1.0010000000002037</v>
      </c>
      <c r="K1406">
        <f t="shared" si="558"/>
        <v>51</v>
      </c>
      <c r="L1406">
        <f t="shared" ca="1" si="559"/>
        <v>38818.051231278128</v>
      </c>
      <c r="M1406">
        <f t="shared" ca="1" si="537"/>
        <v>201853.86640264626</v>
      </c>
      <c r="N1406">
        <f t="shared" ca="1" si="538"/>
        <v>2.5998258658784543</v>
      </c>
      <c r="O1406">
        <f t="shared" ca="1" si="539"/>
        <v>2.5265802884482871E-4</v>
      </c>
      <c r="P1406">
        <f t="shared" ca="1" si="540"/>
        <v>39449.98523127813</v>
      </c>
      <c r="Q1406">
        <f t="shared" ca="1" si="541"/>
        <v>39449.985231281382</v>
      </c>
      <c r="R1406">
        <f t="shared" ca="1" si="542"/>
        <v>4.0178129257556468E-12</v>
      </c>
      <c r="S1406">
        <f t="shared" ca="1" si="560"/>
        <v>4.999999946448952E-4</v>
      </c>
      <c r="T1406">
        <f t="shared" ca="1" si="561"/>
        <v>1</v>
      </c>
      <c r="U1406">
        <f t="shared" ca="1" si="543"/>
        <v>0.05</v>
      </c>
      <c r="V1406">
        <f t="shared" ca="1" si="544"/>
        <v>0.26</v>
      </c>
      <c r="W1406">
        <f t="shared" ca="1" si="545"/>
        <v>4.9056603773584909E-2</v>
      </c>
      <c r="X1406">
        <f t="shared" ca="1" si="546"/>
        <v>196.15384615384616</v>
      </c>
      <c r="Y1406">
        <f t="shared" ca="1" si="547"/>
        <v>631.98399999999992</v>
      </c>
      <c r="Z1406">
        <f t="shared" ca="1" si="548"/>
        <v>2593.0610316486618</v>
      </c>
      <c r="AA1406">
        <f t="shared" ca="1" si="549"/>
        <v>482.07306851378365</v>
      </c>
      <c r="AB1406">
        <f t="shared" ca="1" si="550"/>
        <v>482.25887083179077</v>
      </c>
      <c r="AC1406">
        <f t="shared" ca="1" si="551"/>
        <v>0</v>
      </c>
      <c r="AD1406">
        <f ca="1">IF(V32="Supercritical",L1406,U1406)</f>
        <v>0.05</v>
      </c>
      <c r="AE1406">
        <f t="shared" ca="1" si="552"/>
        <v>631.98399999999992</v>
      </c>
      <c r="AF1406">
        <f t="shared" ca="1" si="553"/>
        <v>2593.0610316486618</v>
      </c>
      <c r="AI1406">
        <v>0</v>
      </c>
      <c r="AJ1406">
        <v>0</v>
      </c>
      <c r="AK1406">
        <f t="shared" si="554"/>
        <v>0</v>
      </c>
      <c r="AL1406">
        <f t="shared" si="562"/>
        <v>0</v>
      </c>
      <c r="AM1406">
        <f t="shared" ca="1" si="555"/>
        <v>280.07692026646265</v>
      </c>
      <c r="AN1406" t="str">
        <f t="shared" ca="1" si="556"/>
        <v>Supercritical</v>
      </c>
      <c r="AO1406">
        <f ca="1">IF(V32="Supercritical",R1406,AA1406)</f>
        <v>482.07306851378365</v>
      </c>
    </row>
    <row r="1407" spans="1:41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174</v>
      </c>
      <c r="I1407">
        <v>5.7000000000000002E-2</v>
      </c>
      <c r="J1407">
        <f t="shared" si="557"/>
        <v>1</v>
      </c>
      <c r="K1407">
        <f t="shared" si="558"/>
        <v>51</v>
      </c>
      <c r="L1407">
        <f t="shared" ca="1" si="559"/>
        <v>38818.051231278128</v>
      </c>
      <c r="M1407">
        <f t="shared" ca="1" si="537"/>
        <v>201853.86640264626</v>
      </c>
      <c r="N1407">
        <f t="shared" ca="1" si="538"/>
        <v>2.5998258658784543</v>
      </c>
      <c r="O1407">
        <f t="shared" ca="1" si="539"/>
        <v>2.5265802884482871E-4</v>
      </c>
      <c r="P1407">
        <f t="shared" ca="1" si="540"/>
        <v>39449.984731278128</v>
      </c>
      <c r="Q1407">
        <f t="shared" ca="1" si="541"/>
        <v>39449.98473128138</v>
      </c>
      <c r="R1407">
        <f t="shared" ca="1" si="542"/>
        <v>4.0178129257556468E-12</v>
      </c>
      <c r="S1407">
        <f t="shared" ca="1" si="560"/>
        <v>4.999999946448952E-4</v>
      </c>
      <c r="T1407">
        <f t="shared" ca="1" si="561"/>
        <v>1</v>
      </c>
      <c r="U1407">
        <f t="shared" ca="1" si="543"/>
        <v>0.05</v>
      </c>
      <c r="V1407">
        <f t="shared" ca="1" si="544"/>
        <v>0.26</v>
      </c>
      <c r="W1407">
        <f t="shared" ca="1" si="545"/>
        <v>4.9056603773584909E-2</v>
      </c>
      <c r="X1407">
        <f t="shared" ca="1" si="546"/>
        <v>196.15384615384616</v>
      </c>
      <c r="Y1407">
        <f t="shared" ca="1" si="547"/>
        <v>631.98349999999994</v>
      </c>
      <c r="Z1407">
        <f t="shared" ca="1" si="548"/>
        <v>2593.0605316486622</v>
      </c>
      <c r="AA1407">
        <f t="shared" ca="1" si="549"/>
        <v>482.07306851378365</v>
      </c>
      <c r="AB1407">
        <f t="shared" ca="1" si="550"/>
        <v>482.07256851378361</v>
      </c>
      <c r="AC1407">
        <f t="shared" ca="1" si="551"/>
        <v>0</v>
      </c>
      <c r="AD1407">
        <f ca="1">IF(V32="Supercritical",L1407,U1407)</f>
        <v>0.05</v>
      </c>
      <c r="AE1407">
        <f t="shared" ca="1" si="552"/>
        <v>631.98349999999994</v>
      </c>
      <c r="AF1407">
        <f t="shared" ca="1" si="553"/>
        <v>2593.0605316486622</v>
      </c>
      <c r="AI1407">
        <v>0</v>
      </c>
      <c r="AJ1407">
        <v>0</v>
      </c>
      <c r="AK1407">
        <f t="shared" si="554"/>
        <v>0</v>
      </c>
      <c r="AL1407">
        <f t="shared" si="562"/>
        <v>0</v>
      </c>
      <c r="AM1407">
        <f t="shared" ca="1" si="555"/>
        <v>280.07692026646265</v>
      </c>
      <c r="AN1407" t="str">
        <f t="shared" ca="1" si="556"/>
        <v>Supercritical</v>
      </c>
      <c r="AO1407">
        <f ca="1">IF(V32="Supercritical",R1407,AA1407)</f>
        <v>482.07306851378365</v>
      </c>
    </row>
    <row r="1408" spans="1:41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174</v>
      </c>
      <c r="I1408">
        <v>0</v>
      </c>
      <c r="J1408">
        <f t="shared" si="557"/>
        <v>1</v>
      </c>
      <c r="K1408">
        <f t="shared" si="558"/>
        <v>51</v>
      </c>
      <c r="L1408">
        <f t="shared" ca="1" si="559"/>
        <v>38818.051231278128</v>
      </c>
      <c r="M1408">
        <f t="shared" ca="1" si="537"/>
        <v>201853.86640264626</v>
      </c>
      <c r="N1408">
        <f t="shared" ca="1" si="538"/>
        <v>2.5998258658784543</v>
      </c>
      <c r="O1408">
        <f t="shared" ca="1" si="539"/>
        <v>2.5265802884482871E-4</v>
      </c>
      <c r="P1408">
        <f t="shared" ca="1" si="540"/>
        <v>39449.984231278126</v>
      </c>
      <c r="Q1408">
        <f t="shared" ca="1" si="541"/>
        <v>39449.984231281378</v>
      </c>
      <c r="R1408">
        <f t="shared" ca="1" si="542"/>
        <v>4.0178129257556468E-12</v>
      </c>
      <c r="S1408">
        <f t="shared" ca="1" si="560"/>
        <v>4.999999946448952E-4</v>
      </c>
      <c r="T1408">
        <f t="shared" ca="1" si="561"/>
        <v>1</v>
      </c>
      <c r="U1408">
        <f t="shared" ca="1" si="543"/>
        <v>0.05</v>
      </c>
      <c r="V1408">
        <f t="shared" ca="1" si="544"/>
        <v>0.26</v>
      </c>
      <c r="W1408">
        <f t="shared" ca="1" si="545"/>
        <v>4.9056603773584909E-2</v>
      </c>
      <c r="X1408">
        <f t="shared" ca="1" si="546"/>
        <v>196.15384615384616</v>
      </c>
      <c r="Y1408">
        <f t="shared" ca="1" si="547"/>
        <v>631.98299999999995</v>
      </c>
      <c r="Z1408">
        <f t="shared" ca="1" si="548"/>
        <v>2593.0600316486621</v>
      </c>
      <c r="AA1408">
        <f t="shared" ca="1" si="549"/>
        <v>482.07306851378365</v>
      </c>
      <c r="AB1408">
        <f t="shared" ca="1" si="550"/>
        <v>481.59049544517165</v>
      </c>
      <c r="AC1408">
        <f t="shared" ca="1" si="551"/>
        <v>0</v>
      </c>
      <c r="AD1408">
        <f ca="1">IF(V32="Supercritical",L1408,U1408)</f>
        <v>0.05</v>
      </c>
      <c r="AE1408">
        <f t="shared" ca="1" si="552"/>
        <v>631.98299999999995</v>
      </c>
      <c r="AF1408">
        <f t="shared" ca="1" si="553"/>
        <v>2593.0600316486621</v>
      </c>
      <c r="AI1408">
        <v>0</v>
      </c>
      <c r="AJ1408">
        <v>0</v>
      </c>
      <c r="AK1408">
        <f t="shared" si="554"/>
        <v>0</v>
      </c>
      <c r="AL1408">
        <f t="shared" si="562"/>
        <v>0</v>
      </c>
      <c r="AM1408">
        <f t="shared" ca="1" si="555"/>
        <v>280.07692026646265</v>
      </c>
      <c r="AN1408" t="str">
        <f t="shared" ca="1" si="556"/>
        <v>Supercritical</v>
      </c>
      <c r="AO1408">
        <f ca="1">IF(V32="Supercritical",R1408,AA1408)</f>
        <v>482.07306851378365</v>
      </c>
    </row>
    <row r="1409" spans="1:41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174</v>
      </c>
      <c r="I1409">
        <v>0</v>
      </c>
      <c r="J1409">
        <f t="shared" si="557"/>
        <v>0.99899999999979627</v>
      </c>
      <c r="K1409">
        <f t="shared" si="558"/>
        <v>51</v>
      </c>
      <c r="L1409">
        <f t="shared" ca="1" si="559"/>
        <v>38818.051231278128</v>
      </c>
      <c r="M1409">
        <f t="shared" ca="1" si="537"/>
        <v>201853.86640264626</v>
      </c>
      <c r="N1409">
        <f t="shared" ca="1" si="538"/>
        <v>2.5998258658784543</v>
      </c>
      <c r="O1409">
        <f t="shared" ca="1" si="539"/>
        <v>2.5265802884482871E-4</v>
      </c>
      <c r="P1409">
        <f t="shared" ca="1" si="540"/>
        <v>39449.983731278131</v>
      </c>
      <c r="Q1409">
        <f t="shared" ca="1" si="541"/>
        <v>39449.983731281383</v>
      </c>
      <c r="R1409">
        <f t="shared" ca="1" si="542"/>
        <v>4.0178129257556468E-12</v>
      </c>
      <c r="S1409">
        <f t="shared" ca="1" si="560"/>
        <v>4.9999998736893758E-4</v>
      </c>
      <c r="T1409">
        <f t="shared" ca="1" si="561"/>
        <v>1</v>
      </c>
      <c r="U1409">
        <f t="shared" ca="1" si="543"/>
        <v>0.05</v>
      </c>
      <c r="V1409">
        <f t="shared" ca="1" si="544"/>
        <v>0.26</v>
      </c>
      <c r="W1409">
        <f t="shared" ca="1" si="545"/>
        <v>4.9056603773584909E-2</v>
      </c>
      <c r="X1409">
        <f t="shared" ca="1" si="546"/>
        <v>196.15384615384616</v>
      </c>
      <c r="Y1409">
        <f t="shared" ca="1" si="547"/>
        <v>631.98249999999996</v>
      </c>
      <c r="Z1409">
        <f t="shared" ca="1" si="548"/>
        <v>2593.059531648662</v>
      </c>
      <c r="AA1409">
        <f t="shared" ca="1" si="549"/>
        <v>482.07306851378365</v>
      </c>
      <c r="AB1409">
        <f t="shared" ca="1" si="550"/>
        <v>482.25887083179077</v>
      </c>
      <c r="AC1409">
        <f t="shared" ca="1" si="551"/>
        <v>0</v>
      </c>
      <c r="AD1409">
        <f ca="1">IF(V32="Supercritical",L1409,U1409)</f>
        <v>0.05</v>
      </c>
      <c r="AE1409">
        <f t="shared" ca="1" si="552"/>
        <v>631.98249999999996</v>
      </c>
      <c r="AF1409">
        <f t="shared" ca="1" si="553"/>
        <v>2593.059531648662</v>
      </c>
      <c r="AI1409">
        <v>0</v>
      </c>
      <c r="AJ1409">
        <v>0</v>
      </c>
      <c r="AK1409">
        <f t="shared" si="554"/>
        <v>0</v>
      </c>
      <c r="AL1409">
        <f t="shared" si="562"/>
        <v>0</v>
      </c>
      <c r="AM1409">
        <f t="shared" ca="1" si="555"/>
        <v>280.07692026646265</v>
      </c>
      <c r="AN1409" t="str">
        <f t="shared" ca="1" si="556"/>
        <v>Supercritical</v>
      </c>
      <c r="AO1409">
        <f ca="1">IF(V32="Supercritical",R1409,AA1409)</f>
        <v>482.07306851378365</v>
      </c>
    </row>
    <row r="1410" spans="1:41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174</v>
      </c>
      <c r="I1410">
        <v>5.7000000000000002E-2</v>
      </c>
      <c r="J1410">
        <f t="shared" si="557"/>
        <v>1</v>
      </c>
      <c r="K1410">
        <f t="shared" si="558"/>
        <v>51</v>
      </c>
      <c r="L1410">
        <f t="shared" ca="1" si="559"/>
        <v>38818.051231278128</v>
      </c>
      <c r="M1410">
        <f t="shared" ca="1" si="537"/>
        <v>201853.86640264626</v>
      </c>
      <c r="N1410">
        <f t="shared" ca="1" si="538"/>
        <v>2.5998258658784543</v>
      </c>
      <c r="O1410">
        <f t="shared" ca="1" si="539"/>
        <v>2.5265802884482871E-4</v>
      </c>
      <c r="P1410">
        <f t="shared" ca="1" si="540"/>
        <v>39449.983231278129</v>
      </c>
      <c r="Q1410">
        <f t="shared" ca="1" si="541"/>
        <v>39449.983231281381</v>
      </c>
      <c r="R1410">
        <f t="shared" ca="1" si="542"/>
        <v>4.0178129257556468E-12</v>
      </c>
      <c r="S1410">
        <f t="shared" ca="1" si="560"/>
        <v>4.999999946448952E-4</v>
      </c>
      <c r="T1410">
        <f t="shared" ca="1" si="561"/>
        <v>1</v>
      </c>
      <c r="U1410">
        <f t="shared" ca="1" si="543"/>
        <v>0.05</v>
      </c>
      <c r="V1410">
        <f t="shared" ca="1" si="544"/>
        <v>0.26</v>
      </c>
      <c r="W1410">
        <f t="shared" ca="1" si="545"/>
        <v>4.9056603773584909E-2</v>
      </c>
      <c r="X1410">
        <f t="shared" ca="1" si="546"/>
        <v>196.15384615384616</v>
      </c>
      <c r="Y1410">
        <f t="shared" ca="1" si="547"/>
        <v>631.98199999999997</v>
      </c>
      <c r="Z1410">
        <f t="shared" ca="1" si="548"/>
        <v>2593.0590316486623</v>
      </c>
      <c r="AA1410">
        <f t="shared" ca="1" si="549"/>
        <v>482.07306851378365</v>
      </c>
      <c r="AB1410">
        <f t="shared" ca="1" si="550"/>
        <v>482.25887083179032</v>
      </c>
      <c r="AC1410">
        <f t="shared" ca="1" si="551"/>
        <v>0</v>
      </c>
      <c r="AD1410">
        <f ca="1">IF(V32="Supercritical",L1410,U1410)</f>
        <v>0.05</v>
      </c>
      <c r="AE1410">
        <f t="shared" ca="1" si="552"/>
        <v>631.98199999999997</v>
      </c>
      <c r="AF1410">
        <f t="shared" ca="1" si="553"/>
        <v>2593.0590316486623</v>
      </c>
      <c r="AI1410">
        <v>0</v>
      </c>
      <c r="AJ1410">
        <v>0</v>
      </c>
      <c r="AK1410">
        <f t="shared" si="554"/>
        <v>0</v>
      </c>
      <c r="AL1410">
        <f t="shared" si="562"/>
        <v>0</v>
      </c>
      <c r="AM1410">
        <f t="shared" ca="1" si="555"/>
        <v>280.07692026646265</v>
      </c>
      <c r="AN1410" t="str">
        <f t="shared" ca="1" si="556"/>
        <v>Supercritical</v>
      </c>
      <c r="AO1410">
        <f ca="1">IF(V32="Supercritical",R1410,AA1410)</f>
        <v>482.07306851378365</v>
      </c>
    </row>
    <row r="1411" spans="1:41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174</v>
      </c>
      <c r="I1411">
        <v>5.7000000000000002E-2</v>
      </c>
      <c r="J1411">
        <f t="shared" si="557"/>
        <v>1</v>
      </c>
      <c r="K1411">
        <f t="shared" si="558"/>
        <v>51</v>
      </c>
      <c r="L1411">
        <f t="shared" ca="1" si="559"/>
        <v>38818.051231278128</v>
      </c>
      <c r="M1411">
        <f t="shared" ca="1" si="537"/>
        <v>201853.86640264626</v>
      </c>
      <c r="N1411">
        <f t="shared" ca="1" si="538"/>
        <v>2.5998258658784543</v>
      </c>
      <c r="O1411">
        <f t="shared" ca="1" si="539"/>
        <v>2.5265802884482871E-4</v>
      </c>
      <c r="P1411">
        <f t="shared" ca="1" si="540"/>
        <v>39449.982731278127</v>
      </c>
      <c r="Q1411">
        <f t="shared" ca="1" si="541"/>
        <v>39449.98273128138</v>
      </c>
      <c r="R1411">
        <f t="shared" ca="1" si="542"/>
        <v>4.0178129257556468E-12</v>
      </c>
      <c r="S1411">
        <f t="shared" ca="1" si="560"/>
        <v>4.999999946448952E-4</v>
      </c>
      <c r="T1411">
        <f t="shared" ca="1" si="561"/>
        <v>1</v>
      </c>
      <c r="U1411">
        <f t="shared" ca="1" si="543"/>
        <v>0.05</v>
      </c>
      <c r="V1411">
        <f t="shared" ca="1" si="544"/>
        <v>0.26</v>
      </c>
      <c r="W1411">
        <f t="shared" ca="1" si="545"/>
        <v>4.9056603773584909E-2</v>
      </c>
      <c r="X1411">
        <f t="shared" ca="1" si="546"/>
        <v>196.15384615384616</v>
      </c>
      <c r="Y1411">
        <f t="shared" ca="1" si="547"/>
        <v>631.98149999999998</v>
      </c>
      <c r="Z1411">
        <f t="shared" ca="1" si="548"/>
        <v>2593.0585316486622</v>
      </c>
      <c r="AA1411">
        <f t="shared" ca="1" si="549"/>
        <v>482.07306851378365</v>
      </c>
      <c r="AB1411">
        <f t="shared" ca="1" si="550"/>
        <v>482.07256851378361</v>
      </c>
      <c r="AC1411">
        <f t="shared" ca="1" si="551"/>
        <v>0</v>
      </c>
      <c r="AD1411">
        <f ca="1">IF(V32="Supercritical",L1411,U1411)</f>
        <v>0.05</v>
      </c>
      <c r="AE1411">
        <f t="shared" ca="1" si="552"/>
        <v>631.98149999999998</v>
      </c>
      <c r="AF1411">
        <f t="shared" ca="1" si="553"/>
        <v>2593.0585316486622</v>
      </c>
      <c r="AI1411">
        <v>0</v>
      </c>
      <c r="AJ1411">
        <v>0</v>
      </c>
      <c r="AK1411">
        <f t="shared" si="554"/>
        <v>0</v>
      </c>
      <c r="AL1411">
        <f t="shared" si="562"/>
        <v>0</v>
      </c>
      <c r="AM1411">
        <f t="shared" ca="1" si="555"/>
        <v>280.07692026646265</v>
      </c>
      <c r="AN1411" t="str">
        <f t="shared" ca="1" si="556"/>
        <v>Supercritical</v>
      </c>
      <c r="AO1411">
        <f ca="1">IF(V32="Supercritical",R1411,AA1411)</f>
        <v>482.07306851378365</v>
      </c>
    </row>
    <row r="1412" spans="1:41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174</v>
      </c>
      <c r="I1412">
        <v>0</v>
      </c>
      <c r="J1412">
        <f t="shared" si="557"/>
        <v>1</v>
      </c>
      <c r="K1412">
        <f t="shared" si="558"/>
        <v>51</v>
      </c>
      <c r="L1412">
        <f t="shared" ca="1" si="559"/>
        <v>38818.051231278128</v>
      </c>
      <c r="M1412">
        <f t="shared" ca="1" si="537"/>
        <v>201853.86640264626</v>
      </c>
      <c r="N1412">
        <f t="shared" ca="1" si="538"/>
        <v>2.5998258658784543</v>
      </c>
      <c r="O1412">
        <f t="shared" ca="1" si="539"/>
        <v>2.5265802884482871E-4</v>
      </c>
      <c r="P1412">
        <f t="shared" ca="1" si="540"/>
        <v>39449.982231278125</v>
      </c>
      <c r="Q1412">
        <f t="shared" ca="1" si="541"/>
        <v>39449.982231281378</v>
      </c>
      <c r="R1412">
        <f t="shared" ca="1" si="542"/>
        <v>4.0178129257556468E-12</v>
      </c>
      <c r="S1412">
        <f t="shared" ca="1" si="560"/>
        <v>4.999999946448952E-4</v>
      </c>
      <c r="T1412">
        <f t="shared" ca="1" si="561"/>
        <v>1</v>
      </c>
      <c r="U1412">
        <f t="shared" ca="1" si="543"/>
        <v>0.05</v>
      </c>
      <c r="V1412">
        <f t="shared" ca="1" si="544"/>
        <v>0.26</v>
      </c>
      <c r="W1412">
        <f t="shared" ca="1" si="545"/>
        <v>4.9056603773584909E-2</v>
      </c>
      <c r="X1412">
        <f t="shared" ca="1" si="546"/>
        <v>196.15384615384616</v>
      </c>
      <c r="Y1412">
        <f t="shared" ca="1" si="547"/>
        <v>631.98099999999999</v>
      </c>
      <c r="Z1412">
        <f t="shared" ca="1" si="548"/>
        <v>2593.0580316486621</v>
      </c>
      <c r="AA1412">
        <f t="shared" ca="1" si="549"/>
        <v>482.07306851378365</v>
      </c>
      <c r="AB1412">
        <f t="shared" ca="1" si="550"/>
        <v>482.07256851378361</v>
      </c>
      <c r="AC1412">
        <f t="shared" ca="1" si="551"/>
        <v>0</v>
      </c>
      <c r="AD1412">
        <f ca="1">IF(V32="Supercritical",L1412,U1412)</f>
        <v>0.05</v>
      </c>
      <c r="AE1412">
        <f t="shared" ca="1" si="552"/>
        <v>631.98099999999999</v>
      </c>
      <c r="AF1412">
        <f t="shared" ca="1" si="553"/>
        <v>2593.0580316486621</v>
      </c>
      <c r="AI1412">
        <v>0</v>
      </c>
      <c r="AJ1412">
        <v>0</v>
      </c>
      <c r="AK1412">
        <f t="shared" si="554"/>
        <v>0</v>
      </c>
      <c r="AL1412">
        <f t="shared" si="562"/>
        <v>0</v>
      </c>
      <c r="AM1412">
        <f t="shared" ca="1" si="555"/>
        <v>280.07692026646265</v>
      </c>
      <c r="AN1412" t="str">
        <f t="shared" ca="1" si="556"/>
        <v>Supercritical</v>
      </c>
      <c r="AO1412">
        <f ca="1">IF(V32="Supercritical",R1412,AA1412)</f>
        <v>482.07306851378365</v>
      </c>
    </row>
    <row r="1413" spans="1:41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174</v>
      </c>
      <c r="I1413">
        <v>0</v>
      </c>
      <c r="J1413">
        <f t="shared" si="557"/>
        <v>1</v>
      </c>
      <c r="K1413">
        <f t="shared" si="558"/>
        <v>51</v>
      </c>
      <c r="L1413">
        <f t="shared" ca="1" si="559"/>
        <v>38818.051231278128</v>
      </c>
      <c r="M1413">
        <f t="shared" ca="1" si="537"/>
        <v>201853.86640264626</v>
      </c>
      <c r="N1413">
        <f t="shared" ca="1" si="538"/>
        <v>2.5998258658784543</v>
      </c>
      <c r="O1413">
        <f t="shared" ca="1" si="539"/>
        <v>2.5265802884482871E-4</v>
      </c>
      <c r="P1413">
        <f t="shared" ca="1" si="540"/>
        <v>39449.981731278131</v>
      </c>
      <c r="Q1413">
        <f t="shared" ca="1" si="541"/>
        <v>39449.981731281383</v>
      </c>
      <c r="R1413">
        <f t="shared" ca="1" si="542"/>
        <v>4.0178129257556468E-12</v>
      </c>
      <c r="S1413">
        <f t="shared" ca="1" si="560"/>
        <v>4.9999998736893758E-4</v>
      </c>
      <c r="T1413">
        <f t="shared" ca="1" si="561"/>
        <v>1</v>
      </c>
      <c r="U1413">
        <f t="shared" ca="1" si="543"/>
        <v>0.05</v>
      </c>
      <c r="V1413">
        <f t="shared" ca="1" si="544"/>
        <v>0.26</v>
      </c>
      <c r="W1413">
        <f t="shared" ca="1" si="545"/>
        <v>4.9056603773584909E-2</v>
      </c>
      <c r="X1413">
        <f t="shared" ca="1" si="546"/>
        <v>196.15384615384616</v>
      </c>
      <c r="Y1413">
        <f t="shared" ca="1" si="547"/>
        <v>631.98050000000001</v>
      </c>
      <c r="Z1413">
        <f t="shared" ca="1" si="548"/>
        <v>2593.057531648662</v>
      </c>
      <c r="AA1413">
        <f t="shared" ca="1" si="549"/>
        <v>482.07306851378365</v>
      </c>
      <c r="AB1413">
        <f t="shared" ca="1" si="550"/>
        <v>482.25233390835137</v>
      </c>
      <c r="AC1413">
        <f t="shared" ca="1" si="551"/>
        <v>0</v>
      </c>
      <c r="AD1413">
        <f ca="1">IF(V32="Supercritical",L1413,U1413)</f>
        <v>0.05</v>
      </c>
      <c r="AE1413">
        <f t="shared" ca="1" si="552"/>
        <v>631.98050000000001</v>
      </c>
      <c r="AF1413">
        <f t="shared" ca="1" si="553"/>
        <v>2593.057531648662</v>
      </c>
      <c r="AI1413">
        <v>0</v>
      </c>
      <c r="AJ1413">
        <v>0</v>
      </c>
      <c r="AK1413">
        <f t="shared" si="554"/>
        <v>0</v>
      </c>
      <c r="AL1413">
        <f t="shared" si="562"/>
        <v>0</v>
      </c>
      <c r="AM1413">
        <f t="shared" ca="1" si="555"/>
        <v>280.07692026646265</v>
      </c>
      <c r="AN1413" t="str">
        <f t="shared" ca="1" si="556"/>
        <v>Supercritical</v>
      </c>
      <c r="AO1413">
        <f ca="1">IF(V32="Supercritical",R1413,AA1413)</f>
        <v>482.07306851378365</v>
      </c>
    </row>
    <row r="1414" spans="1:41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174</v>
      </c>
      <c r="I1414">
        <v>5.5E-2</v>
      </c>
      <c r="J1414">
        <f t="shared" si="557"/>
        <v>1</v>
      </c>
      <c r="K1414">
        <f t="shared" si="558"/>
        <v>51</v>
      </c>
      <c r="L1414">
        <f t="shared" ca="1" si="559"/>
        <v>38818.051231278128</v>
      </c>
      <c r="M1414">
        <f t="shared" ca="1" si="537"/>
        <v>201853.86640264626</v>
      </c>
      <c r="N1414">
        <f t="shared" ca="1" si="538"/>
        <v>2.5998258658784543</v>
      </c>
      <c r="O1414">
        <f t="shared" ca="1" si="539"/>
        <v>2.5265802884482871E-4</v>
      </c>
      <c r="P1414">
        <f t="shared" ca="1" si="540"/>
        <v>39449.981231278129</v>
      </c>
      <c r="Q1414">
        <f t="shared" ca="1" si="541"/>
        <v>39449.981231281381</v>
      </c>
      <c r="R1414">
        <f t="shared" ca="1" si="542"/>
        <v>4.0178129257556468E-12</v>
      </c>
      <c r="S1414">
        <f t="shared" ca="1" si="560"/>
        <v>4.999999946448952E-4</v>
      </c>
      <c r="T1414">
        <f t="shared" ca="1" si="561"/>
        <v>1</v>
      </c>
      <c r="U1414">
        <f t="shared" ca="1" si="543"/>
        <v>0.05</v>
      </c>
      <c r="V1414">
        <f t="shared" ca="1" si="544"/>
        <v>0.26</v>
      </c>
      <c r="W1414">
        <f t="shared" ca="1" si="545"/>
        <v>4.9056603773584909E-2</v>
      </c>
      <c r="X1414">
        <f t="shared" ca="1" si="546"/>
        <v>196.15384615384616</v>
      </c>
      <c r="Y1414">
        <f t="shared" ca="1" si="547"/>
        <v>631.9799999999999</v>
      </c>
      <c r="Z1414">
        <f t="shared" ca="1" si="548"/>
        <v>2593.0570316486619</v>
      </c>
      <c r="AA1414">
        <f t="shared" ca="1" si="549"/>
        <v>482.07306851378365</v>
      </c>
      <c r="AB1414">
        <f t="shared" ca="1" si="550"/>
        <v>482.73440697696333</v>
      </c>
      <c r="AC1414">
        <f t="shared" ca="1" si="551"/>
        <v>0</v>
      </c>
      <c r="AD1414">
        <f ca="1">IF(V32="Supercritical",L1414,U1414)</f>
        <v>0.05</v>
      </c>
      <c r="AE1414">
        <f t="shared" ca="1" si="552"/>
        <v>631.9799999999999</v>
      </c>
      <c r="AF1414">
        <f t="shared" ca="1" si="553"/>
        <v>2593.0570316486619</v>
      </c>
      <c r="AI1414">
        <v>0</v>
      </c>
      <c r="AJ1414">
        <v>0</v>
      </c>
      <c r="AK1414">
        <f t="shared" si="554"/>
        <v>0</v>
      </c>
      <c r="AL1414">
        <f t="shared" si="562"/>
        <v>0</v>
      </c>
      <c r="AM1414">
        <f t="shared" ca="1" si="555"/>
        <v>280.07692026646265</v>
      </c>
      <c r="AN1414" t="str">
        <f t="shared" ca="1" si="556"/>
        <v>Supercritical</v>
      </c>
      <c r="AO1414">
        <f ca="1">IF(V32="Supercritical",R1414,AA1414)</f>
        <v>482.07306851378365</v>
      </c>
    </row>
    <row r="1415" spans="1:41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174</v>
      </c>
      <c r="I1415">
        <v>5.5E-2</v>
      </c>
      <c r="J1415">
        <f t="shared" si="557"/>
        <v>1.0010000000002037</v>
      </c>
      <c r="K1415">
        <f t="shared" si="558"/>
        <v>51</v>
      </c>
      <c r="L1415">
        <f t="shared" ca="1" si="559"/>
        <v>38818.051231278128</v>
      </c>
      <c r="M1415">
        <f t="shared" ca="1" si="537"/>
        <v>201853.86640264626</v>
      </c>
      <c r="N1415">
        <f t="shared" ca="1" si="538"/>
        <v>2.5998258658784543</v>
      </c>
      <c r="O1415">
        <f t="shared" ca="1" si="539"/>
        <v>2.5265802884482871E-4</v>
      </c>
      <c r="P1415">
        <f t="shared" ca="1" si="540"/>
        <v>39449.980731278127</v>
      </c>
      <c r="Q1415">
        <f t="shared" ca="1" si="541"/>
        <v>39449.980731281379</v>
      </c>
      <c r="R1415">
        <f t="shared" ca="1" si="542"/>
        <v>4.0178129257556468E-12</v>
      </c>
      <c r="S1415">
        <f t="shared" ca="1" si="560"/>
        <v>4.999999946448952E-4</v>
      </c>
      <c r="T1415">
        <f t="shared" ca="1" si="561"/>
        <v>1</v>
      </c>
      <c r="U1415">
        <f t="shared" ca="1" si="543"/>
        <v>0.05</v>
      </c>
      <c r="V1415">
        <f t="shared" ca="1" si="544"/>
        <v>0.26</v>
      </c>
      <c r="W1415">
        <f t="shared" ca="1" si="545"/>
        <v>4.9056603773584909E-2</v>
      </c>
      <c r="X1415">
        <f t="shared" ca="1" si="546"/>
        <v>196.15384615384616</v>
      </c>
      <c r="Y1415">
        <f t="shared" ca="1" si="547"/>
        <v>631.97949999999992</v>
      </c>
      <c r="Z1415">
        <f t="shared" ca="1" si="548"/>
        <v>2593.0565316486618</v>
      </c>
      <c r="AA1415">
        <f t="shared" ca="1" si="549"/>
        <v>482.07306851378365</v>
      </c>
      <c r="AB1415">
        <f t="shared" ca="1" si="550"/>
        <v>482.07256851378406</v>
      </c>
      <c r="AC1415">
        <f t="shared" ca="1" si="551"/>
        <v>0</v>
      </c>
      <c r="AD1415">
        <f ca="1">IF(V32="Supercritical",L1415,U1415)</f>
        <v>0.05</v>
      </c>
      <c r="AE1415">
        <f t="shared" ca="1" si="552"/>
        <v>631.97949999999992</v>
      </c>
      <c r="AF1415">
        <f t="shared" ca="1" si="553"/>
        <v>2593.0565316486618</v>
      </c>
      <c r="AI1415">
        <v>0</v>
      </c>
      <c r="AJ1415">
        <v>0</v>
      </c>
      <c r="AK1415">
        <f t="shared" si="554"/>
        <v>0</v>
      </c>
      <c r="AL1415">
        <f t="shared" si="562"/>
        <v>0</v>
      </c>
      <c r="AM1415">
        <f t="shared" ca="1" si="555"/>
        <v>280.07692026646265</v>
      </c>
      <c r="AN1415" t="str">
        <f t="shared" ca="1" si="556"/>
        <v>Supercritical</v>
      </c>
      <c r="AO1415">
        <f ca="1">IF(V32="Supercritical",R1415,AA1415)</f>
        <v>482.07306851378365</v>
      </c>
    </row>
    <row r="1416" spans="1:41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174</v>
      </c>
      <c r="I1416">
        <v>0</v>
      </c>
      <c r="J1416">
        <f t="shared" si="557"/>
        <v>1</v>
      </c>
      <c r="K1416">
        <f t="shared" si="558"/>
        <v>51</v>
      </c>
      <c r="L1416">
        <f t="shared" ca="1" si="559"/>
        <v>38818.051231278128</v>
      </c>
      <c r="M1416">
        <f t="shared" ca="1" si="537"/>
        <v>201853.86640264626</v>
      </c>
      <c r="N1416">
        <f t="shared" ca="1" si="538"/>
        <v>2.5998258658784543</v>
      </c>
      <c r="O1416">
        <f t="shared" ca="1" si="539"/>
        <v>2.5265802884482871E-4</v>
      </c>
      <c r="P1416">
        <f t="shared" ca="1" si="540"/>
        <v>39449.980231278125</v>
      </c>
      <c r="Q1416">
        <f t="shared" ca="1" si="541"/>
        <v>39449.980231281377</v>
      </c>
      <c r="R1416">
        <f t="shared" ca="1" si="542"/>
        <v>4.0178129257556468E-12</v>
      </c>
      <c r="S1416">
        <f t="shared" ca="1" si="560"/>
        <v>4.999999946448952E-4</v>
      </c>
      <c r="T1416">
        <f t="shared" ca="1" si="561"/>
        <v>1</v>
      </c>
      <c r="U1416">
        <f t="shared" ca="1" si="543"/>
        <v>0.05</v>
      </c>
      <c r="V1416">
        <f t="shared" ca="1" si="544"/>
        <v>0.26</v>
      </c>
      <c r="W1416">
        <f t="shared" ca="1" si="545"/>
        <v>4.9056603773584909E-2</v>
      </c>
      <c r="X1416">
        <f t="shared" ca="1" si="546"/>
        <v>196.15384615384616</v>
      </c>
      <c r="Y1416">
        <f t="shared" ca="1" si="547"/>
        <v>631.97899999999993</v>
      </c>
      <c r="Z1416">
        <f t="shared" ca="1" si="548"/>
        <v>2593.0560316486622</v>
      </c>
      <c r="AA1416">
        <f t="shared" ca="1" si="549"/>
        <v>482.07306851378365</v>
      </c>
      <c r="AB1416">
        <f t="shared" ca="1" si="550"/>
        <v>482.07256851378361</v>
      </c>
      <c r="AC1416">
        <f t="shared" ca="1" si="551"/>
        <v>0</v>
      </c>
      <c r="AD1416">
        <f ca="1">IF(V32="Supercritical",L1416,U1416)</f>
        <v>0.05</v>
      </c>
      <c r="AE1416">
        <f t="shared" ca="1" si="552"/>
        <v>631.97899999999993</v>
      </c>
      <c r="AF1416">
        <f t="shared" ca="1" si="553"/>
        <v>2593.0560316486622</v>
      </c>
      <c r="AI1416">
        <v>0</v>
      </c>
      <c r="AJ1416">
        <v>0</v>
      </c>
      <c r="AK1416">
        <f t="shared" si="554"/>
        <v>0</v>
      </c>
      <c r="AL1416">
        <f t="shared" si="562"/>
        <v>0</v>
      </c>
      <c r="AM1416">
        <f t="shared" ca="1" si="555"/>
        <v>280.07692026646265</v>
      </c>
      <c r="AN1416" t="str">
        <f t="shared" ca="1" si="556"/>
        <v>Supercritical</v>
      </c>
      <c r="AO1416">
        <f ca="1">IF(V32="Supercritical",R1416,AA1416)</f>
        <v>482.07306851378365</v>
      </c>
    </row>
    <row r="1417" spans="1:41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174</v>
      </c>
      <c r="I1417">
        <v>0</v>
      </c>
      <c r="J1417">
        <f t="shared" si="557"/>
        <v>1</v>
      </c>
      <c r="K1417">
        <f t="shared" si="558"/>
        <v>51</v>
      </c>
      <c r="L1417">
        <f t="shared" ca="1" si="559"/>
        <v>38818.051231278128</v>
      </c>
      <c r="M1417">
        <f t="shared" ca="1" si="537"/>
        <v>201853.86640264626</v>
      </c>
      <c r="N1417">
        <f t="shared" ca="1" si="538"/>
        <v>2.5998258658784543</v>
      </c>
      <c r="O1417">
        <f t="shared" ca="1" si="539"/>
        <v>2.5265802884482871E-4</v>
      </c>
      <c r="P1417">
        <f t="shared" ca="1" si="540"/>
        <v>39449.97973127813</v>
      </c>
      <c r="Q1417">
        <f t="shared" ca="1" si="541"/>
        <v>39449.979731281383</v>
      </c>
      <c r="R1417">
        <f t="shared" ca="1" si="542"/>
        <v>4.0178129257556468E-12</v>
      </c>
      <c r="S1417">
        <f t="shared" ca="1" si="560"/>
        <v>4.9999998736893758E-4</v>
      </c>
      <c r="T1417">
        <f t="shared" ca="1" si="561"/>
        <v>1</v>
      </c>
      <c r="U1417">
        <f t="shared" ca="1" si="543"/>
        <v>0.05</v>
      </c>
      <c r="V1417">
        <f t="shared" ca="1" si="544"/>
        <v>0.26</v>
      </c>
      <c r="W1417">
        <f t="shared" ca="1" si="545"/>
        <v>4.9056603773584909E-2</v>
      </c>
      <c r="X1417">
        <f t="shared" ca="1" si="546"/>
        <v>196.15384615384616</v>
      </c>
      <c r="Y1417">
        <f t="shared" ca="1" si="547"/>
        <v>631.97849999999994</v>
      </c>
      <c r="Z1417">
        <f t="shared" ca="1" si="548"/>
        <v>2593.0555316486621</v>
      </c>
      <c r="AA1417">
        <f t="shared" ca="1" si="549"/>
        <v>482.07306851378365</v>
      </c>
      <c r="AB1417">
        <f t="shared" ca="1" si="550"/>
        <v>481.77679776317837</v>
      </c>
      <c r="AC1417">
        <f t="shared" ca="1" si="551"/>
        <v>0</v>
      </c>
      <c r="AD1417">
        <f ca="1">IF(V32="Supercritical",L1417,U1417)</f>
        <v>0.05</v>
      </c>
      <c r="AE1417">
        <f t="shared" ca="1" si="552"/>
        <v>631.97849999999994</v>
      </c>
      <c r="AF1417">
        <f t="shared" ca="1" si="553"/>
        <v>2593.0555316486621</v>
      </c>
      <c r="AI1417">
        <v>0</v>
      </c>
      <c r="AJ1417">
        <v>0</v>
      </c>
      <c r="AK1417">
        <f t="shared" si="554"/>
        <v>0</v>
      </c>
      <c r="AL1417">
        <f t="shared" si="562"/>
        <v>0</v>
      </c>
      <c r="AM1417">
        <f t="shared" ca="1" si="555"/>
        <v>280.07692026646265</v>
      </c>
      <c r="AN1417" t="str">
        <f t="shared" ca="1" si="556"/>
        <v>Supercritical</v>
      </c>
      <c r="AO1417">
        <f ca="1">IF(V32="Supercritical",R1417,AA1417)</f>
        <v>482.07306851378365</v>
      </c>
    </row>
    <row r="1418" spans="1:41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174</v>
      </c>
      <c r="I1418">
        <v>5.7000000000000002E-2</v>
      </c>
      <c r="J1418">
        <f t="shared" si="557"/>
        <v>0.99899999999979627</v>
      </c>
      <c r="K1418">
        <f t="shared" si="558"/>
        <v>51</v>
      </c>
      <c r="L1418">
        <f t="shared" ca="1" si="559"/>
        <v>38818.051231278128</v>
      </c>
      <c r="M1418">
        <f t="shared" ca="1" si="537"/>
        <v>201853.86640264626</v>
      </c>
      <c r="N1418">
        <f t="shared" ca="1" si="538"/>
        <v>2.5998258658784543</v>
      </c>
      <c r="O1418">
        <f t="shared" ca="1" si="539"/>
        <v>2.5265802884482871E-4</v>
      </c>
      <c r="P1418">
        <f t="shared" ca="1" si="540"/>
        <v>39449.979231278128</v>
      </c>
      <c r="Q1418">
        <f t="shared" ca="1" si="541"/>
        <v>39449.979231281381</v>
      </c>
      <c r="R1418">
        <f t="shared" ca="1" si="542"/>
        <v>4.0178129257556468E-12</v>
      </c>
      <c r="S1418">
        <f t="shared" ca="1" si="560"/>
        <v>4.999999946448952E-4</v>
      </c>
      <c r="T1418">
        <f t="shared" ca="1" si="561"/>
        <v>1</v>
      </c>
      <c r="U1418">
        <f t="shared" ca="1" si="543"/>
        <v>0.05</v>
      </c>
      <c r="V1418">
        <f t="shared" ca="1" si="544"/>
        <v>0.26</v>
      </c>
      <c r="W1418">
        <f t="shared" ca="1" si="545"/>
        <v>4.9056603773584909E-2</v>
      </c>
      <c r="X1418">
        <f t="shared" ca="1" si="546"/>
        <v>196.15384615384616</v>
      </c>
      <c r="Y1418">
        <f t="shared" ca="1" si="547"/>
        <v>631.97799999999995</v>
      </c>
      <c r="Z1418">
        <f t="shared" ca="1" si="548"/>
        <v>2593.055031648662</v>
      </c>
      <c r="AA1418">
        <f t="shared" ca="1" si="549"/>
        <v>482.07306851378365</v>
      </c>
      <c r="AB1418">
        <f t="shared" ca="1" si="550"/>
        <v>482.25887083179077</v>
      </c>
      <c r="AC1418">
        <f t="shared" ca="1" si="551"/>
        <v>0</v>
      </c>
      <c r="AD1418">
        <f ca="1">IF(V32="Supercritical",L1418,U1418)</f>
        <v>0.05</v>
      </c>
      <c r="AE1418">
        <f t="shared" ca="1" si="552"/>
        <v>631.97799999999995</v>
      </c>
      <c r="AF1418">
        <f t="shared" ca="1" si="553"/>
        <v>2593.055031648662</v>
      </c>
      <c r="AI1418">
        <v>0</v>
      </c>
      <c r="AJ1418">
        <v>0</v>
      </c>
      <c r="AK1418">
        <f t="shared" si="554"/>
        <v>0</v>
      </c>
      <c r="AL1418">
        <f t="shared" si="562"/>
        <v>0</v>
      </c>
      <c r="AM1418">
        <f t="shared" ca="1" si="555"/>
        <v>280.07692026646265</v>
      </c>
      <c r="AN1418" t="str">
        <f t="shared" ca="1" si="556"/>
        <v>Supercritical</v>
      </c>
      <c r="AO1418">
        <f ca="1">IF(V32="Supercritical",R1418,AA1418)</f>
        <v>482.07306851378365</v>
      </c>
    </row>
    <row r="1419" spans="1:41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174</v>
      </c>
      <c r="I1419">
        <v>5.7000000000000002E-2</v>
      </c>
      <c r="J1419">
        <f t="shared" si="557"/>
        <v>1</v>
      </c>
      <c r="K1419">
        <f t="shared" si="558"/>
        <v>51</v>
      </c>
      <c r="L1419">
        <f t="shared" ca="1" si="559"/>
        <v>38818.051231278128</v>
      </c>
      <c r="M1419">
        <f t="shared" ca="1" si="537"/>
        <v>201853.86640264626</v>
      </c>
      <c r="N1419">
        <f t="shared" ca="1" si="538"/>
        <v>2.5998258658784543</v>
      </c>
      <c r="O1419">
        <f t="shared" ca="1" si="539"/>
        <v>2.5265802884482871E-4</v>
      </c>
      <c r="P1419">
        <f t="shared" ca="1" si="540"/>
        <v>39449.978731278126</v>
      </c>
      <c r="Q1419">
        <f t="shared" ca="1" si="541"/>
        <v>39449.978731281379</v>
      </c>
      <c r="R1419">
        <f t="shared" ca="1" si="542"/>
        <v>4.0178129257556468E-12</v>
      </c>
      <c r="S1419">
        <f t="shared" ca="1" si="560"/>
        <v>4.999999946448952E-4</v>
      </c>
      <c r="T1419">
        <f t="shared" ca="1" si="561"/>
        <v>1</v>
      </c>
      <c r="U1419">
        <f t="shared" ca="1" si="543"/>
        <v>0.05</v>
      </c>
      <c r="V1419">
        <f t="shared" ca="1" si="544"/>
        <v>0.26</v>
      </c>
      <c r="W1419">
        <f t="shared" ca="1" si="545"/>
        <v>4.9056603773584909E-2</v>
      </c>
      <c r="X1419">
        <f t="shared" ca="1" si="546"/>
        <v>196.15384615384616</v>
      </c>
      <c r="Y1419">
        <f t="shared" ca="1" si="547"/>
        <v>631.97749999999996</v>
      </c>
      <c r="Z1419">
        <f t="shared" ca="1" si="548"/>
        <v>2593.0545316486623</v>
      </c>
      <c r="AA1419">
        <f t="shared" ca="1" si="549"/>
        <v>482.07306851378365</v>
      </c>
      <c r="AB1419">
        <f t="shared" ca="1" si="550"/>
        <v>482.07256851378361</v>
      </c>
      <c r="AC1419">
        <f t="shared" ca="1" si="551"/>
        <v>0</v>
      </c>
      <c r="AD1419">
        <f ca="1">IF(V32="Supercritical",L1419,U1419)</f>
        <v>0.05</v>
      </c>
      <c r="AE1419">
        <f t="shared" ca="1" si="552"/>
        <v>631.97749999999996</v>
      </c>
      <c r="AF1419">
        <f t="shared" ca="1" si="553"/>
        <v>2593.0545316486623</v>
      </c>
      <c r="AI1419">
        <v>0</v>
      </c>
      <c r="AJ1419">
        <v>0</v>
      </c>
      <c r="AK1419">
        <f t="shared" si="554"/>
        <v>0</v>
      </c>
      <c r="AL1419">
        <f t="shared" si="562"/>
        <v>0</v>
      </c>
      <c r="AM1419">
        <f t="shared" ca="1" si="555"/>
        <v>280.07692026646265</v>
      </c>
      <c r="AN1419" t="str">
        <f t="shared" ca="1" si="556"/>
        <v>Supercritical</v>
      </c>
      <c r="AO1419">
        <f ca="1">IF(V32="Supercritical",R1419,AA1419)</f>
        <v>482.07306851378365</v>
      </c>
    </row>
    <row r="1420" spans="1:41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174</v>
      </c>
      <c r="I1420">
        <v>0</v>
      </c>
      <c r="J1420">
        <f t="shared" si="557"/>
        <v>1</v>
      </c>
      <c r="K1420">
        <f t="shared" si="558"/>
        <v>51</v>
      </c>
      <c r="L1420">
        <f t="shared" ca="1" si="559"/>
        <v>38818.051231278128</v>
      </c>
      <c r="M1420">
        <f t="shared" ca="1" si="537"/>
        <v>201853.86640264626</v>
      </c>
      <c r="N1420">
        <f t="shared" ca="1" si="538"/>
        <v>2.5998258658784543</v>
      </c>
      <c r="O1420">
        <f t="shared" ca="1" si="539"/>
        <v>2.5265802884482871E-4</v>
      </c>
      <c r="P1420">
        <f t="shared" ca="1" si="540"/>
        <v>39449.978231278132</v>
      </c>
      <c r="Q1420">
        <f t="shared" ca="1" si="541"/>
        <v>39449.978231281384</v>
      </c>
      <c r="R1420">
        <f t="shared" ca="1" si="542"/>
        <v>4.0178129257556468E-12</v>
      </c>
      <c r="S1420">
        <f t="shared" ca="1" si="560"/>
        <v>4.9999998736893758E-4</v>
      </c>
      <c r="T1420">
        <f t="shared" ca="1" si="561"/>
        <v>1</v>
      </c>
      <c r="U1420">
        <f t="shared" ca="1" si="543"/>
        <v>0.05</v>
      </c>
      <c r="V1420">
        <f t="shared" ca="1" si="544"/>
        <v>0.26</v>
      </c>
      <c r="W1420">
        <f t="shared" ca="1" si="545"/>
        <v>4.9056603773584909E-2</v>
      </c>
      <c r="X1420">
        <f t="shared" ca="1" si="546"/>
        <v>196.15384615384616</v>
      </c>
      <c r="Y1420">
        <f t="shared" ca="1" si="547"/>
        <v>631.97699999999998</v>
      </c>
      <c r="Z1420">
        <f t="shared" ca="1" si="548"/>
        <v>2593.0540316486622</v>
      </c>
      <c r="AA1420">
        <f t="shared" ca="1" si="549"/>
        <v>482.07306851378365</v>
      </c>
      <c r="AB1420">
        <f t="shared" ca="1" si="550"/>
        <v>482.07256851378361</v>
      </c>
      <c r="AC1420">
        <f t="shared" ca="1" si="551"/>
        <v>0</v>
      </c>
      <c r="AD1420">
        <f ca="1">IF(V32="Supercritical",L1420,U1420)</f>
        <v>0.05</v>
      </c>
      <c r="AE1420">
        <f t="shared" ca="1" si="552"/>
        <v>631.97699999999998</v>
      </c>
      <c r="AF1420">
        <f t="shared" ca="1" si="553"/>
        <v>2593.0540316486622</v>
      </c>
      <c r="AI1420">
        <v>0</v>
      </c>
      <c r="AJ1420">
        <v>0</v>
      </c>
      <c r="AK1420">
        <f t="shared" si="554"/>
        <v>0</v>
      </c>
      <c r="AL1420">
        <f t="shared" si="562"/>
        <v>0</v>
      </c>
      <c r="AM1420">
        <f t="shared" ca="1" si="555"/>
        <v>280.07692026646265</v>
      </c>
      <c r="AN1420" t="str">
        <f t="shared" ca="1" si="556"/>
        <v>Supercritical</v>
      </c>
      <c r="AO1420">
        <f ca="1">IF(V32="Supercritical",R1420,AA1420)</f>
        <v>482.07306851378365</v>
      </c>
    </row>
    <row r="1421" spans="1:41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174</v>
      </c>
      <c r="I1421">
        <v>0</v>
      </c>
      <c r="J1421">
        <f t="shared" si="557"/>
        <v>1</v>
      </c>
      <c r="K1421">
        <f t="shared" si="558"/>
        <v>51</v>
      </c>
      <c r="L1421">
        <f t="shared" ca="1" si="559"/>
        <v>38818.051231278128</v>
      </c>
      <c r="M1421">
        <f t="shared" ca="1" si="537"/>
        <v>201853.86640264626</v>
      </c>
      <c r="N1421">
        <f t="shared" ca="1" si="538"/>
        <v>2.5998258658784543</v>
      </c>
      <c r="O1421">
        <f t="shared" ca="1" si="539"/>
        <v>2.5265802884482871E-4</v>
      </c>
      <c r="P1421">
        <f t="shared" ca="1" si="540"/>
        <v>39449.97773127813</v>
      </c>
      <c r="Q1421">
        <f t="shared" ca="1" si="541"/>
        <v>39449.977731281382</v>
      </c>
      <c r="R1421">
        <f t="shared" ca="1" si="542"/>
        <v>4.0178129257556468E-12</v>
      </c>
      <c r="S1421">
        <f t="shared" ca="1" si="560"/>
        <v>4.999999946448952E-4</v>
      </c>
      <c r="T1421">
        <f t="shared" ca="1" si="561"/>
        <v>1</v>
      </c>
      <c r="U1421">
        <f t="shared" ca="1" si="543"/>
        <v>0.05</v>
      </c>
      <c r="V1421">
        <f t="shared" ca="1" si="544"/>
        <v>0.26</v>
      </c>
      <c r="W1421">
        <f t="shared" ca="1" si="545"/>
        <v>4.9056603773584909E-2</v>
      </c>
      <c r="X1421">
        <f t="shared" ca="1" si="546"/>
        <v>196.15384615384616</v>
      </c>
      <c r="Y1421">
        <f t="shared" ca="1" si="547"/>
        <v>631.97649999999999</v>
      </c>
      <c r="Z1421">
        <f t="shared" ca="1" si="548"/>
        <v>2593.0535316486621</v>
      </c>
      <c r="AA1421">
        <f t="shared" ca="1" si="549"/>
        <v>482.07306851378365</v>
      </c>
      <c r="AB1421">
        <f t="shared" ca="1" si="550"/>
        <v>482.25887083179032</v>
      </c>
      <c r="AC1421">
        <f t="shared" ca="1" si="551"/>
        <v>0</v>
      </c>
      <c r="AD1421">
        <f ca="1">IF(V32="Supercritical",L1421,U1421)</f>
        <v>0.05</v>
      </c>
      <c r="AE1421">
        <f t="shared" ca="1" si="552"/>
        <v>631.97649999999999</v>
      </c>
      <c r="AF1421">
        <f t="shared" ca="1" si="553"/>
        <v>2593.0535316486621</v>
      </c>
      <c r="AI1421">
        <v>0</v>
      </c>
      <c r="AJ1421">
        <v>0</v>
      </c>
      <c r="AK1421">
        <f t="shared" si="554"/>
        <v>0</v>
      </c>
      <c r="AL1421">
        <f t="shared" si="562"/>
        <v>0</v>
      </c>
      <c r="AM1421">
        <f t="shared" ca="1" si="555"/>
        <v>280.07692026646265</v>
      </c>
      <c r="AN1421" t="str">
        <f t="shared" ca="1" si="556"/>
        <v>Supercritical</v>
      </c>
      <c r="AO1421">
        <f ca="1">IF(V32="Supercritical",R1421,AA1421)</f>
        <v>482.07306851378365</v>
      </c>
    </row>
    <row r="1422" spans="1:41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174</v>
      </c>
      <c r="I1422">
        <v>5.7000000000000002E-2</v>
      </c>
      <c r="J1422">
        <f t="shared" si="557"/>
        <v>1</v>
      </c>
      <c r="K1422">
        <f t="shared" si="558"/>
        <v>51</v>
      </c>
      <c r="L1422">
        <f t="shared" ca="1" si="559"/>
        <v>38818.051231278128</v>
      </c>
      <c r="M1422">
        <f t="shared" ca="1" si="537"/>
        <v>201853.86640264626</v>
      </c>
      <c r="N1422">
        <f t="shared" ca="1" si="538"/>
        <v>2.5998258658784543</v>
      </c>
      <c r="O1422">
        <f t="shared" ca="1" si="539"/>
        <v>2.5265802884482871E-4</v>
      </c>
      <c r="P1422">
        <f t="shared" ca="1" si="540"/>
        <v>39449.977231278128</v>
      </c>
      <c r="Q1422">
        <f t="shared" ca="1" si="541"/>
        <v>39449.97723128138</v>
      </c>
      <c r="R1422">
        <f t="shared" ca="1" si="542"/>
        <v>4.0178129257556468E-12</v>
      </c>
      <c r="S1422">
        <f t="shared" ca="1" si="560"/>
        <v>4.999999946448952E-4</v>
      </c>
      <c r="T1422">
        <f t="shared" ca="1" si="561"/>
        <v>1</v>
      </c>
      <c r="U1422">
        <f t="shared" ca="1" si="543"/>
        <v>0.05</v>
      </c>
      <c r="V1422">
        <f t="shared" ca="1" si="544"/>
        <v>0.26</v>
      </c>
      <c r="W1422">
        <f t="shared" ca="1" si="545"/>
        <v>4.9056603773584909E-2</v>
      </c>
      <c r="X1422">
        <f t="shared" ca="1" si="546"/>
        <v>196.15384615384616</v>
      </c>
      <c r="Y1422">
        <f t="shared" ca="1" si="547"/>
        <v>631.976</v>
      </c>
      <c r="Z1422">
        <f t="shared" ca="1" si="548"/>
        <v>2593.053031648662</v>
      </c>
      <c r="AA1422">
        <f t="shared" ca="1" si="549"/>
        <v>482.07306851378365</v>
      </c>
      <c r="AB1422">
        <f t="shared" ca="1" si="550"/>
        <v>482.25887083179032</v>
      </c>
      <c r="AC1422">
        <f t="shared" ca="1" si="551"/>
        <v>0</v>
      </c>
      <c r="AD1422">
        <f ca="1">IF(V32="Supercritical",L1422,U1422)</f>
        <v>0.05</v>
      </c>
      <c r="AE1422">
        <f t="shared" ca="1" si="552"/>
        <v>631.976</v>
      </c>
      <c r="AF1422">
        <f t="shared" ca="1" si="553"/>
        <v>2593.053031648662</v>
      </c>
      <c r="AI1422">
        <v>0</v>
      </c>
      <c r="AJ1422">
        <v>0</v>
      </c>
      <c r="AK1422">
        <f t="shared" si="554"/>
        <v>0</v>
      </c>
      <c r="AL1422">
        <f t="shared" si="562"/>
        <v>0</v>
      </c>
      <c r="AM1422">
        <f t="shared" ca="1" si="555"/>
        <v>280.07692026646265</v>
      </c>
      <c r="AN1422" t="str">
        <f t="shared" ca="1" si="556"/>
        <v>Supercritical</v>
      </c>
      <c r="AO1422">
        <f ca="1">IF(V32="Supercritical",R1422,AA1422)</f>
        <v>482.07306851378365</v>
      </c>
    </row>
    <row r="1423" spans="1:41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174</v>
      </c>
      <c r="I1423">
        <v>5.7000000000000002E-2</v>
      </c>
      <c r="J1423">
        <f t="shared" si="557"/>
        <v>1</v>
      </c>
      <c r="K1423">
        <f t="shared" si="558"/>
        <v>51</v>
      </c>
      <c r="L1423">
        <f t="shared" ca="1" si="559"/>
        <v>38818.051231278128</v>
      </c>
      <c r="M1423">
        <f t="shared" ca="1" si="537"/>
        <v>201853.86640264626</v>
      </c>
      <c r="N1423">
        <f t="shared" ca="1" si="538"/>
        <v>2.5998258658784543</v>
      </c>
      <c r="O1423">
        <f t="shared" ca="1" si="539"/>
        <v>2.5265802884482871E-4</v>
      </c>
      <c r="P1423">
        <f t="shared" ca="1" si="540"/>
        <v>39449.976731278126</v>
      </c>
      <c r="Q1423">
        <f t="shared" ca="1" si="541"/>
        <v>39449.976731281378</v>
      </c>
      <c r="R1423">
        <f t="shared" ca="1" si="542"/>
        <v>4.0178129257556468E-12</v>
      </c>
      <c r="S1423">
        <f t="shared" ca="1" si="560"/>
        <v>4.999999946448952E-4</v>
      </c>
      <c r="T1423">
        <f t="shared" ca="1" si="561"/>
        <v>1</v>
      </c>
      <c r="U1423">
        <f t="shared" ca="1" si="543"/>
        <v>0.05</v>
      </c>
      <c r="V1423">
        <f t="shared" ca="1" si="544"/>
        <v>0.26</v>
      </c>
      <c r="W1423">
        <f t="shared" ca="1" si="545"/>
        <v>4.9056603773584909E-2</v>
      </c>
      <c r="X1423">
        <f t="shared" ca="1" si="546"/>
        <v>196.15384615384616</v>
      </c>
      <c r="Y1423">
        <f t="shared" ca="1" si="547"/>
        <v>631.97550000000001</v>
      </c>
      <c r="Z1423">
        <f t="shared" ca="1" si="548"/>
        <v>2593.0525316486619</v>
      </c>
      <c r="AA1423">
        <f t="shared" ca="1" si="549"/>
        <v>482.07306851378365</v>
      </c>
      <c r="AB1423">
        <f t="shared" ca="1" si="550"/>
        <v>482.07910543722255</v>
      </c>
      <c r="AC1423">
        <f t="shared" ca="1" si="551"/>
        <v>0</v>
      </c>
      <c r="AD1423">
        <f ca="1">IF(V32="Supercritical",L1423,U1423)</f>
        <v>0.05</v>
      </c>
      <c r="AE1423">
        <f t="shared" ca="1" si="552"/>
        <v>631.97550000000001</v>
      </c>
      <c r="AF1423">
        <f t="shared" ca="1" si="553"/>
        <v>2593.0525316486619</v>
      </c>
      <c r="AI1423">
        <v>0</v>
      </c>
      <c r="AJ1423">
        <v>0</v>
      </c>
      <c r="AK1423">
        <f t="shared" si="554"/>
        <v>0</v>
      </c>
      <c r="AL1423">
        <f t="shared" si="562"/>
        <v>0</v>
      </c>
      <c r="AM1423">
        <f t="shared" ca="1" si="555"/>
        <v>280.07692026646265</v>
      </c>
      <c r="AN1423" t="str">
        <f t="shared" ca="1" si="556"/>
        <v>Supercritical</v>
      </c>
      <c r="AO1423">
        <f ca="1">IF(V32="Supercritical",R1423,AA1423)</f>
        <v>482.07306851378365</v>
      </c>
    </row>
    <row r="1424" spans="1:41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174</v>
      </c>
      <c r="I1424">
        <v>2E-3</v>
      </c>
      <c r="J1424">
        <f t="shared" si="557"/>
        <v>1</v>
      </c>
      <c r="K1424">
        <f t="shared" si="558"/>
        <v>51</v>
      </c>
      <c r="L1424">
        <f t="shared" ca="1" si="559"/>
        <v>38818.051231278128</v>
      </c>
      <c r="M1424">
        <f t="shared" ca="1" si="537"/>
        <v>201853.86640264626</v>
      </c>
      <c r="N1424">
        <f t="shared" ca="1" si="538"/>
        <v>2.5998258658784543</v>
      </c>
      <c r="O1424">
        <f t="shared" ca="1" si="539"/>
        <v>2.5265802884482871E-4</v>
      </c>
      <c r="P1424">
        <f t="shared" ca="1" si="540"/>
        <v>39449.976231278131</v>
      </c>
      <c r="Q1424">
        <f t="shared" ca="1" si="541"/>
        <v>39449.976231281384</v>
      </c>
      <c r="R1424">
        <f t="shared" ca="1" si="542"/>
        <v>4.0178129257556468E-12</v>
      </c>
      <c r="S1424">
        <f t="shared" ca="1" si="560"/>
        <v>4.9999998736893758E-4</v>
      </c>
      <c r="T1424">
        <f t="shared" ca="1" si="561"/>
        <v>1</v>
      </c>
      <c r="U1424">
        <f t="shared" ca="1" si="543"/>
        <v>0.05</v>
      </c>
      <c r="V1424">
        <f t="shared" ca="1" si="544"/>
        <v>0.26</v>
      </c>
      <c r="W1424">
        <f t="shared" ca="1" si="545"/>
        <v>4.9056603773584909E-2</v>
      </c>
      <c r="X1424">
        <f t="shared" ca="1" si="546"/>
        <v>196.15384615384616</v>
      </c>
      <c r="Y1424">
        <f t="shared" ca="1" si="547"/>
        <v>631.97499999999991</v>
      </c>
      <c r="Z1424">
        <f t="shared" ca="1" si="548"/>
        <v>2593.0520316486618</v>
      </c>
      <c r="AA1424">
        <f t="shared" ca="1" si="549"/>
        <v>482.07306851378365</v>
      </c>
      <c r="AB1424">
        <f t="shared" ca="1" si="550"/>
        <v>482.56117850583496</v>
      </c>
      <c r="AC1424">
        <f t="shared" ca="1" si="551"/>
        <v>0</v>
      </c>
      <c r="AD1424">
        <f ca="1">IF(V32="Supercritical",L1424,U1424)</f>
        <v>0.05</v>
      </c>
      <c r="AE1424">
        <f t="shared" ca="1" si="552"/>
        <v>631.97499999999991</v>
      </c>
      <c r="AF1424">
        <f t="shared" ca="1" si="553"/>
        <v>2593.0520316486618</v>
      </c>
      <c r="AI1424">
        <v>0</v>
      </c>
      <c r="AJ1424">
        <v>0</v>
      </c>
      <c r="AK1424">
        <f t="shared" si="554"/>
        <v>0</v>
      </c>
      <c r="AL1424">
        <f t="shared" si="562"/>
        <v>0</v>
      </c>
      <c r="AM1424">
        <f t="shared" ca="1" si="555"/>
        <v>280.07692026646265</v>
      </c>
      <c r="AN1424" t="str">
        <f t="shared" ca="1" si="556"/>
        <v>Supercritical</v>
      </c>
      <c r="AO1424">
        <f ca="1">IF(V32="Supercritical",R1424,AA1424)</f>
        <v>482.07306851378365</v>
      </c>
    </row>
    <row r="1425" spans="1:41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174</v>
      </c>
      <c r="I1425">
        <v>2E-3</v>
      </c>
      <c r="J1425">
        <f t="shared" si="557"/>
        <v>1.0010000000002037</v>
      </c>
      <c r="K1425">
        <f t="shared" si="558"/>
        <v>51</v>
      </c>
      <c r="L1425">
        <f t="shared" ca="1" si="559"/>
        <v>38818.051231278128</v>
      </c>
      <c r="M1425">
        <f t="shared" ca="1" si="537"/>
        <v>201853.86640264626</v>
      </c>
      <c r="N1425">
        <f t="shared" ca="1" si="538"/>
        <v>2.5998258658784543</v>
      </c>
      <c r="O1425">
        <f t="shared" ca="1" si="539"/>
        <v>2.5265802884482871E-4</v>
      </c>
      <c r="P1425">
        <f t="shared" ca="1" si="540"/>
        <v>39449.975731278129</v>
      </c>
      <c r="Q1425">
        <f t="shared" ca="1" si="541"/>
        <v>39449.975731281382</v>
      </c>
      <c r="R1425">
        <f t="shared" ca="1" si="542"/>
        <v>4.0178129257556468E-12</v>
      </c>
      <c r="S1425">
        <f t="shared" ca="1" si="560"/>
        <v>4.999999946448952E-4</v>
      </c>
      <c r="T1425">
        <f t="shared" ca="1" si="561"/>
        <v>1</v>
      </c>
      <c r="U1425">
        <f t="shared" ca="1" si="543"/>
        <v>0.05</v>
      </c>
      <c r="V1425">
        <f t="shared" ca="1" si="544"/>
        <v>0.26</v>
      </c>
      <c r="W1425">
        <f t="shared" ca="1" si="545"/>
        <v>4.9056603773584909E-2</v>
      </c>
      <c r="X1425">
        <f t="shared" ca="1" si="546"/>
        <v>196.15384615384616</v>
      </c>
      <c r="Y1425">
        <f t="shared" ca="1" si="547"/>
        <v>631.97449999999992</v>
      </c>
      <c r="Z1425">
        <f t="shared" ca="1" si="548"/>
        <v>2593.0515316486621</v>
      </c>
      <c r="AA1425">
        <f t="shared" ca="1" si="549"/>
        <v>482.07306851378365</v>
      </c>
      <c r="AB1425">
        <f t="shared" ca="1" si="550"/>
        <v>482.25887083179032</v>
      </c>
      <c r="AC1425">
        <f t="shared" ca="1" si="551"/>
        <v>0</v>
      </c>
      <c r="AD1425">
        <f ca="1">IF(V32="Supercritical",L1425,U1425)</f>
        <v>0.05</v>
      </c>
      <c r="AE1425">
        <f t="shared" ca="1" si="552"/>
        <v>631.97449999999992</v>
      </c>
      <c r="AF1425">
        <f t="shared" ca="1" si="553"/>
        <v>2593.0515316486621</v>
      </c>
      <c r="AI1425">
        <v>0</v>
      </c>
      <c r="AJ1425">
        <v>0</v>
      </c>
      <c r="AK1425">
        <f t="shared" si="554"/>
        <v>0</v>
      </c>
      <c r="AL1425">
        <f t="shared" si="562"/>
        <v>0</v>
      </c>
      <c r="AM1425">
        <f t="shared" ca="1" si="555"/>
        <v>280.07692026646265</v>
      </c>
      <c r="AN1425" t="str">
        <f t="shared" ca="1" si="556"/>
        <v>Supercritical</v>
      </c>
      <c r="AO1425">
        <f ca="1">IF(V32="Supercritical",R1425,AA1425)</f>
        <v>482.07306851378365</v>
      </c>
    </row>
    <row r="1426" spans="1:41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174</v>
      </c>
      <c r="I1426">
        <v>5.7000000000000002E-2</v>
      </c>
      <c r="J1426">
        <f t="shared" si="557"/>
        <v>1</v>
      </c>
      <c r="K1426">
        <f t="shared" si="558"/>
        <v>51</v>
      </c>
      <c r="L1426">
        <f t="shared" ca="1" si="559"/>
        <v>38818.051231278128</v>
      </c>
      <c r="M1426">
        <f t="shared" ca="1" si="537"/>
        <v>201853.86640264626</v>
      </c>
      <c r="N1426">
        <f t="shared" ca="1" si="538"/>
        <v>2.5998258658784543</v>
      </c>
      <c r="O1426">
        <f t="shared" ca="1" si="539"/>
        <v>2.5265802884482871E-4</v>
      </c>
      <c r="P1426">
        <f t="shared" ca="1" si="540"/>
        <v>39449.975231278127</v>
      </c>
      <c r="Q1426">
        <f t="shared" ca="1" si="541"/>
        <v>39449.97523128138</v>
      </c>
      <c r="R1426">
        <f t="shared" ca="1" si="542"/>
        <v>4.0178129257556468E-12</v>
      </c>
      <c r="S1426">
        <f t="shared" ca="1" si="560"/>
        <v>4.999999946448952E-4</v>
      </c>
      <c r="T1426">
        <f t="shared" ca="1" si="561"/>
        <v>1</v>
      </c>
      <c r="U1426">
        <f t="shared" ca="1" si="543"/>
        <v>0.05</v>
      </c>
      <c r="V1426">
        <f t="shared" ca="1" si="544"/>
        <v>0.26</v>
      </c>
      <c r="W1426">
        <f t="shared" ca="1" si="545"/>
        <v>4.9056603773584909E-2</v>
      </c>
      <c r="X1426">
        <f t="shared" ca="1" si="546"/>
        <v>196.15384615384616</v>
      </c>
      <c r="Y1426">
        <f t="shared" ca="1" si="547"/>
        <v>631.97399999999993</v>
      </c>
      <c r="Z1426">
        <f t="shared" ca="1" si="548"/>
        <v>2593.051031648662</v>
      </c>
      <c r="AA1426">
        <f t="shared" ca="1" si="549"/>
        <v>482.07306851378365</v>
      </c>
      <c r="AB1426">
        <f t="shared" ca="1" si="550"/>
        <v>481.77679776317837</v>
      </c>
      <c r="AC1426">
        <f t="shared" ca="1" si="551"/>
        <v>0</v>
      </c>
      <c r="AD1426">
        <f ca="1">IF(V32="Supercritical",L1426,U1426)</f>
        <v>0.05</v>
      </c>
      <c r="AE1426">
        <f t="shared" ca="1" si="552"/>
        <v>631.97399999999993</v>
      </c>
      <c r="AF1426">
        <f t="shared" ca="1" si="553"/>
        <v>2593.051031648662</v>
      </c>
      <c r="AI1426">
        <v>0</v>
      </c>
      <c r="AJ1426">
        <v>0</v>
      </c>
      <c r="AK1426">
        <f t="shared" si="554"/>
        <v>0</v>
      </c>
      <c r="AL1426">
        <f t="shared" si="562"/>
        <v>0</v>
      </c>
      <c r="AM1426">
        <f t="shared" ca="1" si="555"/>
        <v>280.07692026646265</v>
      </c>
      <c r="AN1426" t="str">
        <f t="shared" ca="1" si="556"/>
        <v>Supercritical</v>
      </c>
      <c r="AO1426">
        <f ca="1">IF(V32="Supercritical",R1426,AA1426)</f>
        <v>482.07306851378365</v>
      </c>
    </row>
    <row r="1427" spans="1:41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174</v>
      </c>
      <c r="I1427">
        <v>5.7000000000000002E-2</v>
      </c>
      <c r="J1427">
        <f t="shared" si="557"/>
        <v>0.99899999999979627</v>
      </c>
      <c r="K1427">
        <f t="shared" si="558"/>
        <v>51</v>
      </c>
      <c r="L1427">
        <f t="shared" ca="1" si="559"/>
        <v>38818.051231278128</v>
      </c>
      <c r="M1427">
        <f t="shared" ca="1" si="537"/>
        <v>201853.86640264626</v>
      </c>
      <c r="N1427">
        <f t="shared" ca="1" si="538"/>
        <v>2.5998258658784543</v>
      </c>
      <c r="O1427">
        <f t="shared" ca="1" si="539"/>
        <v>2.5265802884482871E-4</v>
      </c>
      <c r="P1427">
        <f t="shared" ca="1" si="540"/>
        <v>39449.974731278126</v>
      </c>
      <c r="Q1427">
        <f t="shared" ca="1" si="541"/>
        <v>39449.974731281378</v>
      </c>
      <c r="R1427">
        <f t="shared" ca="1" si="542"/>
        <v>4.0178129257556468E-12</v>
      </c>
      <c r="S1427">
        <f t="shared" ca="1" si="560"/>
        <v>4.999999946448952E-4</v>
      </c>
      <c r="T1427">
        <f t="shared" ca="1" si="561"/>
        <v>1</v>
      </c>
      <c r="U1427">
        <f t="shared" ca="1" si="543"/>
        <v>0.05</v>
      </c>
      <c r="V1427">
        <f t="shared" ca="1" si="544"/>
        <v>0.26</v>
      </c>
      <c r="W1427">
        <f t="shared" ca="1" si="545"/>
        <v>4.9056603773584909E-2</v>
      </c>
      <c r="X1427">
        <f t="shared" ca="1" si="546"/>
        <v>196.15384615384616</v>
      </c>
      <c r="Y1427">
        <f t="shared" ca="1" si="547"/>
        <v>631.97349999999994</v>
      </c>
      <c r="Z1427">
        <f t="shared" ca="1" si="548"/>
        <v>2593.0505316486619</v>
      </c>
      <c r="AA1427">
        <f t="shared" ca="1" si="549"/>
        <v>482.07306851378365</v>
      </c>
      <c r="AB1427">
        <f t="shared" ca="1" si="550"/>
        <v>482.07256851378406</v>
      </c>
      <c r="AC1427">
        <f t="shared" ca="1" si="551"/>
        <v>0</v>
      </c>
      <c r="AD1427">
        <f ca="1">IF(V32="Supercritical",L1427,U1427)</f>
        <v>0.05</v>
      </c>
      <c r="AE1427">
        <f t="shared" ca="1" si="552"/>
        <v>631.97349999999994</v>
      </c>
      <c r="AF1427">
        <f t="shared" ca="1" si="553"/>
        <v>2593.0505316486619</v>
      </c>
      <c r="AI1427">
        <v>0</v>
      </c>
      <c r="AJ1427">
        <v>0</v>
      </c>
      <c r="AK1427">
        <f t="shared" si="554"/>
        <v>0</v>
      </c>
      <c r="AL1427">
        <f t="shared" si="562"/>
        <v>0</v>
      </c>
      <c r="AM1427">
        <f t="shared" ca="1" si="555"/>
        <v>280.07692026646265</v>
      </c>
      <c r="AN1427" t="str">
        <f t="shared" ca="1" si="556"/>
        <v>Supercritical</v>
      </c>
      <c r="AO1427">
        <f ca="1">IF(V32="Supercritical",R1427,AA1427)</f>
        <v>482.07306851378365</v>
      </c>
    </row>
    <row r="1428" spans="1:41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174</v>
      </c>
      <c r="I1428">
        <v>0</v>
      </c>
      <c r="J1428">
        <f t="shared" si="557"/>
        <v>1</v>
      </c>
      <c r="K1428">
        <f t="shared" si="558"/>
        <v>51</v>
      </c>
      <c r="L1428">
        <f t="shared" ca="1" si="559"/>
        <v>38818.051231278128</v>
      </c>
      <c r="M1428">
        <f t="shared" ca="1" si="537"/>
        <v>201853.86640264626</v>
      </c>
      <c r="N1428">
        <f t="shared" ca="1" si="538"/>
        <v>2.5998258658784543</v>
      </c>
      <c r="O1428">
        <f t="shared" ca="1" si="539"/>
        <v>2.5265802884482871E-4</v>
      </c>
      <c r="P1428">
        <f t="shared" ca="1" si="540"/>
        <v>39449.974231278131</v>
      </c>
      <c r="Q1428">
        <f t="shared" ca="1" si="541"/>
        <v>39449.974231281383</v>
      </c>
      <c r="R1428">
        <f t="shared" ca="1" si="542"/>
        <v>4.0178129257556468E-12</v>
      </c>
      <c r="S1428">
        <f t="shared" ca="1" si="560"/>
        <v>4.9999998736893758E-4</v>
      </c>
      <c r="T1428">
        <f t="shared" ca="1" si="561"/>
        <v>1</v>
      </c>
      <c r="U1428">
        <f t="shared" ca="1" si="543"/>
        <v>0.05</v>
      </c>
      <c r="V1428">
        <f t="shared" ca="1" si="544"/>
        <v>0.26</v>
      </c>
      <c r="W1428">
        <f t="shared" ca="1" si="545"/>
        <v>4.9056603773584909E-2</v>
      </c>
      <c r="X1428">
        <f t="shared" ca="1" si="546"/>
        <v>196.15384615384616</v>
      </c>
      <c r="Y1428">
        <f t="shared" ca="1" si="547"/>
        <v>631.97299999999996</v>
      </c>
      <c r="Z1428">
        <f t="shared" ca="1" si="548"/>
        <v>2593.0500316486623</v>
      </c>
      <c r="AA1428">
        <f t="shared" ca="1" si="549"/>
        <v>482.07306851378365</v>
      </c>
      <c r="AB1428">
        <f t="shared" ca="1" si="550"/>
        <v>482.25887083179032</v>
      </c>
      <c r="AC1428">
        <f t="shared" ca="1" si="551"/>
        <v>0</v>
      </c>
      <c r="AD1428">
        <f ca="1">IF(V32="Supercritical",L1428,U1428)</f>
        <v>0.05</v>
      </c>
      <c r="AE1428">
        <f t="shared" ca="1" si="552"/>
        <v>631.97299999999996</v>
      </c>
      <c r="AF1428">
        <f t="shared" ca="1" si="553"/>
        <v>2593.0500316486623</v>
      </c>
      <c r="AI1428">
        <v>0</v>
      </c>
      <c r="AJ1428">
        <v>0</v>
      </c>
      <c r="AK1428">
        <f t="shared" si="554"/>
        <v>0</v>
      </c>
      <c r="AL1428">
        <f t="shared" si="562"/>
        <v>0</v>
      </c>
      <c r="AM1428">
        <f t="shared" ca="1" si="555"/>
        <v>280.07692026646265</v>
      </c>
      <c r="AN1428" t="str">
        <f t="shared" ca="1" si="556"/>
        <v>Supercritical</v>
      </c>
      <c r="AO1428">
        <f ca="1">IF(V32="Supercritical",R1428,AA1428)</f>
        <v>482.07306851378365</v>
      </c>
    </row>
    <row r="1429" spans="1:41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174</v>
      </c>
      <c r="I1429">
        <v>5.7000000000000002E-2</v>
      </c>
      <c r="J1429">
        <f t="shared" si="557"/>
        <v>1</v>
      </c>
      <c r="K1429">
        <f t="shared" si="558"/>
        <v>51</v>
      </c>
      <c r="L1429">
        <f t="shared" ca="1" si="559"/>
        <v>38818.051231278128</v>
      </c>
      <c r="M1429">
        <f t="shared" ca="1" si="537"/>
        <v>201853.86640264626</v>
      </c>
      <c r="N1429">
        <f t="shared" ca="1" si="538"/>
        <v>2.5998258658784543</v>
      </c>
      <c r="O1429">
        <f t="shared" ca="1" si="539"/>
        <v>2.5265802884482871E-4</v>
      </c>
      <c r="P1429">
        <f t="shared" ca="1" si="540"/>
        <v>39449.973731278129</v>
      </c>
      <c r="Q1429">
        <f t="shared" ca="1" si="541"/>
        <v>39449.973731281381</v>
      </c>
      <c r="R1429">
        <f t="shared" ca="1" si="542"/>
        <v>4.0178129257556468E-12</v>
      </c>
      <c r="S1429">
        <f t="shared" ca="1" si="560"/>
        <v>4.999999946448952E-4</v>
      </c>
      <c r="T1429">
        <f t="shared" ca="1" si="561"/>
        <v>1</v>
      </c>
      <c r="U1429">
        <f t="shared" ca="1" si="543"/>
        <v>0.05</v>
      </c>
      <c r="V1429">
        <f t="shared" ca="1" si="544"/>
        <v>0.26</v>
      </c>
      <c r="W1429">
        <f t="shared" ca="1" si="545"/>
        <v>4.9056603773584909E-2</v>
      </c>
      <c r="X1429">
        <f t="shared" ca="1" si="546"/>
        <v>196.15384615384616</v>
      </c>
      <c r="Y1429">
        <f t="shared" ca="1" si="547"/>
        <v>631.97249999999997</v>
      </c>
      <c r="Z1429">
        <f t="shared" ca="1" si="548"/>
        <v>2593.0495316486622</v>
      </c>
      <c r="AA1429">
        <f t="shared" ca="1" si="549"/>
        <v>482.07306851378365</v>
      </c>
      <c r="AB1429">
        <f t="shared" ca="1" si="550"/>
        <v>482.25887083179032</v>
      </c>
      <c r="AC1429">
        <f t="shared" ca="1" si="551"/>
        <v>0</v>
      </c>
      <c r="AD1429">
        <f ca="1">IF(V32="Supercritical",L1429,U1429)</f>
        <v>0.05</v>
      </c>
      <c r="AE1429">
        <f t="shared" ca="1" si="552"/>
        <v>631.97249999999997</v>
      </c>
      <c r="AF1429">
        <f t="shared" ca="1" si="553"/>
        <v>2593.0495316486622</v>
      </c>
      <c r="AI1429">
        <v>0</v>
      </c>
      <c r="AJ1429">
        <v>0</v>
      </c>
      <c r="AK1429">
        <f t="shared" si="554"/>
        <v>0</v>
      </c>
      <c r="AL1429">
        <f t="shared" si="562"/>
        <v>0</v>
      </c>
      <c r="AM1429">
        <f t="shared" ca="1" si="555"/>
        <v>280.07692026646265</v>
      </c>
      <c r="AN1429" t="str">
        <f t="shared" ca="1" si="556"/>
        <v>Supercritical</v>
      </c>
      <c r="AO1429">
        <f ca="1">IF(V32="Supercritical",R1429,AA1429)</f>
        <v>482.07306851378365</v>
      </c>
    </row>
    <row r="1430" spans="1:41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174</v>
      </c>
      <c r="I1430">
        <v>5.7000000000000002E-2</v>
      </c>
      <c r="J1430">
        <f t="shared" si="557"/>
        <v>1</v>
      </c>
      <c r="K1430">
        <f t="shared" si="558"/>
        <v>51</v>
      </c>
      <c r="L1430">
        <f t="shared" ca="1" si="559"/>
        <v>38818.051231278128</v>
      </c>
      <c r="M1430">
        <f t="shared" ref="M1430:M1493" ca="1" si="563">((F1430)+(G1430)*(L1430))*(L1430)</f>
        <v>201853.86640264626</v>
      </c>
      <c r="N1430">
        <f t="shared" ref="N1430:N1493" ca="1" si="564">(((F1430)+(G1430)*(L1430))*(L1430))/MAX((F1430)+2*(L1430)*SQRT(1+(G1430)^2),0.000001)</f>
        <v>2.5998258658784543</v>
      </c>
      <c r="O1430">
        <f t="shared" ref="O1430:O1493" ca="1" si="565">ABS(K1430)/MAX(((F1430)+(G1430)*(L1430))*(L1430),0.000001)</f>
        <v>2.5265802884482871E-4</v>
      </c>
      <c r="P1430">
        <f t="shared" ref="P1430:P1493" ca="1" si="566">E1430+L1430</f>
        <v>39449.973231278127</v>
      </c>
      <c r="Q1430">
        <f t="shared" ref="Q1430:Q1493" ca="1" si="567">P1430+((ABS(K1430)/MAX(((F1430)+(G1430)*(L1430))*(L1430),0.000001))^2)/(2*$I$5)</f>
        <v>39449.973231281379</v>
      </c>
      <c r="R1430">
        <f t="shared" ref="R1430:R1493" ca="1" si="568">((ABS(K1430)*$D$6)/(MAX(((F1430)+(G1430)*(L1430))*(L1430),0.000001)*MAX(((((F1430)+(G1430)*(L1430))*(L1430))/MAX((F1430)+2*(L1430)*SQRT(1+(G1430)^2),0.000001))^(2/3),0.000001)))^2</f>
        <v>4.0178129257556468E-12</v>
      </c>
      <c r="S1430">
        <f t="shared" ca="1" si="560"/>
        <v>4.999999946448952E-4</v>
      </c>
      <c r="T1430">
        <f t="shared" ca="1" si="561"/>
        <v>1</v>
      </c>
      <c r="U1430">
        <f t="shared" ref="U1430:U1493" ca="1" si="569">IF($D$20=0,U1431,IF(AC1431=0,U1431,IF(U1430=0,U1431,IF(ABS(AB1430)&gt;$D$19,MAX($D$16,U1430+((AB1430)*$D$18*IF((ABS(ABS(K1430)/MAX(((F1430)+(G1430)*(U1430))*(U1430),0.000001))/SQRT($I$5*MAX((((F1430)+(G1430)*(U1430))*(U1430))/MAX((F1430)+2*(G1430)*(U1430),0.000001),0.000001)))&lt;1,1,-1))),U1430))))</f>
        <v>0.05</v>
      </c>
      <c r="V1430">
        <f t="shared" ref="V1430:V1493" ca="1" si="570">((F1430)+(G1430)*(U1430))*(U1430)</f>
        <v>0.26</v>
      </c>
      <c r="W1430">
        <f t="shared" ref="W1430:W1493" ca="1" si="571">(((F1430)+(G1430)*(U1430))*(U1430))/MAX((F1430)+2*(U1430)*SQRT(1+(G1430)^2),0.000001)</f>
        <v>4.9056603773584909E-2</v>
      </c>
      <c r="X1430">
        <f t="shared" ref="X1430:X1493" ca="1" si="572">ABS(K1430)/MAX(((F1430)+(G1430)*(U1430))*(U1430),0.000001)</f>
        <v>196.15384615384616</v>
      </c>
      <c r="Y1430">
        <f t="shared" ref="Y1430:Y1493" ca="1" si="573">E1430+U1430</f>
        <v>631.97199999999998</v>
      </c>
      <c r="Z1430">
        <f t="shared" ref="Z1430:Z1493" ca="1" si="574">Y1430+((ABS(K1430)/MAX(((F1430)+(G1430)*(U1430))*(U1430),0.000001))^2)/(2*$I$5)</f>
        <v>2593.0490316486621</v>
      </c>
      <c r="AA1430">
        <f t="shared" ref="AA1430:AA1493" ca="1" si="575">((ABS(K1430)*$D$6)/(MAX(((F1430)+(G1430)*(U1430))*(U1430),0.000001)*MAX(((((F1430)+(G1430)*(U1430))*(U1430))/MAX((F1430)+2*(U1430)*SQRT(1+(G1430)^2),0.000001))^(2/3),0.000001)))^2</f>
        <v>482.07306851378365</v>
      </c>
      <c r="AB1430">
        <f t="shared" ref="AB1430:AB1493" ca="1" si="576">Z1431+(((AA1430+AA1431)/2)*J1431)+(IF(X1430&gt;X1431,$D$8*((X1430^2-X1431^2)/(2*$I$5)),$D$9*((X1431^2-X1430^2)/(2*$I$5)))+($D$10*(ABS(I1431)/90)*(MAX(X1430^2,X1431^2)/(2*$I$5))))-Z1430</f>
        <v>482.07256851378361</v>
      </c>
      <c r="AC1430">
        <f t="shared" ref="AC1430:AC1493" ca="1" si="577">IF(ABS(AB1430)&lt;$D$19,1,0)</f>
        <v>0</v>
      </c>
      <c r="AD1430">
        <f ca="1">IF(V32="Supercritical",L1430,U1430)</f>
        <v>0.05</v>
      </c>
      <c r="AE1430">
        <f t="shared" ref="AE1430:AE1493" ca="1" si="578">E1430+AD1430</f>
        <v>631.97199999999998</v>
      </c>
      <c r="AF1430">
        <f t="shared" ref="AF1430:AF1493" ca="1" si="579">AE1430+((ABS(K1430)/MAX(((F1430)+(G1430)*(AD1430))*(AD1430),0.000001))^2)/(2*$I$5)</f>
        <v>2593.0490316486621</v>
      </c>
      <c r="AI1430">
        <v>0</v>
      </c>
      <c r="AJ1430">
        <v>0</v>
      </c>
      <c r="AK1430">
        <f t="shared" ref="AK1430:AK1493" si="580">AI1430+AJ1430</f>
        <v>0</v>
      </c>
      <c r="AL1430">
        <f t="shared" si="562"/>
        <v>0</v>
      </c>
      <c r="AM1430">
        <f t="shared" ref="AM1430:AM1493" ca="1" si="581">ABS(ABS(K1430)/MAX(((F1430)+(G1430)*(AD1430))*(AD1430),0.000001))/SQRT($I$5*MAX((((F1430)+(G1430)*(AD1430))*(AD1430))/MAX((F1430)+2*(G1430)*(AD1430),0.000001),0.000001))</f>
        <v>280.07692026646265</v>
      </c>
      <c r="AN1430" t="str">
        <f t="shared" ref="AN1430:AN1493" ca="1" si="582">IF(AM1430&lt;1,"Subcritical","Supercritical")</f>
        <v>Supercritical</v>
      </c>
      <c r="AO1430">
        <f ca="1">IF(V32="Supercritical",R1430,AA1430)</f>
        <v>482.07306851378365</v>
      </c>
    </row>
    <row r="1431" spans="1:41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174</v>
      </c>
      <c r="I1431">
        <v>0</v>
      </c>
      <c r="J1431">
        <f t="shared" ref="J1431:J1494" si="583">B1431-B1430</f>
        <v>1</v>
      </c>
      <c r="K1431">
        <f t="shared" ref="K1431:K1494" si="584">MAX(0,K1430-AK1430)</f>
        <v>51</v>
      </c>
      <c r="L1431">
        <f t="shared" ref="L1431:L1494" ca="1" si="585">IF($D$20=0,L1430,IF(T1430=0,L1430,IF(L1431=0,L1430,IF(ABS(S1431)&gt;$D$19,MAX($D$16,L1431+((S1431)*$D$18*IF((ABS(ABS(K1431)/MAX(((F1431)+(G1431)*(L1431))*(L1431),0.000001))/SQRT($I$5*MAX((((F1431)+(G1431)*(L1431))*(L1431))/MAX((F1431)+2*(G1431)*(L1431),0.000001),0.000001)))&lt;1,1,-1))),L1431))))</f>
        <v>38818.051231278128</v>
      </c>
      <c r="M1431">
        <f t="shared" ca="1" si="563"/>
        <v>201853.86640264626</v>
      </c>
      <c r="N1431">
        <f t="shared" ca="1" si="564"/>
        <v>2.5998258658784543</v>
      </c>
      <c r="O1431">
        <f t="shared" ca="1" si="565"/>
        <v>2.5265802884482871E-4</v>
      </c>
      <c r="P1431">
        <f t="shared" ca="1" si="566"/>
        <v>39449.972731278125</v>
      </c>
      <c r="Q1431">
        <f t="shared" ca="1" si="567"/>
        <v>39449.972731281377</v>
      </c>
      <c r="R1431">
        <f t="shared" ca="1" si="568"/>
        <v>4.0178129257556468E-12</v>
      </c>
      <c r="S1431">
        <f t="shared" ref="S1431:S1494" ca="1" si="586">Q1430-(((R1430+R1431)/2)*J1431)-(IF(O1430&gt;O1431,$D$8*((O1430^2-O1431^2)/(2*$I$5)),$D$9*((O1431^2-O1430^2)/(2*$I$5)))+($D$10*(ABS(I1431)/90)*(MAX(O1430^2,O1431^2)/(2*$I$5))))-Q1431</f>
        <v>4.999999946448952E-4</v>
      </c>
      <c r="T1431">
        <f t="shared" ref="T1431:T1494" ca="1" si="587">IF(ABS(S1431)&lt;$D$19,1,0)</f>
        <v>1</v>
      </c>
      <c r="U1431">
        <f t="shared" ca="1" si="569"/>
        <v>0.05</v>
      </c>
      <c r="V1431">
        <f t="shared" ca="1" si="570"/>
        <v>0.26</v>
      </c>
      <c r="W1431">
        <f t="shared" ca="1" si="571"/>
        <v>4.9056603773584909E-2</v>
      </c>
      <c r="X1431">
        <f t="shared" ca="1" si="572"/>
        <v>196.15384615384616</v>
      </c>
      <c r="Y1431">
        <f t="shared" ca="1" si="573"/>
        <v>631.97149999999999</v>
      </c>
      <c r="Z1431">
        <f t="shared" ca="1" si="574"/>
        <v>2593.048531648662</v>
      </c>
      <c r="AA1431">
        <f t="shared" ca="1" si="575"/>
        <v>482.07306851378365</v>
      </c>
      <c r="AB1431">
        <f t="shared" ca="1" si="576"/>
        <v>482.07256851378361</v>
      </c>
      <c r="AC1431">
        <f t="shared" ca="1" si="577"/>
        <v>0</v>
      </c>
      <c r="AD1431">
        <f ca="1">IF(V32="Supercritical",L1431,U1431)</f>
        <v>0.05</v>
      </c>
      <c r="AE1431">
        <f t="shared" ca="1" si="578"/>
        <v>631.97149999999999</v>
      </c>
      <c r="AF1431">
        <f t="shared" ca="1" si="579"/>
        <v>2593.048531648662</v>
      </c>
      <c r="AI1431">
        <v>0</v>
      </c>
      <c r="AJ1431">
        <v>0</v>
      </c>
      <c r="AK1431">
        <f t="shared" si="580"/>
        <v>0</v>
      </c>
      <c r="AL1431">
        <f t="shared" ref="AL1431:AL1494" si="588">AL1430+AK1431</f>
        <v>0</v>
      </c>
      <c r="AM1431">
        <f t="shared" ca="1" si="581"/>
        <v>280.07692026646265</v>
      </c>
      <c r="AN1431" t="str">
        <f t="shared" ca="1" si="582"/>
        <v>Supercritical</v>
      </c>
      <c r="AO1431">
        <f ca="1">IF(V32="Supercritical",R1431,AA1431)</f>
        <v>482.07306851378365</v>
      </c>
    </row>
    <row r="1432" spans="1:41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174</v>
      </c>
      <c r="I1432">
        <v>0</v>
      </c>
      <c r="J1432">
        <f t="shared" si="583"/>
        <v>1</v>
      </c>
      <c r="K1432">
        <f t="shared" si="584"/>
        <v>51</v>
      </c>
      <c r="L1432">
        <f t="shared" ca="1" si="585"/>
        <v>38818.051231278128</v>
      </c>
      <c r="M1432">
        <f t="shared" ca="1" si="563"/>
        <v>201853.86640264626</v>
      </c>
      <c r="N1432">
        <f t="shared" ca="1" si="564"/>
        <v>2.5998258658784543</v>
      </c>
      <c r="O1432">
        <f t="shared" ca="1" si="565"/>
        <v>2.5265802884482871E-4</v>
      </c>
      <c r="P1432">
        <f t="shared" ca="1" si="566"/>
        <v>39449.97223127813</v>
      </c>
      <c r="Q1432">
        <f t="shared" ca="1" si="567"/>
        <v>39449.972231281383</v>
      </c>
      <c r="R1432">
        <f t="shared" ca="1" si="568"/>
        <v>4.0178129257556468E-12</v>
      </c>
      <c r="S1432">
        <f t="shared" ca="1" si="586"/>
        <v>4.9999998736893758E-4</v>
      </c>
      <c r="T1432">
        <f t="shared" ca="1" si="587"/>
        <v>1</v>
      </c>
      <c r="U1432">
        <f t="shared" ca="1" si="569"/>
        <v>0.05</v>
      </c>
      <c r="V1432">
        <f t="shared" ca="1" si="570"/>
        <v>0.26</v>
      </c>
      <c r="W1432">
        <f t="shared" ca="1" si="571"/>
        <v>4.9056603773584909E-2</v>
      </c>
      <c r="X1432">
        <f t="shared" ca="1" si="572"/>
        <v>196.15384615384616</v>
      </c>
      <c r="Y1432">
        <f t="shared" ca="1" si="573"/>
        <v>631.971</v>
      </c>
      <c r="Z1432">
        <f t="shared" ca="1" si="574"/>
        <v>2593.0480316486619</v>
      </c>
      <c r="AA1432">
        <f t="shared" ca="1" si="575"/>
        <v>482.07306851378365</v>
      </c>
      <c r="AB1432">
        <f t="shared" ca="1" si="576"/>
        <v>482.25233390835137</v>
      </c>
      <c r="AC1432">
        <f t="shared" ca="1" si="577"/>
        <v>0</v>
      </c>
      <c r="AD1432">
        <f ca="1">IF(V32="Supercritical",L1432,U1432)</f>
        <v>0.05</v>
      </c>
      <c r="AE1432">
        <f t="shared" ca="1" si="578"/>
        <v>631.971</v>
      </c>
      <c r="AF1432">
        <f t="shared" ca="1" si="579"/>
        <v>2593.0480316486619</v>
      </c>
      <c r="AI1432">
        <v>0</v>
      </c>
      <c r="AJ1432">
        <v>0</v>
      </c>
      <c r="AK1432">
        <f t="shared" si="580"/>
        <v>0</v>
      </c>
      <c r="AL1432">
        <f t="shared" si="588"/>
        <v>0</v>
      </c>
      <c r="AM1432">
        <f t="shared" ca="1" si="581"/>
        <v>280.07692026646265</v>
      </c>
      <c r="AN1432" t="str">
        <f t="shared" ca="1" si="582"/>
        <v>Supercritical</v>
      </c>
      <c r="AO1432">
        <f ca="1">IF(V32="Supercritical",R1432,AA1432)</f>
        <v>482.07306851378365</v>
      </c>
    </row>
    <row r="1433" spans="1:41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174</v>
      </c>
      <c r="I1433">
        <v>5.5E-2</v>
      </c>
      <c r="J1433">
        <f t="shared" si="583"/>
        <v>1</v>
      </c>
      <c r="K1433">
        <f t="shared" si="584"/>
        <v>51</v>
      </c>
      <c r="L1433">
        <f t="shared" ca="1" si="585"/>
        <v>38818.051231278128</v>
      </c>
      <c r="M1433">
        <f t="shared" ca="1" si="563"/>
        <v>201853.86640264626</v>
      </c>
      <c r="N1433">
        <f t="shared" ca="1" si="564"/>
        <v>2.5998258658784543</v>
      </c>
      <c r="O1433">
        <f t="shared" ca="1" si="565"/>
        <v>2.5265802884482871E-4</v>
      </c>
      <c r="P1433">
        <f t="shared" ca="1" si="566"/>
        <v>39449.971731278129</v>
      </c>
      <c r="Q1433">
        <f t="shared" ca="1" si="567"/>
        <v>39449.971731281381</v>
      </c>
      <c r="R1433">
        <f t="shared" ca="1" si="568"/>
        <v>4.0178129257556468E-12</v>
      </c>
      <c r="S1433">
        <f t="shared" ca="1" si="586"/>
        <v>4.999999946448952E-4</v>
      </c>
      <c r="T1433">
        <f t="shared" ca="1" si="587"/>
        <v>1</v>
      </c>
      <c r="U1433">
        <f t="shared" ca="1" si="569"/>
        <v>0.05</v>
      </c>
      <c r="V1433">
        <f t="shared" ca="1" si="570"/>
        <v>0.26</v>
      </c>
      <c r="W1433">
        <f t="shared" ca="1" si="571"/>
        <v>4.9056603773584909E-2</v>
      </c>
      <c r="X1433">
        <f t="shared" ca="1" si="572"/>
        <v>196.15384615384616</v>
      </c>
      <c r="Y1433">
        <f t="shared" ca="1" si="573"/>
        <v>631.9704999999999</v>
      </c>
      <c r="Z1433">
        <f t="shared" ca="1" si="574"/>
        <v>2593.0475316486618</v>
      </c>
      <c r="AA1433">
        <f t="shared" ca="1" si="575"/>
        <v>482.07306851378365</v>
      </c>
      <c r="AB1433">
        <f t="shared" ca="1" si="576"/>
        <v>482.73440697696378</v>
      </c>
      <c r="AC1433">
        <f t="shared" ca="1" si="577"/>
        <v>0</v>
      </c>
      <c r="AD1433">
        <f ca="1">IF(V32="Supercritical",L1433,U1433)</f>
        <v>0.05</v>
      </c>
      <c r="AE1433">
        <f t="shared" ca="1" si="578"/>
        <v>631.9704999999999</v>
      </c>
      <c r="AF1433">
        <f t="shared" ca="1" si="579"/>
        <v>2593.0475316486618</v>
      </c>
      <c r="AI1433">
        <v>0</v>
      </c>
      <c r="AJ1433">
        <v>0</v>
      </c>
      <c r="AK1433">
        <f t="shared" si="580"/>
        <v>0</v>
      </c>
      <c r="AL1433">
        <f t="shared" si="588"/>
        <v>0</v>
      </c>
      <c r="AM1433">
        <f t="shared" ca="1" si="581"/>
        <v>280.07692026646265</v>
      </c>
      <c r="AN1433" t="str">
        <f t="shared" ca="1" si="582"/>
        <v>Supercritical</v>
      </c>
      <c r="AO1433">
        <f ca="1">IF(V32="Supercritical",R1433,AA1433)</f>
        <v>482.07306851378365</v>
      </c>
    </row>
    <row r="1434" spans="1:41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174</v>
      </c>
      <c r="I1434">
        <v>5.5E-2</v>
      </c>
      <c r="J1434">
        <f t="shared" si="583"/>
        <v>1.0010000000002037</v>
      </c>
      <c r="K1434">
        <f t="shared" si="584"/>
        <v>51</v>
      </c>
      <c r="L1434">
        <f t="shared" ca="1" si="585"/>
        <v>38818.051231278128</v>
      </c>
      <c r="M1434">
        <f t="shared" ca="1" si="563"/>
        <v>201853.86640264626</v>
      </c>
      <c r="N1434">
        <f t="shared" ca="1" si="564"/>
        <v>2.5998258658784543</v>
      </c>
      <c r="O1434">
        <f t="shared" ca="1" si="565"/>
        <v>2.5265802884482871E-4</v>
      </c>
      <c r="P1434">
        <f t="shared" ca="1" si="566"/>
        <v>39449.971231278127</v>
      </c>
      <c r="Q1434">
        <f t="shared" ca="1" si="567"/>
        <v>39449.971231281379</v>
      </c>
      <c r="R1434">
        <f t="shared" ca="1" si="568"/>
        <v>4.0178129257556468E-12</v>
      </c>
      <c r="S1434">
        <f t="shared" ca="1" si="586"/>
        <v>4.999999946448952E-4</v>
      </c>
      <c r="T1434">
        <f t="shared" ca="1" si="587"/>
        <v>1</v>
      </c>
      <c r="U1434">
        <f t="shared" ca="1" si="569"/>
        <v>0.05</v>
      </c>
      <c r="V1434">
        <f t="shared" ca="1" si="570"/>
        <v>0.26</v>
      </c>
      <c r="W1434">
        <f t="shared" ca="1" si="571"/>
        <v>4.9056603773584909E-2</v>
      </c>
      <c r="X1434">
        <f t="shared" ca="1" si="572"/>
        <v>196.15384615384616</v>
      </c>
      <c r="Y1434">
        <f t="shared" ca="1" si="573"/>
        <v>631.96999999999991</v>
      </c>
      <c r="Z1434">
        <f t="shared" ca="1" si="574"/>
        <v>2593.0470316486621</v>
      </c>
      <c r="AA1434">
        <f t="shared" ca="1" si="575"/>
        <v>482.07306851378365</v>
      </c>
      <c r="AB1434">
        <f t="shared" ca="1" si="576"/>
        <v>482.07256851378361</v>
      </c>
      <c r="AC1434">
        <f t="shared" ca="1" si="577"/>
        <v>0</v>
      </c>
      <c r="AD1434">
        <f ca="1">IF(V32="Supercritical",L1434,U1434)</f>
        <v>0.05</v>
      </c>
      <c r="AE1434">
        <f t="shared" ca="1" si="578"/>
        <v>631.96999999999991</v>
      </c>
      <c r="AF1434">
        <f t="shared" ca="1" si="579"/>
        <v>2593.0470316486621</v>
      </c>
      <c r="AI1434">
        <v>0</v>
      </c>
      <c r="AJ1434">
        <v>0</v>
      </c>
      <c r="AK1434">
        <f t="shared" si="580"/>
        <v>0</v>
      </c>
      <c r="AL1434">
        <f t="shared" si="588"/>
        <v>0</v>
      </c>
      <c r="AM1434">
        <f t="shared" ca="1" si="581"/>
        <v>280.07692026646265</v>
      </c>
      <c r="AN1434" t="str">
        <f t="shared" ca="1" si="582"/>
        <v>Supercritical</v>
      </c>
      <c r="AO1434">
        <f ca="1">IF(V32="Supercritical",R1434,AA1434)</f>
        <v>482.07306851378365</v>
      </c>
    </row>
    <row r="1435" spans="1:41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174</v>
      </c>
      <c r="I1435">
        <v>0</v>
      </c>
      <c r="J1435">
        <f t="shared" si="583"/>
        <v>1</v>
      </c>
      <c r="K1435">
        <f t="shared" si="584"/>
        <v>51</v>
      </c>
      <c r="L1435">
        <f t="shared" ca="1" si="585"/>
        <v>38818.051231278128</v>
      </c>
      <c r="M1435">
        <f t="shared" ca="1" si="563"/>
        <v>201853.86640264626</v>
      </c>
      <c r="N1435">
        <f t="shared" ca="1" si="564"/>
        <v>2.5998258658784543</v>
      </c>
      <c r="O1435">
        <f t="shared" ca="1" si="565"/>
        <v>2.5265802884482871E-4</v>
      </c>
      <c r="P1435">
        <f t="shared" ca="1" si="566"/>
        <v>39449.970731278125</v>
      </c>
      <c r="Q1435">
        <f t="shared" ca="1" si="567"/>
        <v>39449.970731281377</v>
      </c>
      <c r="R1435">
        <f t="shared" ca="1" si="568"/>
        <v>4.0178129257556468E-12</v>
      </c>
      <c r="S1435">
        <f t="shared" ca="1" si="586"/>
        <v>4.999999946448952E-4</v>
      </c>
      <c r="T1435">
        <f t="shared" ca="1" si="587"/>
        <v>1</v>
      </c>
      <c r="U1435">
        <f t="shared" ca="1" si="569"/>
        <v>0.05</v>
      </c>
      <c r="V1435">
        <f t="shared" ca="1" si="570"/>
        <v>0.26</v>
      </c>
      <c r="W1435">
        <f t="shared" ca="1" si="571"/>
        <v>4.9056603773584909E-2</v>
      </c>
      <c r="X1435">
        <f t="shared" ca="1" si="572"/>
        <v>196.15384615384616</v>
      </c>
      <c r="Y1435">
        <f t="shared" ca="1" si="573"/>
        <v>631.96949999999993</v>
      </c>
      <c r="Z1435">
        <f t="shared" ca="1" si="574"/>
        <v>2593.046531648662</v>
      </c>
      <c r="AA1435">
        <f t="shared" ca="1" si="575"/>
        <v>482.07306851378365</v>
      </c>
      <c r="AB1435">
        <f t="shared" ca="1" si="576"/>
        <v>482.07256851378361</v>
      </c>
      <c r="AC1435">
        <f t="shared" ca="1" si="577"/>
        <v>0</v>
      </c>
      <c r="AD1435">
        <f ca="1">IF(V32="Supercritical",L1435,U1435)</f>
        <v>0.05</v>
      </c>
      <c r="AE1435">
        <f t="shared" ca="1" si="578"/>
        <v>631.96949999999993</v>
      </c>
      <c r="AF1435">
        <f t="shared" ca="1" si="579"/>
        <v>2593.046531648662</v>
      </c>
      <c r="AI1435">
        <v>0</v>
      </c>
      <c r="AJ1435">
        <v>0</v>
      </c>
      <c r="AK1435">
        <f t="shared" si="580"/>
        <v>0</v>
      </c>
      <c r="AL1435">
        <f t="shared" si="588"/>
        <v>0</v>
      </c>
      <c r="AM1435">
        <f t="shared" ca="1" si="581"/>
        <v>280.07692026646265</v>
      </c>
      <c r="AN1435" t="str">
        <f t="shared" ca="1" si="582"/>
        <v>Supercritical</v>
      </c>
      <c r="AO1435">
        <f ca="1">IF(V32="Supercritical",R1435,AA1435)</f>
        <v>482.07306851378365</v>
      </c>
    </row>
    <row r="1436" spans="1:41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174</v>
      </c>
      <c r="I1436">
        <v>0</v>
      </c>
      <c r="J1436">
        <f t="shared" si="583"/>
        <v>1</v>
      </c>
      <c r="K1436">
        <f t="shared" si="584"/>
        <v>51</v>
      </c>
      <c r="L1436">
        <f t="shared" ca="1" si="585"/>
        <v>38818.051231278128</v>
      </c>
      <c r="M1436">
        <f t="shared" ca="1" si="563"/>
        <v>201853.86640264626</v>
      </c>
      <c r="N1436">
        <f t="shared" ca="1" si="564"/>
        <v>2.5998258658784543</v>
      </c>
      <c r="O1436">
        <f t="shared" ca="1" si="565"/>
        <v>2.5265802884482871E-4</v>
      </c>
      <c r="P1436">
        <f t="shared" ca="1" si="566"/>
        <v>39449.97023127813</v>
      </c>
      <c r="Q1436">
        <f t="shared" ca="1" si="567"/>
        <v>39449.970231281382</v>
      </c>
      <c r="R1436">
        <f t="shared" ca="1" si="568"/>
        <v>4.0178129257556468E-12</v>
      </c>
      <c r="S1436">
        <f t="shared" ca="1" si="586"/>
        <v>4.9999998736893758E-4</v>
      </c>
      <c r="T1436">
        <f t="shared" ca="1" si="587"/>
        <v>1</v>
      </c>
      <c r="U1436">
        <f t="shared" ca="1" si="569"/>
        <v>0.05</v>
      </c>
      <c r="V1436">
        <f t="shared" ca="1" si="570"/>
        <v>0.26</v>
      </c>
      <c r="W1436">
        <f t="shared" ca="1" si="571"/>
        <v>4.9056603773584909E-2</v>
      </c>
      <c r="X1436">
        <f t="shared" ca="1" si="572"/>
        <v>196.15384615384616</v>
      </c>
      <c r="Y1436">
        <f t="shared" ca="1" si="573"/>
        <v>631.96899999999994</v>
      </c>
      <c r="Z1436">
        <f t="shared" ca="1" si="574"/>
        <v>2593.0460316486619</v>
      </c>
      <c r="AA1436">
        <f t="shared" ca="1" si="575"/>
        <v>482.07306851378365</v>
      </c>
      <c r="AB1436">
        <f t="shared" ca="1" si="576"/>
        <v>481.77679776317882</v>
      </c>
      <c r="AC1436">
        <f t="shared" ca="1" si="577"/>
        <v>0</v>
      </c>
      <c r="AD1436">
        <f ca="1">IF(V32="Supercritical",L1436,U1436)</f>
        <v>0.05</v>
      </c>
      <c r="AE1436">
        <f t="shared" ca="1" si="578"/>
        <v>631.96899999999994</v>
      </c>
      <c r="AF1436">
        <f t="shared" ca="1" si="579"/>
        <v>2593.0460316486619</v>
      </c>
      <c r="AI1436">
        <v>0</v>
      </c>
      <c r="AJ1436">
        <v>0</v>
      </c>
      <c r="AK1436">
        <f t="shared" si="580"/>
        <v>0</v>
      </c>
      <c r="AL1436">
        <f t="shared" si="588"/>
        <v>0</v>
      </c>
      <c r="AM1436">
        <f t="shared" ca="1" si="581"/>
        <v>280.07692026646265</v>
      </c>
      <c r="AN1436" t="str">
        <f t="shared" ca="1" si="582"/>
        <v>Supercritical</v>
      </c>
      <c r="AO1436">
        <f ca="1">IF(V32="Supercritical",R1436,AA1436)</f>
        <v>482.07306851378365</v>
      </c>
    </row>
    <row r="1437" spans="1:41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174</v>
      </c>
      <c r="I1437">
        <v>5.7000000000000002E-2</v>
      </c>
      <c r="J1437">
        <f t="shared" si="583"/>
        <v>0.99899999999979627</v>
      </c>
      <c r="K1437">
        <f t="shared" si="584"/>
        <v>51</v>
      </c>
      <c r="L1437">
        <f t="shared" ca="1" si="585"/>
        <v>38818.051231278128</v>
      </c>
      <c r="M1437">
        <f t="shared" ca="1" si="563"/>
        <v>201853.86640264626</v>
      </c>
      <c r="N1437">
        <f t="shared" ca="1" si="564"/>
        <v>2.5998258658784543</v>
      </c>
      <c r="O1437">
        <f t="shared" ca="1" si="565"/>
        <v>2.5265802884482871E-4</v>
      </c>
      <c r="P1437">
        <f t="shared" ca="1" si="566"/>
        <v>39449.969731278128</v>
      </c>
      <c r="Q1437">
        <f t="shared" ca="1" si="567"/>
        <v>39449.969731281381</v>
      </c>
      <c r="R1437">
        <f t="shared" ca="1" si="568"/>
        <v>4.0178129257556468E-12</v>
      </c>
      <c r="S1437">
        <f t="shared" ca="1" si="586"/>
        <v>4.999999946448952E-4</v>
      </c>
      <c r="T1437">
        <f t="shared" ca="1" si="587"/>
        <v>1</v>
      </c>
      <c r="U1437">
        <f t="shared" ca="1" si="569"/>
        <v>0.05</v>
      </c>
      <c r="V1437">
        <f t="shared" ca="1" si="570"/>
        <v>0.26</v>
      </c>
      <c r="W1437">
        <f t="shared" ca="1" si="571"/>
        <v>4.9056603773584909E-2</v>
      </c>
      <c r="X1437">
        <f t="shared" ca="1" si="572"/>
        <v>196.15384615384616</v>
      </c>
      <c r="Y1437">
        <f t="shared" ca="1" si="573"/>
        <v>631.96849999999995</v>
      </c>
      <c r="Z1437">
        <f t="shared" ca="1" si="574"/>
        <v>2593.0455316486623</v>
      </c>
      <c r="AA1437">
        <f t="shared" ca="1" si="575"/>
        <v>482.07306851378365</v>
      </c>
      <c r="AB1437">
        <f t="shared" ca="1" si="576"/>
        <v>482.25887083179032</v>
      </c>
      <c r="AC1437">
        <f t="shared" ca="1" si="577"/>
        <v>0</v>
      </c>
      <c r="AD1437">
        <f ca="1">IF(V32="Supercritical",L1437,U1437)</f>
        <v>0.05</v>
      </c>
      <c r="AE1437">
        <f t="shared" ca="1" si="578"/>
        <v>631.96849999999995</v>
      </c>
      <c r="AF1437">
        <f t="shared" ca="1" si="579"/>
        <v>2593.0455316486623</v>
      </c>
      <c r="AI1437">
        <v>0</v>
      </c>
      <c r="AJ1437">
        <v>0</v>
      </c>
      <c r="AK1437">
        <f t="shared" si="580"/>
        <v>0</v>
      </c>
      <c r="AL1437">
        <f t="shared" si="588"/>
        <v>0</v>
      </c>
      <c r="AM1437">
        <f t="shared" ca="1" si="581"/>
        <v>280.07692026646265</v>
      </c>
      <c r="AN1437" t="str">
        <f t="shared" ca="1" si="582"/>
        <v>Supercritical</v>
      </c>
      <c r="AO1437">
        <f ca="1">IF(V32="Supercritical",R1437,AA1437)</f>
        <v>482.07306851378365</v>
      </c>
    </row>
    <row r="1438" spans="1:41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174</v>
      </c>
      <c r="I1438">
        <v>5.7000000000000002E-2</v>
      </c>
      <c r="J1438">
        <f t="shared" si="583"/>
        <v>1</v>
      </c>
      <c r="K1438">
        <f t="shared" si="584"/>
        <v>51</v>
      </c>
      <c r="L1438">
        <f t="shared" ca="1" si="585"/>
        <v>38818.051231278128</v>
      </c>
      <c r="M1438">
        <f t="shared" ca="1" si="563"/>
        <v>201853.86640264626</v>
      </c>
      <c r="N1438">
        <f t="shared" ca="1" si="564"/>
        <v>2.5998258658784543</v>
      </c>
      <c r="O1438">
        <f t="shared" ca="1" si="565"/>
        <v>2.5265802884482871E-4</v>
      </c>
      <c r="P1438">
        <f t="shared" ca="1" si="566"/>
        <v>39449.969231278126</v>
      </c>
      <c r="Q1438">
        <f t="shared" ca="1" si="567"/>
        <v>39449.969231281379</v>
      </c>
      <c r="R1438">
        <f t="shared" ca="1" si="568"/>
        <v>4.0178129257556468E-12</v>
      </c>
      <c r="S1438">
        <f t="shared" ca="1" si="586"/>
        <v>4.999999946448952E-4</v>
      </c>
      <c r="T1438">
        <f t="shared" ca="1" si="587"/>
        <v>1</v>
      </c>
      <c r="U1438">
        <f t="shared" ca="1" si="569"/>
        <v>0.05</v>
      </c>
      <c r="V1438">
        <f t="shared" ca="1" si="570"/>
        <v>0.26</v>
      </c>
      <c r="W1438">
        <f t="shared" ca="1" si="571"/>
        <v>4.9056603773584909E-2</v>
      </c>
      <c r="X1438">
        <f t="shared" ca="1" si="572"/>
        <v>196.15384615384616</v>
      </c>
      <c r="Y1438">
        <f t="shared" ca="1" si="573"/>
        <v>631.96799999999996</v>
      </c>
      <c r="Z1438">
        <f t="shared" ca="1" si="574"/>
        <v>2593.0450316486622</v>
      </c>
      <c r="AA1438">
        <f t="shared" ca="1" si="575"/>
        <v>482.07306851378365</v>
      </c>
      <c r="AB1438">
        <f t="shared" ca="1" si="576"/>
        <v>482.07256851378361</v>
      </c>
      <c r="AC1438">
        <f t="shared" ca="1" si="577"/>
        <v>0</v>
      </c>
      <c r="AD1438">
        <f ca="1">IF(V32="Supercritical",L1438,U1438)</f>
        <v>0.05</v>
      </c>
      <c r="AE1438">
        <f t="shared" ca="1" si="578"/>
        <v>631.96799999999996</v>
      </c>
      <c r="AF1438">
        <f t="shared" ca="1" si="579"/>
        <v>2593.0450316486622</v>
      </c>
      <c r="AI1438">
        <v>0</v>
      </c>
      <c r="AJ1438">
        <v>0</v>
      </c>
      <c r="AK1438">
        <f t="shared" si="580"/>
        <v>0</v>
      </c>
      <c r="AL1438">
        <f t="shared" si="588"/>
        <v>0</v>
      </c>
      <c r="AM1438">
        <f t="shared" ca="1" si="581"/>
        <v>280.07692026646265</v>
      </c>
      <c r="AN1438" t="str">
        <f t="shared" ca="1" si="582"/>
        <v>Supercritical</v>
      </c>
      <c r="AO1438">
        <f ca="1">IF(V32="Supercritical",R1438,AA1438)</f>
        <v>482.07306851378365</v>
      </c>
    </row>
    <row r="1439" spans="1:41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174</v>
      </c>
      <c r="I1439">
        <v>0</v>
      </c>
      <c r="J1439">
        <f t="shared" si="583"/>
        <v>1</v>
      </c>
      <c r="K1439">
        <f t="shared" si="584"/>
        <v>51</v>
      </c>
      <c r="L1439">
        <f t="shared" ca="1" si="585"/>
        <v>38818.051231278128</v>
      </c>
      <c r="M1439">
        <f t="shared" ca="1" si="563"/>
        <v>201853.86640264626</v>
      </c>
      <c r="N1439">
        <f t="shared" ca="1" si="564"/>
        <v>2.5998258658784543</v>
      </c>
      <c r="O1439">
        <f t="shared" ca="1" si="565"/>
        <v>2.5265802884482871E-4</v>
      </c>
      <c r="P1439">
        <f t="shared" ca="1" si="566"/>
        <v>39449.968731278132</v>
      </c>
      <c r="Q1439">
        <f t="shared" ca="1" si="567"/>
        <v>39449.968731281384</v>
      </c>
      <c r="R1439">
        <f t="shared" ca="1" si="568"/>
        <v>4.0178129257556468E-12</v>
      </c>
      <c r="S1439">
        <f t="shared" ca="1" si="586"/>
        <v>4.9999998736893758E-4</v>
      </c>
      <c r="T1439">
        <f t="shared" ca="1" si="587"/>
        <v>1</v>
      </c>
      <c r="U1439">
        <f t="shared" ca="1" si="569"/>
        <v>0.05</v>
      </c>
      <c r="V1439">
        <f t="shared" ca="1" si="570"/>
        <v>0.26</v>
      </c>
      <c r="W1439">
        <f t="shared" ca="1" si="571"/>
        <v>4.9056603773584909E-2</v>
      </c>
      <c r="X1439">
        <f t="shared" ca="1" si="572"/>
        <v>196.15384615384616</v>
      </c>
      <c r="Y1439">
        <f t="shared" ca="1" si="573"/>
        <v>631.96749999999997</v>
      </c>
      <c r="Z1439">
        <f t="shared" ca="1" si="574"/>
        <v>2593.0445316486621</v>
      </c>
      <c r="AA1439">
        <f t="shared" ca="1" si="575"/>
        <v>482.07306851378365</v>
      </c>
      <c r="AB1439">
        <f t="shared" ca="1" si="576"/>
        <v>482.07256851378361</v>
      </c>
      <c r="AC1439">
        <f t="shared" ca="1" si="577"/>
        <v>0</v>
      </c>
      <c r="AD1439">
        <f ca="1">IF(V32="Supercritical",L1439,U1439)</f>
        <v>0.05</v>
      </c>
      <c r="AE1439">
        <f t="shared" ca="1" si="578"/>
        <v>631.96749999999997</v>
      </c>
      <c r="AF1439">
        <f t="shared" ca="1" si="579"/>
        <v>2593.0445316486621</v>
      </c>
      <c r="AI1439">
        <v>0</v>
      </c>
      <c r="AJ1439">
        <v>0</v>
      </c>
      <c r="AK1439">
        <f t="shared" si="580"/>
        <v>0</v>
      </c>
      <c r="AL1439">
        <f t="shared" si="588"/>
        <v>0</v>
      </c>
      <c r="AM1439">
        <f t="shared" ca="1" si="581"/>
        <v>280.07692026646265</v>
      </c>
      <c r="AN1439" t="str">
        <f t="shared" ca="1" si="582"/>
        <v>Supercritical</v>
      </c>
      <c r="AO1439">
        <f ca="1">IF(V32="Supercritical",R1439,AA1439)</f>
        <v>482.07306851378365</v>
      </c>
    </row>
    <row r="1440" spans="1:41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174</v>
      </c>
      <c r="I1440">
        <v>0</v>
      </c>
      <c r="J1440">
        <f t="shared" si="583"/>
        <v>1</v>
      </c>
      <c r="K1440">
        <f t="shared" si="584"/>
        <v>51</v>
      </c>
      <c r="L1440">
        <f t="shared" ca="1" si="585"/>
        <v>38818.051231278128</v>
      </c>
      <c r="M1440">
        <f t="shared" ca="1" si="563"/>
        <v>201853.86640264626</v>
      </c>
      <c r="N1440">
        <f t="shared" ca="1" si="564"/>
        <v>2.5998258658784543</v>
      </c>
      <c r="O1440">
        <f t="shared" ca="1" si="565"/>
        <v>2.5265802884482871E-4</v>
      </c>
      <c r="P1440">
        <f t="shared" ca="1" si="566"/>
        <v>39449.96823127813</v>
      </c>
      <c r="Q1440">
        <f t="shared" ca="1" si="567"/>
        <v>39449.968231281382</v>
      </c>
      <c r="R1440">
        <f t="shared" ca="1" si="568"/>
        <v>4.0178129257556468E-12</v>
      </c>
      <c r="S1440">
        <f t="shared" ca="1" si="586"/>
        <v>4.999999946448952E-4</v>
      </c>
      <c r="T1440">
        <f t="shared" ca="1" si="587"/>
        <v>1</v>
      </c>
      <c r="U1440">
        <f t="shared" ca="1" si="569"/>
        <v>0.05</v>
      </c>
      <c r="V1440">
        <f t="shared" ca="1" si="570"/>
        <v>0.26</v>
      </c>
      <c r="W1440">
        <f t="shared" ca="1" si="571"/>
        <v>4.9056603773584909E-2</v>
      </c>
      <c r="X1440">
        <f t="shared" ca="1" si="572"/>
        <v>196.15384615384616</v>
      </c>
      <c r="Y1440">
        <f t="shared" ca="1" si="573"/>
        <v>631.96699999999998</v>
      </c>
      <c r="Z1440">
        <f t="shared" ca="1" si="574"/>
        <v>2593.044031648662</v>
      </c>
      <c r="AA1440">
        <f t="shared" ca="1" si="575"/>
        <v>482.07306851378365</v>
      </c>
      <c r="AB1440">
        <f t="shared" ca="1" si="576"/>
        <v>482.25887083179032</v>
      </c>
      <c r="AC1440">
        <f t="shared" ca="1" si="577"/>
        <v>0</v>
      </c>
      <c r="AD1440">
        <f ca="1">IF(V32="Supercritical",L1440,U1440)</f>
        <v>0.05</v>
      </c>
      <c r="AE1440">
        <f t="shared" ca="1" si="578"/>
        <v>631.96699999999998</v>
      </c>
      <c r="AF1440">
        <f t="shared" ca="1" si="579"/>
        <v>2593.044031648662</v>
      </c>
      <c r="AI1440">
        <v>0</v>
      </c>
      <c r="AJ1440">
        <v>0</v>
      </c>
      <c r="AK1440">
        <f t="shared" si="580"/>
        <v>0</v>
      </c>
      <c r="AL1440">
        <f t="shared" si="588"/>
        <v>0</v>
      </c>
      <c r="AM1440">
        <f t="shared" ca="1" si="581"/>
        <v>280.07692026646265</v>
      </c>
      <c r="AN1440" t="str">
        <f t="shared" ca="1" si="582"/>
        <v>Supercritical</v>
      </c>
      <c r="AO1440">
        <f ca="1">IF(V32="Supercritical",R1440,AA1440)</f>
        <v>482.07306851378365</v>
      </c>
    </row>
    <row r="1441" spans="1:41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174</v>
      </c>
      <c r="I1441">
        <v>5.7000000000000002E-2</v>
      </c>
      <c r="J1441">
        <f t="shared" si="583"/>
        <v>1</v>
      </c>
      <c r="K1441">
        <f t="shared" si="584"/>
        <v>51</v>
      </c>
      <c r="L1441">
        <f t="shared" ca="1" si="585"/>
        <v>38818.051231278128</v>
      </c>
      <c r="M1441">
        <f t="shared" ca="1" si="563"/>
        <v>201853.86640264626</v>
      </c>
      <c r="N1441">
        <f t="shared" ca="1" si="564"/>
        <v>2.5998258658784543</v>
      </c>
      <c r="O1441">
        <f t="shared" ca="1" si="565"/>
        <v>2.5265802884482871E-4</v>
      </c>
      <c r="P1441">
        <f t="shared" ca="1" si="566"/>
        <v>39449.967731278128</v>
      </c>
      <c r="Q1441">
        <f t="shared" ca="1" si="567"/>
        <v>39449.96773128138</v>
      </c>
      <c r="R1441">
        <f t="shared" ca="1" si="568"/>
        <v>4.0178129257556468E-12</v>
      </c>
      <c r="S1441">
        <f t="shared" ca="1" si="586"/>
        <v>4.999999946448952E-4</v>
      </c>
      <c r="T1441">
        <f t="shared" ca="1" si="587"/>
        <v>1</v>
      </c>
      <c r="U1441">
        <f t="shared" ca="1" si="569"/>
        <v>0.05</v>
      </c>
      <c r="V1441">
        <f t="shared" ca="1" si="570"/>
        <v>0.26</v>
      </c>
      <c r="W1441">
        <f t="shared" ca="1" si="571"/>
        <v>4.9056603773584909E-2</v>
      </c>
      <c r="X1441">
        <f t="shared" ca="1" si="572"/>
        <v>196.15384615384616</v>
      </c>
      <c r="Y1441">
        <f t="shared" ca="1" si="573"/>
        <v>631.9665</v>
      </c>
      <c r="Z1441">
        <f t="shared" ca="1" si="574"/>
        <v>2593.0435316486619</v>
      </c>
      <c r="AA1441">
        <f t="shared" ca="1" si="575"/>
        <v>482.07306851378365</v>
      </c>
      <c r="AB1441">
        <f t="shared" ca="1" si="576"/>
        <v>482.26867621694873</v>
      </c>
      <c r="AC1441">
        <f t="shared" ca="1" si="577"/>
        <v>0</v>
      </c>
      <c r="AD1441">
        <f ca="1">IF(V32="Supercritical",L1441,U1441)</f>
        <v>0.05</v>
      </c>
      <c r="AE1441">
        <f t="shared" ca="1" si="578"/>
        <v>631.9665</v>
      </c>
      <c r="AF1441">
        <f t="shared" ca="1" si="579"/>
        <v>2593.0435316486619</v>
      </c>
      <c r="AI1441">
        <v>0</v>
      </c>
      <c r="AJ1441">
        <v>0</v>
      </c>
      <c r="AK1441">
        <f t="shared" si="580"/>
        <v>0</v>
      </c>
      <c r="AL1441">
        <f t="shared" si="588"/>
        <v>0</v>
      </c>
      <c r="AM1441">
        <f t="shared" ca="1" si="581"/>
        <v>280.07692026646265</v>
      </c>
      <c r="AN1441" t="str">
        <f t="shared" ca="1" si="582"/>
        <v>Supercritical</v>
      </c>
      <c r="AO1441">
        <f ca="1">IF(V32="Supercritical",R1441,AA1441)</f>
        <v>482.07306851378365</v>
      </c>
    </row>
    <row r="1442" spans="1:41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174</v>
      </c>
      <c r="I1442">
        <v>0.06</v>
      </c>
      <c r="J1442">
        <f t="shared" si="583"/>
        <v>1</v>
      </c>
      <c r="K1442">
        <f t="shared" si="584"/>
        <v>51</v>
      </c>
      <c r="L1442">
        <f t="shared" ca="1" si="585"/>
        <v>38818.051231278128</v>
      </c>
      <c r="M1442">
        <f t="shared" ca="1" si="563"/>
        <v>201853.86640264626</v>
      </c>
      <c r="N1442">
        <f t="shared" ca="1" si="564"/>
        <v>2.5998258658784543</v>
      </c>
      <c r="O1442">
        <f t="shared" ca="1" si="565"/>
        <v>2.5265802884482871E-4</v>
      </c>
      <c r="P1442">
        <f t="shared" ca="1" si="566"/>
        <v>39449.967231278126</v>
      </c>
      <c r="Q1442">
        <f t="shared" ca="1" si="567"/>
        <v>39449.967231281378</v>
      </c>
      <c r="R1442">
        <f t="shared" ca="1" si="568"/>
        <v>4.0178129257556468E-12</v>
      </c>
      <c r="S1442">
        <f t="shared" ca="1" si="586"/>
        <v>4.999999946448952E-4</v>
      </c>
      <c r="T1442">
        <f t="shared" ca="1" si="587"/>
        <v>1</v>
      </c>
      <c r="U1442">
        <f t="shared" ca="1" si="569"/>
        <v>0.05</v>
      </c>
      <c r="V1442">
        <f t="shared" ca="1" si="570"/>
        <v>0.26</v>
      </c>
      <c r="W1442">
        <f t="shared" ca="1" si="571"/>
        <v>4.9056603773584909E-2</v>
      </c>
      <c r="X1442">
        <f t="shared" ca="1" si="572"/>
        <v>196.15384615384616</v>
      </c>
      <c r="Y1442">
        <f t="shared" ca="1" si="573"/>
        <v>631.96600000000001</v>
      </c>
      <c r="Z1442">
        <f t="shared" ca="1" si="574"/>
        <v>2593.0430316486622</v>
      </c>
      <c r="AA1442">
        <f t="shared" ca="1" si="575"/>
        <v>482.07306851378365</v>
      </c>
      <c r="AB1442">
        <f t="shared" ca="1" si="576"/>
        <v>482.5611785058345</v>
      </c>
      <c r="AC1442">
        <f t="shared" ca="1" si="577"/>
        <v>0</v>
      </c>
      <c r="AD1442">
        <f ca="1">IF(V32="Supercritical",L1442,U1442)</f>
        <v>0.05</v>
      </c>
      <c r="AE1442">
        <f t="shared" ca="1" si="578"/>
        <v>631.96600000000001</v>
      </c>
      <c r="AF1442">
        <f t="shared" ca="1" si="579"/>
        <v>2593.0430316486622</v>
      </c>
      <c r="AI1442">
        <v>0</v>
      </c>
      <c r="AJ1442">
        <v>0</v>
      </c>
      <c r="AK1442">
        <f t="shared" si="580"/>
        <v>0</v>
      </c>
      <c r="AL1442">
        <f t="shared" si="588"/>
        <v>0</v>
      </c>
      <c r="AM1442">
        <f t="shared" ca="1" si="581"/>
        <v>280.07692026646265</v>
      </c>
      <c r="AN1442" t="str">
        <f t="shared" ca="1" si="582"/>
        <v>Supercritical</v>
      </c>
      <c r="AO1442">
        <f ca="1">IF(V32="Supercritical",R1442,AA1442)</f>
        <v>482.07306851378365</v>
      </c>
    </row>
    <row r="1443" spans="1:41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174</v>
      </c>
      <c r="I1443">
        <v>2E-3</v>
      </c>
      <c r="J1443">
        <f t="shared" si="583"/>
        <v>1.0010000000002037</v>
      </c>
      <c r="K1443">
        <f t="shared" si="584"/>
        <v>51</v>
      </c>
      <c r="L1443">
        <f t="shared" ca="1" si="585"/>
        <v>38818.051231278128</v>
      </c>
      <c r="M1443">
        <f t="shared" ca="1" si="563"/>
        <v>201853.86640264626</v>
      </c>
      <c r="N1443">
        <f t="shared" ca="1" si="564"/>
        <v>2.5998258658784543</v>
      </c>
      <c r="O1443">
        <f t="shared" ca="1" si="565"/>
        <v>2.5265802884482871E-4</v>
      </c>
      <c r="P1443">
        <f t="shared" ca="1" si="566"/>
        <v>39449.966731278131</v>
      </c>
      <c r="Q1443">
        <f t="shared" ca="1" si="567"/>
        <v>39449.966731281384</v>
      </c>
      <c r="R1443">
        <f t="shared" ca="1" si="568"/>
        <v>4.0178129257556468E-12</v>
      </c>
      <c r="S1443">
        <f t="shared" ca="1" si="586"/>
        <v>4.9999998736893758E-4</v>
      </c>
      <c r="T1443">
        <f t="shared" ca="1" si="587"/>
        <v>1</v>
      </c>
      <c r="U1443">
        <f t="shared" ca="1" si="569"/>
        <v>0.05</v>
      </c>
      <c r="V1443">
        <f t="shared" ca="1" si="570"/>
        <v>0.26</v>
      </c>
      <c r="W1443">
        <f t="shared" ca="1" si="571"/>
        <v>4.9056603773584909E-2</v>
      </c>
      <c r="X1443">
        <f t="shared" ca="1" si="572"/>
        <v>196.15384615384616</v>
      </c>
      <c r="Y1443">
        <f t="shared" ca="1" si="573"/>
        <v>631.96549999999991</v>
      </c>
      <c r="Z1443">
        <f t="shared" ca="1" si="574"/>
        <v>2593.0425316486621</v>
      </c>
      <c r="AA1443">
        <f t="shared" ca="1" si="575"/>
        <v>482.07306851378365</v>
      </c>
      <c r="AB1443">
        <f t="shared" ca="1" si="576"/>
        <v>482.07256851378361</v>
      </c>
      <c r="AC1443">
        <f t="shared" ca="1" si="577"/>
        <v>0</v>
      </c>
      <c r="AD1443">
        <f ca="1">IF(V32="Supercritical",L1443,U1443)</f>
        <v>0.05</v>
      </c>
      <c r="AE1443">
        <f t="shared" ca="1" si="578"/>
        <v>631.96549999999991</v>
      </c>
      <c r="AF1443">
        <f t="shared" ca="1" si="579"/>
        <v>2593.0425316486621</v>
      </c>
      <c r="AI1443">
        <v>0</v>
      </c>
      <c r="AJ1443">
        <v>0</v>
      </c>
      <c r="AK1443">
        <f t="shared" si="580"/>
        <v>0</v>
      </c>
      <c r="AL1443">
        <f t="shared" si="588"/>
        <v>0</v>
      </c>
      <c r="AM1443">
        <f t="shared" ca="1" si="581"/>
        <v>280.07692026646265</v>
      </c>
      <c r="AN1443" t="str">
        <f t="shared" ca="1" si="582"/>
        <v>Supercritical</v>
      </c>
      <c r="AO1443">
        <f ca="1">IF(V32="Supercritical",R1443,AA1443)</f>
        <v>482.07306851378365</v>
      </c>
    </row>
    <row r="1444" spans="1:41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174</v>
      </c>
      <c r="I1444">
        <v>0</v>
      </c>
      <c r="J1444">
        <f t="shared" si="583"/>
        <v>1</v>
      </c>
      <c r="K1444">
        <f t="shared" si="584"/>
        <v>51</v>
      </c>
      <c r="L1444">
        <f t="shared" ca="1" si="585"/>
        <v>38818.051231278128</v>
      </c>
      <c r="M1444">
        <f t="shared" ca="1" si="563"/>
        <v>201853.86640264626</v>
      </c>
      <c r="N1444">
        <f t="shared" ca="1" si="564"/>
        <v>2.5998258658784543</v>
      </c>
      <c r="O1444">
        <f t="shared" ca="1" si="565"/>
        <v>2.5265802884482871E-4</v>
      </c>
      <c r="P1444">
        <f t="shared" ca="1" si="566"/>
        <v>39449.966231278129</v>
      </c>
      <c r="Q1444">
        <f t="shared" ca="1" si="567"/>
        <v>39449.966231281382</v>
      </c>
      <c r="R1444">
        <f t="shared" ca="1" si="568"/>
        <v>4.0178129257556468E-12</v>
      </c>
      <c r="S1444">
        <f t="shared" ca="1" si="586"/>
        <v>4.999999946448952E-4</v>
      </c>
      <c r="T1444">
        <f t="shared" ca="1" si="587"/>
        <v>1</v>
      </c>
      <c r="U1444">
        <f t="shared" ca="1" si="569"/>
        <v>0.05</v>
      </c>
      <c r="V1444">
        <f t="shared" ca="1" si="570"/>
        <v>0.26</v>
      </c>
      <c r="W1444">
        <f t="shared" ca="1" si="571"/>
        <v>4.9056603773584909E-2</v>
      </c>
      <c r="X1444">
        <f t="shared" ca="1" si="572"/>
        <v>196.15384615384616</v>
      </c>
      <c r="Y1444">
        <f t="shared" ca="1" si="573"/>
        <v>631.96499999999992</v>
      </c>
      <c r="Z1444">
        <f t="shared" ca="1" si="574"/>
        <v>2593.042031648662</v>
      </c>
      <c r="AA1444">
        <f t="shared" ca="1" si="575"/>
        <v>482.07306851378365</v>
      </c>
      <c r="AB1444">
        <f t="shared" ca="1" si="576"/>
        <v>482.25887083179032</v>
      </c>
      <c r="AC1444">
        <f t="shared" ca="1" si="577"/>
        <v>0</v>
      </c>
      <c r="AD1444">
        <f ca="1">IF(V32="Supercritical",L1444,U1444)</f>
        <v>0.05</v>
      </c>
      <c r="AE1444">
        <f t="shared" ca="1" si="578"/>
        <v>631.96499999999992</v>
      </c>
      <c r="AF1444">
        <f t="shared" ca="1" si="579"/>
        <v>2593.042031648662</v>
      </c>
      <c r="AI1444">
        <v>0</v>
      </c>
      <c r="AJ1444">
        <v>0</v>
      </c>
      <c r="AK1444">
        <f t="shared" si="580"/>
        <v>0</v>
      </c>
      <c r="AL1444">
        <f t="shared" si="588"/>
        <v>0</v>
      </c>
      <c r="AM1444">
        <f t="shared" ca="1" si="581"/>
        <v>280.07692026646265</v>
      </c>
      <c r="AN1444" t="str">
        <f t="shared" ca="1" si="582"/>
        <v>Supercritical</v>
      </c>
      <c r="AO1444">
        <f ca="1">IF(V32="Supercritical",R1444,AA1444)</f>
        <v>482.07306851378365</v>
      </c>
    </row>
    <row r="1445" spans="1:41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174</v>
      </c>
      <c r="I1445">
        <v>5.7000000000000002E-2</v>
      </c>
      <c r="J1445">
        <f t="shared" si="583"/>
        <v>1</v>
      </c>
      <c r="K1445">
        <f t="shared" si="584"/>
        <v>51</v>
      </c>
      <c r="L1445">
        <f t="shared" ca="1" si="585"/>
        <v>38818.051231278128</v>
      </c>
      <c r="M1445">
        <f t="shared" ca="1" si="563"/>
        <v>201853.86640264626</v>
      </c>
      <c r="N1445">
        <f t="shared" ca="1" si="564"/>
        <v>2.5998258658784543</v>
      </c>
      <c r="O1445">
        <f t="shared" ca="1" si="565"/>
        <v>2.5265802884482871E-4</v>
      </c>
      <c r="P1445">
        <f t="shared" ca="1" si="566"/>
        <v>39449.965731278127</v>
      </c>
      <c r="Q1445">
        <f t="shared" ca="1" si="567"/>
        <v>39449.96573128138</v>
      </c>
      <c r="R1445">
        <f t="shared" ca="1" si="568"/>
        <v>4.0178129257556468E-12</v>
      </c>
      <c r="S1445">
        <f t="shared" ca="1" si="586"/>
        <v>4.999999946448952E-4</v>
      </c>
      <c r="T1445">
        <f t="shared" ca="1" si="587"/>
        <v>1</v>
      </c>
      <c r="U1445">
        <f t="shared" ca="1" si="569"/>
        <v>0.05</v>
      </c>
      <c r="V1445">
        <f t="shared" ca="1" si="570"/>
        <v>0.26</v>
      </c>
      <c r="W1445">
        <f t="shared" ca="1" si="571"/>
        <v>4.9056603773584909E-2</v>
      </c>
      <c r="X1445">
        <f t="shared" ca="1" si="572"/>
        <v>196.15384615384616</v>
      </c>
      <c r="Y1445">
        <f t="shared" ca="1" si="573"/>
        <v>631.96449999999993</v>
      </c>
      <c r="Z1445">
        <f t="shared" ca="1" si="574"/>
        <v>2593.0415316486619</v>
      </c>
      <c r="AA1445">
        <f t="shared" ca="1" si="575"/>
        <v>482.07306851378365</v>
      </c>
      <c r="AB1445">
        <f t="shared" ca="1" si="576"/>
        <v>481.77679776317882</v>
      </c>
      <c r="AC1445">
        <f t="shared" ca="1" si="577"/>
        <v>0</v>
      </c>
      <c r="AD1445">
        <f ca="1">IF(V32="Supercritical",L1445,U1445)</f>
        <v>0.05</v>
      </c>
      <c r="AE1445">
        <f t="shared" ca="1" si="578"/>
        <v>631.96449999999993</v>
      </c>
      <c r="AF1445">
        <f t="shared" ca="1" si="579"/>
        <v>2593.0415316486619</v>
      </c>
      <c r="AI1445">
        <v>0</v>
      </c>
      <c r="AJ1445">
        <v>0</v>
      </c>
      <c r="AK1445">
        <f t="shared" si="580"/>
        <v>0</v>
      </c>
      <c r="AL1445">
        <f t="shared" si="588"/>
        <v>0</v>
      </c>
      <c r="AM1445">
        <f t="shared" ca="1" si="581"/>
        <v>280.07692026646265</v>
      </c>
      <c r="AN1445" t="str">
        <f t="shared" ca="1" si="582"/>
        <v>Supercritical</v>
      </c>
      <c r="AO1445">
        <f ca="1">IF(V32="Supercritical",R1445,AA1445)</f>
        <v>482.07306851378365</v>
      </c>
    </row>
    <row r="1446" spans="1:41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174</v>
      </c>
      <c r="I1446">
        <v>5.7000000000000002E-2</v>
      </c>
      <c r="J1446">
        <f t="shared" si="583"/>
        <v>0.99899999999979627</v>
      </c>
      <c r="K1446">
        <f t="shared" si="584"/>
        <v>51</v>
      </c>
      <c r="L1446">
        <f t="shared" ca="1" si="585"/>
        <v>38818.051231278128</v>
      </c>
      <c r="M1446">
        <f t="shared" ca="1" si="563"/>
        <v>201853.86640264626</v>
      </c>
      <c r="N1446">
        <f t="shared" ca="1" si="564"/>
        <v>2.5998258658784543</v>
      </c>
      <c r="O1446">
        <f t="shared" ca="1" si="565"/>
        <v>2.5265802884482871E-4</v>
      </c>
      <c r="P1446">
        <f t="shared" ca="1" si="566"/>
        <v>39449.965231278125</v>
      </c>
      <c r="Q1446">
        <f t="shared" ca="1" si="567"/>
        <v>39449.965231281378</v>
      </c>
      <c r="R1446">
        <f t="shared" ca="1" si="568"/>
        <v>4.0178129257556468E-12</v>
      </c>
      <c r="S1446">
        <f t="shared" ca="1" si="586"/>
        <v>4.999999946448952E-4</v>
      </c>
      <c r="T1446">
        <f t="shared" ca="1" si="587"/>
        <v>1</v>
      </c>
      <c r="U1446">
        <f t="shared" ca="1" si="569"/>
        <v>0.05</v>
      </c>
      <c r="V1446">
        <f t="shared" ca="1" si="570"/>
        <v>0.26</v>
      </c>
      <c r="W1446">
        <f t="shared" ca="1" si="571"/>
        <v>4.9056603773584909E-2</v>
      </c>
      <c r="X1446">
        <f t="shared" ca="1" si="572"/>
        <v>196.15384615384616</v>
      </c>
      <c r="Y1446">
        <f t="shared" ca="1" si="573"/>
        <v>631.96399999999994</v>
      </c>
      <c r="Z1446">
        <f t="shared" ca="1" si="574"/>
        <v>2593.0410316486623</v>
      </c>
      <c r="AA1446">
        <f t="shared" ca="1" si="575"/>
        <v>482.07306851378365</v>
      </c>
      <c r="AB1446">
        <f t="shared" ca="1" si="576"/>
        <v>482.07256851378361</v>
      </c>
      <c r="AC1446">
        <f t="shared" ca="1" si="577"/>
        <v>0</v>
      </c>
      <c r="AD1446">
        <f ca="1">IF(V32="Supercritical",L1446,U1446)</f>
        <v>0.05</v>
      </c>
      <c r="AE1446">
        <f t="shared" ca="1" si="578"/>
        <v>631.96399999999994</v>
      </c>
      <c r="AF1446">
        <f t="shared" ca="1" si="579"/>
        <v>2593.0410316486623</v>
      </c>
      <c r="AI1446">
        <v>0</v>
      </c>
      <c r="AJ1446">
        <v>0</v>
      </c>
      <c r="AK1446">
        <f t="shared" si="580"/>
        <v>0</v>
      </c>
      <c r="AL1446">
        <f t="shared" si="588"/>
        <v>0</v>
      </c>
      <c r="AM1446">
        <f t="shared" ca="1" si="581"/>
        <v>280.07692026646265</v>
      </c>
      <c r="AN1446" t="str">
        <f t="shared" ca="1" si="582"/>
        <v>Supercritical</v>
      </c>
      <c r="AO1446">
        <f ca="1">IF(V32="Supercritical",R1446,AA1446)</f>
        <v>482.07306851378365</v>
      </c>
    </row>
    <row r="1447" spans="1:41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174</v>
      </c>
      <c r="I1447">
        <v>0</v>
      </c>
      <c r="J1447">
        <f t="shared" si="583"/>
        <v>1</v>
      </c>
      <c r="K1447">
        <f t="shared" si="584"/>
        <v>51</v>
      </c>
      <c r="L1447">
        <f t="shared" ca="1" si="585"/>
        <v>38818.051231278128</v>
      </c>
      <c r="M1447">
        <f t="shared" ca="1" si="563"/>
        <v>201853.86640264626</v>
      </c>
      <c r="N1447">
        <f t="shared" ca="1" si="564"/>
        <v>2.5998258658784543</v>
      </c>
      <c r="O1447">
        <f t="shared" ca="1" si="565"/>
        <v>2.5265802884482871E-4</v>
      </c>
      <c r="P1447">
        <f t="shared" ca="1" si="566"/>
        <v>39449.964731278131</v>
      </c>
      <c r="Q1447">
        <f t="shared" ca="1" si="567"/>
        <v>39449.964731281383</v>
      </c>
      <c r="R1447">
        <f t="shared" ca="1" si="568"/>
        <v>4.0178129257556468E-12</v>
      </c>
      <c r="S1447">
        <f t="shared" ca="1" si="586"/>
        <v>4.9999998736893758E-4</v>
      </c>
      <c r="T1447">
        <f t="shared" ca="1" si="587"/>
        <v>1</v>
      </c>
      <c r="U1447">
        <f t="shared" ca="1" si="569"/>
        <v>0.05</v>
      </c>
      <c r="V1447">
        <f t="shared" ca="1" si="570"/>
        <v>0.26</v>
      </c>
      <c r="W1447">
        <f t="shared" ca="1" si="571"/>
        <v>4.9056603773584909E-2</v>
      </c>
      <c r="X1447">
        <f t="shared" ca="1" si="572"/>
        <v>196.15384615384616</v>
      </c>
      <c r="Y1447">
        <f t="shared" ca="1" si="573"/>
        <v>631.96349999999995</v>
      </c>
      <c r="Z1447">
        <f t="shared" ca="1" si="574"/>
        <v>2593.0405316486622</v>
      </c>
      <c r="AA1447">
        <f t="shared" ca="1" si="575"/>
        <v>482.07306851378365</v>
      </c>
      <c r="AB1447">
        <f t="shared" ca="1" si="576"/>
        <v>482.07256851378361</v>
      </c>
      <c r="AC1447">
        <f t="shared" ca="1" si="577"/>
        <v>0</v>
      </c>
      <c r="AD1447">
        <f ca="1">IF(V32="Supercritical",L1447,U1447)</f>
        <v>0.05</v>
      </c>
      <c r="AE1447">
        <f t="shared" ca="1" si="578"/>
        <v>631.96349999999995</v>
      </c>
      <c r="AF1447">
        <f t="shared" ca="1" si="579"/>
        <v>2593.0405316486622</v>
      </c>
      <c r="AI1447">
        <v>0</v>
      </c>
      <c r="AJ1447">
        <v>0</v>
      </c>
      <c r="AK1447">
        <f t="shared" si="580"/>
        <v>0</v>
      </c>
      <c r="AL1447">
        <f t="shared" si="588"/>
        <v>0</v>
      </c>
      <c r="AM1447">
        <f t="shared" ca="1" si="581"/>
        <v>280.07692026646265</v>
      </c>
      <c r="AN1447" t="str">
        <f t="shared" ca="1" si="582"/>
        <v>Supercritical</v>
      </c>
      <c r="AO1447">
        <f ca="1">IF(V32="Supercritical",R1447,AA1447)</f>
        <v>482.07306851378365</v>
      </c>
    </row>
    <row r="1448" spans="1:41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174</v>
      </c>
      <c r="I1448">
        <v>0</v>
      </c>
      <c r="J1448">
        <f t="shared" si="583"/>
        <v>1</v>
      </c>
      <c r="K1448">
        <f t="shared" si="584"/>
        <v>51</v>
      </c>
      <c r="L1448">
        <f t="shared" ca="1" si="585"/>
        <v>38818.051231278128</v>
      </c>
      <c r="M1448">
        <f t="shared" ca="1" si="563"/>
        <v>201853.86640264626</v>
      </c>
      <c r="N1448">
        <f t="shared" ca="1" si="564"/>
        <v>2.5998258658784543</v>
      </c>
      <c r="O1448">
        <f t="shared" ca="1" si="565"/>
        <v>2.5265802884482871E-4</v>
      </c>
      <c r="P1448">
        <f t="shared" ca="1" si="566"/>
        <v>39449.964231278129</v>
      </c>
      <c r="Q1448">
        <f t="shared" ca="1" si="567"/>
        <v>39449.964231281381</v>
      </c>
      <c r="R1448">
        <f t="shared" ca="1" si="568"/>
        <v>4.0178129257556468E-12</v>
      </c>
      <c r="S1448">
        <f t="shared" ca="1" si="586"/>
        <v>4.999999946448952E-4</v>
      </c>
      <c r="T1448">
        <f t="shared" ca="1" si="587"/>
        <v>1</v>
      </c>
      <c r="U1448">
        <f t="shared" ca="1" si="569"/>
        <v>0.05</v>
      </c>
      <c r="V1448">
        <f t="shared" ca="1" si="570"/>
        <v>0.26</v>
      </c>
      <c r="W1448">
        <f t="shared" ca="1" si="571"/>
        <v>4.9056603773584909E-2</v>
      </c>
      <c r="X1448">
        <f t="shared" ca="1" si="572"/>
        <v>196.15384615384616</v>
      </c>
      <c r="Y1448">
        <f t="shared" ca="1" si="573"/>
        <v>631.96299999999997</v>
      </c>
      <c r="Z1448">
        <f t="shared" ca="1" si="574"/>
        <v>2593.0400316486621</v>
      </c>
      <c r="AA1448">
        <f t="shared" ca="1" si="575"/>
        <v>482.07306851378365</v>
      </c>
      <c r="AB1448">
        <f t="shared" ca="1" si="576"/>
        <v>482.25887083179032</v>
      </c>
      <c r="AC1448">
        <f t="shared" ca="1" si="577"/>
        <v>0</v>
      </c>
      <c r="AD1448">
        <f ca="1">IF(V32="Supercritical",L1448,U1448)</f>
        <v>0.05</v>
      </c>
      <c r="AE1448">
        <f t="shared" ca="1" si="578"/>
        <v>631.96299999999997</v>
      </c>
      <c r="AF1448">
        <f t="shared" ca="1" si="579"/>
        <v>2593.0400316486621</v>
      </c>
      <c r="AI1448">
        <v>0</v>
      </c>
      <c r="AJ1448">
        <v>0</v>
      </c>
      <c r="AK1448">
        <f t="shared" si="580"/>
        <v>0</v>
      </c>
      <c r="AL1448">
        <f t="shared" si="588"/>
        <v>0</v>
      </c>
      <c r="AM1448">
        <f t="shared" ca="1" si="581"/>
        <v>280.07692026646265</v>
      </c>
      <c r="AN1448" t="str">
        <f t="shared" ca="1" si="582"/>
        <v>Supercritical</v>
      </c>
      <c r="AO1448">
        <f ca="1">IF(V32="Supercritical",R1448,AA1448)</f>
        <v>482.07306851378365</v>
      </c>
    </row>
    <row r="1449" spans="1:41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174</v>
      </c>
      <c r="I1449">
        <v>5.7000000000000002E-2</v>
      </c>
      <c r="J1449">
        <f t="shared" si="583"/>
        <v>1</v>
      </c>
      <c r="K1449">
        <f t="shared" si="584"/>
        <v>51</v>
      </c>
      <c r="L1449">
        <f t="shared" ca="1" si="585"/>
        <v>38818.051231278128</v>
      </c>
      <c r="M1449">
        <f t="shared" ca="1" si="563"/>
        <v>201853.86640264626</v>
      </c>
      <c r="N1449">
        <f t="shared" ca="1" si="564"/>
        <v>2.5998258658784543</v>
      </c>
      <c r="O1449">
        <f t="shared" ca="1" si="565"/>
        <v>2.5265802884482871E-4</v>
      </c>
      <c r="P1449">
        <f t="shared" ca="1" si="566"/>
        <v>39449.963731278127</v>
      </c>
      <c r="Q1449">
        <f t="shared" ca="1" si="567"/>
        <v>39449.963731281379</v>
      </c>
      <c r="R1449">
        <f t="shared" ca="1" si="568"/>
        <v>4.0178129257556468E-12</v>
      </c>
      <c r="S1449">
        <f t="shared" ca="1" si="586"/>
        <v>4.999999946448952E-4</v>
      </c>
      <c r="T1449">
        <f t="shared" ca="1" si="587"/>
        <v>1</v>
      </c>
      <c r="U1449">
        <f t="shared" ca="1" si="569"/>
        <v>0.05</v>
      </c>
      <c r="V1449">
        <f t="shared" ca="1" si="570"/>
        <v>0.26</v>
      </c>
      <c r="W1449">
        <f t="shared" ca="1" si="571"/>
        <v>4.9056603773584909E-2</v>
      </c>
      <c r="X1449">
        <f t="shared" ca="1" si="572"/>
        <v>196.15384615384616</v>
      </c>
      <c r="Y1449">
        <f t="shared" ca="1" si="573"/>
        <v>631.96249999999998</v>
      </c>
      <c r="Z1449">
        <f t="shared" ca="1" si="574"/>
        <v>2593.039531648662</v>
      </c>
      <c r="AA1449">
        <f t="shared" ca="1" si="575"/>
        <v>482.07306851378365</v>
      </c>
      <c r="AB1449">
        <f t="shared" ca="1" si="576"/>
        <v>482.25887083179032</v>
      </c>
      <c r="AC1449">
        <f t="shared" ca="1" si="577"/>
        <v>0</v>
      </c>
      <c r="AD1449">
        <f ca="1">IF(V32="Supercritical",L1449,U1449)</f>
        <v>0.05</v>
      </c>
      <c r="AE1449">
        <f t="shared" ca="1" si="578"/>
        <v>631.96249999999998</v>
      </c>
      <c r="AF1449">
        <f t="shared" ca="1" si="579"/>
        <v>2593.039531648662</v>
      </c>
      <c r="AI1449">
        <v>0</v>
      </c>
      <c r="AJ1449">
        <v>0</v>
      </c>
      <c r="AK1449">
        <f t="shared" si="580"/>
        <v>0</v>
      </c>
      <c r="AL1449">
        <f t="shared" si="588"/>
        <v>0</v>
      </c>
      <c r="AM1449">
        <f t="shared" ca="1" si="581"/>
        <v>280.07692026646265</v>
      </c>
      <c r="AN1449" t="str">
        <f t="shared" ca="1" si="582"/>
        <v>Supercritical</v>
      </c>
      <c r="AO1449">
        <f ca="1">IF(V32="Supercritical",R1449,AA1449)</f>
        <v>482.07306851378365</v>
      </c>
    </row>
    <row r="1450" spans="1:41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174</v>
      </c>
      <c r="I1450">
        <v>5.7000000000000002E-2</v>
      </c>
      <c r="J1450">
        <f t="shared" si="583"/>
        <v>1</v>
      </c>
      <c r="K1450">
        <f t="shared" si="584"/>
        <v>51</v>
      </c>
      <c r="L1450">
        <f t="shared" ca="1" si="585"/>
        <v>38818.051231278128</v>
      </c>
      <c r="M1450">
        <f t="shared" ca="1" si="563"/>
        <v>201853.86640264626</v>
      </c>
      <c r="N1450">
        <f t="shared" ca="1" si="564"/>
        <v>2.5998258658784543</v>
      </c>
      <c r="O1450">
        <f t="shared" ca="1" si="565"/>
        <v>2.5265802884482871E-4</v>
      </c>
      <c r="P1450">
        <f t="shared" ca="1" si="566"/>
        <v>39449.963231278125</v>
      </c>
      <c r="Q1450">
        <f t="shared" ca="1" si="567"/>
        <v>39449.963231281377</v>
      </c>
      <c r="R1450">
        <f t="shared" ca="1" si="568"/>
        <v>4.0178129257556468E-12</v>
      </c>
      <c r="S1450">
        <f t="shared" ca="1" si="586"/>
        <v>4.999999946448952E-4</v>
      </c>
      <c r="T1450">
        <f t="shared" ca="1" si="587"/>
        <v>1</v>
      </c>
      <c r="U1450">
        <f t="shared" ca="1" si="569"/>
        <v>0.05</v>
      </c>
      <c r="V1450">
        <f t="shared" ca="1" si="570"/>
        <v>0.26</v>
      </c>
      <c r="W1450">
        <f t="shared" ca="1" si="571"/>
        <v>4.9056603773584909E-2</v>
      </c>
      <c r="X1450">
        <f t="shared" ca="1" si="572"/>
        <v>196.15384615384616</v>
      </c>
      <c r="Y1450">
        <f t="shared" ca="1" si="573"/>
        <v>631.96199999999999</v>
      </c>
      <c r="Z1450">
        <f t="shared" ca="1" si="574"/>
        <v>2593.0390316486619</v>
      </c>
      <c r="AA1450">
        <f t="shared" ca="1" si="575"/>
        <v>482.07306851378365</v>
      </c>
      <c r="AB1450">
        <f t="shared" ca="1" si="576"/>
        <v>482.07256851378406</v>
      </c>
      <c r="AC1450">
        <f t="shared" ca="1" si="577"/>
        <v>0</v>
      </c>
      <c r="AD1450">
        <f ca="1">IF(V32="Supercritical",L1450,U1450)</f>
        <v>0.05</v>
      </c>
      <c r="AE1450">
        <f t="shared" ca="1" si="578"/>
        <v>631.96199999999999</v>
      </c>
      <c r="AF1450">
        <f t="shared" ca="1" si="579"/>
        <v>2593.0390316486619</v>
      </c>
      <c r="AI1450">
        <v>0</v>
      </c>
      <c r="AJ1450">
        <v>0</v>
      </c>
      <c r="AK1450">
        <f t="shared" si="580"/>
        <v>0</v>
      </c>
      <c r="AL1450">
        <f t="shared" si="588"/>
        <v>0</v>
      </c>
      <c r="AM1450">
        <f t="shared" ca="1" si="581"/>
        <v>280.07692026646265</v>
      </c>
      <c r="AN1450" t="str">
        <f t="shared" ca="1" si="582"/>
        <v>Supercritical</v>
      </c>
      <c r="AO1450">
        <f ca="1">IF(V32="Supercritical",R1450,AA1450)</f>
        <v>482.07306851378365</v>
      </c>
    </row>
    <row r="1451" spans="1:41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174</v>
      </c>
      <c r="I1451">
        <v>0</v>
      </c>
      <c r="J1451">
        <f t="shared" si="583"/>
        <v>1</v>
      </c>
      <c r="K1451">
        <f t="shared" si="584"/>
        <v>51</v>
      </c>
      <c r="L1451">
        <f t="shared" ca="1" si="585"/>
        <v>38818.051231278128</v>
      </c>
      <c r="M1451">
        <f t="shared" ca="1" si="563"/>
        <v>201853.86640264626</v>
      </c>
      <c r="N1451">
        <f t="shared" ca="1" si="564"/>
        <v>2.5998258658784543</v>
      </c>
      <c r="O1451">
        <f t="shared" ca="1" si="565"/>
        <v>2.5265802884482871E-4</v>
      </c>
      <c r="P1451">
        <f t="shared" ca="1" si="566"/>
        <v>39449.96273127813</v>
      </c>
      <c r="Q1451">
        <f t="shared" ca="1" si="567"/>
        <v>39449.962731281383</v>
      </c>
      <c r="R1451">
        <f t="shared" ca="1" si="568"/>
        <v>4.0178129257556468E-12</v>
      </c>
      <c r="S1451">
        <f t="shared" ca="1" si="586"/>
        <v>4.9999998736893758E-4</v>
      </c>
      <c r="T1451">
        <f t="shared" ca="1" si="587"/>
        <v>1</v>
      </c>
      <c r="U1451">
        <f t="shared" ca="1" si="569"/>
        <v>0.05</v>
      </c>
      <c r="V1451">
        <f t="shared" ca="1" si="570"/>
        <v>0.26</v>
      </c>
      <c r="W1451">
        <f t="shared" ca="1" si="571"/>
        <v>4.9056603773584909E-2</v>
      </c>
      <c r="X1451">
        <f t="shared" ca="1" si="572"/>
        <v>196.15384615384616</v>
      </c>
      <c r="Y1451">
        <f t="shared" ca="1" si="573"/>
        <v>631.9615</v>
      </c>
      <c r="Z1451">
        <f t="shared" ca="1" si="574"/>
        <v>2593.0385316486622</v>
      </c>
      <c r="AA1451">
        <f t="shared" ca="1" si="575"/>
        <v>482.07306851378365</v>
      </c>
      <c r="AB1451">
        <f t="shared" ca="1" si="576"/>
        <v>482.07910543722255</v>
      </c>
      <c r="AC1451">
        <f t="shared" ca="1" si="577"/>
        <v>0</v>
      </c>
      <c r="AD1451">
        <f ca="1">IF(V32="Supercritical",L1451,U1451)</f>
        <v>0.05</v>
      </c>
      <c r="AE1451">
        <f t="shared" ca="1" si="578"/>
        <v>631.9615</v>
      </c>
      <c r="AF1451">
        <f t="shared" ca="1" si="579"/>
        <v>2593.0385316486622</v>
      </c>
      <c r="AI1451">
        <v>0</v>
      </c>
      <c r="AJ1451">
        <v>0</v>
      </c>
      <c r="AK1451">
        <f t="shared" si="580"/>
        <v>0</v>
      </c>
      <c r="AL1451">
        <f t="shared" si="588"/>
        <v>0</v>
      </c>
      <c r="AM1451">
        <f t="shared" ca="1" si="581"/>
        <v>280.07692026646265</v>
      </c>
      <c r="AN1451" t="str">
        <f t="shared" ca="1" si="582"/>
        <v>Supercritical</v>
      </c>
      <c r="AO1451">
        <f ca="1">IF(V32="Supercritical",R1451,AA1451)</f>
        <v>482.07306851378365</v>
      </c>
    </row>
    <row r="1452" spans="1:41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174</v>
      </c>
      <c r="I1452">
        <v>2E-3</v>
      </c>
      <c r="J1452">
        <f t="shared" si="583"/>
        <v>1</v>
      </c>
      <c r="K1452">
        <f t="shared" si="584"/>
        <v>51</v>
      </c>
      <c r="L1452">
        <f t="shared" ca="1" si="585"/>
        <v>38818.051231278128</v>
      </c>
      <c r="M1452">
        <f t="shared" ca="1" si="563"/>
        <v>201853.86640264626</v>
      </c>
      <c r="N1452">
        <f t="shared" ca="1" si="564"/>
        <v>2.5998258658784543</v>
      </c>
      <c r="O1452">
        <f t="shared" ca="1" si="565"/>
        <v>2.5265802884482871E-4</v>
      </c>
      <c r="P1452">
        <f t="shared" ca="1" si="566"/>
        <v>39449.962231278128</v>
      </c>
      <c r="Q1452">
        <f t="shared" ca="1" si="567"/>
        <v>39449.962231281381</v>
      </c>
      <c r="R1452">
        <f t="shared" ca="1" si="568"/>
        <v>4.0178129257556468E-12</v>
      </c>
      <c r="S1452">
        <f t="shared" ca="1" si="586"/>
        <v>4.999999946448952E-4</v>
      </c>
      <c r="T1452">
        <f t="shared" ca="1" si="587"/>
        <v>1</v>
      </c>
      <c r="U1452">
        <f t="shared" ca="1" si="569"/>
        <v>0.05</v>
      </c>
      <c r="V1452">
        <f t="shared" ca="1" si="570"/>
        <v>0.26</v>
      </c>
      <c r="W1452">
        <f t="shared" ca="1" si="571"/>
        <v>4.9056603773584909E-2</v>
      </c>
      <c r="X1452">
        <f t="shared" ca="1" si="572"/>
        <v>196.15384615384616</v>
      </c>
      <c r="Y1452">
        <f t="shared" ca="1" si="573"/>
        <v>631.9609999999999</v>
      </c>
      <c r="Z1452">
        <f t="shared" ca="1" si="574"/>
        <v>2593.0380316486621</v>
      </c>
      <c r="AA1452">
        <f t="shared" ca="1" si="575"/>
        <v>482.07306851378365</v>
      </c>
      <c r="AB1452">
        <f t="shared" ca="1" si="576"/>
        <v>482.75074928556023</v>
      </c>
      <c r="AC1452">
        <f t="shared" ca="1" si="577"/>
        <v>0</v>
      </c>
      <c r="AD1452">
        <f ca="1">IF(V32="Supercritical",L1452,U1452)</f>
        <v>0.05</v>
      </c>
      <c r="AE1452">
        <f t="shared" ca="1" si="578"/>
        <v>631.9609999999999</v>
      </c>
      <c r="AF1452">
        <f t="shared" ca="1" si="579"/>
        <v>2593.0380316486621</v>
      </c>
      <c r="AI1452">
        <v>0</v>
      </c>
      <c r="AJ1452">
        <v>0</v>
      </c>
      <c r="AK1452">
        <f t="shared" si="580"/>
        <v>0</v>
      </c>
      <c r="AL1452">
        <f t="shared" si="588"/>
        <v>0</v>
      </c>
      <c r="AM1452">
        <f t="shared" ca="1" si="581"/>
        <v>280.07692026646265</v>
      </c>
      <c r="AN1452" t="str">
        <f t="shared" ca="1" si="582"/>
        <v>Supercritical</v>
      </c>
      <c r="AO1452">
        <f ca="1">IF(V32="Supercritical",R1452,AA1452)</f>
        <v>482.07306851378365</v>
      </c>
    </row>
    <row r="1453" spans="1:41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174</v>
      </c>
      <c r="I1453">
        <v>0.06</v>
      </c>
      <c r="J1453">
        <f t="shared" si="583"/>
        <v>1.0010000000002037</v>
      </c>
      <c r="K1453">
        <f t="shared" si="584"/>
        <v>51</v>
      </c>
      <c r="L1453">
        <f t="shared" ca="1" si="585"/>
        <v>38818.051231278128</v>
      </c>
      <c r="M1453">
        <f t="shared" ca="1" si="563"/>
        <v>201853.86640264626</v>
      </c>
      <c r="N1453">
        <f t="shared" ca="1" si="564"/>
        <v>2.5998258658784543</v>
      </c>
      <c r="O1453">
        <f t="shared" ca="1" si="565"/>
        <v>2.5265802884482871E-4</v>
      </c>
      <c r="P1453">
        <f t="shared" ca="1" si="566"/>
        <v>39449.961731278127</v>
      </c>
      <c r="Q1453">
        <f t="shared" ca="1" si="567"/>
        <v>39449.961731281379</v>
      </c>
      <c r="R1453">
        <f t="shared" ca="1" si="568"/>
        <v>4.0178129257556468E-12</v>
      </c>
      <c r="S1453">
        <f t="shared" ca="1" si="586"/>
        <v>4.999999946448952E-4</v>
      </c>
      <c r="T1453">
        <f t="shared" ca="1" si="587"/>
        <v>1</v>
      </c>
      <c r="U1453">
        <f t="shared" ca="1" si="569"/>
        <v>0.05</v>
      </c>
      <c r="V1453">
        <f t="shared" ca="1" si="570"/>
        <v>0.26</v>
      </c>
      <c r="W1453">
        <f t="shared" ca="1" si="571"/>
        <v>4.9056603773584909E-2</v>
      </c>
      <c r="X1453">
        <f t="shared" ca="1" si="572"/>
        <v>196.15384615384616</v>
      </c>
      <c r="Y1453">
        <f t="shared" ca="1" si="573"/>
        <v>631.96049999999991</v>
      </c>
      <c r="Z1453">
        <f t="shared" ca="1" si="574"/>
        <v>2593.037531648662</v>
      </c>
      <c r="AA1453">
        <f t="shared" ca="1" si="575"/>
        <v>482.07306851378365</v>
      </c>
      <c r="AB1453">
        <f t="shared" ca="1" si="576"/>
        <v>482.25887083179032</v>
      </c>
      <c r="AC1453">
        <f t="shared" ca="1" si="577"/>
        <v>0</v>
      </c>
      <c r="AD1453">
        <f ca="1">IF(V32="Supercritical",L1453,U1453)</f>
        <v>0.05</v>
      </c>
      <c r="AE1453">
        <f t="shared" ca="1" si="578"/>
        <v>631.96049999999991</v>
      </c>
      <c r="AF1453">
        <f t="shared" ca="1" si="579"/>
        <v>2593.037531648662</v>
      </c>
      <c r="AI1453">
        <v>0</v>
      </c>
      <c r="AJ1453">
        <v>0</v>
      </c>
      <c r="AK1453">
        <f t="shared" si="580"/>
        <v>0</v>
      </c>
      <c r="AL1453">
        <f t="shared" si="588"/>
        <v>0</v>
      </c>
      <c r="AM1453">
        <f t="shared" ca="1" si="581"/>
        <v>280.07692026646265</v>
      </c>
      <c r="AN1453" t="str">
        <f t="shared" ca="1" si="582"/>
        <v>Supercritical</v>
      </c>
      <c r="AO1453">
        <f ca="1">IF(V32="Supercritical",R1453,AA1453)</f>
        <v>482.07306851378365</v>
      </c>
    </row>
    <row r="1454" spans="1:41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174</v>
      </c>
      <c r="I1454">
        <v>5.7000000000000002E-2</v>
      </c>
      <c r="J1454">
        <f t="shared" si="583"/>
        <v>1</v>
      </c>
      <c r="K1454">
        <f t="shared" si="584"/>
        <v>51</v>
      </c>
      <c r="L1454">
        <f t="shared" ca="1" si="585"/>
        <v>38818.051231278128</v>
      </c>
      <c r="M1454">
        <f t="shared" ca="1" si="563"/>
        <v>201853.86640264626</v>
      </c>
      <c r="N1454">
        <f t="shared" ca="1" si="564"/>
        <v>2.5998258658784543</v>
      </c>
      <c r="O1454">
        <f t="shared" ca="1" si="565"/>
        <v>2.5265802884482871E-4</v>
      </c>
      <c r="P1454">
        <f t="shared" ca="1" si="566"/>
        <v>39449.961231278132</v>
      </c>
      <c r="Q1454">
        <f t="shared" ca="1" si="567"/>
        <v>39449.961231281384</v>
      </c>
      <c r="R1454">
        <f t="shared" ca="1" si="568"/>
        <v>4.0178129257556468E-12</v>
      </c>
      <c r="S1454">
        <f t="shared" ca="1" si="586"/>
        <v>4.9999998736893758E-4</v>
      </c>
      <c r="T1454">
        <f t="shared" ca="1" si="587"/>
        <v>1</v>
      </c>
      <c r="U1454">
        <f t="shared" ca="1" si="569"/>
        <v>0.05</v>
      </c>
      <c r="V1454">
        <f t="shared" ca="1" si="570"/>
        <v>0.26</v>
      </c>
      <c r="W1454">
        <f t="shared" ca="1" si="571"/>
        <v>4.9056603773584909E-2</v>
      </c>
      <c r="X1454">
        <f t="shared" ca="1" si="572"/>
        <v>196.15384615384616</v>
      </c>
      <c r="Y1454">
        <f t="shared" ca="1" si="573"/>
        <v>631.95999999999992</v>
      </c>
      <c r="Z1454">
        <f t="shared" ca="1" si="574"/>
        <v>2593.0370316486619</v>
      </c>
      <c r="AA1454">
        <f t="shared" ca="1" si="575"/>
        <v>482.07306851378365</v>
      </c>
      <c r="AB1454">
        <f t="shared" ca="1" si="576"/>
        <v>482.07256851378406</v>
      </c>
      <c r="AC1454">
        <f t="shared" ca="1" si="577"/>
        <v>0</v>
      </c>
      <c r="AD1454">
        <f ca="1">IF(V32="Supercritical",L1454,U1454)</f>
        <v>0.05</v>
      </c>
      <c r="AE1454">
        <f t="shared" ca="1" si="578"/>
        <v>631.95999999999992</v>
      </c>
      <c r="AF1454">
        <f t="shared" ca="1" si="579"/>
        <v>2593.0370316486619</v>
      </c>
      <c r="AI1454">
        <v>0</v>
      </c>
      <c r="AJ1454">
        <v>0</v>
      </c>
      <c r="AK1454">
        <f t="shared" si="580"/>
        <v>0</v>
      </c>
      <c r="AL1454">
        <f t="shared" si="588"/>
        <v>0</v>
      </c>
      <c r="AM1454">
        <f t="shared" ca="1" si="581"/>
        <v>280.07692026646265</v>
      </c>
      <c r="AN1454" t="str">
        <f t="shared" ca="1" si="582"/>
        <v>Supercritical</v>
      </c>
      <c r="AO1454">
        <f ca="1">IF(V32="Supercritical",R1454,AA1454)</f>
        <v>482.07306851378365</v>
      </c>
    </row>
    <row r="1455" spans="1:41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174</v>
      </c>
      <c r="I1455">
        <v>0</v>
      </c>
      <c r="J1455">
        <f t="shared" si="583"/>
        <v>1</v>
      </c>
      <c r="K1455">
        <f t="shared" si="584"/>
        <v>51</v>
      </c>
      <c r="L1455">
        <f t="shared" ca="1" si="585"/>
        <v>38818.051231278128</v>
      </c>
      <c r="M1455">
        <f t="shared" ca="1" si="563"/>
        <v>201853.86640264626</v>
      </c>
      <c r="N1455">
        <f t="shared" ca="1" si="564"/>
        <v>2.5998258658784543</v>
      </c>
      <c r="O1455">
        <f t="shared" ca="1" si="565"/>
        <v>2.5265802884482871E-4</v>
      </c>
      <c r="P1455">
        <f t="shared" ca="1" si="566"/>
        <v>39449.96073127813</v>
      </c>
      <c r="Q1455">
        <f t="shared" ca="1" si="567"/>
        <v>39449.960731281382</v>
      </c>
      <c r="R1455">
        <f t="shared" ca="1" si="568"/>
        <v>4.0178129257556468E-12</v>
      </c>
      <c r="S1455">
        <f t="shared" ca="1" si="586"/>
        <v>4.999999946448952E-4</v>
      </c>
      <c r="T1455">
        <f t="shared" ca="1" si="587"/>
        <v>1</v>
      </c>
      <c r="U1455">
        <f t="shared" ca="1" si="569"/>
        <v>0.05</v>
      </c>
      <c r="V1455">
        <f t="shared" ca="1" si="570"/>
        <v>0.26</v>
      </c>
      <c r="W1455">
        <f t="shared" ca="1" si="571"/>
        <v>4.9056603773584909E-2</v>
      </c>
      <c r="X1455">
        <f t="shared" ca="1" si="572"/>
        <v>196.15384615384616</v>
      </c>
      <c r="Y1455">
        <f t="shared" ca="1" si="573"/>
        <v>631.95949999999993</v>
      </c>
      <c r="Z1455">
        <f t="shared" ca="1" si="574"/>
        <v>2593.0365316486623</v>
      </c>
      <c r="AA1455">
        <f t="shared" ca="1" si="575"/>
        <v>482.07306851378365</v>
      </c>
      <c r="AB1455">
        <f t="shared" ca="1" si="576"/>
        <v>481.77679776317837</v>
      </c>
      <c r="AC1455">
        <f t="shared" ca="1" si="577"/>
        <v>0</v>
      </c>
      <c r="AD1455">
        <f ca="1">IF(V32="Supercritical",L1455,U1455)</f>
        <v>0.05</v>
      </c>
      <c r="AE1455">
        <f t="shared" ca="1" si="578"/>
        <v>631.95949999999993</v>
      </c>
      <c r="AF1455">
        <f t="shared" ca="1" si="579"/>
        <v>2593.0365316486623</v>
      </c>
      <c r="AI1455">
        <v>0</v>
      </c>
      <c r="AJ1455">
        <v>0</v>
      </c>
      <c r="AK1455">
        <f t="shared" si="580"/>
        <v>0</v>
      </c>
      <c r="AL1455">
        <f t="shared" si="588"/>
        <v>0</v>
      </c>
      <c r="AM1455">
        <f t="shared" ca="1" si="581"/>
        <v>280.07692026646265</v>
      </c>
      <c r="AN1455" t="str">
        <f t="shared" ca="1" si="582"/>
        <v>Supercritical</v>
      </c>
      <c r="AO1455">
        <f ca="1">IF(V32="Supercritical",R1455,AA1455)</f>
        <v>482.07306851378365</v>
      </c>
    </row>
    <row r="1456" spans="1:41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174</v>
      </c>
      <c r="I1456">
        <v>5.7000000000000002E-2</v>
      </c>
      <c r="J1456">
        <f t="shared" si="583"/>
        <v>0.99899999999979627</v>
      </c>
      <c r="K1456">
        <f t="shared" si="584"/>
        <v>51</v>
      </c>
      <c r="L1456">
        <f t="shared" ca="1" si="585"/>
        <v>38818.051231278128</v>
      </c>
      <c r="M1456">
        <f t="shared" ca="1" si="563"/>
        <v>201853.86640264626</v>
      </c>
      <c r="N1456">
        <f t="shared" ca="1" si="564"/>
        <v>2.5998258658784543</v>
      </c>
      <c r="O1456">
        <f t="shared" ca="1" si="565"/>
        <v>2.5265802884482871E-4</v>
      </c>
      <c r="P1456">
        <f t="shared" ca="1" si="566"/>
        <v>39449.960231278128</v>
      </c>
      <c r="Q1456">
        <f t="shared" ca="1" si="567"/>
        <v>39449.96023128138</v>
      </c>
      <c r="R1456">
        <f t="shared" ca="1" si="568"/>
        <v>4.0178129257556468E-12</v>
      </c>
      <c r="S1456">
        <f t="shared" ca="1" si="586"/>
        <v>4.999999946448952E-4</v>
      </c>
      <c r="T1456">
        <f t="shared" ca="1" si="587"/>
        <v>1</v>
      </c>
      <c r="U1456">
        <f t="shared" ca="1" si="569"/>
        <v>0.05</v>
      </c>
      <c r="V1456">
        <f t="shared" ca="1" si="570"/>
        <v>0.26</v>
      </c>
      <c r="W1456">
        <f t="shared" ca="1" si="571"/>
        <v>4.9056603773584909E-2</v>
      </c>
      <c r="X1456">
        <f t="shared" ca="1" si="572"/>
        <v>196.15384615384616</v>
      </c>
      <c r="Y1456">
        <f t="shared" ca="1" si="573"/>
        <v>631.95899999999995</v>
      </c>
      <c r="Z1456">
        <f t="shared" ca="1" si="574"/>
        <v>2593.0360316486622</v>
      </c>
      <c r="AA1456">
        <f t="shared" ca="1" si="575"/>
        <v>482.07306851378365</v>
      </c>
      <c r="AB1456">
        <f t="shared" ca="1" si="576"/>
        <v>482.25887083179032</v>
      </c>
      <c r="AC1456">
        <f t="shared" ca="1" si="577"/>
        <v>0</v>
      </c>
      <c r="AD1456">
        <f ca="1">IF(V32="Supercritical",L1456,U1456)</f>
        <v>0.05</v>
      </c>
      <c r="AE1456">
        <f t="shared" ca="1" si="578"/>
        <v>631.95899999999995</v>
      </c>
      <c r="AF1456">
        <f t="shared" ca="1" si="579"/>
        <v>2593.0360316486622</v>
      </c>
      <c r="AI1456">
        <v>0</v>
      </c>
      <c r="AJ1456">
        <v>0</v>
      </c>
      <c r="AK1456">
        <f t="shared" si="580"/>
        <v>0</v>
      </c>
      <c r="AL1456">
        <f t="shared" si="588"/>
        <v>0</v>
      </c>
      <c r="AM1456">
        <f t="shared" ca="1" si="581"/>
        <v>280.07692026646265</v>
      </c>
      <c r="AN1456" t="str">
        <f t="shared" ca="1" si="582"/>
        <v>Supercritical</v>
      </c>
      <c r="AO1456">
        <f ca="1">IF(V32="Supercritical",R1456,AA1456)</f>
        <v>482.07306851378365</v>
      </c>
    </row>
    <row r="1457" spans="1:41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174</v>
      </c>
      <c r="I1457">
        <v>5.7000000000000002E-2</v>
      </c>
      <c r="J1457">
        <f t="shared" si="583"/>
        <v>1</v>
      </c>
      <c r="K1457">
        <f t="shared" si="584"/>
        <v>51</v>
      </c>
      <c r="L1457">
        <f t="shared" ca="1" si="585"/>
        <v>38818.051231278128</v>
      </c>
      <c r="M1457">
        <f t="shared" ca="1" si="563"/>
        <v>201853.86640264626</v>
      </c>
      <c r="N1457">
        <f t="shared" ca="1" si="564"/>
        <v>2.5998258658784543</v>
      </c>
      <c r="O1457">
        <f t="shared" ca="1" si="565"/>
        <v>2.5265802884482871E-4</v>
      </c>
      <c r="P1457">
        <f t="shared" ca="1" si="566"/>
        <v>39449.959731278126</v>
      </c>
      <c r="Q1457">
        <f t="shared" ca="1" si="567"/>
        <v>39449.959731281378</v>
      </c>
      <c r="R1457">
        <f t="shared" ca="1" si="568"/>
        <v>4.0178129257556468E-12</v>
      </c>
      <c r="S1457">
        <f t="shared" ca="1" si="586"/>
        <v>4.999999946448952E-4</v>
      </c>
      <c r="T1457">
        <f t="shared" ca="1" si="587"/>
        <v>1</v>
      </c>
      <c r="U1457">
        <f t="shared" ca="1" si="569"/>
        <v>0.05</v>
      </c>
      <c r="V1457">
        <f t="shared" ca="1" si="570"/>
        <v>0.26</v>
      </c>
      <c r="W1457">
        <f t="shared" ca="1" si="571"/>
        <v>4.9056603773584909E-2</v>
      </c>
      <c r="X1457">
        <f t="shared" ca="1" si="572"/>
        <v>196.15384615384616</v>
      </c>
      <c r="Y1457">
        <f t="shared" ca="1" si="573"/>
        <v>631.95849999999996</v>
      </c>
      <c r="Z1457">
        <f t="shared" ca="1" si="574"/>
        <v>2593.0355316486621</v>
      </c>
      <c r="AA1457">
        <f t="shared" ca="1" si="575"/>
        <v>482.07306851378365</v>
      </c>
      <c r="AB1457">
        <f t="shared" ca="1" si="576"/>
        <v>482.07256851378361</v>
      </c>
      <c r="AC1457">
        <f t="shared" ca="1" si="577"/>
        <v>0</v>
      </c>
      <c r="AD1457">
        <f ca="1">IF(V32="Supercritical",L1457,U1457)</f>
        <v>0.05</v>
      </c>
      <c r="AE1457">
        <f t="shared" ca="1" si="578"/>
        <v>631.95849999999996</v>
      </c>
      <c r="AF1457">
        <f t="shared" ca="1" si="579"/>
        <v>2593.0355316486621</v>
      </c>
      <c r="AI1457">
        <v>0</v>
      </c>
      <c r="AJ1457">
        <v>0</v>
      </c>
      <c r="AK1457">
        <f t="shared" si="580"/>
        <v>0</v>
      </c>
      <c r="AL1457">
        <f t="shared" si="588"/>
        <v>0</v>
      </c>
      <c r="AM1457">
        <f t="shared" ca="1" si="581"/>
        <v>280.07692026646265</v>
      </c>
      <c r="AN1457" t="str">
        <f t="shared" ca="1" si="582"/>
        <v>Supercritical</v>
      </c>
      <c r="AO1457">
        <f ca="1">IF(V32="Supercritical",R1457,AA1457)</f>
        <v>482.07306851378365</v>
      </c>
    </row>
    <row r="1458" spans="1:41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174</v>
      </c>
      <c r="I1458">
        <v>0</v>
      </c>
      <c r="J1458">
        <f t="shared" si="583"/>
        <v>1</v>
      </c>
      <c r="K1458">
        <f t="shared" si="584"/>
        <v>51</v>
      </c>
      <c r="L1458">
        <f t="shared" ca="1" si="585"/>
        <v>38818.051231278128</v>
      </c>
      <c r="M1458">
        <f t="shared" ca="1" si="563"/>
        <v>201853.86640264626</v>
      </c>
      <c r="N1458">
        <f t="shared" ca="1" si="564"/>
        <v>2.5998258658784543</v>
      </c>
      <c r="O1458">
        <f t="shared" ca="1" si="565"/>
        <v>2.5265802884482871E-4</v>
      </c>
      <c r="P1458">
        <f t="shared" ca="1" si="566"/>
        <v>39449.959231278131</v>
      </c>
      <c r="Q1458">
        <f t="shared" ca="1" si="567"/>
        <v>39449.959231281384</v>
      </c>
      <c r="R1458">
        <f t="shared" ca="1" si="568"/>
        <v>4.0178129257556468E-12</v>
      </c>
      <c r="S1458">
        <f t="shared" ca="1" si="586"/>
        <v>4.9999998736893758E-4</v>
      </c>
      <c r="T1458">
        <f t="shared" ca="1" si="587"/>
        <v>1</v>
      </c>
      <c r="U1458">
        <f t="shared" ca="1" si="569"/>
        <v>0.05</v>
      </c>
      <c r="V1458">
        <f t="shared" ca="1" si="570"/>
        <v>0.26</v>
      </c>
      <c r="W1458">
        <f t="shared" ca="1" si="571"/>
        <v>4.9056603773584909E-2</v>
      </c>
      <c r="X1458">
        <f t="shared" ca="1" si="572"/>
        <v>196.15384615384616</v>
      </c>
      <c r="Y1458">
        <f t="shared" ca="1" si="573"/>
        <v>631.95799999999997</v>
      </c>
      <c r="Z1458">
        <f t="shared" ca="1" si="574"/>
        <v>2593.035031648662</v>
      </c>
      <c r="AA1458">
        <f t="shared" ca="1" si="575"/>
        <v>482.07306851378365</v>
      </c>
      <c r="AB1458">
        <f t="shared" ca="1" si="576"/>
        <v>482.07256851378361</v>
      </c>
      <c r="AC1458">
        <f t="shared" ca="1" si="577"/>
        <v>0</v>
      </c>
      <c r="AD1458">
        <f ca="1">IF(V32="Supercritical",L1458,U1458)</f>
        <v>0.05</v>
      </c>
      <c r="AE1458">
        <f t="shared" ca="1" si="578"/>
        <v>631.95799999999997</v>
      </c>
      <c r="AF1458">
        <f t="shared" ca="1" si="579"/>
        <v>2593.035031648662</v>
      </c>
      <c r="AI1458">
        <v>0</v>
      </c>
      <c r="AJ1458">
        <v>0</v>
      </c>
      <c r="AK1458">
        <f t="shared" si="580"/>
        <v>0</v>
      </c>
      <c r="AL1458">
        <f t="shared" si="588"/>
        <v>0</v>
      </c>
      <c r="AM1458">
        <f t="shared" ca="1" si="581"/>
        <v>280.07692026646265</v>
      </c>
      <c r="AN1458" t="str">
        <f t="shared" ca="1" si="582"/>
        <v>Supercritical</v>
      </c>
      <c r="AO1458">
        <f ca="1">IF(V32="Supercritical",R1458,AA1458)</f>
        <v>482.07306851378365</v>
      </c>
    </row>
    <row r="1459" spans="1:41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174</v>
      </c>
      <c r="I1459">
        <v>0</v>
      </c>
      <c r="J1459">
        <f t="shared" si="583"/>
        <v>1</v>
      </c>
      <c r="K1459">
        <f t="shared" si="584"/>
        <v>51</v>
      </c>
      <c r="L1459">
        <f t="shared" ca="1" si="585"/>
        <v>38818.051231278128</v>
      </c>
      <c r="M1459">
        <f t="shared" ca="1" si="563"/>
        <v>201853.86640264626</v>
      </c>
      <c r="N1459">
        <f t="shared" ca="1" si="564"/>
        <v>2.5998258658784543</v>
      </c>
      <c r="O1459">
        <f t="shared" ca="1" si="565"/>
        <v>2.5265802884482871E-4</v>
      </c>
      <c r="P1459">
        <f t="shared" ca="1" si="566"/>
        <v>39449.95873127813</v>
      </c>
      <c r="Q1459">
        <f t="shared" ca="1" si="567"/>
        <v>39449.958731281382</v>
      </c>
      <c r="R1459">
        <f t="shared" ca="1" si="568"/>
        <v>4.0178129257556468E-12</v>
      </c>
      <c r="S1459">
        <f t="shared" ca="1" si="586"/>
        <v>4.999999946448952E-4</v>
      </c>
      <c r="T1459">
        <f t="shared" ca="1" si="587"/>
        <v>1</v>
      </c>
      <c r="U1459">
        <f t="shared" ca="1" si="569"/>
        <v>0.05</v>
      </c>
      <c r="V1459">
        <f t="shared" ca="1" si="570"/>
        <v>0.26</v>
      </c>
      <c r="W1459">
        <f t="shared" ca="1" si="571"/>
        <v>4.9056603773584909E-2</v>
      </c>
      <c r="X1459">
        <f t="shared" ca="1" si="572"/>
        <v>196.15384615384616</v>
      </c>
      <c r="Y1459">
        <f t="shared" ca="1" si="573"/>
        <v>631.95749999999998</v>
      </c>
      <c r="Z1459">
        <f t="shared" ca="1" si="574"/>
        <v>2593.0345316486619</v>
      </c>
      <c r="AA1459">
        <f t="shared" ca="1" si="575"/>
        <v>482.07306851378365</v>
      </c>
      <c r="AB1459">
        <f t="shared" ca="1" si="576"/>
        <v>482.25887083179077</v>
      </c>
      <c r="AC1459">
        <f t="shared" ca="1" si="577"/>
        <v>0</v>
      </c>
      <c r="AD1459">
        <f ca="1">IF(V32="Supercritical",L1459,U1459)</f>
        <v>0.05</v>
      </c>
      <c r="AE1459">
        <f t="shared" ca="1" si="578"/>
        <v>631.95749999999998</v>
      </c>
      <c r="AF1459">
        <f t="shared" ca="1" si="579"/>
        <v>2593.0345316486619</v>
      </c>
      <c r="AI1459">
        <v>0</v>
      </c>
      <c r="AJ1459">
        <v>0</v>
      </c>
      <c r="AK1459">
        <f t="shared" si="580"/>
        <v>0</v>
      </c>
      <c r="AL1459">
        <f t="shared" si="588"/>
        <v>0</v>
      </c>
      <c r="AM1459">
        <f t="shared" ca="1" si="581"/>
        <v>280.07692026646265</v>
      </c>
      <c r="AN1459" t="str">
        <f t="shared" ca="1" si="582"/>
        <v>Supercritical</v>
      </c>
      <c r="AO1459">
        <f ca="1">IF(V32="Supercritical",R1459,AA1459)</f>
        <v>482.07306851378365</v>
      </c>
    </row>
    <row r="1460" spans="1:41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174</v>
      </c>
      <c r="I1460">
        <v>5.7000000000000002E-2</v>
      </c>
      <c r="J1460">
        <f t="shared" si="583"/>
        <v>1</v>
      </c>
      <c r="K1460">
        <f t="shared" si="584"/>
        <v>51</v>
      </c>
      <c r="L1460">
        <f t="shared" ca="1" si="585"/>
        <v>38818.051231278128</v>
      </c>
      <c r="M1460">
        <f t="shared" ca="1" si="563"/>
        <v>201853.86640264626</v>
      </c>
      <c r="N1460">
        <f t="shared" ca="1" si="564"/>
        <v>2.5998258658784543</v>
      </c>
      <c r="O1460">
        <f t="shared" ca="1" si="565"/>
        <v>2.5265802884482871E-4</v>
      </c>
      <c r="P1460">
        <f t="shared" ca="1" si="566"/>
        <v>39449.958231278128</v>
      </c>
      <c r="Q1460">
        <f t="shared" ca="1" si="567"/>
        <v>39449.95823128138</v>
      </c>
      <c r="R1460">
        <f t="shared" ca="1" si="568"/>
        <v>4.0178129257556468E-12</v>
      </c>
      <c r="S1460">
        <f t="shared" ca="1" si="586"/>
        <v>4.999999946448952E-4</v>
      </c>
      <c r="T1460">
        <f t="shared" ca="1" si="587"/>
        <v>1</v>
      </c>
      <c r="U1460">
        <f t="shared" ca="1" si="569"/>
        <v>0.05</v>
      </c>
      <c r="V1460">
        <f t="shared" ca="1" si="570"/>
        <v>0.26</v>
      </c>
      <c r="W1460">
        <f t="shared" ca="1" si="571"/>
        <v>4.9056603773584909E-2</v>
      </c>
      <c r="X1460">
        <f t="shared" ca="1" si="572"/>
        <v>196.15384615384616</v>
      </c>
      <c r="Y1460">
        <f t="shared" ca="1" si="573"/>
        <v>631.95699999999999</v>
      </c>
      <c r="Z1460">
        <f t="shared" ca="1" si="574"/>
        <v>2593.0340316486622</v>
      </c>
      <c r="AA1460">
        <f t="shared" ca="1" si="575"/>
        <v>482.07306851378365</v>
      </c>
      <c r="AB1460">
        <f t="shared" ca="1" si="576"/>
        <v>482.26867621694828</v>
      </c>
      <c r="AC1460">
        <f t="shared" ca="1" si="577"/>
        <v>0</v>
      </c>
      <c r="AD1460">
        <f ca="1">IF(V32="Supercritical",L1460,U1460)</f>
        <v>0.05</v>
      </c>
      <c r="AE1460">
        <f t="shared" ca="1" si="578"/>
        <v>631.95699999999999</v>
      </c>
      <c r="AF1460">
        <f t="shared" ca="1" si="579"/>
        <v>2593.0340316486622</v>
      </c>
      <c r="AI1460">
        <v>0</v>
      </c>
      <c r="AJ1460">
        <v>0</v>
      </c>
      <c r="AK1460">
        <f t="shared" si="580"/>
        <v>0</v>
      </c>
      <c r="AL1460">
        <f t="shared" si="588"/>
        <v>0</v>
      </c>
      <c r="AM1460">
        <f t="shared" ca="1" si="581"/>
        <v>280.07692026646265</v>
      </c>
      <c r="AN1460" t="str">
        <f t="shared" ca="1" si="582"/>
        <v>Supercritical</v>
      </c>
      <c r="AO1460">
        <f ca="1">IF(V32="Supercritical",R1460,AA1460)</f>
        <v>482.07306851378365</v>
      </c>
    </row>
    <row r="1461" spans="1:41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174</v>
      </c>
      <c r="I1461">
        <v>0.06</v>
      </c>
      <c r="J1461">
        <f t="shared" si="583"/>
        <v>1</v>
      </c>
      <c r="K1461">
        <f t="shared" si="584"/>
        <v>51</v>
      </c>
      <c r="L1461">
        <f t="shared" ca="1" si="585"/>
        <v>38818.051231278128</v>
      </c>
      <c r="M1461">
        <f t="shared" ca="1" si="563"/>
        <v>201853.86640264626</v>
      </c>
      <c r="N1461">
        <f t="shared" ca="1" si="564"/>
        <v>2.5998258658784543</v>
      </c>
      <c r="O1461">
        <f t="shared" ca="1" si="565"/>
        <v>2.5265802884482871E-4</v>
      </c>
      <c r="P1461">
        <f t="shared" ca="1" si="566"/>
        <v>39449.957731278126</v>
      </c>
      <c r="Q1461">
        <f t="shared" ca="1" si="567"/>
        <v>39449.957731281378</v>
      </c>
      <c r="R1461">
        <f t="shared" ca="1" si="568"/>
        <v>4.0178129257556468E-12</v>
      </c>
      <c r="S1461">
        <f t="shared" ca="1" si="586"/>
        <v>4.999999946448952E-4</v>
      </c>
      <c r="T1461">
        <f t="shared" ca="1" si="587"/>
        <v>1</v>
      </c>
      <c r="U1461">
        <f t="shared" ca="1" si="569"/>
        <v>0.05</v>
      </c>
      <c r="V1461">
        <f t="shared" ca="1" si="570"/>
        <v>0.26</v>
      </c>
      <c r="W1461">
        <f t="shared" ca="1" si="571"/>
        <v>4.9056603773584909E-2</v>
      </c>
      <c r="X1461">
        <f t="shared" ca="1" si="572"/>
        <v>196.15384615384616</v>
      </c>
      <c r="Y1461">
        <f t="shared" ca="1" si="573"/>
        <v>631.95650000000001</v>
      </c>
      <c r="Z1461">
        <f t="shared" ca="1" si="574"/>
        <v>2593.0335316486621</v>
      </c>
      <c r="AA1461">
        <f t="shared" ca="1" si="575"/>
        <v>482.07306851378365</v>
      </c>
      <c r="AB1461">
        <f t="shared" ca="1" si="576"/>
        <v>482.5611785058345</v>
      </c>
      <c r="AC1461">
        <f t="shared" ca="1" si="577"/>
        <v>0</v>
      </c>
      <c r="AD1461">
        <f ca="1">IF(V32="Supercritical",L1461,U1461)</f>
        <v>0.05</v>
      </c>
      <c r="AE1461">
        <f t="shared" ca="1" si="578"/>
        <v>631.95650000000001</v>
      </c>
      <c r="AF1461">
        <f t="shared" ca="1" si="579"/>
        <v>2593.0335316486621</v>
      </c>
      <c r="AI1461">
        <v>0</v>
      </c>
      <c r="AJ1461">
        <v>0</v>
      </c>
      <c r="AK1461">
        <f t="shared" si="580"/>
        <v>0</v>
      </c>
      <c r="AL1461">
        <f t="shared" si="588"/>
        <v>0</v>
      </c>
      <c r="AM1461">
        <f t="shared" ca="1" si="581"/>
        <v>280.07692026646265</v>
      </c>
      <c r="AN1461" t="str">
        <f t="shared" ca="1" si="582"/>
        <v>Supercritical</v>
      </c>
      <c r="AO1461">
        <f ca="1">IF(V32="Supercritical",R1461,AA1461)</f>
        <v>482.07306851378365</v>
      </c>
    </row>
    <row r="1462" spans="1:41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174</v>
      </c>
      <c r="I1462">
        <v>2E-3</v>
      </c>
      <c r="J1462">
        <f t="shared" si="583"/>
        <v>1.0010000000002037</v>
      </c>
      <c r="K1462">
        <f t="shared" si="584"/>
        <v>51</v>
      </c>
      <c r="L1462">
        <f t="shared" ca="1" si="585"/>
        <v>38818.051231278128</v>
      </c>
      <c r="M1462">
        <f t="shared" ca="1" si="563"/>
        <v>201853.86640264626</v>
      </c>
      <c r="N1462">
        <f t="shared" ca="1" si="564"/>
        <v>2.5998258658784543</v>
      </c>
      <c r="O1462">
        <f t="shared" ca="1" si="565"/>
        <v>2.5265802884482871E-4</v>
      </c>
      <c r="P1462">
        <f t="shared" ca="1" si="566"/>
        <v>39449.957231278131</v>
      </c>
      <c r="Q1462">
        <f t="shared" ca="1" si="567"/>
        <v>39449.957231281383</v>
      </c>
      <c r="R1462">
        <f t="shared" ca="1" si="568"/>
        <v>4.0178129257556468E-12</v>
      </c>
      <c r="S1462">
        <f t="shared" ca="1" si="586"/>
        <v>4.9999998736893758E-4</v>
      </c>
      <c r="T1462">
        <f t="shared" ca="1" si="587"/>
        <v>1</v>
      </c>
      <c r="U1462">
        <f t="shared" ca="1" si="569"/>
        <v>0.05</v>
      </c>
      <c r="V1462">
        <f t="shared" ca="1" si="570"/>
        <v>0.26</v>
      </c>
      <c r="W1462">
        <f t="shared" ca="1" si="571"/>
        <v>4.9056603773584909E-2</v>
      </c>
      <c r="X1462">
        <f t="shared" ca="1" si="572"/>
        <v>196.15384615384616</v>
      </c>
      <c r="Y1462">
        <f t="shared" ca="1" si="573"/>
        <v>631.9559999999999</v>
      </c>
      <c r="Z1462">
        <f t="shared" ca="1" si="574"/>
        <v>2593.033031648662</v>
      </c>
      <c r="AA1462">
        <f t="shared" ca="1" si="575"/>
        <v>482.07306851378365</v>
      </c>
      <c r="AB1462">
        <f t="shared" ca="1" si="576"/>
        <v>482.07256851378361</v>
      </c>
      <c r="AC1462">
        <f t="shared" ca="1" si="577"/>
        <v>0</v>
      </c>
      <c r="AD1462">
        <f ca="1">IF(V32="Supercritical",L1462,U1462)</f>
        <v>0.05</v>
      </c>
      <c r="AE1462">
        <f t="shared" ca="1" si="578"/>
        <v>631.9559999999999</v>
      </c>
      <c r="AF1462">
        <f t="shared" ca="1" si="579"/>
        <v>2593.033031648662</v>
      </c>
      <c r="AI1462">
        <v>0</v>
      </c>
      <c r="AJ1462">
        <v>0</v>
      </c>
      <c r="AK1462">
        <f t="shared" si="580"/>
        <v>0</v>
      </c>
      <c r="AL1462">
        <f t="shared" si="588"/>
        <v>0</v>
      </c>
      <c r="AM1462">
        <f t="shared" ca="1" si="581"/>
        <v>280.07692026646265</v>
      </c>
      <c r="AN1462" t="str">
        <f t="shared" ca="1" si="582"/>
        <v>Supercritical</v>
      </c>
      <c r="AO1462">
        <f ca="1">IF(V32="Supercritical",R1462,AA1462)</f>
        <v>482.07306851378365</v>
      </c>
    </row>
    <row r="1463" spans="1:41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174</v>
      </c>
      <c r="I1463">
        <v>0</v>
      </c>
      <c r="J1463">
        <f t="shared" si="583"/>
        <v>1</v>
      </c>
      <c r="K1463">
        <f t="shared" si="584"/>
        <v>51</v>
      </c>
      <c r="L1463">
        <f t="shared" ca="1" si="585"/>
        <v>38818.051231278128</v>
      </c>
      <c r="M1463">
        <f t="shared" ca="1" si="563"/>
        <v>201853.86640264626</v>
      </c>
      <c r="N1463">
        <f t="shared" ca="1" si="564"/>
        <v>2.5998258658784543</v>
      </c>
      <c r="O1463">
        <f t="shared" ca="1" si="565"/>
        <v>2.5265802884482871E-4</v>
      </c>
      <c r="P1463">
        <f t="shared" ca="1" si="566"/>
        <v>39449.956731278129</v>
      </c>
      <c r="Q1463">
        <f t="shared" ca="1" si="567"/>
        <v>39449.956731281382</v>
      </c>
      <c r="R1463">
        <f t="shared" ca="1" si="568"/>
        <v>4.0178129257556468E-12</v>
      </c>
      <c r="S1463">
        <f t="shared" ca="1" si="586"/>
        <v>4.999999946448952E-4</v>
      </c>
      <c r="T1463">
        <f t="shared" ca="1" si="587"/>
        <v>1</v>
      </c>
      <c r="U1463">
        <f t="shared" ca="1" si="569"/>
        <v>0.05</v>
      </c>
      <c r="V1463">
        <f t="shared" ca="1" si="570"/>
        <v>0.26</v>
      </c>
      <c r="W1463">
        <f t="shared" ca="1" si="571"/>
        <v>4.9056603773584909E-2</v>
      </c>
      <c r="X1463">
        <f t="shared" ca="1" si="572"/>
        <v>196.15384615384616</v>
      </c>
      <c r="Y1463">
        <f t="shared" ca="1" si="573"/>
        <v>631.95549999999992</v>
      </c>
      <c r="Z1463">
        <f t="shared" ca="1" si="574"/>
        <v>2593.0325316486619</v>
      </c>
      <c r="AA1463">
        <f t="shared" ca="1" si="575"/>
        <v>482.07306851378365</v>
      </c>
      <c r="AB1463">
        <f t="shared" ca="1" si="576"/>
        <v>482.25887083179077</v>
      </c>
      <c r="AC1463">
        <f t="shared" ca="1" si="577"/>
        <v>0</v>
      </c>
      <c r="AD1463">
        <f ca="1">IF(V32="Supercritical",L1463,U1463)</f>
        <v>0.05</v>
      </c>
      <c r="AE1463">
        <f t="shared" ca="1" si="578"/>
        <v>631.95549999999992</v>
      </c>
      <c r="AF1463">
        <f t="shared" ca="1" si="579"/>
        <v>2593.0325316486619</v>
      </c>
      <c r="AI1463">
        <v>0</v>
      </c>
      <c r="AJ1463">
        <v>0</v>
      </c>
      <c r="AK1463">
        <f t="shared" si="580"/>
        <v>0</v>
      </c>
      <c r="AL1463">
        <f t="shared" si="588"/>
        <v>0</v>
      </c>
      <c r="AM1463">
        <f t="shared" ca="1" si="581"/>
        <v>280.07692026646265</v>
      </c>
      <c r="AN1463" t="str">
        <f t="shared" ca="1" si="582"/>
        <v>Supercritical</v>
      </c>
      <c r="AO1463">
        <f ca="1">IF(V32="Supercritical",R1463,AA1463)</f>
        <v>482.07306851378365</v>
      </c>
    </row>
    <row r="1464" spans="1:41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174</v>
      </c>
      <c r="I1464">
        <v>5.7000000000000002E-2</v>
      </c>
      <c r="J1464">
        <f t="shared" si="583"/>
        <v>1</v>
      </c>
      <c r="K1464">
        <f t="shared" si="584"/>
        <v>51</v>
      </c>
      <c r="L1464">
        <f t="shared" ca="1" si="585"/>
        <v>38818.051231278128</v>
      </c>
      <c r="M1464">
        <f t="shared" ca="1" si="563"/>
        <v>201853.86640264626</v>
      </c>
      <c r="N1464">
        <f t="shared" ca="1" si="564"/>
        <v>2.5998258658784543</v>
      </c>
      <c r="O1464">
        <f t="shared" ca="1" si="565"/>
        <v>2.5265802884482871E-4</v>
      </c>
      <c r="P1464">
        <f t="shared" ca="1" si="566"/>
        <v>39449.956231278127</v>
      </c>
      <c r="Q1464">
        <f t="shared" ca="1" si="567"/>
        <v>39449.95623128138</v>
      </c>
      <c r="R1464">
        <f t="shared" ca="1" si="568"/>
        <v>4.0178129257556468E-12</v>
      </c>
      <c r="S1464">
        <f t="shared" ca="1" si="586"/>
        <v>4.999999946448952E-4</v>
      </c>
      <c r="T1464">
        <f t="shared" ca="1" si="587"/>
        <v>1</v>
      </c>
      <c r="U1464">
        <f t="shared" ca="1" si="569"/>
        <v>0.05</v>
      </c>
      <c r="V1464">
        <f t="shared" ca="1" si="570"/>
        <v>0.26</v>
      </c>
      <c r="W1464">
        <f t="shared" ca="1" si="571"/>
        <v>4.9056603773584909E-2</v>
      </c>
      <c r="X1464">
        <f t="shared" ca="1" si="572"/>
        <v>196.15384615384616</v>
      </c>
      <c r="Y1464">
        <f t="shared" ca="1" si="573"/>
        <v>631.95499999999993</v>
      </c>
      <c r="Z1464">
        <f t="shared" ca="1" si="574"/>
        <v>2593.0320316486623</v>
      </c>
      <c r="AA1464">
        <f t="shared" ca="1" si="575"/>
        <v>482.07306851378365</v>
      </c>
      <c r="AB1464">
        <f t="shared" ca="1" si="576"/>
        <v>481.77679776317837</v>
      </c>
      <c r="AC1464">
        <f t="shared" ca="1" si="577"/>
        <v>0</v>
      </c>
      <c r="AD1464">
        <f ca="1">IF(V32="Supercritical",L1464,U1464)</f>
        <v>0.05</v>
      </c>
      <c r="AE1464">
        <f t="shared" ca="1" si="578"/>
        <v>631.95499999999993</v>
      </c>
      <c r="AF1464">
        <f t="shared" ca="1" si="579"/>
        <v>2593.0320316486623</v>
      </c>
      <c r="AI1464">
        <v>0</v>
      </c>
      <c r="AJ1464">
        <v>0</v>
      </c>
      <c r="AK1464">
        <f t="shared" si="580"/>
        <v>0</v>
      </c>
      <c r="AL1464">
        <f t="shared" si="588"/>
        <v>0</v>
      </c>
      <c r="AM1464">
        <f t="shared" ca="1" si="581"/>
        <v>280.07692026646265</v>
      </c>
      <c r="AN1464" t="str">
        <f t="shared" ca="1" si="582"/>
        <v>Supercritical</v>
      </c>
      <c r="AO1464">
        <f ca="1">IF(V32="Supercritical",R1464,AA1464)</f>
        <v>482.07306851378365</v>
      </c>
    </row>
    <row r="1465" spans="1:41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174</v>
      </c>
      <c r="I1465">
        <v>5.7000000000000002E-2</v>
      </c>
      <c r="J1465">
        <f t="shared" si="583"/>
        <v>0.99899999999979627</v>
      </c>
      <c r="K1465">
        <f t="shared" si="584"/>
        <v>51</v>
      </c>
      <c r="L1465">
        <f t="shared" ca="1" si="585"/>
        <v>38818.051231278128</v>
      </c>
      <c r="M1465">
        <f t="shared" ca="1" si="563"/>
        <v>201853.86640264626</v>
      </c>
      <c r="N1465">
        <f t="shared" ca="1" si="564"/>
        <v>2.5998258658784543</v>
      </c>
      <c r="O1465">
        <f t="shared" ca="1" si="565"/>
        <v>2.5265802884482871E-4</v>
      </c>
      <c r="P1465">
        <f t="shared" ca="1" si="566"/>
        <v>39449.955731278125</v>
      </c>
      <c r="Q1465">
        <f t="shared" ca="1" si="567"/>
        <v>39449.955731281378</v>
      </c>
      <c r="R1465">
        <f t="shared" ca="1" si="568"/>
        <v>4.0178129257556468E-12</v>
      </c>
      <c r="S1465">
        <f t="shared" ca="1" si="586"/>
        <v>4.999999946448952E-4</v>
      </c>
      <c r="T1465">
        <f t="shared" ca="1" si="587"/>
        <v>1</v>
      </c>
      <c r="U1465">
        <f t="shared" ca="1" si="569"/>
        <v>0.05</v>
      </c>
      <c r="V1465">
        <f t="shared" ca="1" si="570"/>
        <v>0.26</v>
      </c>
      <c r="W1465">
        <f t="shared" ca="1" si="571"/>
        <v>4.9056603773584909E-2</v>
      </c>
      <c r="X1465">
        <f t="shared" ca="1" si="572"/>
        <v>196.15384615384616</v>
      </c>
      <c r="Y1465">
        <f t="shared" ca="1" si="573"/>
        <v>631.95449999999994</v>
      </c>
      <c r="Z1465">
        <f t="shared" ca="1" si="574"/>
        <v>2593.0315316486622</v>
      </c>
      <c r="AA1465">
        <f t="shared" ca="1" si="575"/>
        <v>482.07306851378365</v>
      </c>
      <c r="AB1465">
        <f t="shared" ca="1" si="576"/>
        <v>482.07256851378361</v>
      </c>
      <c r="AC1465">
        <f t="shared" ca="1" si="577"/>
        <v>0</v>
      </c>
      <c r="AD1465">
        <f ca="1">IF(V32="Supercritical",L1465,U1465)</f>
        <v>0.05</v>
      </c>
      <c r="AE1465">
        <f t="shared" ca="1" si="578"/>
        <v>631.95449999999994</v>
      </c>
      <c r="AF1465">
        <f t="shared" ca="1" si="579"/>
        <v>2593.0315316486622</v>
      </c>
      <c r="AI1465">
        <v>0</v>
      </c>
      <c r="AJ1465">
        <v>0</v>
      </c>
      <c r="AK1465">
        <f t="shared" si="580"/>
        <v>0</v>
      </c>
      <c r="AL1465">
        <f t="shared" si="588"/>
        <v>0</v>
      </c>
      <c r="AM1465">
        <f t="shared" ca="1" si="581"/>
        <v>280.07692026646265</v>
      </c>
      <c r="AN1465" t="str">
        <f t="shared" ca="1" si="582"/>
        <v>Supercritical</v>
      </c>
      <c r="AO1465">
        <f ca="1">IF(V32="Supercritical",R1465,AA1465)</f>
        <v>482.07306851378365</v>
      </c>
    </row>
    <row r="1466" spans="1:41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174</v>
      </c>
      <c r="I1466">
        <v>0</v>
      </c>
      <c r="J1466">
        <f t="shared" si="583"/>
        <v>1</v>
      </c>
      <c r="K1466">
        <f t="shared" si="584"/>
        <v>51</v>
      </c>
      <c r="L1466">
        <f t="shared" ca="1" si="585"/>
        <v>38818.051231278128</v>
      </c>
      <c r="M1466">
        <f t="shared" ca="1" si="563"/>
        <v>201853.86640264626</v>
      </c>
      <c r="N1466">
        <f t="shared" ca="1" si="564"/>
        <v>2.5998258658784543</v>
      </c>
      <c r="O1466">
        <f t="shared" ca="1" si="565"/>
        <v>2.5265802884482871E-4</v>
      </c>
      <c r="P1466">
        <f t="shared" ca="1" si="566"/>
        <v>39449.955231278131</v>
      </c>
      <c r="Q1466">
        <f t="shared" ca="1" si="567"/>
        <v>39449.955231281383</v>
      </c>
      <c r="R1466">
        <f t="shared" ca="1" si="568"/>
        <v>4.0178129257556468E-12</v>
      </c>
      <c r="S1466">
        <f t="shared" ca="1" si="586"/>
        <v>4.9999998736893758E-4</v>
      </c>
      <c r="T1466">
        <f t="shared" ca="1" si="587"/>
        <v>1</v>
      </c>
      <c r="U1466">
        <f t="shared" ca="1" si="569"/>
        <v>0.05</v>
      </c>
      <c r="V1466">
        <f t="shared" ca="1" si="570"/>
        <v>0.26</v>
      </c>
      <c r="W1466">
        <f t="shared" ca="1" si="571"/>
        <v>4.9056603773584909E-2</v>
      </c>
      <c r="X1466">
        <f t="shared" ca="1" si="572"/>
        <v>196.15384615384616</v>
      </c>
      <c r="Y1466">
        <f t="shared" ca="1" si="573"/>
        <v>631.95399999999995</v>
      </c>
      <c r="Z1466">
        <f t="shared" ca="1" si="574"/>
        <v>2593.0310316486621</v>
      </c>
      <c r="AA1466">
        <f t="shared" ca="1" si="575"/>
        <v>482.07306851378365</v>
      </c>
      <c r="AB1466">
        <f t="shared" ca="1" si="576"/>
        <v>482.07256851378361</v>
      </c>
      <c r="AC1466">
        <f t="shared" ca="1" si="577"/>
        <v>0</v>
      </c>
      <c r="AD1466">
        <f ca="1">IF(V32="Supercritical",L1466,U1466)</f>
        <v>0.05</v>
      </c>
      <c r="AE1466">
        <f t="shared" ca="1" si="578"/>
        <v>631.95399999999995</v>
      </c>
      <c r="AF1466">
        <f t="shared" ca="1" si="579"/>
        <v>2593.0310316486621</v>
      </c>
      <c r="AI1466">
        <v>0</v>
      </c>
      <c r="AJ1466">
        <v>0</v>
      </c>
      <c r="AK1466">
        <f t="shared" si="580"/>
        <v>0</v>
      </c>
      <c r="AL1466">
        <f t="shared" si="588"/>
        <v>0</v>
      </c>
      <c r="AM1466">
        <f t="shared" ca="1" si="581"/>
        <v>280.07692026646265</v>
      </c>
      <c r="AN1466" t="str">
        <f t="shared" ca="1" si="582"/>
        <v>Supercritical</v>
      </c>
      <c r="AO1466">
        <f ca="1">IF(V32="Supercritical",R1466,AA1466)</f>
        <v>482.07306851378365</v>
      </c>
    </row>
    <row r="1467" spans="1:41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174</v>
      </c>
      <c r="I1467">
        <v>0</v>
      </c>
      <c r="J1467">
        <f t="shared" si="583"/>
        <v>1</v>
      </c>
      <c r="K1467">
        <f t="shared" si="584"/>
        <v>51</v>
      </c>
      <c r="L1467">
        <f t="shared" ca="1" si="585"/>
        <v>38818.051231278128</v>
      </c>
      <c r="M1467">
        <f t="shared" ca="1" si="563"/>
        <v>201853.86640264626</v>
      </c>
      <c r="N1467">
        <f t="shared" ca="1" si="564"/>
        <v>2.5998258658784543</v>
      </c>
      <c r="O1467">
        <f t="shared" ca="1" si="565"/>
        <v>2.5265802884482871E-4</v>
      </c>
      <c r="P1467">
        <f t="shared" ca="1" si="566"/>
        <v>39449.954731278129</v>
      </c>
      <c r="Q1467">
        <f t="shared" ca="1" si="567"/>
        <v>39449.954731281381</v>
      </c>
      <c r="R1467">
        <f t="shared" ca="1" si="568"/>
        <v>4.0178129257556468E-12</v>
      </c>
      <c r="S1467">
        <f t="shared" ca="1" si="586"/>
        <v>4.999999946448952E-4</v>
      </c>
      <c r="T1467">
        <f t="shared" ca="1" si="587"/>
        <v>1</v>
      </c>
      <c r="U1467">
        <f t="shared" ca="1" si="569"/>
        <v>0.05</v>
      </c>
      <c r="V1467">
        <f t="shared" ca="1" si="570"/>
        <v>0.26</v>
      </c>
      <c r="W1467">
        <f t="shared" ca="1" si="571"/>
        <v>4.9056603773584909E-2</v>
      </c>
      <c r="X1467">
        <f t="shared" ca="1" si="572"/>
        <v>196.15384615384616</v>
      </c>
      <c r="Y1467">
        <f t="shared" ca="1" si="573"/>
        <v>631.95349999999996</v>
      </c>
      <c r="Z1467">
        <f t="shared" ca="1" si="574"/>
        <v>2593.030531648662</v>
      </c>
      <c r="AA1467">
        <f t="shared" ca="1" si="575"/>
        <v>482.07306851378365</v>
      </c>
      <c r="AB1467">
        <f t="shared" ca="1" si="576"/>
        <v>482.25887083179032</v>
      </c>
      <c r="AC1467">
        <f t="shared" ca="1" si="577"/>
        <v>0</v>
      </c>
      <c r="AD1467">
        <f ca="1">IF(V32="Supercritical",L1467,U1467)</f>
        <v>0.05</v>
      </c>
      <c r="AE1467">
        <f t="shared" ca="1" si="578"/>
        <v>631.95349999999996</v>
      </c>
      <c r="AF1467">
        <f t="shared" ca="1" si="579"/>
        <v>2593.030531648662</v>
      </c>
      <c r="AI1467">
        <v>0</v>
      </c>
      <c r="AJ1467">
        <v>0</v>
      </c>
      <c r="AK1467">
        <f t="shared" si="580"/>
        <v>0</v>
      </c>
      <c r="AL1467">
        <f t="shared" si="588"/>
        <v>0</v>
      </c>
      <c r="AM1467">
        <f t="shared" ca="1" si="581"/>
        <v>280.07692026646265</v>
      </c>
      <c r="AN1467" t="str">
        <f t="shared" ca="1" si="582"/>
        <v>Supercritical</v>
      </c>
      <c r="AO1467">
        <f ca="1">IF(V32="Supercritical",R1467,AA1467)</f>
        <v>482.07306851378365</v>
      </c>
    </row>
    <row r="1468" spans="1:41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174</v>
      </c>
      <c r="I1468">
        <v>5.7000000000000002E-2</v>
      </c>
      <c r="J1468">
        <f t="shared" si="583"/>
        <v>1</v>
      </c>
      <c r="K1468">
        <f t="shared" si="584"/>
        <v>51</v>
      </c>
      <c r="L1468">
        <f t="shared" ca="1" si="585"/>
        <v>38818.051231278128</v>
      </c>
      <c r="M1468">
        <f t="shared" ca="1" si="563"/>
        <v>201853.86640264626</v>
      </c>
      <c r="N1468">
        <f t="shared" ca="1" si="564"/>
        <v>2.5998258658784543</v>
      </c>
      <c r="O1468">
        <f t="shared" ca="1" si="565"/>
        <v>2.5265802884482871E-4</v>
      </c>
      <c r="P1468">
        <f t="shared" ca="1" si="566"/>
        <v>39449.954231278127</v>
      </c>
      <c r="Q1468">
        <f t="shared" ca="1" si="567"/>
        <v>39449.954231281379</v>
      </c>
      <c r="R1468">
        <f t="shared" ca="1" si="568"/>
        <v>4.0178129257556468E-12</v>
      </c>
      <c r="S1468">
        <f t="shared" ca="1" si="586"/>
        <v>4.999999946448952E-4</v>
      </c>
      <c r="T1468">
        <f t="shared" ca="1" si="587"/>
        <v>1</v>
      </c>
      <c r="U1468">
        <f t="shared" ca="1" si="569"/>
        <v>0.05</v>
      </c>
      <c r="V1468">
        <f t="shared" ca="1" si="570"/>
        <v>0.26</v>
      </c>
      <c r="W1468">
        <f t="shared" ca="1" si="571"/>
        <v>4.9056603773584909E-2</v>
      </c>
      <c r="X1468">
        <f t="shared" ca="1" si="572"/>
        <v>196.15384615384616</v>
      </c>
      <c r="Y1468">
        <f t="shared" ca="1" si="573"/>
        <v>631.95299999999997</v>
      </c>
      <c r="Z1468">
        <f t="shared" ca="1" si="574"/>
        <v>2593.0300316486619</v>
      </c>
      <c r="AA1468">
        <f t="shared" ca="1" si="575"/>
        <v>482.07306851378365</v>
      </c>
      <c r="AB1468">
        <f t="shared" ca="1" si="576"/>
        <v>482.25887083179077</v>
      </c>
      <c r="AC1468">
        <f t="shared" ca="1" si="577"/>
        <v>0</v>
      </c>
      <c r="AD1468">
        <f ca="1">IF(V32="Supercritical",L1468,U1468)</f>
        <v>0.05</v>
      </c>
      <c r="AE1468">
        <f t="shared" ca="1" si="578"/>
        <v>631.95299999999997</v>
      </c>
      <c r="AF1468">
        <f t="shared" ca="1" si="579"/>
        <v>2593.0300316486619</v>
      </c>
      <c r="AI1468">
        <v>0</v>
      </c>
      <c r="AJ1468">
        <v>0</v>
      </c>
      <c r="AK1468">
        <f t="shared" si="580"/>
        <v>0</v>
      </c>
      <c r="AL1468">
        <f t="shared" si="588"/>
        <v>0</v>
      </c>
      <c r="AM1468">
        <f t="shared" ca="1" si="581"/>
        <v>280.07692026646265</v>
      </c>
      <c r="AN1468" t="str">
        <f t="shared" ca="1" si="582"/>
        <v>Supercritical</v>
      </c>
      <c r="AO1468">
        <f ca="1">IF(V32="Supercritical",R1468,AA1468)</f>
        <v>482.07306851378365</v>
      </c>
    </row>
    <row r="1469" spans="1:41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174</v>
      </c>
      <c r="I1469">
        <v>5.7000000000000002E-2</v>
      </c>
      <c r="J1469">
        <f t="shared" si="583"/>
        <v>1</v>
      </c>
      <c r="K1469">
        <f t="shared" si="584"/>
        <v>51</v>
      </c>
      <c r="L1469">
        <f t="shared" ca="1" si="585"/>
        <v>38818.051231278128</v>
      </c>
      <c r="M1469">
        <f t="shared" ca="1" si="563"/>
        <v>201853.86640264626</v>
      </c>
      <c r="N1469">
        <f t="shared" ca="1" si="564"/>
        <v>2.5998258658784543</v>
      </c>
      <c r="O1469">
        <f t="shared" ca="1" si="565"/>
        <v>2.5265802884482871E-4</v>
      </c>
      <c r="P1469">
        <f t="shared" ca="1" si="566"/>
        <v>39449.953731278125</v>
      </c>
      <c r="Q1469">
        <f t="shared" ca="1" si="567"/>
        <v>39449.953731281377</v>
      </c>
      <c r="R1469">
        <f t="shared" ca="1" si="568"/>
        <v>4.0178129257556468E-12</v>
      </c>
      <c r="S1469">
        <f t="shared" ca="1" si="586"/>
        <v>4.999999946448952E-4</v>
      </c>
      <c r="T1469">
        <f t="shared" ca="1" si="587"/>
        <v>1</v>
      </c>
      <c r="U1469">
        <f t="shared" ca="1" si="569"/>
        <v>0.05</v>
      </c>
      <c r="V1469">
        <f t="shared" ca="1" si="570"/>
        <v>0.26</v>
      </c>
      <c r="W1469">
        <f t="shared" ca="1" si="571"/>
        <v>4.9056603773584909E-2</v>
      </c>
      <c r="X1469">
        <f t="shared" ca="1" si="572"/>
        <v>196.15384615384616</v>
      </c>
      <c r="Y1469">
        <f t="shared" ca="1" si="573"/>
        <v>631.95249999999999</v>
      </c>
      <c r="Z1469">
        <f t="shared" ca="1" si="574"/>
        <v>2593.0295316486622</v>
      </c>
      <c r="AA1469">
        <f t="shared" ca="1" si="575"/>
        <v>482.07306851378365</v>
      </c>
      <c r="AB1469">
        <f t="shared" ca="1" si="576"/>
        <v>482.07256851378361</v>
      </c>
      <c r="AC1469">
        <f t="shared" ca="1" si="577"/>
        <v>0</v>
      </c>
      <c r="AD1469">
        <f ca="1">IF(V32="Supercritical",L1469,U1469)</f>
        <v>0.05</v>
      </c>
      <c r="AE1469">
        <f t="shared" ca="1" si="578"/>
        <v>631.95249999999999</v>
      </c>
      <c r="AF1469">
        <f t="shared" ca="1" si="579"/>
        <v>2593.0295316486622</v>
      </c>
      <c r="AI1469">
        <v>0</v>
      </c>
      <c r="AJ1469">
        <v>0</v>
      </c>
      <c r="AK1469">
        <f t="shared" si="580"/>
        <v>0</v>
      </c>
      <c r="AL1469">
        <f t="shared" si="588"/>
        <v>0</v>
      </c>
      <c r="AM1469">
        <f t="shared" ca="1" si="581"/>
        <v>280.07692026646265</v>
      </c>
      <c r="AN1469" t="str">
        <f t="shared" ca="1" si="582"/>
        <v>Supercritical</v>
      </c>
      <c r="AO1469">
        <f ca="1">IF(V32="Supercritical",R1469,AA1469)</f>
        <v>482.07306851378365</v>
      </c>
    </row>
    <row r="1470" spans="1:41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174</v>
      </c>
      <c r="I1470">
        <v>0</v>
      </c>
      <c r="J1470">
        <f t="shared" si="583"/>
        <v>1</v>
      </c>
      <c r="K1470">
        <f t="shared" si="584"/>
        <v>51</v>
      </c>
      <c r="L1470">
        <f t="shared" ca="1" si="585"/>
        <v>38818.051231278128</v>
      </c>
      <c r="M1470">
        <f t="shared" ca="1" si="563"/>
        <v>201853.86640264626</v>
      </c>
      <c r="N1470">
        <f t="shared" ca="1" si="564"/>
        <v>2.5998258658784543</v>
      </c>
      <c r="O1470">
        <f t="shared" ca="1" si="565"/>
        <v>2.5265802884482871E-4</v>
      </c>
      <c r="P1470">
        <f t="shared" ca="1" si="566"/>
        <v>39449.95323127813</v>
      </c>
      <c r="Q1470">
        <f t="shared" ca="1" si="567"/>
        <v>39449.953231281383</v>
      </c>
      <c r="R1470">
        <f t="shared" ca="1" si="568"/>
        <v>4.0178129257556468E-12</v>
      </c>
      <c r="S1470">
        <f t="shared" ca="1" si="586"/>
        <v>4.9999998736893758E-4</v>
      </c>
      <c r="T1470">
        <f t="shared" ca="1" si="587"/>
        <v>1</v>
      </c>
      <c r="U1470">
        <f t="shared" ca="1" si="569"/>
        <v>0.05</v>
      </c>
      <c r="V1470">
        <f t="shared" ca="1" si="570"/>
        <v>0.26</v>
      </c>
      <c r="W1470">
        <f t="shared" ca="1" si="571"/>
        <v>4.9056603773584909E-2</v>
      </c>
      <c r="X1470">
        <f t="shared" ca="1" si="572"/>
        <v>196.15384615384616</v>
      </c>
      <c r="Y1470">
        <f t="shared" ca="1" si="573"/>
        <v>631.952</v>
      </c>
      <c r="Z1470">
        <f t="shared" ca="1" si="574"/>
        <v>2593.0290316486621</v>
      </c>
      <c r="AA1470">
        <f t="shared" ca="1" si="575"/>
        <v>482.07306851378365</v>
      </c>
      <c r="AB1470">
        <f t="shared" ca="1" si="576"/>
        <v>482.07910543722255</v>
      </c>
      <c r="AC1470">
        <f t="shared" ca="1" si="577"/>
        <v>0</v>
      </c>
      <c r="AD1470">
        <f ca="1">IF(V32="Supercritical",L1470,U1470)</f>
        <v>0.05</v>
      </c>
      <c r="AE1470">
        <f t="shared" ca="1" si="578"/>
        <v>631.952</v>
      </c>
      <c r="AF1470">
        <f t="shared" ca="1" si="579"/>
        <v>2593.0290316486621</v>
      </c>
      <c r="AI1470">
        <v>0</v>
      </c>
      <c r="AJ1470">
        <v>0</v>
      </c>
      <c r="AK1470">
        <f t="shared" si="580"/>
        <v>0</v>
      </c>
      <c r="AL1470">
        <f t="shared" si="588"/>
        <v>0</v>
      </c>
      <c r="AM1470">
        <f t="shared" ca="1" si="581"/>
        <v>280.07692026646265</v>
      </c>
      <c r="AN1470" t="str">
        <f t="shared" ca="1" si="582"/>
        <v>Supercritical</v>
      </c>
      <c r="AO1470">
        <f ca="1">IF(V32="Supercritical",R1470,AA1470)</f>
        <v>482.07306851378365</v>
      </c>
    </row>
    <row r="1471" spans="1:41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174</v>
      </c>
      <c r="I1471">
        <v>2E-3</v>
      </c>
      <c r="J1471">
        <f t="shared" si="583"/>
        <v>1</v>
      </c>
      <c r="K1471">
        <f t="shared" si="584"/>
        <v>51</v>
      </c>
      <c r="L1471">
        <f t="shared" ca="1" si="585"/>
        <v>38818.051231278128</v>
      </c>
      <c r="M1471">
        <f t="shared" ca="1" si="563"/>
        <v>201853.86640264626</v>
      </c>
      <c r="N1471">
        <f t="shared" ca="1" si="564"/>
        <v>2.5998258658784543</v>
      </c>
      <c r="O1471">
        <f t="shared" ca="1" si="565"/>
        <v>2.5265802884482871E-4</v>
      </c>
      <c r="P1471">
        <f t="shared" ca="1" si="566"/>
        <v>39449.952731278128</v>
      </c>
      <c r="Q1471">
        <f t="shared" ca="1" si="567"/>
        <v>39449.952731281381</v>
      </c>
      <c r="R1471">
        <f t="shared" ca="1" si="568"/>
        <v>4.0178129257556468E-12</v>
      </c>
      <c r="S1471">
        <f t="shared" ca="1" si="586"/>
        <v>4.999999946448952E-4</v>
      </c>
      <c r="T1471">
        <f t="shared" ca="1" si="587"/>
        <v>1</v>
      </c>
      <c r="U1471">
        <f t="shared" ca="1" si="569"/>
        <v>0.05</v>
      </c>
      <c r="V1471">
        <f t="shared" ca="1" si="570"/>
        <v>0.26</v>
      </c>
      <c r="W1471">
        <f t="shared" ca="1" si="571"/>
        <v>4.9056603773584909E-2</v>
      </c>
      <c r="X1471">
        <f t="shared" ca="1" si="572"/>
        <v>196.15384615384616</v>
      </c>
      <c r="Y1471">
        <f t="shared" ca="1" si="573"/>
        <v>631.95150000000001</v>
      </c>
      <c r="Z1471">
        <f t="shared" ca="1" si="574"/>
        <v>2593.028531648662</v>
      </c>
      <c r="AA1471">
        <f t="shared" ca="1" si="575"/>
        <v>482.07306851378365</v>
      </c>
      <c r="AB1471">
        <f t="shared" ca="1" si="576"/>
        <v>482.75074928556023</v>
      </c>
      <c r="AC1471">
        <f t="shared" ca="1" si="577"/>
        <v>0</v>
      </c>
      <c r="AD1471">
        <f ca="1">IF(V32="Supercritical",L1471,U1471)</f>
        <v>0.05</v>
      </c>
      <c r="AE1471">
        <f t="shared" ca="1" si="578"/>
        <v>631.95150000000001</v>
      </c>
      <c r="AF1471">
        <f t="shared" ca="1" si="579"/>
        <v>2593.028531648662</v>
      </c>
      <c r="AI1471">
        <v>0</v>
      </c>
      <c r="AJ1471">
        <v>0</v>
      </c>
      <c r="AK1471">
        <f t="shared" si="580"/>
        <v>0</v>
      </c>
      <c r="AL1471">
        <f t="shared" si="588"/>
        <v>0</v>
      </c>
      <c r="AM1471">
        <f t="shared" ca="1" si="581"/>
        <v>280.07692026646265</v>
      </c>
      <c r="AN1471" t="str">
        <f t="shared" ca="1" si="582"/>
        <v>Supercritical</v>
      </c>
      <c r="AO1471">
        <f ca="1">IF(V32="Supercritical",R1471,AA1471)</f>
        <v>482.07306851378365</v>
      </c>
    </row>
    <row r="1472" spans="1:41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174</v>
      </c>
      <c r="I1472">
        <v>0.06</v>
      </c>
      <c r="J1472">
        <f t="shared" si="583"/>
        <v>1.0010000000002037</v>
      </c>
      <c r="K1472">
        <f t="shared" si="584"/>
        <v>51</v>
      </c>
      <c r="L1472">
        <f t="shared" ca="1" si="585"/>
        <v>38818.051231278128</v>
      </c>
      <c r="M1472">
        <f t="shared" ca="1" si="563"/>
        <v>201853.86640264626</v>
      </c>
      <c r="N1472">
        <f t="shared" ca="1" si="564"/>
        <v>2.5998258658784543</v>
      </c>
      <c r="O1472">
        <f t="shared" ca="1" si="565"/>
        <v>2.5265802884482871E-4</v>
      </c>
      <c r="P1472">
        <f t="shared" ca="1" si="566"/>
        <v>39449.952231278126</v>
      </c>
      <c r="Q1472">
        <f t="shared" ca="1" si="567"/>
        <v>39449.952231281379</v>
      </c>
      <c r="R1472">
        <f t="shared" ca="1" si="568"/>
        <v>4.0178129257556468E-12</v>
      </c>
      <c r="S1472">
        <f t="shared" ca="1" si="586"/>
        <v>4.999999946448952E-4</v>
      </c>
      <c r="T1472">
        <f t="shared" ca="1" si="587"/>
        <v>1</v>
      </c>
      <c r="U1472">
        <f t="shared" ca="1" si="569"/>
        <v>0.05</v>
      </c>
      <c r="V1472">
        <f t="shared" ca="1" si="570"/>
        <v>0.26</v>
      </c>
      <c r="W1472">
        <f t="shared" ca="1" si="571"/>
        <v>4.9056603773584909E-2</v>
      </c>
      <c r="X1472">
        <f t="shared" ca="1" si="572"/>
        <v>196.15384615384616</v>
      </c>
      <c r="Y1472">
        <f t="shared" ca="1" si="573"/>
        <v>631.95099999999991</v>
      </c>
      <c r="Z1472">
        <f t="shared" ca="1" si="574"/>
        <v>2593.0280316486619</v>
      </c>
      <c r="AA1472">
        <f t="shared" ca="1" si="575"/>
        <v>482.07306851378365</v>
      </c>
      <c r="AB1472">
        <f t="shared" ca="1" si="576"/>
        <v>482.25887083179077</v>
      </c>
      <c r="AC1472">
        <f t="shared" ca="1" si="577"/>
        <v>0</v>
      </c>
      <c r="AD1472">
        <f ca="1">IF(V32="Supercritical",L1472,U1472)</f>
        <v>0.05</v>
      </c>
      <c r="AE1472">
        <f t="shared" ca="1" si="578"/>
        <v>631.95099999999991</v>
      </c>
      <c r="AF1472">
        <f t="shared" ca="1" si="579"/>
        <v>2593.0280316486619</v>
      </c>
      <c r="AI1472">
        <v>0</v>
      </c>
      <c r="AJ1472">
        <v>0</v>
      </c>
      <c r="AK1472">
        <f t="shared" si="580"/>
        <v>0</v>
      </c>
      <c r="AL1472">
        <f t="shared" si="588"/>
        <v>0</v>
      </c>
      <c r="AM1472">
        <f t="shared" ca="1" si="581"/>
        <v>280.07692026646265</v>
      </c>
      <c r="AN1472" t="str">
        <f t="shared" ca="1" si="582"/>
        <v>Supercritical</v>
      </c>
      <c r="AO1472">
        <f ca="1">IF(V32="Supercritical",R1472,AA1472)</f>
        <v>482.07306851378365</v>
      </c>
    </row>
    <row r="1473" spans="1:41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174</v>
      </c>
      <c r="I1473">
        <v>5.7000000000000002E-2</v>
      </c>
      <c r="J1473">
        <f t="shared" si="583"/>
        <v>1</v>
      </c>
      <c r="K1473">
        <f t="shared" si="584"/>
        <v>51</v>
      </c>
      <c r="L1473">
        <f t="shared" ca="1" si="585"/>
        <v>38818.051231278128</v>
      </c>
      <c r="M1473">
        <f t="shared" ca="1" si="563"/>
        <v>201853.86640264626</v>
      </c>
      <c r="N1473">
        <f t="shared" ca="1" si="564"/>
        <v>2.5998258658784543</v>
      </c>
      <c r="O1473">
        <f t="shared" ca="1" si="565"/>
        <v>2.5265802884482871E-4</v>
      </c>
      <c r="P1473">
        <f t="shared" ca="1" si="566"/>
        <v>39449.951731278132</v>
      </c>
      <c r="Q1473">
        <f t="shared" ca="1" si="567"/>
        <v>39449.951731281384</v>
      </c>
      <c r="R1473">
        <f t="shared" ca="1" si="568"/>
        <v>4.0178129257556468E-12</v>
      </c>
      <c r="S1473">
        <f t="shared" ca="1" si="586"/>
        <v>4.9999998736893758E-4</v>
      </c>
      <c r="T1473">
        <f t="shared" ca="1" si="587"/>
        <v>1</v>
      </c>
      <c r="U1473">
        <f t="shared" ca="1" si="569"/>
        <v>0.05</v>
      </c>
      <c r="V1473">
        <f t="shared" ca="1" si="570"/>
        <v>0.26</v>
      </c>
      <c r="W1473">
        <f t="shared" ca="1" si="571"/>
        <v>4.9056603773584909E-2</v>
      </c>
      <c r="X1473">
        <f t="shared" ca="1" si="572"/>
        <v>196.15384615384616</v>
      </c>
      <c r="Y1473">
        <f t="shared" ca="1" si="573"/>
        <v>631.95049999999992</v>
      </c>
      <c r="Z1473">
        <f t="shared" ca="1" si="574"/>
        <v>2593.0275316486623</v>
      </c>
      <c r="AA1473">
        <f t="shared" ca="1" si="575"/>
        <v>482.07306851378365</v>
      </c>
      <c r="AB1473">
        <f t="shared" ca="1" si="576"/>
        <v>481.59049544517165</v>
      </c>
      <c r="AC1473">
        <f t="shared" ca="1" si="577"/>
        <v>0</v>
      </c>
      <c r="AD1473">
        <f ca="1">IF(V32="Supercritical",L1473,U1473)</f>
        <v>0.05</v>
      </c>
      <c r="AE1473">
        <f t="shared" ca="1" si="578"/>
        <v>631.95049999999992</v>
      </c>
      <c r="AF1473">
        <f t="shared" ca="1" si="579"/>
        <v>2593.0275316486623</v>
      </c>
      <c r="AI1473">
        <v>0</v>
      </c>
      <c r="AJ1473">
        <v>0</v>
      </c>
      <c r="AK1473">
        <f t="shared" si="580"/>
        <v>0</v>
      </c>
      <c r="AL1473">
        <f t="shared" si="588"/>
        <v>0</v>
      </c>
      <c r="AM1473">
        <f t="shared" ca="1" si="581"/>
        <v>280.07692026646265</v>
      </c>
      <c r="AN1473" t="str">
        <f t="shared" ca="1" si="582"/>
        <v>Supercritical</v>
      </c>
      <c r="AO1473">
        <f ca="1">IF(V32="Supercritical",R1473,AA1473)</f>
        <v>482.07306851378365</v>
      </c>
    </row>
    <row r="1474" spans="1:41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174</v>
      </c>
      <c r="I1474">
        <v>0</v>
      </c>
      <c r="J1474">
        <f t="shared" si="583"/>
        <v>0.99899999999979627</v>
      </c>
      <c r="K1474">
        <f t="shared" si="584"/>
        <v>51</v>
      </c>
      <c r="L1474">
        <f t="shared" ca="1" si="585"/>
        <v>38818.051231278128</v>
      </c>
      <c r="M1474">
        <f t="shared" ca="1" si="563"/>
        <v>201853.86640264626</v>
      </c>
      <c r="N1474">
        <f t="shared" ca="1" si="564"/>
        <v>2.5998258658784543</v>
      </c>
      <c r="O1474">
        <f t="shared" ca="1" si="565"/>
        <v>2.5265802884482871E-4</v>
      </c>
      <c r="P1474">
        <f t="shared" ca="1" si="566"/>
        <v>39449.95123127813</v>
      </c>
      <c r="Q1474">
        <f t="shared" ca="1" si="567"/>
        <v>39449.951231281382</v>
      </c>
      <c r="R1474">
        <f t="shared" ca="1" si="568"/>
        <v>4.0178129257556468E-12</v>
      </c>
      <c r="S1474">
        <f t="shared" ca="1" si="586"/>
        <v>4.999999946448952E-4</v>
      </c>
      <c r="T1474">
        <f t="shared" ca="1" si="587"/>
        <v>1</v>
      </c>
      <c r="U1474">
        <f t="shared" ca="1" si="569"/>
        <v>0.05</v>
      </c>
      <c r="V1474">
        <f t="shared" ca="1" si="570"/>
        <v>0.26</v>
      </c>
      <c r="W1474">
        <f t="shared" ca="1" si="571"/>
        <v>4.9056603773584909E-2</v>
      </c>
      <c r="X1474">
        <f t="shared" ca="1" si="572"/>
        <v>196.15384615384616</v>
      </c>
      <c r="Y1474">
        <f t="shared" ca="1" si="573"/>
        <v>631.94999999999993</v>
      </c>
      <c r="Z1474">
        <f t="shared" ca="1" si="574"/>
        <v>2593.0270316486622</v>
      </c>
      <c r="AA1474">
        <f t="shared" ca="1" si="575"/>
        <v>482.07306851378365</v>
      </c>
      <c r="AB1474">
        <f t="shared" ca="1" si="576"/>
        <v>482.07256851378361</v>
      </c>
      <c r="AC1474">
        <f t="shared" ca="1" si="577"/>
        <v>0</v>
      </c>
      <c r="AD1474">
        <f ca="1">IF(V32="Supercritical",L1474,U1474)</f>
        <v>0.05</v>
      </c>
      <c r="AE1474">
        <f t="shared" ca="1" si="578"/>
        <v>631.94999999999993</v>
      </c>
      <c r="AF1474">
        <f t="shared" ca="1" si="579"/>
        <v>2593.0270316486622</v>
      </c>
      <c r="AI1474">
        <v>0</v>
      </c>
      <c r="AJ1474">
        <v>0</v>
      </c>
      <c r="AK1474">
        <f t="shared" si="580"/>
        <v>0</v>
      </c>
      <c r="AL1474">
        <f t="shared" si="588"/>
        <v>0</v>
      </c>
      <c r="AM1474">
        <f t="shared" ca="1" si="581"/>
        <v>280.07692026646265</v>
      </c>
      <c r="AN1474" t="str">
        <f t="shared" ca="1" si="582"/>
        <v>Supercritical</v>
      </c>
      <c r="AO1474">
        <f ca="1">IF(V32="Supercritical",R1474,AA1474)</f>
        <v>482.07306851378365</v>
      </c>
    </row>
    <row r="1475" spans="1:41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174</v>
      </c>
      <c r="I1475">
        <v>0</v>
      </c>
      <c r="J1475">
        <f t="shared" si="583"/>
        <v>1</v>
      </c>
      <c r="K1475">
        <f t="shared" si="584"/>
        <v>51</v>
      </c>
      <c r="L1475">
        <f t="shared" ca="1" si="585"/>
        <v>38818.051231278128</v>
      </c>
      <c r="M1475">
        <f t="shared" ca="1" si="563"/>
        <v>201853.86640264626</v>
      </c>
      <c r="N1475">
        <f t="shared" ca="1" si="564"/>
        <v>2.5998258658784543</v>
      </c>
      <c r="O1475">
        <f t="shared" ca="1" si="565"/>
        <v>2.5265802884482871E-4</v>
      </c>
      <c r="P1475">
        <f t="shared" ca="1" si="566"/>
        <v>39449.950731278128</v>
      </c>
      <c r="Q1475">
        <f t="shared" ca="1" si="567"/>
        <v>39449.95073128138</v>
      </c>
      <c r="R1475">
        <f t="shared" ca="1" si="568"/>
        <v>4.0178129257556468E-12</v>
      </c>
      <c r="S1475">
        <f t="shared" ca="1" si="586"/>
        <v>4.999999946448952E-4</v>
      </c>
      <c r="T1475">
        <f t="shared" ca="1" si="587"/>
        <v>1</v>
      </c>
      <c r="U1475">
        <f t="shared" ca="1" si="569"/>
        <v>0.05</v>
      </c>
      <c r="V1475">
        <f t="shared" ca="1" si="570"/>
        <v>0.26</v>
      </c>
      <c r="W1475">
        <f t="shared" ca="1" si="571"/>
        <v>4.9056603773584909E-2</v>
      </c>
      <c r="X1475">
        <f t="shared" ca="1" si="572"/>
        <v>196.15384615384616</v>
      </c>
      <c r="Y1475">
        <f t="shared" ca="1" si="573"/>
        <v>631.94949999999994</v>
      </c>
      <c r="Z1475">
        <f t="shared" ca="1" si="574"/>
        <v>2593.0265316486621</v>
      </c>
      <c r="AA1475">
        <f t="shared" ca="1" si="575"/>
        <v>482.07306851378365</v>
      </c>
      <c r="AB1475">
        <f t="shared" ca="1" si="576"/>
        <v>482.25887083179032</v>
      </c>
      <c r="AC1475">
        <f t="shared" ca="1" si="577"/>
        <v>0</v>
      </c>
      <c r="AD1475">
        <f ca="1">IF(V32="Supercritical",L1475,U1475)</f>
        <v>0.05</v>
      </c>
      <c r="AE1475">
        <f t="shared" ca="1" si="578"/>
        <v>631.94949999999994</v>
      </c>
      <c r="AF1475">
        <f t="shared" ca="1" si="579"/>
        <v>2593.0265316486621</v>
      </c>
      <c r="AI1475">
        <v>0</v>
      </c>
      <c r="AJ1475">
        <v>0</v>
      </c>
      <c r="AK1475">
        <f t="shared" si="580"/>
        <v>0</v>
      </c>
      <c r="AL1475">
        <f t="shared" si="588"/>
        <v>0</v>
      </c>
      <c r="AM1475">
        <f t="shared" ca="1" si="581"/>
        <v>280.07692026646265</v>
      </c>
      <c r="AN1475" t="str">
        <f t="shared" ca="1" si="582"/>
        <v>Supercritical</v>
      </c>
      <c r="AO1475">
        <f ca="1">IF(V32="Supercritical",R1475,AA1475)</f>
        <v>482.07306851378365</v>
      </c>
    </row>
    <row r="1476" spans="1:41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174</v>
      </c>
      <c r="I1476">
        <v>5.7000000000000002E-2</v>
      </c>
      <c r="J1476">
        <f t="shared" si="583"/>
        <v>1</v>
      </c>
      <c r="K1476">
        <f t="shared" si="584"/>
        <v>51</v>
      </c>
      <c r="L1476">
        <f t="shared" ca="1" si="585"/>
        <v>38818.051231278128</v>
      </c>
      <c r="M1476">
        <f t="shared" ca="1" si="563"/>
        <v>201853.86640264626</v>
      </c>
      <c r="N1476">
        <f t="shared" ca="1" si="564"/>
        <v>2.5998258658784543</v>
      </c>
      <c r="O1476">
        <f t="shared" ca="1" si="565"/>
        <v>2.5265802884482871E-4</v>
      </c>
      <c r="P1476">
        <f t="shared" ca="1" si="566"/>
        <v>39449.950231278126</v>
      </c>
      <c r="Q1476">
        <f t="shared" ca="1" si="567"/>
        <v>39449.950231281378</v>
      </c>
      <c r="R1476">
        <f t="shared" ca="1" si="568"/>
        <v>4.0178129257556468E-12</v>
      </c>
      <c r="S1476">
        <f t="shared" ca="1" si="586"/>
        <v>4.999999946448952E-4</v>
      </c>
      <c r="T1476">
        <f t="shared" ca="1" si="587"/>
        <v>1</v>
      </c>
      <c r="U1476">
        <f t="shared" ca="1" si="569"/>
        <v>0.05</v>
      </c>
      <c r="V1476">
        <f t="shared" ca="1" si="570"/>
        <v>0.26</v>
      </c>
      <c r="W1476">
        <f t="shared" ca="1" si="571"/>
        <v>4.9056603773584909E-2</v>
      </c>
      <c r="X1476">
        <f t="shared" ca="1" si="572"/>
        <v>196.15384615384616</v>
      </c>
      <c r="Y1476">
        <f t="shared" ca="1" si="573"/>
        <v>631.94899999999996</v>
      </c>
      <c r="Z1476">
        <f t="shared" ca="1" si="574"/>
        <v>2593.026031648662</v>
      </c>
      <c r="AA1476">
        <f t="shared" ca="1" si="575"/>
        <v>482.07306851378365</v>
      </c>
      <c r="AB1476">
        <f t="shared" ca="1" si="576"/>
        <v>482.25887083179032</v>
      </c>
      <c r="AC1476">
        <f t="shared" ca="1" si="577"/>
        <v>0</v>
      </c>
      <c r="AD1476">
        <f ca="1">IF(V32="Supercritical",L1476,U1476)</f>
        <v>0.05</v>
      </c>
      <c r="AE1476">
        <f t="shared" ca="1" si="578"/>
        <v>631.94899999999996</v>
      </c>
      <c r="AF1476">
        <f t="shared" ca="1" si="579"/>
        <v>2593.026031648662</v>
      </c>
      <c r="AI1476">
        <v>0</v>
      </c>
      <c r="AJ1476">
        <v>0</v>
      </c>
      <c r="AK1476">
        <f t="shared" si="580"/>
        <v>0</v>
      </c>
      <c r="AL1476">
        <f t="shared" si="588"/>
        <v>0</v>
      </c>
      <c r="AM1476">
        <f t="shared" ca="1" si="581"/>
        <v>280.07692026646265</v>
      </c>
      <c r="AN1476" t="str">
        <f t="shared" ca="1" si="582"/>
        <v>Supercritical</v>
      </c>
      <c r="AO1476">
        <f ca="1">IF(V32="Supercritical",R1476,AA1476)</f>
        <v>482.07306851378365</v>
      </c>
    </row>
    <row r="1477" spans="1:41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174</v>
      </c>
      <c r="I1477">
        <v>5.7000000000000002E-2</v>
      </c>
      <c r="J1477">
        <f t="shared" si="583"/>
        <v>1</v>
      </c>
      <c r="K1477">
        <f t="shared" si="584"/>
        <v>51</v>
      </c>
      <c r="L1477">
        <f t="shared" ca="1" si="585"/>
        <v>38818.051231278128</v>
      </c>
      <c r="M1477">
        <f t="shared" ca="1" si="563"/>
        <v>201853.86640264626</v>
      </c>
      <c r="N1477">
        <f t="shared" ca="1" si="564"/>
        <v>2.5998258658784543</v>
      </c>
      <c r="O1477">
        <f t="shared" ca="1" si="565"/>
        <v>2.5265802884482871E-4</v>
      </c>
      <c r="P1477">
        <f t="shared" ca="1" si="566"/>
        <v>39449.949731278131</v>
      </c>
      <c r="Q1477">
        <f t="shared" ca="1" si="567"/>
        <v>39449.949731281384</v>
      </c>
      <c r="R1477">
        <f t="shared" ca="1" si="568"/>
        <v>4.0178129257556468E-12</v>
      </c>
      <c r="S1477">
        <f t="shared" ca="1" si="586"/>
        <v>4.9999998736893758E-4</v>
      </c>
      <c r="T1477">
        <f t="shared" ca="1" si="587"/>
        <v>1</v>
      </c>
      <c r="U1477">
        <f t="shared" ca="1" si="569"/>
        <v>0.05</v>
      </c>
      <c r="V1477">
        <f t="shared" ca="1" si="570"/>
        <v>0.26</v>
      </c>
      <c r="W1477">
        <f t="shared" ca="1" si="571"/>
        <v>4.9056603773584909E-2</v>
      </c>
      <c r="X1477">
        <f t="shared" ca="1" si="572"/>
        <v>196.15384615384616</v>
      </c>
      <c r="Y1477">
        <f t="shared" ca="1" si="573"/>
        <v>631.94849999999997</v>
      </c>
      <c r="Z1477">
        <f t="shared" ca="1" si="574"/>
        <v>2593.0255316486619</v>
      </c>
      <c r="AA1477">
        <f t="shared" ca="1" si="575"/>
        <v>482.07306851378365</v>
      </c>
      <c r="AB1477">
        <f t="shared" ca="1" si="576"/>
        <v>482.07256851378406</v>
      </c>
      <c r="AC1477">
        <f t="shared" ca="1" si="577"/>
        <v>0</v>
      </c>
      <c r="AD1477">
        <f ca="1">IF(V32="Supercritical",L1477,U1477)</f>
        <v>0.05</v>
      </c>
      <c r="AE1477">
        <f t="shared" ca="1" si="578"/>
        <v>631.94849999999997</v>
      </c>
      <c r="AF1477">
        <f t="shared" ca="1" si="579"/>
        <v>2593.0255316486619</v>
      </c>
      <c r="AI1477">
        <v>0</v>
      </c>
      <c r="AJ1477">
        <v>0</v>
      </c>
      <c r="AK1477">
        <f t="shared" si="580"/>
        <v>0</v>
      </c>
      <c r="AL1477">
        <f t="shared" si="588"/>
        <v>0</v>
      </c>
      <c r="AM1477">
        <f t="shared" ca="1" si="581"/>
        <v>280.07692026646265</v>
      </c>
      <c r="AN1477" t="str">
        <f t="shared" ca="1" si="582"/>
        <v>Supercritical</v>
      </c>
      <c r="AO1477">
        <f ca="1">IF(V32="Supercritical",R1477,AA1477)</f>
        <v>482.07306851378365</v>
      </c>
    </row>
    <row r="1478" spans="1:41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174</v>
      </c>
      <c r="I1478">
        <v>0</v>
      </c>
      <c r="J1478">
        <f t="shared" si="583"/>
        <v>1</v>
      </c>
      <c r="K1478">
        <f t="shared" si="584"/>
        <v>51</v>
      </c>
      <c r="L1478">
        <f t="shared" ca="1" si="585"/>
        <v>38818.051231278128</v>
      </c>
      <c r="M1478">
        <f t="shared" ca="1" si="563"/>
        <v>201853.86640264626</v>
      </c>
      <c r="N1478">
        <f t="shared" ca="1" si="564"/>
        <v>2.5998258658784543</v>
      </c>
      <c r="O1478">
        <f t="shared" ca="1" si="565"/>
        <v>2.5265802884482871E-4</v>
      </c>
      <c r="P1478">
        <f t="shared" ca="1" si="566"/>
        <v>39449.949231278129</v>
      </c>
      <c r="Q1478">
        <f t="shared" ca="1" si="567"/>
        <v>39449.949231281382</v>
      </c>
      <c r="R1478">
        <f t="shared" ca="1" si="568"/>
        <v>4.0178129257556468E-12</v>
      </c>
      <c r="S1478">
        <f t="shared" ca="1" si="586"/>
        <v>4.999999946448952E-4</v>
      </c>
      <c r="T1478">
        <f t="shared" ca="1" si="587"/>
        <v>1</v>
      </c>
      <c r="U1478">
        <f t="shared" ca="1" si="569"/>
        <v>0.05</v>
      </c>
      <c r="V1478">
        <f t="shared" ca="1" si="570"/>
        <v>0.26</v>
      </c>
      <c r="W1478">
        <f t="shared" ca="1" si="571"/>
        <v>4.9056603773584909E-2</v>
      </c>
      <c r="X1478">
        <f t="shared" ca="1" si="572"/>
        <v>196.15384615384616</v>
      </c>
      <c r="Y1478">
        <f t="shared" ca="1" si="573"/>
        <v>631.94799999999998</v>
      </c>
      <c r="Z1478">
        <f t="shared" ca="1" si="574"/>
        <v>2593.0250316486622</v>
      </c>
      <c r="AA1478">
        <f t="shared" ca="1" si="575"/>
        <v>482.07306851378365</v>
      </c>
      <c r="AB1478">
        <f t="shared" ca="1" si="576"/>
        <v>482.07256851378361</v>
      </c>
      <c r="AC1478">
        <f t="shared" ca="1" si="577"/>
        <v>0</v>
      </c>
      <c r="AD1478">
        <f ca="1">IF(V32="Supercritical",L1478,U1478)</f>
        <v>0.05</v>
      </c>
      <c r="AE1478">
        <f t="shared" ca="1" si="578"/>
        <v>631.94799999999998</v>
      </c>
      <c r="AF1478">
        <f t="shared" ca="1" si="579"/>
        <v>2593.0250316486622</v>
      </c>
      <c r="AI1478">
        <v>0</v>
      </c>
      <c r="AJ1478">
        <v>0</v>
      </c>
      <c r="AK1478">
        <f t="shared" si="580"/>
        <v>0</v>
      </c>
      <c r="AL1478">
        <f t="shared" si="588"/>
        <v>0</v>
      </c>
      <c r="AM1478">
        <f t="shared" ca="1" si="581"/>
        <v>280.07692026646265</v>
      </c>
      <c r="AN1478" t="str">
        <f t="shared" ca="1" si="582"/>
        <v>Supercritical</v>
      </c>
      <c r="AO1478">
        <f ca="1">IF(V32="Supercritical",R1478,AA1478)</f>
        <v>482.07306851378365</v>
      </c>
    </row>
    <row r="1479" spans="1:41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174</v>
      </c>
      <c r="I1479">
        <v>0</v>
      </c>
      <c r="J1479">
        <f t="shared" si="583"/>
        <v>1</v>
      </c>
      <c r="K1479">
        <f t="shared" si="584"/>
        <v>51</v>
      </c>
      <c r="L1479">
        <f t="shared" ca="1" si="585"/>
        <v>38818.051231278128</v>
      </c>
      <c r="M1479">
        <f t="shared" ca="1" si="563"/>
        <v>201853.86640264626</v>
      </c>
      <c r="N1479">
        <f t="shared" ca="1" si="564"/>
        <v>2.5998258658784543</v>
      </c>
      <c r="O1479">
        <f t="shared" ca="1" si="565"/>
        <v>2.5265802884482871E-4</v>
      </c>
      <c r="P1479">
        <f t="shared" ca="1" si="566"/>
        <v>39449.948731278128</v>
      </c>
      <c r="Q1479">
        <f t="shared" ca="1" si="567"/>
        <v>39449.94873128138</v>
      </c>
      <c r="R1479">
        <f t="shared" ca="1" si="568"/>
        <v>4.0178129257556468E-12</v>
      </c>
      <c r="S1479">
        <f t="shared" ca="1" si="586"/>
        <v>4.999999946448952E-4</v>
      </c>
      <c r="T1479">
        <f t="shared" ca="1" si="587"/>
        <v>1</v>
      </c>
      <c r="U1479">
        <f t="shared" ca="1" si="569"/>
        <v>0.05</v>
      </c>
      <c r="V1479">
        <f t="shared" ca="1" si="570"/>
        <v>0.26</v>
      </c>
      <c r="W1479">
        <f t="shared" ca="1" si="571"/>
        <v>4.9056603773584909E-2</v>
      </c>
      <c r="X1479">
        <f t="shared" ca="1" si="572"/>
        <v>196.15384615384616</v>
      </c>
      <c r="Y1479">
        <f t="shared" ca="1" si="573"/>
        <v>631.94749999999999</v>
      </c>
      <c r="Z1479">
        <f t="shared" ca="1" si="574"/>
        <v>2593.0245316486621</v>
      </c>
      <c r="AA1479">
        <f t="shared" ca="1" si="575"/>
        <v>482.07306851378365</v>
      </c>
      <c r="AB1479">
        <f t="shared" ca="1" si="576"/>
        <v>482.25233390835137</v>
      </c>
      <c r="AC1479">
        <f t="shared" ca="1" si="577"/>
        <v>0</v>
      </c>
      <c r="AD1479">
        <f ca="1">IF(V32="Supercritical",L1479,U1479)</f>
        <v>0.05</v>
      </c>
      <c r="AE1479">
        <f t="shared" ca="1" si="578"/>
        <v>631.94749999999999</v>
      </c>
      <c r="AF1479">
        <f t="shared" ca="1" si="579"/>
        <v>2593.0245316486621</v>
      </c>
      <c r="AI1479">
        <v>0</v>
      </c>
      <c r="AJ1479">
        <v>0</v>
      </c>
      <c r="AK1479">
        <f t="shared" si="580"/>
        <v>0</v>
      </c>
      <c r="AL1479">
        <f t="shared" si="588"/>
        <v>0</v>
      </c>
      <c r="AM1479">
        <f t="shared" ca="1" si="581"/>
        <v>280.07692026646265</v>
      </c>
      <c r="AN1479" t="str">
        <f t="shared" ca="1" si="582"/>
        <v>Supercritical</v>
      </c>
      <c r="AO1479">
        <f ca="1">IF(V32="Supercritical",R1479,AA1479)</f>
        <v>482.07306851378365</v>
      </c>
    </row>
    <row r="1480" spans="1:41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174</v>
      </c>
      <c r="I1480">
        <v>5.5E-2</v>
      </c>
      <c r="J1480">
        <f t="shared" si="583"/>
        <v>1</v>
      </c>
      <c r="K1480">
        <f t="shared" si="584"/>
        <v>51</v>
      </c>
      <c r="L1480">
        <f t="shared" ca="1" si="585"/>
        <v>38818.051231278128</v>
      </c>
      <c r="M1480">
        <f t="shared" ca="1" si="563"/>
        <v>201853.86640264626</v>
      </c>
      <c r="N1480">
        <f t="shared" ca="1" si="564"/>
        <v>2.5998258658784543</v>
      </c>
      <c r="O1480">
        <f t="shared" ca="1" si="565"/>
        <v>2.5265802884482871E-4</v>
      </c>
      <c r="P1480">
        <f t="shared" ca="1" si="566"/>
        <v>39449.948231278126</v>
      </c>
      <c r="Q1480">
        <f t="shared" ca="1" si="567"/>
        <v>39449.948231281378</v>
      </c>
      <c r="R1480">
        <f t="shared" ca="1" si="568"/>
        <v>4.0178129257556468E-12</v>
      </c>
      <c r="S1480">
        <f t="shared" ca="1" si="586"/>
        <v>4.999999946448952E-4</v>
      </c>
      <c r="T1480">
        <f t="shared" ca="1" si="587"/>
        <v>1</v>
      </c>
      <c r="U1480">
        <f t="shared" ca="1" si="569"/>
        <v>0.05</v>
      </c>
      <c r="V1480">
        <f t="shared" ca="1" si="570"/>
        <v>0.26</v>
      </c>
      <c r="W1480">
        <f t="shared" ca="1" si="571"/>
        <v>4.9056603773584909E-2</v>
      </c>
      <c r="X1480">
        <f t="shared" ca="1" si="572"/>
        <v>196.15384615384616</v>
      </c>
      <c r="Y1480">
        <f t="shared" ca="1" si="573"/>
        <v>631.947</v>
      </c>
      <c r="Z1480">
        <f t="shared" ca="1" si="574"/>
        <v>2593.024031648662</v>
      </c>
      <c r="AA1480">
        <f t="shared" ca="1" si="575"/>
        <v>482.07306851378365</v>
      </c>
      <c r="AB1480">
        <f t="shared" ca="1" si="576"/>
        <v>482.73440697696333</v>
      </c>
      <c r="AC1480">
        <f t="shared" ca="1" si="577"/>
        <v>0</v>
      </c>
      <c r="AD1480">
        <f ca="1">IF(V32="Supercritical",L1480,U1480)</f>
        <v>0.05</v>
      </c>
      <c r="AE1480">
        <f t="shared" ca="1" si="578"/>
        <v>631.947</v>
      </c>
      <c r="AF1480">
        <f t="shared" ca="1" si="579"/>
        <v>2593.024031648662</v>
      </c>
      <c r="AI1480">
        <v>0</v>
      </c>
      <c r="AJ1480">
        <v>0</v>
      </c>
      <c r="AK1480">
        <f t="shared" si="580"/>
        <v>0</v>
      </c>
      <c r="AL1480">
        <f t="shared" si="588"/>
        <v>0</v>
      </c>
      <c r="AM1480">
        <f t="shared" ca="1" si="581"/>
        <v>280.07692026646265</v>
      </c>
      <c r="AN1480" t="str">
        <f t="shared" ca="1" si="582"/>
        <v>Supercritical</v>
      </c>
      <c r="AO1480">
        <f ca="1">IF(V32="Supercritical",R1480,AA1480)</f>
        <v>482.07306851378365</v>
      </c>
    </row>
    <row r="1481" spans="1:41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174</v>
      </c>
      <c r="I1481">
        <v>5.5E-2</v>
      </c>
      <c r="J1481">
        <f t="shared" si="583"/>
        <v>1.0010000000002037</v>
      </c>
      <c r="K1481">
        <f t="shared" si="584"/>
        <v>51</v>
      </c>
      <c r="L1481">
        <f t="shared" ca="1" si="585"/>
        <v>38818.051231278128</v>
      </c>
      <c r="M1481">
        <f t="shared" ca="1" si="563"/>
        <v>201853.86640264626</v>
      </c>
      <c r="N1481">
        <f t="shared" ca="1" si="564"/>
        <v>2.5998258658784543</v>
      </c>
      <c r="O1481">
        <f t="shared" ca="1" si="565"/>
        <v>2.5265802884482871E-4</v>
      </c>
      <c r="P1481">
        <f t="shared" ca="1" si="566"/>
        <v>39449.947731278131</v>
      </c>
      <c r="Q1481">
        <f t="shared" ca="1" si="567"/>
        <v>39449.947731281383</v>
      </c>
      <c r="R1481">
        <f t="shared" ca="1" si="568"/>
        <v>4.0178129257556468E-12</v>
      </c>
      <c r="S1481">
        <f t="shared" ca="1" si="586"/>
        <v>4.9999998736893758E-4</v>
      </c>
      <c r="T1481">
        <f t="shared" ca="1" si="587"/>
        <v>1</v>
      </c>
      <c r="U1481">
        <f t="shared" ca="1" si="569"/>
        <v>0.05</v>
      </c>
      <c r="V1481">
        <f t="shared" ca="1" si="570"/>
        <v>0.26</v>
      </c>
      <c r="W1481">
        <f t="shared" ca="1" si="571"/>
        <v>4.9056603773584909E-2</v>
      </c>
      <c r="X1481">
        <f t="shared" ca="1" si="572"/>
        <v>196.15384615384616</v>
      </c>
      <c r="Y1481">
        <f t="shared" ca="1" si="573"/>
        <v>631.9464999999999</v>
      </c>
      <c r="Z1481">
        <f t="shared" ca="1" si="574"/>
        <v>2593.0235316486619</v>
      </c>
      <c r="AA1481">
        <f t="shared" ca="1" si="575"/>
        <v>482.07306851378365</v>
      </c>
      <c r="AB1481">
        <f t="shared" ca="1" si="576"/>
        <v>482.07256851378406</v>
      </c>
      <c r="AC1481">
        <f t="shared" ca="1" si="577"/>
        <v>0</v>
      </c>
      <c r="AD1481">
        <f ca="1">IF(V32="Supercritical",L1481,U1481)</f>
        <v>0.05</v>
      </c>
      <c r="AE1481">
        <f t="shared" ca="1" si="578"/>
        <v>631.9464999999999</v>
      </c>
      <c r="AF1481">
        <f t="shared" ca="1" si="579"/>
        <v>2593.0235316486619</v>
      </c>
      <c r="AI1481">
        <v>0</v>
      </c>
      <c r="AJ1481">
        <v>0</v>
      </c>
      <c r="AK1481">
        <f t="shared" si="580"/>
        <v>0</v>
      </c>
      <c r="AL1481">
        <f t="shared" si="588"/>
        <v>0</v>
      </c>
      <c r="AM1481">
        <f t="shared" ca="1" si="581"/>
        <v>280.07692026646265</v>
      </c>
      <c r="AN1481" t="str">
        <f t="shared" ca="1" si="582"/>
        <v>Supercritical</v>
      </c>
      <c r="AO1481">
        <f ca="1">IF(V32="Supercritical",R1481,AA1481)</f>
        <v>482.07306851378365</v>
      </c>
    </row>
    <row r="1482" spans="1:41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174</v>
      </c>
      <c r="I1482">
        <v>0</v>
      </c>
      <c r="J1482">
        <f t="shared" si="583"/>
        <v>1</v>
      </c>
      <c r="K1482">
        <f t="shared" si="584"/>
        <v>51</v>
      </c>
      <c r="L1482">
        <f t="shared" ca="1" si="585"/>
        <v>38818.051231278128</v>
      </c>
      <c r="M1482">
        <f t="shared" ca="1" si="563"/>
        <v>201853.86640264626</v>
      </c>
      <c r="N1482">
        <f t="shared" ca="1" si="564"/>
        <v>2.5998258658784543</v>
      </c>
      <c r="O1482">
        <f t="shared" ca="1" si="565"/>
        <v>2.5265802884482871E-4</v>
      </c>
      <c r="P1482">
        <f t="shared" ca="1" si="566"/>
        <v>39449.947231278129</v>
      </c>
      <c r="Q1482">
        <f t="shared" ca="1" si="567"/>
        <v>39449.947231281381</v>
      </c>
      <c r="R1482">
        <f t="shared" ca="1" si="568"/>
        <v>4.0178129257556468E-12</v>
      </c>
      <c r="S1482">
        <f t="shared" ca="1" si="586"/>
        <v>4.999999946448952E-4</v>
      </c>
      <c r="T1482">
        <f t="shared" ca="1" si="587"/>
        <v>1</v>
      </c>
      <c r="U1482">
        <f t="shared" ca="1" si="569"/>
        <v>0.05</v>
      </c>
      <c r="V1482">
        <f t="shared" ca="1" si="570"/>
        <v>0.26</v>
      </c>
      <c r="W1482">
        <f t="shared" ca="1" si="571"/>
        <v>4.9056603773584909E-2</v>
      </c>
      <c r="X1482">
        <f t="shared" ca="1" si="572"/>
        <v>196.15384615384616</v>
      </c>
      <c r="Y1482">
        <f t="shared" ca="1" si="573"/>
        <v>631.94599999999991</v>
      </c>
      <c r="Z1482">
        <f t="shared" ca="1" si="574"/>
        <v>2593.0230316486623</v>
      </c>
      <c r="AA1482">
        <f t="shared" ca="1" si="575"/>
        <v>482.07306851378365</v>
      </c>
      <c r="AB1482">
        <f t="shared" ca="1" si="576"/>
        <v>482.07256851378361</v>
      </c>
      <c r="AC1482">
        <f t="shared" ca="1" si="577"/>
        <v>0</v>
      </c>
      <c r="AD1482">
        <f ca="1">IF(V32="Supercritical",L1482,U1482)</f>
        <v>0.05</v>
      </c>
      <c r="AE1482">
        <f t="shared" ca="1" si="578"/>
        <v>631.94599999999991</v>
      </c>
      <c r="AF1482">
        <f t="shared" ca="1" si="579"/>
        <v>2593.0230316486623</v>
      </c>
      <c r="AI1482">
        <v>0</v>
      </c>
      <c r="AJ1482">
        <v>0</v>
      </c>
      <c r="AK1482">
        <f t="shared" si="580"/>
        <v>0</v>
      </c>
      <c r="AL1482">
        <f t="shared" si="588"/>
        <v>0</v>
      </c>
      <c r="AM1482">
        <f t="shared" ca="1" si="581"/>
        <v>280.07692026646265</v>
      </c>
      <c r="AN1482" t="str">
        <f t="shared" ca="1" si="582"/>
        <v>Supercritical</v>
      </c>
      <c r="AO1482">
        <f ca="1">IF(V32="Supercritical",R1482,AA1482)</f>
        <v>482.07306851378365</v>
      </c>
    </row>
    <row r="1483" spans="1:41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174</v>
      </c>
      <c r="I1483">
        <v>0</v>
      </c>
      <c r="J1483">
        <f t="shared" si="583"/>
        <v>1</v>
      </c>
      <c r="K1483">
        <f t="shared" si="584"/>
        <v>51</v>
      </c>
      <c r="L1483">
        <f t="shared" ca="1" si="585"/>
        <v>38818.051231278128</v>
      </c>
      <c r="M1483">
        <f t="shared" ca="1" si="563"/>
        <v>201853.86640264626</v>
      </c>
      <c r="N1483">
        <f t="shared" ca="1" si="564"/>
        <v>2.5998258658784543</v>
      </c>
      <c r="O1483">
        <f t="shared" ca="1" si="565"/>
        <v>2.5265802884482871E-4</v>
      </c>
      <c r="P1483">
        <f t="shared" ca="1" si="566"/>
        <v>39449.946731278127</v>
      </c>
      <c r="Q1483">
        <f t="shared" ca="1" si="567"/>
        <v>39449.946731281379</v>
      </c>
      <c r="R1483">
        <f t="shared" ca="1" si="568"/>
        <v>4.0178129257556468E-12</v>
      </c>
      <c r="S1483">
        <f t="shared" ca="1" si="586"/>
        <v>4.999999946448952E-4</v>
      </c>
      <c r="T1483">
        <f t="shared" ca="1" si="587"/>
        <v>1</v>
      </c>
      <c r="U1483">
        <f t="shared" ca="1" si="569"/>
        <v>0.05</v>
      </c>
      <c r="V1483">
        <f t="shared" ca="1" si="570"/>
        <v>0.26</v>
      </c>
      <c r="W1483">
        <f t="shared" ca="1" si="571"/>
        <v>4.9056603773584909E-2</v>
      </c>
      <c r="X1483">
        <f t="shared" ca="1" si="572"/>
        <v>196.15384615384616</v>
      </c>
      <c r="Y1483">
        <f t="shared" ca="1" si="573"/>
        <v>631.94549999999992</v>
      </c>
      <c r="Z1483">
        <f t="shared" ca="1" si="574"/>
        <v>2593.0225316486622</v>
      </c>
      <c r="AA1483">
        <f t="shared" ca="1" si="575"/>
        <v>482.07306851378365</v>
      </c>
      <c r="AB1483">
        <f t="shared" ca="1" si="576"/>
        <v>481.77679776317837</v>
      </c>
      <c r="AC1483">
        <f t="shared" ca="1" si="577"/>
        <v>0</v>
      </c>
      <c r="AD1483">
        <f ca="1">IF(V32="Supercritical",L1483,U1483)</f>
        <v>0.05</v>
      </c>
      <c r="AE1483">
        <f t="shared" ca="1" si="578"/>
        <v>631.94549999999992</v>
      </c>
      <c r="AF1483">
        <f t="shared" ca="1" si="579"/>
        <v>2593.0225316486622</v>
      </c>
      <c r="AI1483">
        <v>0</v>
      </c>
      <c r="AJ1483">
        <v>0</v>
      </c>
      <c r="AK1483">
        <f t="shared" si="580"/>
        <v>0</v>
      </c>
      <c r="AL1483">
        <f t="shared" si="588"/>
        <v>0</v>
      </c>
      <c r="AM1483">
        <f t="shared" ca="1" si="581"/>
        <v>280.07692026646265</v>
      </c>
      <c r="AN1483" t="str">
        <f t="shared" ca="1" si="582"/>
        <v>Supercritical</v>
      </c>
      <c r="AO1483">
        <f ca="1">IF(V32="Supercritical",R1483,AA1483)</f>
        <v>482.07306851378365</v>
      </c>
    </row>
    <row r="1484" spans="1:41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174</v>
      </c>
      <c r="I1484">
        <v>5.7000000000000002E-2</v>
      </c>
      <c r="J1484">
        <f t="shared" si="583"/>
        <v>0.99899999999979627</v>
      </c>
      <c r="K1484">
        <f t="shared" si="584"/>
        <v>51</v>
      </c>
      <c r="L1484">
        <f t="shared" ca="1" si="585"/>
        <v>38818.051231278128</v>
      </c>
      <c r="M1484">
        <f t="shared" ca="1" si="563"/>
        <v>201853.86640264626</v>
      </c>
      <c r="N1484">
        <f t="shared" ca="1" si="564"/>
        <v>2.5998258658784543</v>
      </c>
      <c r="O1484">
        <f t="shared" ca="1" si="565"/>
        <v>2.5265802884482871E-4</v>
      </c>
      <c r="P1484">
        <f t="shared" ca="1" si="566"/>
        <v>39449.946231278125</v>
      </c>
      <c r="Q1484">
        <f t="shared" ca="1" si="567"/>
        <v>39449.946231281378</v>
      </c>
      <c r="R1484">
        <f t="shared" ca="1" si="568"/>
        <v>4.0178129257556468E-12</v>
      </c>
      <c r="S1484">
        <f t="shared" ca="1" si="586"/>
        <v>4.999999946448952E-4</v>
      </c>
      <c r="T1484">
        <f t="shared" ca="1" si="587"/>
        <v>1</v>
      </c>
      <c r="U1484">
        <f t="shared" ca="1" si="569"/>
        <v>0.05</v>
      </c>
      <c r="V1484">
        <f t="shared" ca="1" si="570"/>
        <v>0.26</v>
      </c>
      <c r="W1484">
        <f t="shared" ca="1" si="571"/>
        <v>4.9056603773584909E-2</v>
      </c>
      <c r="X1484">
        <f t="shared" ca="1" si="572"/>
        <v>196.15384615384616</v>
      </c>
      <c r="Y1484">
        <f t="shared" ca="1" si="573"/>
        <v>631.94499999999994</v>
      </c>
      <c r="Z1484">
        <f t="shared" ca="1" si="574"/>
        <v>2593.0220316486621</v>
      </c>
      <c r="AA1484">
        <f t="shared" ca="1" si="575"/>
        <v>482.07306851378365</v>
      </c>
      <c r="AB1484">
        <f t="shared" ca="1" si="576"/>
        <v>482.25887083179032</v>
      </c>
      <c r="AC1484">
        <f t="shared" ca="1" si="577"/>
        <v>0</v>
      </c>
      <c r="AD1484">
        <f ca="1">IF(V32="Supercritical",L1484,U1484)</f>
        <v>0.05</v>
      </c>
      <c r="AE1484">
        <f t="shared" ca="1" si="578"/>
        <v>631.94499999999994</v>
      </c>
      <c r="AF1484">
        <f t="shared" ca="1" si="579"/>
        <v>2593.0220316486621</v>
      </c>
      <c r="AI1484">
        <v>0</v>
      </c>
      <c r="AJ1484">
        <v>0</v>
      </c>
      <c r="AK1484">
        <f t="shared" si="580"/>
        <v>0</v>
      </c>
      <c r="AL1484">
        <f t="shared" si="588"/>
        <v>0</v>
      </c>
      <c r="AM1484">
        <f t="shared" ca="1" si="581"/>
        <v>280.07692026646265</v>
      </c>
      <c r="AN1484" t="str">
        <f t="shared" ca="1" si="582"/>
        <v>Supercritical</v>
      </c>
      <c r="AO1484">
        <f ca="1">IF(V32="Supercritical",R1484,AA1484)</f>
        <v>482.07306851378365</v>
      </c>
    </row>
    <row r="1485" spans="1:41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174</v>
      </c>
      <c r="I1485">
        <v>5.7000000000000002E-2</v>
      </c>
      <c r="J1485">
        <f t="shared" si="583"/>
        <v>1</v>
      </c>
      <c r="K1485">
        <f t="shared" si="584"/>
        <v>51</v>
      </c>
      <c r="L1485">
        <f t="shared" ca="1" si="585"/>
        <v>38818.051231278128</v>
      </c>
      <c r="M1485">
        <f t="shared" ca="1" si="563"/>
        <v>201853.86640264626</v>
      </c>
      <c r="N1485">
        <f t="shared" ca="1" si="564"/>
        <v>2.5998258658784543</v>
      </c>
      <c r="O1485">
        <f t="shared" ca="1" si="565"/>
        <v>2.5265802884482871E-4</v>
      </c>
      <c r="P1485">
        <f t="shared" ca="1" si="566"/>
        <v>39449.945731278131</v>
      </c>
      <c r="Q1485">
        <f t="shared" ca="1" si="567"/>
        <v>39449.945731281383</v>
      </c>
      <c r="R1485">
        <f t="shared" ca="1" si="568"/>
        <v>4.0178129257556468E-12</v>
      </c>
      <c r="S1485">
        <f t="shared" ca="1" si="586"/>
        <v>4.9999998736893758E-4</v>
      </c>
      <c r="T1485">
        <f t="shared" ca="1" si="587"/>
        <v>1</v>
      </c>
      <c r="U1485">
        <f t="shared" ca="1" si="569"/>
        <v>0.05</v>
      </c>
      <c r="V1485">
        <f t="shared" ca="1" si="570"/>
        <v>0.26</v>
      </c>
      <c r="W1485">
        <f t="shared" ca="1" si="571"/>
        <v>4.9056603773584909E-2</v>
      </c>
      <c r="X1485">
        <f t="shared" ca="1" si="572"/>
        <v>196.15384615384616</v>
      </c>
      <c r="Y1485">
        <f t="shared" ca="1" si="573"/>
        <v>631.94449999999995</v>
      </c>
      <c r="Z1485">
        <f t="shared" ca="1" si="574"/>
        <v>2593.0215316486619</v>
      </c>
      <c r="AA1485">
        <f t="shared" ca="1" si="575"/>
        <v>482.07306851378365</v>
      </c>
      <c r="AB1485">
        <f t="shared" ca="1" si="576"/>
        <v>482.07256851378361</v>
      </c>
      <c r="AC1485">
        <f t="shared" ca="1" si="577"/>
        <v>0</v>
      </c>
      <c r="AD1485">
        <f ca="1">IF(V32="Supercritical",L1485,U1485)</f>
        <v>0.05</v>
      </c>
      <c r="AE1485">
        <f t="shared" ca="1" si="578"/>
        <v>631.94449999999995</v>
      </c>
      <c r="AF1485">
        <f t="shared" ca="1" si="579"/>
        <v>2593.0215316486619</v>
      </c>
      <c r="AI1485">
        <v>0</v>
      </c>
      <c r="AJ1485">
        <v>0</v>
      </c>
      <c r="AK1485">
        <f t="shared" si="580"/>
        <v>0</v>
      </c>
      <c r="AL1485">
        <f t="shared" si="588"/>
        <v>0</v>
      </c>
      <c r="AM1485">
        <f t="shared" ca="1" si="581"/>
        <v>280.07692026646265</v>
      </c>
      <c r="AN1485" t="str">
        <f t="shared" ca="1" si="582"/>
        <v>Supercritical</v>
      </c>
      <c r="AO1485">
        <f ca="1">IF(V32="Supercritical",R1485,AA1485)</f>
        <v>482.07306851378365</v>
      </c>
    </row>
    <row r="1486" spans="1:41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174</v>
      </c>
      <c r="I1486">
        <v>0</v>
      </c>
      <c r="J1486">
        <f t="shared" si="583"/>
        <v>1</v>
      </c>
      <c r="K1486">
        <f t="shared" si="584"/>
        <v>51</v>
      </c>
      <c r="L1486">
        <f t="shared" ca="1" si="585"/>
        <v>38818.051231278128</v>
      </c>
      <c r="M1486">
        <f t="shared" ca="1" si="563"/>
        <v>201853.86640264626</v>
      </c>
      <c r="N1486">
        <f t="shared" ca="1" si="564"/>
        <v>2.5998258658784543</v>
      </c>
      <c r="O1486">
        <f t="shared" ca="1" si="565"/>
        <v>2.5265802884482871E-4</v>
      </c>
      <c r="P1486">
        <f t="shared" ca="1" si="566"/>
        <v>39449.945231278129</v>
      </c>
      <c r="Q1486">
        <f t="shared" ca="1" si="567"/>
        <v>39449.945231281381</v>
      </c>
      <c r="R1486">
        <f t="shared" ca="1" si="568"/>
        <v>4.0178129257556468E-12</v>
      </c>
      <c r="S1486">
        <f t="shared" ca="1" si="586"/>
        <v>4.999999946448952E-4</v>
      </c>
      <c r="T1486">
        <f t="shared" ca="1" si="587"/>
        <v>1</v>
      </c>
      <c r="U1486">
        <f t="shared" ca="1" si="569"/>
        <v>0.05</v>
      </c>
      <c r="V1486">
        <f t="shared" ca="1" si="570"/>
        <v>0.26</v>
      </c>
      <c r="W1486">
        <f t="shared" ca="1" si="571"/>
        <v>4.9056603773584909E-2</v>
      </c>
      <c r="X1486">
        <f t="shared" ca="1" si="572"/>
        <v>196.15384615384616</v>
      </c>
      <c r="Y1486">
        <f t="shared" ca="1" si="573"/>
        <v>631.94399999999996</v>
      </c>
      <c r="Z1486">
        <f t="shared" ca="1" si="574"/>
        <v>2593.0210316486618</v>
      </c>
      <c r="AA1486">
        <f t="shared" ca="1" si="575"/>
        <v>482.07306851378365</v>
      </c>
      <c r="AB1486">
        <f t="shared" ca="1" si="576"/>
        <v>482.25887083179077</v>
      </c>
      <c r="AC1486">
        <f t="shared" ca="1" si="577"/>
        <v>0</v>
      </c>
      <c r="AD1486">
        <f ca="1">IF(V32="Supercritical",L1486,U1486)</f>
        <v>0.05</v>
      </c>
      <c r="AE1486">
        <f t="shared" ca="1" si="578"/>
        <v>631.94399999999996</v>
      </c>
      <c r="AF1486">
        <f t="shared" ca="1" si="579"/>
        <v>2593.0210316486618</v>
      </c>
      <c r="AI1486">
        <v>0</v>
      </c>
      <c r="AJ1486">
        <v>0</v>
      </c>
      <c r="AK1486">
        <f t="shared" si="580"/>
        <v>0</v>
      </c>
      <c r="AL1486">
        <f t="shared" si="588"/>
        <v>0</v>
      </c>
      <c r="AM1486">
        <f t="shared" ca="1" si="581"/>
        <v>280.07692026646265</v>
      </c>
      <c r="AN1486" t="str">
        <f t="shared" ca="1" si="582"/>
        <v>Supercritical</v>
      </c>
      <c r="AO1486">
        <f ca="1">IF(V32="Supercritical",R1486,AA1486)</f>
        <v>482.07306851378365</v>
      </c>
    </row>
    <row r="1487" spans="1:41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174</v>
      </c>
      <c r="I1487">
        <v>5.7000000000000002E-2</v>
      </c>
      <c r="J1487">
        <f t="shared" si="583"/>
        <v>1</v>
      </c>
      <c r="K1487">
        <f t="shared" si="584"/>
        <v>51</v>
      </c>
      <c r="L1487">
        <f t="shared" ca="1" si="585"/>
        <v>38818.051231278128</v>
      </c>
      <c r="M1487">
        <f t="shared" ca="1" si="563"/>
        <v>201853.86640264626</v>
      </c>
      <c r="N1487">
        <f t="shared" ca="1" si="564"/>
        <v>2.5998258658784543</v>
      </c>
      <c r="O1487">
        <f t="shared" ca="1" si="565"/>
        <v>2.5265802884482871E-4</v>
      </c>
      <c r="P1487">
        <f t="shared" ca="1" si="566"/>
        <v>39449.944731278127</v>
      </c>
      <c r="Q1487">
        <f t="shared" ca="1" si="567"/>
        <v>39449.944731281379</v>
      </c>
      <c r="R1487">
        <f t="shared" ca="1" si="568"/>
        <v>4.0178129257556468E-12</v>
      </c>
      <c r="S1487">
        <f t="shared" ca="1" si="586"/>
        <v>4.999999946448952E-4</v>
      </c>
      <c r="T1487">
        <f t="shared" ca="1" si="587"/>
        <v>1</v>
      </c>
      <c r="U1487">
        <f t="shared" ca="1" si="569"/>
        <v>0.05</v>
      </c>
      <c r="V1487">
        <f t="shared" ca="1" si="570"/>
        <v>0.26</v>
      </c>
      <c r="W1487">
        <f t="shared" ca="1" si="571"/>
        <v>4.9056603773584909E-2</v>
      </c>
      <c r="X1487">
        <f t="shared" ca="1" si="572"/>
        <v>196.15384615384616</v>
      </c>
      <c r="Y1487">
        <f t="shared" ca="1" si="573"/>
        <v>631.94349999999997</v>
      </c>
      <c r="Z1487">
        <f t="shared" ca="1" si="574"/>
        <v>2593.0205316486622</v>
      </c>
      <c r="AA1487">
        <f t="shared" ca="1" si="575"/>
        <v>482.07306851378365</v>
      </c>
      <c r="AB1487">
        <f t="shared" ca="1" si="576"/>
        <v>482.25887083179032</v>
      </c>
      <c r="AC1487">
        <f t="shared" ca="1" si="577"/>
        <v>0</v>
      </c>
      <c r="AD1487">
        <f ca="1">IF(V32="Supercritical",L1487,U1487)</f>
        <v>0.05</v>
      </c>
      <c r="AE1487">
        <f t="shared" ca="1" si="578"/>
        <v>631.94349999999997</v>
      </c>
      <c r="AF1487">
        <f t="shared" ca="1" si="579"/>
        <v>2593.0205316486622</v>
      </c>
      <c r="AI1487">
        <v>0</v>
      </c>
      <c r="AJ1487">
        <v>0</v>
      </c>
      <c r="AK1487">
        <f t="shared" si="580"/>
        <v>0</v>
      </c>
      <c r="AL1487">
        <f t="shared" si="588"/>
        <v>0</v>
      </c>
      <c r="AM1487">
        <f t="shared" ca="1" si="581"/>
        <v>280.07692026646265</v>
      </c>
      <c r="AN1487" t="str">
        <f t="shared" ca="1" si="582"/>
        <v>Supercritical</v>
      </c>
      <c r="AO1487">
        <f ca="1">IF(V32="Supercritical",R1487,AA1487)</f>
        <v>482.07306851378365</v>
      </c>
    </row>
    <row r="1488" spans="1:41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174</v>
      </c>
      <c r="I1488">
        <v>5.7000000000000002E-2</v>
      </c>
      <c r="J1488">
        <f t="shared" si="583"/>
        <v>1</v>
      </c>
      <c r="K1488">
        <f t="shared" si="584"/>
        <v>51</v>
      </c>
      <c r="L1488">
        <f t="shared" ca="1" si="585"/>
        <v>38818.051231278128</v>
      </c>
      <c r="M1488">
        <f t="shared" ca="1" si="563"/>
        <v>201853.86640264626</v>
      </c>
      <c r="N1488">
        <f t="shared" ca="1" si="564"/>
        <v>2.5998258658784543</v>
      </c>
      <c r="O1488">
        <f t="shared" ca="1" si="565"/>
        <v>2.5265802884482871E-4</v>
      </c>
      <c r="P1488">
        <f t="shared" ca="1" si="566"/>
        <v>39449.944231278132</v>
      </c>
      <c r="Q1488">
        <f t="shared" ca="1" si="567"/>
        <v>39449.944231281384</v>
      </c>
      <c r="R1488">
        <f t="shared" ca="1" si="568"/>
        <v>4.0178129257556468E-12</v>
      </c>
      <c r="S1488">
        <f t="shared" ca="1" si="586"/>
        <v>4.9999998736893758E-4</v>
      </c>
      <c r="T1488">
        <f t="shared" ca="1" si="587"/>
        <v>1</v>
      </c>
      <c r="U1488">
        <f t="shared" ca="1" si="569"/>
        <v>0.05</v>
      </c>
      <c r="V1488">
        <f t="shared" ca="1" si="570"/>
        <v>0.26</v>
      </c>
      <c r="W1488">
        <f t="shared" ca="1" si="571"/>
        <v>4.9056603773584909E-2</v>
      </c>
      <c r="X1488">
        <f t="shared" ca="1" si="572"/>
        <v>196.15384615384616</v>
      </c>
      <c r="Y1488">
        <f t="shared" ca="1" si="573"/>
        <v>631.94299999999998</v>
      </c>
      <c r="Z1488">
        <f t="shared" ca="1" si="574"/>
        <v>2593.0200316486621</v>
      </c>
      <c r="AA1488">
        <f t="shared" ca="1" si="575"/>
        <v>482.07306851378365</v>
      </c>
      <c r="AB1488">
        <f t="shared" ca="1" si="576"/>
        <v>482.07910543722255</v>
      </c>
      <c r="AC1488">
        <f t="shared" ca="1" si="577"/>
        <v>0</v>
      </c>
      <c r="AD1488">
        <f ca="1">IF(V32="Supercritical",L1488,U1488)</f>
        <v>0.05</v>
      </c>
      <c r="AE1488">
        <f t="shared" ca="1" si="578"/>
        <v>631.94299999999998</v>
      </c>
      <c r="AF1488">
        <f t="shared" ca="1" si="579"/>
        <v>2593.0200316486621</v>
      </c>
      <c r="AI1488">
        <v>0</v>
      </c>
      <c r="AJ1488">
        <v>0</v>
      </c>
      <c r="AK1488">
        <f t="shared" si="580"/>
        <v>0</v>
      </c>
      <c r="AL1488">
        <f t="shared" si="588"/>
        <v>0</v>
      </c>
      <c r="AM1488">
        <f t="shared" ca="1" si="581"/>
        <v>280.07692026646265</v>
      </c>
      <c r="AN1488" t="str">
        <f t="shared" ca="1" si="582"/>
        <v>Supercritical</v>
      </c>
      <c r="AO1488">
        <f ca="1">IF(V32="Supercritical",R1488,AA1488)</f>
        <v>482.07306851378365</v>
      </c>
    </row>
    <row r="1489" spans="1:41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174</v>
      </c>
      <c r="I1489">
        <v>2E-3</v>
      </c>
      <c r="J1489">
        <f t="shared" si="583"/>
        <v>1</v>
      </c>
      <c r="K1489">
        <f t="shared" si="584"/>
        <v>51</v>
      </c>
      <c r="L1489">
        <f t="shared" ca="1" si="585"/>
        <v>38818.051231278128</v>
      </c>
      <c r="M1489">
        <f t="shared" ca="1" si="563"/>
        <v>201853.86640264626</v>
      </c>
      <c r="N1489">
        <f t="shared" ca="1" si="564"/>
        <v>2.5998258658784543</v>
      </c>
      <c r="O1489">
        <f t="shared" ca="1" si="565"/>
        <v>2.5265802884482871E-4</v>
      </c>
      <c r="P1489">
        <f t="shared" ca="1" si="566"/>
        <v>39449.94373127813</v>
      </c>
      <c r="Q1489">
        <f t="shared" ca="1" si="567"/>
        <v>39449.943731281382</v>
      </c>
      <c r="R1489">
        <f t="shared" ca="1" si="568"/>
        <v>4.0178129257556468E-12</v>
      </c>
      <c r="S1489">
        <f t="shared" ca="1" si="586"/>
        <v>4.999999946448952E-4</v>
      </c>
      <c r="T1489">
        <f t="shared" ca="1" si="587"/>
        <v>1</v>
      </c>
      <c r="U1489">
        <f t="shared" ca="1" si="569"/>
        <v>0.05</v>
      </c>
      <c r="V1489">
        <f t="shared" ca="1" si="570"/>
        <v>0.26</v>
      </c>
      <c r="W1489">
        <f t="shared" ca="1" si="571"/>
        <v>4.9056603773584909E-2</v>
      </c>
      <c r="X1489">
        <f t="shared" ca="1" si="572"/>
        <v>196.15384615384616</v>
      </c>
      <c r="Y1489">
        <f t="shared" ca="1" si="573"/>
        <v>631.9425</v>
      </c>
      <c r="Z1489">
        <f t="shared" ca="1" si="574"/>
        <v>2593.019531648662</v>
      </c>
      <c r="AA1489">
        <f t="shared" ca="1" si="575"/>
        <v>482.07306851378365</v>
      </c>
      <c r="AB1489">
        <f t="shared" ca="1" si="576"/>
        <v>482.56117850583496</v>
      </c>
      <c r="AC1489">
        <f t="shared" ca="1" si="577"/>
        <v>0</v>
      </c>
      <c r="AD1489">
        <f ca="1">IF(V32="Supercritical",L1489,U1489)</f>
        <v>0.05</v>
      </c>
      <c r="AE1489">
        <f t="shared" ca="1" si="578"/>
        <v>631.9425</v>
      </c>
      <c r="AF1489">
        <f t="shared" ca="1" si="579"/>
        <v>2593.019531648662</v>
      </c>
      <c r="AI1489">
        <v>0</v>
      </c>
      <c r="AJ1489">
        <v>0</v>
      </c>
      <c r="AK1489">
        <f t="shared" si="580"/>
        <v>0</v>
      </c>
      <c r="AL1489">
        <f t="shared" si="588"/>
        <v>0</v>
      </c>
      <c r="AM1489">
        <f t="shared" ca="1" si="581"/>
        <v>280.07692026646265</v>
      </c>
      <c r="AN1489" t="str">
        <f t="shared" ca="1" si="582"/>
        <v>Supercritical</v>
      </c>
      <c r="AO1489">
        <f ca="1">IF(V32="Supercritical",R1489,AA1489)</f>
        <v>482.07306851378365</v>
      </c>
    </row>
    <row r="1490" spans="1:41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174</v>
      </c>
      <c r="I1490">
        <v>2E-3</v>
      </c>
      <c r="J1490">
        <f t="shared" si="583"/>
        <v>1.0010000000002037</v>
      </c>
      <c r="K1490">
        <f t="shared" si="584"/>
        <v>51</v>
      </c>
      <c r="L1490">
        <f t="shared" ca="1" si="585"/>
        <v>38818.051231278128</v>
      </c>
      <c r="M1490">
        <f t="shared" ca="1" si="563"/>
        <v>201853.86640264626</v>
      </c>
      <c r="N1490">
        <f t="shared" ca="1" si="564"/>
        <v>2.5998258658784543</v>
      </c>
      <c r="O1490">
        <f t="shared" ca="1" si="565"/>
        <v>2.5265802884482871E-4</v>
      </c>
      <c r="P1490">
        <f t="shared" ca="1" si="566"/>
        <v>39449.943231278128</v>
      </c>
      <c r="Q1490">
        <f t="shared" ca="1" si="567"/>
        <v>39449.943231281381</v>
      </c>
      <c r="R1490">
        <f t="shared" ca="1" si="568"/>
        <v>4.0178129257556468E-12</v>
      </c>
      <c r="S1490">
        <f t="shared" ca="1" si="586"/>
        <v>4.999999946448952E-4</v>
      </c>
      <c r="T1490">
        <f t="shared" ca="1" si="587"/>
        <v>1</v>
      </c>
      <c r="U1490">
        <f t="shared" ca="1" si="569"/>
        <v>0.05</v>
      </c>
      <c r="V1490">
        <f t="shared" ca="1" si="570"/>
        <v>0.26</v>
      </c>
      <c r="W1490">
        <f t="shared" ca="1" si="571"/>
        <v>4.9056603773584909E-2</v>
      </c>
      <c r="X1490">
        <f t="shared" ca="1" si="572"/>
        <v>196.15384615384616</v>
      </c>
      <c r="Y1490">
        <f t="shared" ca="1" si="573"/>
        <v>631.94200000000001</v>
      </c>
      <c r="Z1490">
        <f t="shared" ca="1" si="574"/>
        <v>2593.0190316486623</v>
      </c>
      <c r="AA1490">
        <f t="shared" ca="1" si="575"/>
        <v>482.07306851378365</v>
      </c>
      <c r="AB1490">
        <f t="shared" ca="1" si="576"/>
        <v>482.25887083179032</v>
      </c>
      <c r="AC1490">
        <f t="shared" ca="1" si="577"/>
        <v>0</v>
      </c>
      <c r="AD1490">
        <f ca="1">IF(V32="Supercritical",L1490,U1490)</f>
        <v>0.05</v>
      </c>
      <c r="AE1490">
        <f t="shared" ca="1" si="578"/>
        <v>631.94200000000001</v>
      </c>
      <c r="AF1490">
        <f t="shared" ca="1" si="579"/>
        <v>2593.0190316486623</v>
      </c>
      <c r="AI1490">
        <v>0</v>
      </c>
      <c r="AJ1490">
        <v>0</v>
      </c>
      <c r="AK1490">
        <f t="shared" si="580"/>
        <v>0</v>
      </c>
      <c r="AL1490">
        <f t="shared" si="588"/>
        <v>0</v>
      </c>
      <c r="AM1490">
        <f t="shared" ca="1" si="581"/>
        <v>280.07692026646265</v>
      </c>
      <c r="AN1490" t="str">
        <f t="shared" ca="1" si="582"/>
        <v>Supercritical</v>
      </c>
      <c r="AO1490">
        <f ca="1">IF(V32="Supercritical",R1490,AA1490)</f>
        <v>482.07306851378365</v>
      </c>
    </row>
    <row r="1491" spans="1:41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174</v>
      </c>
      <c r="I1491">
        <v>5.7000000000000002E-2</v>
      </c>
      <c r="J1491">
        <f t="shared" si="583"/>
        <v>1</v>
      </c>
      <c r="K1491">
        <f t="shared" si="584"/>
        <v>51</v>
      </c>
      <c r="L1491">
        <f t="shared" ca="1" si="585"/>
        <v>38818.051231278128</v>
      </c>
      <c r="M1491">
        <f t="shared" ca="1" si="563"/>
        <v>201853.86640264626</v>
      </c>
      <c r="N1491">
        <f t="shared" ca="1" si="564"/>
        <v>2.5998258658784543</v>
      </c>
      <c r="O1491">
        <f t="shared" ca="1" si="565"/>
        <v>2.5265802884482871E-4</v>
      </c>
      <c r="P1491">
        <f t="shared" ca="1" si="566"/>
        <v>39449.942731278126</v>
      </c>
      <c r="Q1491">
        <f t="shared" ca="1" si="567"/>
        <v>39449.942731281379</v>
      </c>
      <c r="R1491">
        <f t="shared" ca="1" si="568"/>
        <v>4.0178129257556468E-12</v>
      </c>
      <c r="S1491">
        <f t="shared" ca="1" si="586"/>
        <v>4.999999946448952E-4</v>
      </c>
      <c r="T1491">
        <f t="shared" ca="1" si="587"/>
        <v>1</v>
      </c>
      <c r="U1491">
        <f t="shared" ca="1" si="569"/>
        <v>0.05</v>
      </c>
      <c r="V1491">
        <f t="shared" ca="1" si="570"/>
        <v>0.26</v>
      </c>
      <c r="W1491">
        <f t="shared" ca="1" si="571"/>
        <v>4.9056603773584909E-2</v>
      </c>
      <c r="X1491">
        <f t="shared" ca="1" si="572"/>
        <v>196.15384615384616</v>
      </c>
      <c r="Y1491">
        <f t="shared" ca="1" si="573"/>
        <v>631.94149999999991</v>
      </c>
      <c r="Z1491">
        <f t="shared" ca="1" si="574"/>
        <v>2593.0185316486622</v>
      </c>
      <c r="AA1491">
        <f t="shared" ca="1" si="575"/>
        <v>482.07306851378365</v>
      </c>
      <c r="AB1491">
        <f t="shared" ca="1" si="576"/>
        <v>482.25887083179032</v>
      </c>
      <c r="AC1491">
        <f t="shared" ca="1" si="577"/>
        <v>0</v>
      </c>
      <c r="AD1491">
        <f ca="1">IF(V32="Supercritical",L1491,U1491)</f>
        <v>0.05</v>
      </c>
      <c r="AE1491">
        <f t="shared" ca="1" si="578"/>
        <v>631.94149999999991</v>
      </c>
      <c r="AF1491">
        <f t="shared" ca="1" si="579"/>
        <v>2593.0185316486622</v>
      </c>
      <c r="AI1491">
        <v>0</v>
      </c>
      <c r="AJ1491">
        <v>0</v>
      </c>
      <c r="AK1491">
        <f t="shared" si="580"/>
        <v>0</v>
      </c>
      <c r="AL1491">
        <f t="shared" si="588"/>
        <v>0</v>
      </c>
      <c r="AM1491">
        <f t="shared" ca="1" si="581"/>
        <v>280.07692026646265</v>
      </c>
      <c r="AN1491" t="str">
        <f t="shared" ca="1" si="582"/>
        <v>Supercritical</v>
      </c>
      <c r="AO1491">
        <f ca="1">IF(V32="Supercritical",R1491,AA1491)</f>
        <v>482.07306851378365</v>
      </c>
    </row>
    <row r="1492" spans="1:41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174</v>
      </c>
      <c r="I1492">
        <v>5.7000000000000002E-2</v>
      </c>
      <c r="J1492">
        <f t="shared" si="583"/>
        <v>1</v>
      </c>
      <c r="K1492">
        <f t="shared" si="584"/>
        <v>51</v>
      </c>
      <c r="L1492">
        <f t="shared" ca="1" si="585"/>
        <v>38818.051231278128</v>
      </c>
      <c r="M1492">
        <f t="shared" ca="1" si="563"/>
        <v>201853.86640264626</v>
      </c>
      <c r="N1492">
        <f t="shared" ca="1" si="564"/>
        <v>2.5998258658784543</v>
      </c>
      <c r="O1492">
        <f t="shared" ca="1" si="565"/>
        <v>2.5265802884482871E-4</v>
      </c>
      <c r="P1492">
        <f t="shared" ca="1" si="566"/>
        <v>39449.942231278132</v>
      </c>
      <c r="Q1492">
        <f t="shared" ca="1" si="567"/>
        <v>39449.942231281384</v>
      </c>
      <c r="R1492">
        <f t="shared" ca="1" si="568"/>
        <v>4.0178129257556468E-12</v>
      </c>
      <c r="S1492">
        <f t="shared" ca="1" si="586"/>
        <v>4.9999998736893758E-4</v>
      </c>
      <c r="T1492">
        <f t="shared" ca="1" si="587"/>
        <v>1</v>
      </c>
      <c r="U1492">
        <f t="shared" ca="1" si="569"/>
        <v>0.05</v>
      </c>
      <c r="V1492">
        <f t="shared" ca="1" si="570"/>
        <v>0.26</v>
      </c>
      <c r="W1492">
        <f t="shared" ca="1" si="571"/>
        <v>4.9056603773584909E-2</v>
      </c>
      <c r="X1492">
        <f t="shared" ca="1" si="572"/>
        <v>196.15384615384616</v>
      </c>
      <c r="Y1492">
        <f t="shared" ca="1" si="573"/>
        <v>631.94099999999992</v>
      </c>
      <c r="Z1492">
        <f t="shared" ca="1" si="574"/>
        <v>2593.0180316486621</v>
      </c>
      <c r="AA1492">
        <f t="shared" ca="1" si="575"/>
        <v>482.07306851378365</v>
      </c>
      <c r="AB1492">
        <f t="shared" ca="1" si="576"/>
        <v>481.59049544517165</v>
      </c>
      <c r="AC1492">
        <f t="shared" ca="1" si="577"/>
        <v>0</v>
      </c>
      <c r="AD1492">
        <f ca="1">IF(V32="Supercritical",L1492,U1492)</f>
        <v>0.05</v>
      </c>
      <c r="AE1492">
        <f t="shared" ca="1" si="578"/>
        <v>631.94099999999992</v>
      </c>
      <c r="AF1492">
        <f t="shared" ca="1" si="579"/>
        <v>2593.0180316486621</v>
      </c>
      <c r="AI1492">
        <v>0</v>
      </c>
      <c r="AJ1492">
        <v>0</v>
      </c>
      <c r="AK1492">
        <f t="shared" si="580"/>
        <v>0</v>
      </c>
      <c r="AL1492">
        <f t="shared" si="588"/>
        <v>0</v>
      </c>
      <c r="AM1492">
        <f t="shared" ca="1" si="581"/>
        <v>280.07692026646265</v>
      </c>
      <c r="AN1492" t="str">
        <f t="shared" ca="1" si="582"/>
        <v>Supercritical</v>
      </c>
      <c r="AO1492">
        <f ca="1">IF(V32="Supercritical",R1492,AA1492)</f>
        <v>482.07306851378365</v>
      </c>
    </row>
    <row r="1493" spans="1:41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174</v>
      </c>
      <c r="I1493">
        <v>0</v>
      </c>
      <c r="J1493">
        <f t="shared" si="583"/>
        <v>0.99899999999979627</v>
      </c>
      <c r="K1493">
        <f t="shared" si="584"/>
        <v>51</v>
      </c>
      <c r="L1493">
        <f t="shared" ca="1" si="585"/>
        <v>38818.051231278128</v>
      </c>
      <c r="M1493">
        <f t="shared" ca="1" si="563"/>
        <v>201853.86640264626</v>
      </c>
      <c r="N1493">
        <f t="shared" ca="1" si="564"/>
        <v>2.5998258658784543</v>
      </c>
      <c r="O1493">
        <f t="shared" ca="1" si="565"/>
        <v>2.5265802884482871E-4</v>
      </c>
      <c r="P1493">
        <f t="shared" ca="1" si="566"/>
        <v>39449.94173127813</v>
      </c>
      <c r="Q1493">
        <f t="shared" ca="1" si="567"/>
        <v>39449.941731281382</v>
      </c>
      <c r="R1493">
        <f t="shared" ca="1" si="568"/>
        <v>4.0178129257556468E-12</v>
      </c>
      <c r="S1493">
        <f t="shared" ca="1" si="586"/>
        <v>4.999999946448952E-4</v>
      </c>
      <c r="T1493">
        <f t="shared" ca="1" si="587"/>
        <v>1</v>
      </c>
      <c r="U1493">
        <f t="shared" ca="1" si="569"/>
        <v>0.05</v>
      </c>
      <c r="V1493">
        <f t="shared" ca="1" si="570"/>
        <v>0.26</v>
      </c>
      <c r="W1493">
        <f t="shared" ca="1" si="571"/>
        <v>4.9056603773584909E-2</v>
      </c>
      <c r="X1493">
        <f t="shared" ca="1" si="572"/>
        <v>196.15384615384616</v>
      </c>
      <c r="Y1493">
        <f t="shared" ca="1" si="573"/>
        <v>631.94049999999993</v>
      </c>
      <c r="Z1493">
        <f t="shared" ca="1" si="574"/>
        <v>2593.017531648662</v>
      </c>
      <c r="AA1493">
        <f t="shared" ca="1" si="575"/>
        <v>482.07306851378365</v>
      </c>
      <c r="AB1493">
        <f t="shared" ca="1" si="576"/>
        <v>482.07256851378361</v>
      </c>
      <c r="AC1493">
        <f t="shared" ca="1" si="577"/>
        <v>0</v>
      </c>
      <c r="AD1493">
        <f ca="1">IF(V32="Supercritical",L1493,U1493)</f>
        <v>0.05</v>
      </c>
      <c r="AE1493">
        <f t="shared" ca="1" si="578"/>
        <v>631.94049999999993</v>
      </c>
      <c r="AF1493">
        <f t="shared" ca="1" si="579"/>
        <v>2593.017531648662</v>
      </c>
      <c r="AI1493">
        <v>0</v>
      </c>
      <c r="AJ1493">
        <v>0</v>
      </c>
      <c r="AK1493">
        <f t="shared" si="580"/>
        <v>0</v>
      </c>
      <c r="AL1493">
        <f t="shared" si="588"/>
        <v>0</v>
      </c>
      <c r="AM1493">
        <f t="shared" ca="1" si="581"/>
        <v>280.07692026646265</v>
      </c>
      <c r="AN1493" t="str">
        <f t="shared" ca="1" si="582"/>
        <v>Supercritical</v>
      </c>
      <c r="AO1493">
        <f ca="1">IF(V32="Supercritical",R1493,AA1493)</f>
        <v>482.07306851378365</v>
      </c>
    </row>
    <row r="1494" spans="1:41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174</v>
      </c>
      <c r="I1494">
        <v>0</v>
      </c>
      <c r="J1494">
        <f t="shared" si="583"/>
        <v>1</v>
      </c>
      <c r="K1494">
        <f t="shared" si="584"/>
        <v>51</v>
      </c>
      <c r="L1494">
        <f t="shared" ca="1" si="585"/>
        <v>38818.051231278128</v>
      </c>
      <c r="M1494">
        <f t="shared" ref="M1494:M1557" ca="1" si="589">((F1494)+(G1494)*(L1494))*(L1494)</f>
        <v>201853.86640264626</v>
      </c>
      <c r="N1494">
        <f t="shared" ref="N1494:N1533" ca="1" si="590">(((F1494)+(G1494)*(L1494))*(L1494))/MAX((F1494)+2*(L1494)*SQRT(1+(G1494)^2),0.000001)</f>
        <v>2.5998258658784543</v>
      </c>
      <c r="O1494">
        <f t="shared" ref="O1494:O1533" ca="1" si="591">ABS(K1494)/MAX(((F1494)+(G1494)*(L1494))*(L1494),0.000001)</f>
        <v>2.5265802884482871E-4</v>
      </c>
      <c r="P1494">
        <f t="shared" ref="P1494:P1533" ca="1" si="592">E1494+L1494</f>
        <v>39449.941231278128</v>
      </c>
      <c r="Q1494">
        <f t="shared" ref="Q1494:Q1557" ca="1" si="593">P1494+((ABS(K1494)/MAX(((F1494)+(G1494)*(L1494))*(L1494),0.000001))^2)/(2*$I$5)</f>
        <v>39449.94123128138</v>
      </c>
      <c r="R1494">
        <f t="shared" ref="R1494:R1533" ca="1" si="594">((ABS(K1494)*$D$6)/(MAX(((F1494)+(G1494)*(L1494))*(L1494),0.000001)*MAX(((((F1494)+(G1494)*(L1494))*(L1494))/MAX((F1494)+2*(L1494)*SQRT(1+(G1494)^2),0.000001))^(2/3),0.000001)))^2</f>
        <v>4.0178129257556468E-12</v>
      </c>
      <c r="S1494">
        <f t="shared" ca="1" si="586"/>
        <v>4.999999946448952E-4</v>
      </c>
      <c r="T1494">
        <f t="shared" ca="1" si="587"/>
        <v>1</v>
      </c>
      <c r="U1494">
        <f t="shared" ref="U1494:U1532" ca="1" si="595">IF($D$20=0,U1495,IF(AC1495=0,U1495,IF(U1494=0,U1495,IF(ABS(AB1494)&gt;$D$19,MAX($D$16,U1494+((AB1494)*$D$18*IF((ABS(ABS(K1494)/MAX(((F1494)+(G1494)*(U1494))*(U1494),0.000001))/SQRT($I$5*MAX((((F1494)+(G1494)*(U1494))*(U1494))/MAX((F1494)+2*(G1494)*(U1494),0.000001),0.000001)))&lt;1,1,-1))),U1494))))</f>
        <v>0.05</v>
      </c>
      <c r="V1494">
        <f t="shared" ref="V1494:V1557" ca="1" si="596">((F1494)+(G1494)*(U1494))*(U1494)</f>
        <v>0.26</v>
      </c>
      <c r="W1494">
        <f t="shared" ref="W1494:W1533" ca="1" si="597">(((F1494)+(G1494)*(U1494))*(U1494))/MAX((F1494)+2*(U1494)*SQRT(1+(G1494)^2),0.000001)</f>
        <v>4.9056603773584909E-2</v>
      </c>
      <c r="X1494">
        <f t="shared" ref="X1494:X1533" ca="1" si="598">ABS(K1494)/MAX(((F1494)+(G1494)*(U1494))*(U1494),0.000001)</f>
        <v>196.15384615384616</v>
      </c>
      <c r="Y1494">
        <f t="shared" ref="Y1494:Y1533" ca="1" si="599">E1494+U1494</f>
        <v>631.93999999999994</v>
      </c>
      <c r="Z1494">
        <f t="shared" ref="Z1494:Z1557" ca="1" si="600">Y1494+((ABS(K1494)/MAX(((F1494)+(G1494)*(U1494))*(U1494),0.000001))^2)/(2*$I$5)</f>
        <v>2593.0170316486619</v>
      </c>
      <c r="AA1494">
        <f t="shared" ref="AA1494:AA1533" ca="1" si="601">((ABS(K1494)*$D$6)/(MAX(((F1494)+(G1494)*(U1494))*(U1494),0.000001)*MAX(((((F1494)+(G1494)*(U1494))*(U1494))/MAX((F1494)+2*(U1494)*SQRT(1+(G1494)^2),0.000001))^(2/3),0.000001)))^2</f>
        <v>482.07306851378365</v>
      </c>
      <c r="AB1494">
        <f t="shared" ref="AB1494:AB1557" ca="1" si="602">Z1495+(((AA1494+AA1495)/2)*J1495)+(IF(X1494&gt;X1495,$D$8*((X1494^2-X1495^2)/(2*$I$5)),$D$9*((X1495^2-X1494^2)/(2*$I$5)))+($D$10*(ABS(I1495)/90)*(MAX(X1494^2,X1495^2)/(2*$I$5))))-Z1494</f>
        <v>482.25887083179032</v>
      </c>
      <c r="AC1494">
        <f t="shared" ref="AC1494:AC1557" ca="1" si="603">IF(ABS(AB1494)&lt;$D$19,1,0)</f>
        <v>0</v>
      </c>
      <c r="AD1494">
        <f ca="1">IF(V32="Supercritical",L1494,U1494)</f>
        <v>0.05</v>
      </c>
      <c r="AE1494">
        <f t="shared" ref="AE1494:AE1557" ca="1" si="604">E1494+AD1494</f>
        <v>631.93999999999994</v>
      </c>
      <c r="AF1494">
        <f t="shared" ref="AF1494:AF1557" ca="1" si="605">AE1494+((ABS(K1494)/MAX(((F1494)+(G1494)*(AD1494))*(AD1494),0.000001))^2)/(2*$I$5)</f>
        <v>2593.0170316486619</v>
      </c>
      <c r="AI1494">
        <v>0</v>
      </c>
      <c r="AJ1494">
        <v>0</v>
      </c>
      <c r="AK1494">
        <f t="shared" ref="AK1494:AK1557" si="606">AI1494+AJ1494</f>
        <v>0</v>
      </c>
      <c r="AL1494">
        <f t="shared" si="588"/>
        <v>0</v>
      </c>
      <c r="AM1494">
        <f t="shared" ref="AM1494:AM1533" ca="1" si="607">ABS(ABS(K1494)/MAX(((F1494)+(G1494)*(AD1494))*(AD1494),0.000001))/SQRT($I$5*MAX((((F1494)+(G1494)*(AD1494))*(AD1494))/MAX((F1494)+2*(G1494)*(AD1494),0.000001),0.000001))</f>
        <v>280.07692026646265</v>
      </c>
      <c r="AN1494" t="str">
        <f t="shared" ref="AN1494:AN1557" ca="1" si="608">IF(AM1494&lt;1,"Subcritical","Supercritical")</f>
        <v>Supercritical</v>
      </c>
      <c r="AO1494">
        <f ca="1">IF(V32="Supercritical",R1494,AA1494)</f>
        <v>482.07306851378365</v>
      </c>
    </row>
    <row r="1495" spans="1:41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174</v>
      </c>
      <c r="I1495">
        <v>5.7000000000000002E-2</v>
      </c>
      <c r="J1495">
        <f t="shared" ref="J1495:J1533" si="609">B1495-B1494</f>
        <v>1</v>
      </c>
      <c r="K1495">
        <f t="shared" ref="K1495:K1533" si="610">MAX(0,K1494-AK1494)</f>
        <v>51</v>
      </c>
      <c r="L1495">
        <f t="shared" ref="L1495:L1558" ca="1" si="611">IF($D$20=0,L1494,IF(T1494=0,L1494,IF(L1495=0,L1494,IF(ABS(S1495)&gt;$D$19,MAX($D$16,L1495+((S1495)*$D$18*IF((ABS(ABS(K1495)/MAX(((F1495)+(G1495)*(L1495))*(L1495),0.000001))/SQRT($I$5*MAX((((F1495)+(G1495)*(L1495))*(L1495))/MAX((F1495)+2*(G1495)*(L1495),0.000001),0.000001)))&lt;1,1,-1))),L1495))))</f>
        <v>38818.051231278128</v>
      </c>
      <c r="M1495">
        <f t="shared" ca="1" si="589"/>
        <v>201853.86640264626</v>
      </c>
      <c r="N1495">
        <f t="shared" ca="1" si="590"/>
        <v>2.5998258658784543</v>
      </c>
      <c r="O1495">
        <f t="shared" ca="1" si="591"/>
        <v>2.5265802884482871E-4</v>
      </c>
      <c r="P1495">
        <f t="shared" ca="1" si="592"/>
        <v>39449.940731278126</v>
      </c>
      <c r="Q1495">
        <f t="shared" ca="1" si="593"/>
        <v>39449.940731281378</v>
      </c>
      <c r="R1495">
        <f t="shared" ca="1" si="594"/>
        <v>4.0178129257556468E-12</v>
      </c>
      <c r="S1495">
        <f t="shared" ref="S1495:S1558" ca="1" si="612">Q1494-(((R1494+R1495)/2)*J1495)-(IF(O1494&gt;O1495,$D$8*((O1494^2-O1495^2)/(2*$I$5)),$D$9*((O1495^2-O1494^2)/(2*$I$5)))+($D$10*(ABS(I1495)/90)*(MAX(O1494^2,O1495^2)/(2*$I$5))))-Q1495</f>
        <v>4.999999946448952E-4</v>
      </c>
      <c r="T1495">
        <f t="shared" ref="T1495:T1558" ca="1" si="613">IF(ABS(S1495)&lt;$D$19,1,0)</f>
        <v>1</v>
      </c>
      <c r="U1495">
        <f t="shared" ca="1" si="595"/>
        <v>0.05</v>
      </c>
      <c r="V1495">
        <f t="shared" ca="1" si="596"/>
        <v>0.26</v>
      </c>
      <c r="W1495">
        <f t="shared" ca="1" si="597"/>
        <v>4.9056603773584909E-2</v>
      </c>
      <c r="X1495">
        <f t="shared" ca="1" si="598"/>
        <v>196.15384615384616</v>
      </c>
      <c r="Y1495">
        <f t="shared" ca="1" si="599"/>
        <v>631.93949999999995</v>
      </c>
      <c r="Z1495">
        <f t="shared" ca="1" si="600"/>
        <v>2593.0165316486618</v>
      </c>
      <c r="AA1495">
        <f t="shared" ca="1" si="601"/>
        <v>482.07306851378365</v>
      </c>
      <c r="AB1495">
        <f t="shared" ca="1" si="602"/>
        <v>482.25887083179077</v>
      </c>
      <c r="AC1495">
        <f t="shared" ca="1" si="603"/>
        <v>0</v>
      </c>
      <c r="AD1495">
        <f ca="1">IF(V32="Supercritical",L1495,U1495)</f>
        <v>0.05</v>
      </c>
      <c r="AE1495">
        <f t="shared" ca="1" si="604"/>
        <v>631.93949999999995</v>
      </c>
      <c r="AF1495">
        <f t="shared" ca="1" si="605"/>
        <v>2593.0165316486618</v>
      </c>
      <c r="AI1495">
        <v>0</v>
      </c>
      <c r="AJ1495">
        <v>0</v>
      </c>
      <c r="AK1495">
        <f t="shared" si="606"/>
        <v>0</v>
      </c>
      <c r="AL1495">
        <f t="shared" ref="AL1495:AL1558" si="614">AL1494+AK1495</f>
        <v>0</v>
      </c>
      <c r="AM1495">
        <f t="shared" ca="1" si="607"/>
        <v>280.07692026646265</v>
      </c>
      <c r="AN1495" t="str">
        <f t="shared" ca="1" si="608"/>
        <v>Supercritical</v>
      </c>
      <c r="AO1495">
        <f ca="1">IF(V32="Supercritical",R1495,AA1495)</f>
        <v>482.07306851378365</v>
      </c>
    </row>
    <row r="1496" spans="1:41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174</v>
      </c>
      <c r="I1496">
        <v>5.7000000000000002E-2</v>
      </c>
      <c r="J1496">
        <f t="shared" si="609"/>
        <v>1</v>
      </c>
      <c r="K1496">
        <f t="shared" si="610"/>
        <v>51</v>
      </c>
      <c r="L1496">
        <f t="shared" ca="1" si="611"/>
        <v>38818.051231278128</v>
      </c>
      <c r="M1496">
        <f t="shared" ca="1" si="589"/>
        <v>201853.86640264626</v>
      </c>
      <c r="N1496">
        <f t="shared" ca="1" si="590"/>
        <v>2.5998258658784543</v>
      </c>
      <c r="O1496">
        <f t="shared" ca="1" si="591"/>
        <v>2.5265802884482871E-4</v>
      </c>
      <c r="P1496">
        <f t="shared" ca="1" si="592"/>
        <v>39449.940231278131</v>
      </c>
      <c r="Q1496">
        <f t="shared" ca="1" si="593"/>
        <v>39449.940231281384</v>
      </c>
      <c r="R1496">
        <f t="shared" ca="1" si="594"/>
        <v>4.0178129257556468E-12</v>
      </c>
      <c r="S1496">
        <f t="shared" ca="1" si="612"/>
        <v>4.9999998736893758E-4</v>
      </c>
      <c r="T1496">
        <f t="shared" ca="1" si="613"/>
        <v>1</v>
      </c>
      <c r="U1496">
        <f t="shared" ca="1" si="595"/>
        <v>0.05</v>
      </c>
      <c r="V1496">
        <f t="shared" ca="1" si="596"/>
        <v>0.26</v>
      </c>
      <c r="W1496">
        <f t="shared" ca="1" si="597"/>
        <v>4.9056603773584909E-2</v>
      </c>
      <c r="X1496">
        <f t="shared" ca="1" si="598"/>
        <v>196.15384615384616</v>
      </c>
      <c r="Y1496">
        <f t="shared" ca="1" si="599"/>
        <v>631.93899999999996</v>
      </c>
      <c r="Z1496">
        <f t="shared" ca="1" si="600"/>
        <v>2593.0160316486622</v>
      </c>
      <c r="AA1496">
        <f t="shared" ca="1" si="601"/>
        <v>482.07306851378365</v>
      </c>
      <c r="AB1496">
        <f t="shared" ca="1" si="602"/>
        <v>482.07256851378361</v>
      </c>
      <c r="AC1496">
        <f t="shared" ca="1" si="603"/>
        <v>0</v>
      </c>
      <c r="AD1496">
        <f ca="1">IF(V32="Supercritical",L1496,U1496)</f>
        <v>0.05</v>
      </c>
      <c r="AE1496">
        <f t="shared" ca="1" si="604"/>
        <v>631.93899999999996</v>
      </c>
      <c r="AF1496">
        <f t="shared" ca="1" si="605"/>
        <v>2593.0160316486622</v>
      </c>
      <c r="AI1496">
        <v>0</v>
      </c>
      <c r="AJ1496">
        <v>0</v>
      </c>
      <c r="AK1496">
        <f t="shared" si="606"/>
        <v>0</v>
      </c>
      <c r="AL1496">
        <f t="shared" si="614"/>
        <v>0</v>
      </c>
      <c r="AM1496">
        <f t="shared" ca="1" si="607"/>
        <v>280.07692026646265</v>
      </c>
      <c r="AN1496" t="str">
        <f t="shared" ca="1" si="608"/>
        <v>Supercritical</v>
      </c>
      <c r="AO1496">
        <f ca="1">IF(V32="Supercritical",R1496,AA1496)</f>
        <v>482.07306851378365</v>
      </c>
    </row>
    <row r="1497" spans="1:41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174</v>
      </c>
      <c r="I1497">
        <v>0</v>
      </c>
      <c r="J1497">
        <f t="shared" si="609"/>
        <v>1</v>
      </c>
      <c r="K1497">
        <f t="shared" si="610"/>
        <v>51</v>
      </c>
      <c r="L1497">
        <f t="shared" ca="1" si="611"/>
        <v>38818.051231278128</v>
      </c>
      <c r="M1497">
        <f t="shared" ca="1" si="589"/>
        <v>201853.86640264626</v>
      </c>
      <c r="N1497">
        <f t="shared" ca="1" si="590"/>
        <v>2.5998258658784543</v>
      </c>
      <c r="O1497">
        <f t="shared" ca="1" si="591"/>
        <v>2.5265802884482871E-4</v>
      </c>
      <c r="P1497">
        <f t="shared" ca="1" si="592"/>
        <v>39449.939731278129</v>
      </c>
      <c r="Q1497">
        <f t="shared" ca="1" si="593"/>
        <v>39449.939731281382</v>
      </c>
      <c r="R1497">
        <f t="shared" ca="1" si="594"/>
        <v>4.0178129257556468E-12</v>
      </c>
      <c r="S1497">
        <f t="shared" ca="1" si="612"/>
        <v>4.999999946448952E-4</v>
      </c>
      <c r="T1497">
        <f t="shared" ca="1" si="613"/>
        <v>1</v>
      </c>
      <c r="U1497">
        <f t="shared" ca="1" si="595"/>
        <v>0.05</v>
      </c>
      <c r="V1497">
        <f t="shared" ca="1" si="596"/>
        <v>0.26</v>
      </c>
      <c r="W1497">
        <f t="shared" ca="1" si="597"/>
        <v>4.9056603773584909E-2</v>
      </c>
      <c r="X1497">
        <f t="shared" ca="1" si="598"/>
        <v>196.15384615384616</v>
      </c>
      <c r="Y1497">
        <f t="shared" ca="1" si="599"/>
        <v>631.93849999999998</v>
      </c>
      <c r="Z1497">
        <f t="shared" ca="1" si="600"/>
        <v>2593.0155316486621</v>
      </c>
      <c r="AA1497">
        <f t="shared" ca="1" si="601"/>
        <v>482.07306851378365</v>
      </c>
      <c r="AB1497">
        <f t="shared" ca="1" si="602"/>
        <v>482.07256851378361</v>
      </c>
      <c r="AC1497">
        <f t="shared" ca="1" si="603"/>
        <v>0</v>
      </c>
      <c r="AD1497">
        <f ca="1">IF(V32="Supercritical",L1497,U1497)</f>
        <v>0.05</v>
      </c>
      <c r="AE1497">
        <f t="shared" ca="1" si="604"/>
        <v>631.93849999999998</v>
      </c>
      <c r="AF1497">
        <f t="shared" ca="1" si="605"/>
        <v>2593.0155316486621</v>
      </c>
      <c r="AI1497">
        <v>0</v>
      </c>
      <c r="AJ1497">
        <v>0</v>
      </c>
      <c r="AK1497">
        <f t="shared" si="606"/>
        <v>0</v>
      </c>
      <c r="AL1497">
        <f t="shared" si="614"/>
        <v>0</v>
      </c>
      <c r="AM1497">
        <f t="shared" ca="1" si="607"/>
        <v>280.07692026646265</v>
      </c>
      <c r="AN1497" t="str">
        <f t="shared" ca="1" si="608"/>
        <v>Supercritical</v>
      </c>
      <c r="AO1497">
        <f ca="1">IF(V32="Supercritical",R1497,AA1497)</f>
        <v>482.07306851378365</v>
      </c>
    </row>
    <row r="1498" spans="1:41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174</v>
      </c>
      <c r="I1498">
        <v>0</v>
      </c>
      <c r="J1498">
        <f t="shared" si="609"/>
        <v>1</v>
      </c>
      <c r="K1498">
        <f t="shared" si="610"/>
        <v>51</v>
      </c>
      <c r="L1498">
        <f t="shared" ca="1" si="611"/>
        <v>38818.051231278128</v>
      </c>
      <c r="M1498">
        <f t="shared" ca="1" si="589"/>
        <v>201853.86640264626</v>
      </c>
      <c r="N1498">
        <f t="shared" ca="1" si="590"/>
        <v>2.5998258658784543</v>
      </c>
      <c r="O1498">
        <f t="shared" ca="1" si="591"/>
        <v>2.5265802884482871E-4</v>
      </c>
      <c r="P1498">
        <f t="shared" ca="1" si="592"/>
        <v>39449.939231278127</v>
      </c>
      <c r="Q1498">
        <f t="shared" ca="1" si="593"/>
        <v>39449.93923128138</v>
      </c>
      <c r="R1498">
        <f t="shared" ca="1" si="594"/>
        <v>4.0178129257556468E-12</v>
      </c>
      <c r="S1498">
        <f t="shared" ca="1" si="612"/>
        <v>4.999999946448952E-4</v>
      </c>
      <c r="T1498">
        <f t="shared" ca="1" si="613"/>
        <v>1</v>
      </c>
      <c r="U1498">
        <f t="shared" ca="1" si="595"/>
        <v>0.05</v>
      </c>
      <c r="V1498">
        <f t="shared" ca="1" si="596"/>
        <v>0.26</v>
      </c>
      <c r="W1498">
        <f t="shared" ca="1" si="597"/>
        <v>4.9056603773584909E-2</v>
      </c>
      <c r="X1498">
        <f t="shared" ca="1" si="598"/>
        <v>196.15384615384616</v>
      </c>
      <c r="Y1498">
        <f t="shared" ca="1" si="599"/>
        <v>631.93799999999999</v>
      </c>
      <c r="Z1498">
        <f t="shared" ca="1" si="600"/>
        <v>2593.015031648662</v>
      </c>
      <c r="AA1498">
        <f t="shared" ca="1" si="601"/>
        <v>482.07306851378365</v>
      </c>
      <c r="AB1498">
        <f t="shared" ca="1" si="602"/>
        <v>482.25233390835183</v>
      </c>
      <c r="AC1498">
        <f t="shared" ca="1" si="603"/>
        <v>0</v>
      </c>
      <c r="AD1498">
        <f ca="1">IF(V32="Supercritical",L1498,U1498)</f>
        <v>0.05</v>
      </c>
      <c r="AE1498">
        <f t="shared" ca="1" si="604"/>
        <v>631.93799999999999</v>
      </c>
      <c r="AF1498">
        <f t="shared" ca="1" si="605"/>
        <v>2593.015031648662</v>
      </c>
      <c r="AI1498">
        <v>0</v>
      </c>
      <c r="AJ1498">
        <v>0</v>
      </c>
      <c r="AK1498">
        <f t="shared" si="606"/>
        <v>0</v>
      </c>
      <c r="AL1498">
        <f t="shared" si="614"/>
        <v>0</v>
      </c>
      <c r="AM1498">
        <f t="shared" ca="1" si="607"/>
        <v>280.07692026646265</v>
      </c>
      <c r="AN1498" t="str">
        <f t="shared" ca="1" si="608"/>
        <v>Supercritical</v>
      </c>
      <c r="AO1498">
        <f ca="1">IF(V32="Supercritical",R1498,AA1498)</f>
        <v>482.07306851378365</v>
      </c>
    </row>
    <row r="1499" spans="1:41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174</v>
      </c>
      <c r="I1499">
        <v>5.5E-2</v>
      </c>
      <c r="J1499">
        <f t="shared" si="609"/>
        <v>1</v>
      </c>
      <c r="K1499">
        <f t="shared" si="610"/>
        <v>51</v>
      </c>
      <c r="L1499">
        <f t="shared" ca="1" si="611"/>
        <v>38818.051231278128</v>
      </c>
      <c r="M1499">
        <f t="shared" ca="1" si="589"/>
        <v>201853.86640264626</v>
      </c>
      <c r="N1499">
        <f t="shared" ca="1" si="590"/>
        <v>2.5998258658784543</v>
      </c>
      <c r="O1499">
        <f t="shared" ca="1" si="591"/>
        <v>2.5265802884482871E-4</v>
      </c>
      <c r="P1499">
        <f t="shared" ca="1" si="592"/>
        <v>39449.938731278125</v>
      </c>
      <c r="Q1499">
        <f t="shared" ca="1" si="593"/>
        <v>39449.938731281378</v>
      </c>
      <c r="R1499">
        <f t="shared" ca="1" si="594"/>
        <v>4.0178129257556468E-12</v>
      </c>
      <c r="S1499">
        <f t="shared" ca="1" si="612"/>
        <v>4.999999946448952E-4</v>
      </c>
      <c r="T1499">
        <f t="shared" ca="1" si="613"/>
        <v>1</v>
      </c>
      <c r="U1499">
        <f t="shared" ca="1" si="595"/>
        <v>0.05</v>
      </c>
      <c r="V1499">
        <f t="shared" ca="1" si="596"/>
        <v>0.26</v>
      </c>
      <c r="W1499">
        <f t="shared" ca="1" si="597"/>
        <v>4.9056603773584909E-2</v>
      </c>
      <c r="X1499">
        <f t="shared" ca="1" si="598"/>
        <v>196.15384615384616</v>
      </c>
      <c r="Y1499">
        <f t="shared" ca="1" si="599"/>
        <v>631.9375</v>
      </c>
      <c r="Z1499">
        <f t="shared" ca="1" si="600"/>
        <v>2593.0145316486623</v>
      </c>
      <c r="AA1499">
        <f t="shared" ca="1" si="601"/>
        <v>482.07306851378365</v>
      </c>
      <c r="AB1499">
        <f t="shared" ca="1" si="602"/>
        <v>482.73440697696333</v>
      </c>
      <c r="AC1499">
        <f t="shared" ca="1" si="603"/>
        <v>0</v>
      </c>
      <c r="AD1499">
        <f ca="1">IF(V32="Supercritical",L1499,U1499)</f>
        <v>0.05</v>
      </c>
      <c r="AE1499">
        <f t="shared" ca="1" si="604"/>
        <v>631.9375</v>
      </c>
      <c r="AF1499">
        <f t="shared" ca="1" si="605"/>
        <v>2593.0145316486623</v>
      </c>
      <c r="AI1499">
        <v>0</v>
      </c>
      <c r="AJ1499">
        <v>0</v>
      </c>
      <c r="AK1499">
        <f t="shared" si="606"/>
        <v>0</v>
      </c>
      <c r="AL1499">
        <f t="shared" si="614"/>
        <v>0</v>
      </c>
      <c r="AM1499">
        <f t="shared" ca="1" si="607"/>
        <v>280.07692026646265</v>
      </c>
      <c r="AN1499" t="str">
        <f t="shared" ca="1" si="608"/>
        <v>Supercritical</v>
      </c>
      <c r="AO1499">
        <f ca="1">IF(V32="Supercritical",R1499,AA1499)</f>
        <v>482.07306851378365</v>
      </c>
    </row>
    <row r="1500" spans="1:41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174</v>
      </c>
      <c r="I1500">
        <v>5.5E-2</v>
      </c>
      <c r="J1500">
        <f t="shared" si="609"/>
        <v>1.0010000000002037</v>
      </c>
      <c r="K1500">
        <f t="shared" si="610"/>
        <v>51</v>
      </c>
      <c r="L1500">
        <f t="shared" ca="1" si="611"/>
        <v>38818.051231278128</v>
      </c>
      <c r="M1500">
        <f t="shared" ca="1" si="589"/>
        <v>201853.86640264626</v>
      </c>
      <c r="N1500">
        <f t="shared" ca="1" si="590"/>
        <v>2.5998258658784543</v>
      </c>
      <c r="O1500">
        <f t="shared" ca="1" si="591"/>
        <v>2.5265802884482871E-4</v>
      </c>
      <c r="P1500">
        <f t="shared" ca="1" si="592"/>
        <v>39449.938231278131</v>
      </c>
      <c r="Q1500">
        <f t="shared" ca="1" si="593"/>
        <v>39449.938231281383</v>
      </c>
      <c r="R1500">
        <f t="shared" ca="1" si="594"/>
        <v>4.0178129257556468E-12</v>
      </c>
      <c r="S1500">
        <f t="shared" ca="1" si="612"/>
        <v>4.9999998736893758E-4</v>
      </c>
      <c r="T1500">
        <f t="shared" ca="1" si="613"/>
        <v>1</v>
      </c>
      <c r="U1500">
        <f t="shared" ca="1" si="595"/>
        <v>0.05</v>
      </c>
      <c r="V1500">
        <f t="shared" ca="1" si="596"/>
        <v>0.26</v>
      </c>
      <c r="W1500">
        <f t="shared" ca="1" si="597"/>
        <v>4.9056603773584909E-2</v>
      </c>
      <c r="X1500">
        <f t="shared" ca="1" si="598"/>
        <v>196.15384615384616</v>
      </c>
      <c r="Y1500">
        <f t="shared" ca="1" si="599"/>
        <v>631.9369999999999</v>
      </c>
      <c r="Z1500">
        <f t="shared" ca="1" si="600"/>
        <v>2593.0140316486622</v>
      </c>
      <c r="AA1500">
        <f t="shared" ca="1" si="601"/>
        <v>482.07306851378365</v>
      </c>
      <c r="AB1500">
        <f t="shared" ca="1" si="602"/>
        <v>482.07256851378361</v>
      </c>
      <c r="AC1500">
        <f t="shared" ca="1" si="603"/>
        <v>0</v>
      </c>
      <c r="AD1500">
        <f ca="1">IF(V32="Supercritical",L1500,U1500)</f>
        <v>0.05</v>
      </c>
      <c r="AE1500">
        <f t="shared" ca="1" si="604"/>
        <v>631.9369999999999</v>
      </c>
      <c r="AF1500">
        <f t="shared" ca="1" si="605"/>
        <v>2593.0140316486622</v>
      </c>
      <c r="AI1500">
        <v>0</v>
      </c>
      <c r="AJ1500">
        <v>0</v>
      </c>
      <c r="AK1500">
        <f t="shared" si="606"/>
        <v>0</v>
      </c>
      <c r="AL1500">
        <f t="shared" si="614"/>
        <v>0</v>
      </c>
      <c r="AM1500">
        <f t="shared" ca="1" si="607"/>
        <v>280.07692026646265</v>
      </c>
      <c r="AN1500" t="str">
        <f t="shared" ca="1" si="608"/>
        <v>Supercritical</v>
      </c>
      <c r="AO1500">
        <f ca="1">IF(V32="Supercritical",R1500,AA1500)</f>
        <v>482.07306851378365</v>
      </c>
    </row>
    <row r="1501" spans="1:41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174</v>
      </c>
      <c r="I1501">
        <v>0</v>
      </c>
      <c r="J1501">
        <f t="shared" si="609"/>
        <v>1</v>
      </c>
      <c r="K1501">
        <f t="shared" si="610"/>
        <v>51</v>
      </c>
      <c r="L1501">
        <f t="shared" ca="1" si="611"/>
        <v>38818.051231278128</v>
      </c>
      <c r="M1501">
        <f t="shared" ca="1" si="589"/>
        <v>201853.86640264626</v>
      </c>
      <c r="N1501">
        <f t="shared" ca="1" si="590"/>
        <v>2.5998258658784543</v>
      </c>
      <c r="O1501">
        <f t="shared" ca="1" si="591"/>
        <v>2.5265802884482871E-4</v>
      </c>
      <c r="P1501">
        <f t="shared" ca="1" si="592"/>
        <v>39449.937731278129</v>
      </c>
      <c r="Q1501">
        <f t="shared" ca="1" si="593"/>
        <v>39449.937731281381</v>
      </c>
      <c r="R1501">
        <f t="shared" ca="1" si="594"/>
        <v>4.0178129257556468E-12</v>
      </c>
      <c r="S1501">
        <f t="shared" ca="1" si="612"/>
        <v>4.999999946448952E-4</v>
      </c>
      <c r="T1501">
        <f t="shared" ca="1" si="613"/>
        <v>1</v>
      </c>
      <c r="U1501">
        <f t="shared" ca="1" si="595"/>
        <v>0.05</v>
      </c>
      <c r="V1501">
        <f t="shared" ca="1" si="596"/>
        <v>0.26</v>
      </c>
      <c r="W1501">
        <f t="shared" ca="1" si="597"/>
        <v>4.9056603773584909E-2</v>
      </c>
      <c r="X1501">
        <f t="shared" ca="1" si="598"/>
        <v>196.15384615384616</v>
      </c>
      <c r="Y1501">
        <f t="shared" ca="1" si="599"/>
        <v>631.93649999999991</v>
      </c>
      <c r="Z1501">
        <f t="shared" ca="1" si="600"/>
        <v>2593.0135316486621</v>
      </c>
      <c r="AA1501">
        <f t="shared" ca="1" si="601"/>
        <v>482.07306851378365</v>
      </c>
      <c r="AB1501">
        <f t="shared" ca="1" si="602"/>
        <v>481.59049544517165</v>
      </c>
      <c r="AC1501">
        <f t="shared" ca="1" si="603"/>
        <v>0</v>
      </c>
      <c r="AD1501">
        <f ca="1">IF(V32="Supercritical",L1501,U1501)</f>
        <v>0.05</v>
      </c>
      <c r="AE1501">
        <f t="shared" ca="1" si="604"/>
        <v>631.93649999999991</v>
      </c>
      <c r="AF1501">
        <f t="shared" ca="1" si="605"/>
        <v>2593.0135316486621</v>
      </c>
      <c r="AI1501">
        <v>0</v>
      </c>
      <c r="AJ1501">
        <v>0</v>
      </c>
      <c r="AK1501">
        <f t="shared" si="606"/>
        <v>0</v>
      </c>
      <c r="AL1501">
        <f t="shared" si="614"/>
        <v>0</v>
      </c>
      <c r="AM1501">
        <f t="shared" ca="1" si="607"/>
        <v>280.07692026646265</v>
      </c>
      <c r="AN1501" t="str">
        <f t="shared" ca="1" si="608"/>
        <v>Supercritical</v>
      </c>
      <c r="AO1501">
        <f ca="1">IF(V32="Supercritical",R1501,AA1501)</f>
        <v>482.07306851378365</v>
      </c>
    </row>
    <row r="1502" spans="1:41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174</v>
      </c>
      <c r="I1502">
        <v>0</v>
      </c>
      <c r="J1502">
        <f t="shared" si="609"/>
        <v>0.99899999999979627</v>
      </c>
      <c r="K1502">
        <f t="shared" si="610"/>
        <v>51</v>
      </c>
      <c r="L1502">
        <f t="shared" ca="1" si="611"/>
        <v>38818.051231278128</v>
      </c>
      <c r="M1502">
        <f t="shared" ca="1" si="589"/>
        <v>201853.86640264626</v>
      </c>
      <c r="N1502">
        <f t="shared" ca="1" si="590"/>
        <v>2.5998258658784543</v>
      </c>
      <c r="O1502">
        <f t="shared" ca="1" si="591"/>
        <v>2.5265802884482871E-4</v>
      </c>
      <c r="P1502">
        <f t="shared" ca="1" si="592"/>
        <v>39449.937231278127</v>
      </c>
      <c r="Q1502">
        <f t="shared" ca="1" si="593"/>
        <v>39449.937231281379</v>
      </c>
      <c r="R1502">
        <f t="shared" ca="1" si="594"/>
        <v>4.0178129257556468E-12</v>
      </c>
      <c r="S1502">
        <f t="shared" ca="1" si="612"/>
        <v>4.999999946448952E-4</v>
      </c>
      <c r="T1502">
        <f t="shared" ca="1" si="613"/>
        <v>1</v>
      </c>
      <c r="U1502">
        <f t="shared" ca="1" si="595"/>
        <v>0.05</v>
      </c>
      <c r="V1502">
        <f t="shared" ca="1" si="596"/>
        <v>0.26</v>
      </c>
      <c r="W1502">
        <f t="shared" ca="1" si="597"/>
        <v>4.9056603773584909E-2</v>
      </c>
      <c r="X1502">
        <f t="shared" ca="1" si="598"/>
        <v>196.15384615384616</v>
      </c>
      <c r="Y1502">
        <f t="shared" ca="1" si="599"/>
        <v>631.93599999999992</v>
      </c>
      <c r="Z1502">
        <f t="shared" ca="1" si="600"/>
        <v>2593.013031648662</v>
      </c>
      <c r="AA1502">
        <f t="shared" ca="1" si="601"/>
        <v>482.07306851378365</v>
      </c>
      <c r="AB1502">
        <f t="shared" ca="1" si="602"/>
        <v>482.25887083179032</v>
      </c>
      <c r="AC1502">
        <f t="shared" ca="1" si="603"/>
        <v>0</v>
      </c>
      <c r="AD1502">
        <f ca="1">IF(V32="Supercritical",L1502,U1502)</f>
        <v>0.05</v>
      </c>
      <c r="AE1502">
        <f t="shared" ca="1" si="604"/>
        <v>631.93599999999992</v>
      </c>
      <c r="AF1502">
        <f t="shared" ca="1" si="605"/>
        <v>2593.013031648662</v>
      </c>
      <c r="AI1502">
        <v>0</v>
      </c>
      <c r="AJ1502">
        <v>0</v>
      </c>
      <c r="AK1502">
        <f t="shared" si="606"/>
        <v>0</v>
      </c>
      <c r="AL1502">
        <f t="shared" si="614"/>
        <v>0</v>
      </c>
      <c r="AM1502">
        <f t="shared" ca="1" si="607"/>
        <v>280.07692026646265</v>
      </c>
      <c r="AN1502" t="str">
        <f t="shared" ca="1" si="608"/>
        <v>Supercritical</v>
      </c>
      <c r="AO1502">
        <f ca="1">IF(V32="Supercritical",R1502,AA1502)</f>
        <v>482.07306851378365</v>
      </c>
    </row>
    <row r="1503" spans="1:41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174</v>
      </c>
      <c r="I1503">
        <v>5.7000000000000002E-2</v>
      </c>
      <c r="J1503">
        <f t="shared" si="609"/>
        <v>1</v>
      </c>
      <c r="K1503">
        <f t="shared" si="610"/>
        <v>51</v>
      </c>
      <c r="L1503">
        <f t="shared" ca="1" si="611"/>
        <v>38818.051231278128</v>
      </c>
      <c r="M1503">
        <f t="shared" ca="1" si="589"/>
        <v>201853.86640264626</v>
      </c>
      <c r="N1503">
        <f t="shared" ca="1" si="590"/>
        <v>2.5998258658784543</v>
      </c>
      <c r="O1503">
        <f t="shared" ca="1" si="591"/>
        <v>2.5265802884482871E-4</v>
      </c>
      <c r="P1503">
        <f t="shared" ca="1" si="592"/>
        <v>39449.936731278125</v>
      </c>
      <c r="Q1503">
        <f t="shared" ca="1" si="593"/>
        <v>39449.936731281377</v>
      </c>
      <c r="R1503">
        <f t="shared" ca="1" si="594"/>
        <v>4.0178129257556468E-12</v>
      </c>
      <c r="S1503">
        <f t="shared" ca="1" si="612"/>
        <v>4.999999946448952E-4</v>
      </c>
      <c r="T1503">
        <f t="shared" ca="1" si="613"/>
        <v>1</v>
      </c>
      <c r="U1503">
        <f t="shared" ca="1" si="595"/>
        <v>0.05</v>
      </c>
      <c r="V1503">
        <f t="shared" ca="1" si="596"/>
        <v>0.26</v>
      </c>
      <c r="W1503">
        <f t="shared" ca="1" si="597"/>
        <v>4.9056603773584909E-2</v>
      </c>
      <c r="X1503">
        <f t="shared" ca="1" si="598"/>
        <v>196.15384615384616</v>
      </c>
      <c r="Y1503">
        <f t="shared" ca="1" si="599"/>
        <v>631.93549999999993</v>
      </c>
      <c r="Z1503">
        <f t="shared" ca="1" si="600"/>
        <v>2593.0125316486619</v>
      </c>
      <c r="AA1503">
        <f t="shared" ca="1" si="601"/>
        <v>482.07306851378365</v>
      </c>
      <c r="AB1503">
        <f t="shared" ca="1" si="602"/>
        <v>482.25887083179032</v>
      </c>
      <c r="AC1503">
        <f t="shared" ca="1" si="603"/>
        <v>0</v>
      </c>
      <c r="AD1503">
        <f ca="1">IF(V32="Supercritical",L1503,U1503)</f>
        <v>0.05</v>
      </c>
      <c r="AE1503">
        <f t="shared" ca="1" si="604"/>
        <v>631.93549999999993</v>
      </c>
      <c r="AF1503">
        <f t="shared" ca="1" si="605"/>
        <v>2593.0125316486619</v>
      </c>
      <c r="AI1503">
        <v>0</v>
      </c>
      <c r="AJ1503">
        <v>0</v>
      </c>
      <c r="AK1503">
        <f t="shared" si="606"/>
        <v>0</v>
      </c>
      <c r="AL1503">
        <f t="shared" si="614"/>
        <v>0</v>
      </c>
      <c r="AM1503">
        <f t="shared" ca="1" si="607"/>
        <v>280.07692026646265</v>
      </c>
      <c r="AN1503" t="str">
        <f t="shared" ca="1" si="608"/>
        <v>Supercritical</v>
      </c>
      <c r="AO1503">
        <f ca="1">IF(V32="Supercritical",R1503,AA1503)</f>
        <v>482.07306851378365</v>
      </c>
    </row>
    <row r="1504" spans="1:41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174</v>
      </c>
      <c r="I1504">
        <v>5.7000000000000002E-2</v>
      </c>
      <c r="J1504">
        <f t="shared" si="609"/>
        <v>1</v>
      </c>
      <c r="K1504">
        <f t="shared" si="610"/>
        <v>51</v>
      </c>
      <c r="L1504">
        <f t="shared" ca="1" si="611"/>
        <v>38818.051231278128</v>
      </c>
      <c r="M1504">
        <f t="shared" ca="1" si="589"/>
        <v>201853.86640264626</v>
      </c>
      <c r="N1504">
        <f t="shared" ca="1" si="590"/>
        <v>2.5998258658784543</v>
      </c>
      <c r="O1504">
        <f t="shared" ca="1" si="591"/>
        <v>2.5265802884482871E-4</v>
      </c>
      <c r="P1504">
        <f t="shared" ca="1" si="592"/>
        <v>39449.93623127813</v>
      </c>
      <c r="Q1504">
        <f t="shared" ca="1" si="593"/>
        <v>39449.936231281383</v>
      </c>
      <c r="R1504">
        <f t="shared" ca="1" si="594"/>
        <v>4.0178129257556468E-12</v>
      </c>
      <c r="S1504">
        <f t="shared" ca="1" si="612"/>
        <v>4.9999998736893758E-4</v>
      </c>
      <c r="T1504">
        <f t="shared" ca="1" si="613"/>
        <v>1</v>
      </c>
      <c r="U1504">
        <f t="shared" ca="1" si="595"/>
        <v>0.05</v>
      </c>
      <c r="V1504">
        <f t="shared" ca="1" si="596"/>
        <v>0.26</v>
      </c>
      <c r="W1504">
        <f t="shared" ca="1" si="597"/>
        <v>4.9056603773584909E-2</v>
      </c>
      <c r="X1504">
        <f t="shared" ca="1" si="598"/>
        <v>196.15384615384616</v>
      </c>
      <c r="Y1504">
        <f t="shared" ca="1" si="599"/>
        <v>631.93499999999995</v>
      </c>
      <c r="Z1504">
        <f t="shared" ca="1" si="600"/>
        <v>2593.0120316486618</v>
      </c>
      <c r="AA1504">
        <f t="shared" ca="1" si="601"/>
        <v>482.07306851378365</v>
      </c>
      <c r="AB1504">
        <f t="shared" ca="1" si="602"/>
        <v>482.07256851378406</v>
      </c>
      <c r="AC1504">
        <f t="shared" ca="1" si="603"/>
        <v>0</v>
      </c>
      <c r="AD1504">
        <f ca="1">IF(V32="Supercritical",L1504,U1504)</f>
        <v>0.05</v>
      </c>
      <c r="AE1504">
        <f t="shared" ca="1" si="604"/>
        <v>631.93499999999995</v>
      </c>
      <c r="AF1504">
        <f t="shared" ca="1" si="605"/>
        <v>2593.0120316486618</v>
      </c>
      <c r="AI1504">
        <v>0</v>
      </c>
      <c r="AJ1504">
        <v>0</v>
      </c>
      <c r="AK1504">
        <f t="shared" si="606"/>
        <v>0</v>
      </c>
      <c r="AL1504">
        <f t="shared" si="614"/>
        <v>0</v>
      </c>
      <c r="AM1504">
        <f t="shared" ca="1" si="607"/>
        <v>280.07692026646265</v>
      </c>
      <c r="AN1504" t="str">
        <f t="shared" ca="1" si="608"/>
        <v>Supercritical</v>
      </c>
      <c r="AO1504">
        <f ca="1">IF(V32="Supercritical",R1504,AA1504)</f>
        <v>482.07306851378365</v>
      </c>
    </row>
    <row r="1505" spans="1:41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174</v>
      </c>
      <c r="I1505">
        <v>0</v>
      </c>
      <c r="J1505">
        <f t="shared" si="609"/>
        <v>1</v>
      </c>
      <c r="K1505">
        <f t="shared" si="610"/>
        <v>51</v>
      </c>
      <c r="L1505">
        <f t="shared" ca="1" si="611"/>
        <v>38818.051231278128</v>
      </c>
      <c r="M1505">
        <f t="shared" ca="1" si="589"/>
        <v>201853.86640264626</v>
      </c>
      <c r="N1505">
        <f t="shared" ca="1" si="590"/>
        <v>2.5998258658784543</v>
      </c>
      <c r="O1505">
        <f t="shared" ca="1" si="591"/>
        <v>2.5265802884482871E-4</v>
      </c>
      <c r="P1505">
        <f t="shared" ca="1" si="592"/>
        <v>39449.935731278129</v>
      </c>
      <c r="Q1505">
        <f t="shared" ca="1" si="593"/>
        <v>39449.935731281381</v>
      </c>
      <c r="R1505">
        <f t="shared" ca="1" si="594"/>
        <v>4.0178129257556468E-12</v>
      </c>
      <c r="S1505">
        <f t="shared" ca="1" si="612"/>
        <v>4.999999946448952E-4</v>
      </c>
      <c r="T1505">
        <f t="shared" ca="1" si="613"/>
        <v>1</v>
      </c>
      <c r="U1505">
        <f t="shared" ca="1" si="595"/>
        <v>0.05</v>
      </c>
      <c r="V1505">
        <f t="shared" ca="1" si="596"/>
        <v>0.26</v>
      </c>
      <c r="W1505">
        <f t="shared" ca="1" si="597"/>
        <v>4.9056603773584909E-2</v>
      </c>
      <c r="X1505">
        <f t="shared" ca="1" si="598"/>
        <v>196.15384615384616</v>
      </c>
      <c r="Y1505">
        <f t="shared" ca="1" si="599"/>
        <v>631.93449999999996</v>
      </c>
      <c r="Z1505">
        <f t="shared" ca="1" si="600"/>
        <v>2593.0115316486622</v>
      </c>
      <c r="AA1505">
        <f t="shared" ca="1" si="601"/>
        <v>482.07306851378365</v>
      </c>
      <c r="AB1505">
        <f t="shared" ca="1" si="602"/>
        <v>482.07256851378361</v>
      </c>
      <c r="AC1505">
        <f t="shared" ca="1" si="603"/>
        <v>0</v>
      </c>
      <c r="AD1505">
        <f ca="1">IF(V32="Supercritical",L1505,U1505)</f>
        <v>0.05</v>
      </c>
      <c r="AE1505">
        <f t="shared" ca="1" si="604"/>
        <v>631.93449999999996</v>
      </c>
      <c r="AF1505">
        <f t="shared" ca="1" si="605"/>
        <v>2593.0115316486622</v>
      </c>
      <c r="AI1505">
        <v>0</v>
      </c>
      <c r="AJ1505">
        <v>0</v>
      </c>
      <c r="AK1505">
        <f t="shared" si="606"/>
        <v>0</v>
      </c>
      <c r="AL1505">
        <f t="shared" si="614"/>
        <v>0</v>
      </c>
      <c r="AM1505">
        <f t="shared" ca="1" si="607"/>
        <v>280.07692026646265</v>
      </c>
      <c r="AN1505" t="str">
        <f t="shared" ca="1" si="608"/>
        <v>Supercritical</v>
      </c>
      <c r="AO1505">
        <f ca="1">IF(V32="Supercritical",R1505,AA1505)</f>
        <v>482.07306851378365</v>
      </c>
    </row>
    <row r="1506" spans="1:41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174</v>
      </c>
      <c r="I1506">
        <v>0</v>
      </c>
      <c r="J1506">
        <f t="shared" si="609"/>
        <v>1</v>
      </c>
      <c r="K1506">
        <f t="shared" si="610"/>
        <v>51</v>
      </c>
      <c r="L1506">
        <f t="shared" ca="1" si="611"/>
        <v>38818.051231278128</v>
      </c>
      <c r="M1506">
        <f t="shared" ca="1" si="589"/>
        <v>201853.86640264626</v>
      </c>
      <c r="N1506">
        <f t="shared" ca="1" si="590"/>
        <v>2.5998258658784543</v>
      </c>
      <c r="O1506">
        <f t="shared" ca="1" si="591"/>
        <v>2.5265802884482871E-4</v>
      </c>
      <c r="P1506">
        <f t="shared" ca="1" si="592"/>
        <v>39449.935231278127</v>
      </c>
      <c r="Q1506">
        <f t="shared" ca="1" si="593"/>
        <v>39449.935231281379</v>
      </c>
      <c r="R1506">
        <f t="shared" ca="1" si="594"/>
        <v>4.0178129257556468E-12</v>
      </c>
      <c r="S1506">
        <f t="shared" ca="1" si="612"/>
        <v>4.999999946448952E-4</v>
      </c>
      <c r="T1506">
        <f t="shared" ca="1" si="613"/>
        <v>1</v>
      </c>
      <c r="U1506">
        <f t="shared" ca="1" si="595"/>
        <v>0.05</v>
      </c>
      <c r="V1506">
        <f t="shared" ca="1" si="596"/>
        <v>0.26</v>
      </c>
      <c r="W1506">
        <f t="shared" ca="1" si="597"/>
        <v>4.9056603773584909E-2</v>
      </c>
      <c r="X1506">
        <f t="shared" ca="1" si="598"/>
        <v>196.15384615384616</v>
      </c>
      <c r="Y1506">
        <f t="shared" ca="1" si="599"/>
        <v>631.93399999999997</v>
      </c>
      <c r="Z1506">
        <f t="shared" ca="1" si="600"/>
        <v>2593.0110316486621</v>
      </c>
      <c r="AA1506">
        <f t="shared" ca="1" si="601"/>
        <v>482.07306851378365</v>
      </c>
      <c r="AB1506">
        <f t="shared" ca="1" si="602"/>
        <v>482.25887083179032</v>
      </c>
      <c r="AC1506">
        <f t="shared" ca="1" si="603"/>
        <v>0</v>
      </c>
      <c r="AD1506">
        <f ca="1">IF(V32="Supercritical",L1506,U1506)</f>
        <v>0.05</v>
      </c>
      <c r="AE1506">
        <f t="shared" ca="1" si="604"/>
        <v>631.93399999999997</v>
      </c>
      <c r="AF1506">
        <f t="shared" ca="1" si="605"/>
        <v>2593.0110316486621</v>
      </c>
      <c r="AI1506">
        <v>0</v>
      </c>
      <c r="AJ1506">
        <v>0</v>
      </c>
      <c r="AK1506">
        <f t="shared" si="606"/>
        <v>0</v>
      </c>
      <c r="AL1506">
        <f t="shared" si="614"/>
        <v>0</v>
      </c>
      <c r="AM1506">
        <f t="shared" ca="1" si="607"/>
        <v>280.07692026646265</v>
      </c>
      <c r="AN1506" t="str">
        <f t="shared" ca="1" si="608"/>
        <v>Supercritical</v>
      </c>
      <c r="AO1506">
        <f ca="1">IF(V32="Supercritical",R1506,AA1506)</f>
        <v>482.07306851378365</v>
      </c>
    </row>
    <row r="1507" spans="1:41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174</v>
      </c>
      <c r="I1507">
        <v>5.7000000000000002E-2</v>
      </c>
      <c r="J1507">
        <f t="shared" si="609"/>
        <v>1</v>
      </c>
      <c r="K1507">
        <f t="shared" si="610"/>
        <v>51</v>
      </c>
      <c r="L1507">
        <f t="shared" ca="1" si="611"/>
        <v>38818.051231278128</v>
      </c>
      <c r="M1507">
        <f t="shared" ca="1" si="589"/>
        <v>201853.86640264626</v>
      </c>
      <c r="N1507">
        <f t="shared" ca="1" si="590"/>
        <v>2.5998258658784543</v>
      </c>
      <c r="O1507">
        <f t="shared" ca="1" si="591"/>
        <v>2.5265802884482871E-4</v>
      </c>
      <c r="P1507">
        <f t="shared" ca="1" si="592"/>
        <v>39449.934731278132</v>
      </c>
      <c r="Q1507">
        <f t="shared" ca="1" si="593"/>
        <v>39449.934731281384</v>
      </c>
      <c r="R1507">
        <f t="shared" ca="1" si="594"/>
        <v>4.0178129257556468E-12</v>
      </c>
      <c r="S1507">
        <f t="shared" ca="1" si="612"/>
        <v>4.9999998736893758E-4</v>
      </c>
      <c r="T1507">
        <f t="shared" ca="1" si="613"/>
        <v>1</v>
      </c>
      <c r="U1507">
        <f t="shared" ca="1" si="595"/>
        <v>0.05</v>
      </c>
      <c r="V1507">
        <f t="shared" ca="1" si="596"/>
        <v>0.26</v>
      </c>
      <c r="W1507">
        <f t="shared" ca="1" si="597"/>
        <v>4.9056603773584909E-2</v>
      </c>
      <c r="X1507">
        <f t="shared" ca="1" si="598"/>
        <v>196.15384615384616</v>
      </c>
      <c r="Y1507">
        <f t="shared" ca="1" si="599"/>
        <v>631.93349999999998</v>
      </c>
      <c r="Z1507">
        <f t="shared" ca="1" si="600"/>
        <v>2593.010531648662</v>
      </c>
      <c r="AA1507">
        <f t="shared" ca="1" si="601"/>
        <v>482.07306851378365</v>
      </c>
      <c r="AB1507">
        <f t="shared" ca="1" si="602"/>
        <v>482.26867621694873</v>
      </c>
      <c r="AC1507">
        <f t="shared" ca="1" si="603"/>
        <v>0</v>
      </c>
      <c r="AD1507">
        <f ca="1">IF(V32="Supercritical",L1507,U1507)</f>
        <v>0.05</v>
      </c>
      <c r="AE1507">
        <f t="shared" ca="1" si="604"/>
        <v>631.93349999999998</v>
      </c>
      <c r="AF1507">
        <f t="shared" ca="1" si="605"/>
        <v>2593.010531648662</v>
      </c>
      <c r="AI1507">
        <v>0</v>
      </c>
      <c r="AJ1507">
        <v>0</v>
      </c>
      <c r="AK1507">
        <f t="shared" si="606"/>
        <v>0</v>
      </c>
      <c r="AL1507">
        <f t="shared" si="614"/>
        <v>0</v>
      </c>
      <c r="AM1507">
        <f t="shared" ca="1" si="607"/>
        <v>280.07692026646265</v>
      </c>
      <c r="AN1507" t="str">
        <f t="shared" ca="1" si="608"/>
        <v>Supercritical</v>
      </c>
      <c r="AO1507">
        <f ca="1">IF(V32="Supercritical",R1507,AA1507)</f>
        <v>482.07306851378365</v>
      </c>
    </row>
    <row r="1508" spans="1:41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174</v>
      </c>
      <c r="I1508">
        <v>0.06</v>
      </c>
      <c r="J1508">
        <f t="shared" si="609"/>
        <v>1</v>
      </c>
      <c r="K1508">
        <f t="shared" si="610"/>
        <v>51</v>
      </c>
      <c r="L1508">
        <f t="shared" ca="1" si="611"/>
        <v>38818.051231278128</v>
      </c>
      <c r="M1508">
        <f t="shared" ca="1" si="589"/>
        <v>201853.86640264626</v>
      </c>
      <c r="N1508">
        <f t="shared" ca="1" si="590"/>
        <v>2.5998258658784543</v>
      </c>
      <c r="O1508">
        <f t="shared" ca="1" si="591"/>
        <v>2.5265802884482871E-4</v>
      </c>
      <c r="P1508">
        <f t="shared" ca="1" si="592"/>
        <v>39449.93423127813</v>
      </c>
      <c r="Q1508">
        <f t="shared" ca="1" si="593"/>
        <v>39449.934231281382</v>
      </c>
      <c r="R1508">
        <f t="shared" ca="1" si="594"/>
        <v>4.0178129257556468E-12</v>
      </c>
      <c r="S1508">
        <f t="shared" ca="1" si="612"/>
        <v>4.999999946448952E-4</v>
      </c>
      <c r="T1508">
        <f t="shared" ca="1" si="613"/>
        <v>1</v>
      </c>
      <c r="U1508">
        <f t="shared" ca="1" si="595"/>
        <v>0.05</v>
      </c>
      <c r="V1508">
        <f t="shared" ca="1" si="596"/>
        <v>0.26</v>
      </c>
      <c r="W1508">
        <f t="shared" ca="1" si="597"/>
        <v>4.9056603773584909E-2</v>
      </c>
      <c r="X1508">
        <f t="shared" ca="1" si="598"/>
        <v>196.15384615384616</v>
      </c>
      <c r="Y1508">
        <f t="shared" ca="1" si="599"/>
        <v>631.93299999999999</v>
      </c>
      <c r="Z1508">
        <f t="shared" ca="1" si="600"/>
        <v>2593.0100316486623</v>
      </c>
      <c r="AA1508">
        <f t="shared" ca="1" si="601"/>
        <v>482.07306851378365</v>
      </c>
      <c r="AB1508">
        <f t="shared" ca="1" si="602"/>
        <v>482.5611785058345</v>
      </c>
      <c r="AC1508">
        <f t="shared" ca="1" si="603"/>
        <v>0</v>
      </c>
      <c r="AD1508">
        <f ca="1">IF(V32="Supercritical",L1508,U1508)</f>
        <v>0.05</v>
      </c>
      <c r="AE1508">
        <f t="shared" ca="1" si="604"/>
        <v>631.93299999999999</v>
      </c>
      <c r="AF1508">
        <f t="shared" ca="1" si="605"/>
        <v>2593.0100316486623</v>
      </c>
      <c r="AI1508">
        <v>0</v>
      </c>
      <c r="AJ1508">
        <v>0</v>
      </c>
      <c r="AK1508">
        <f t="shared" si="606"/>
        <v>0</v>
      </c>
      <c r="AL1508">
        <f t="shared" si="614"/>
        <v>0</v>
      </c>
      <c r="AM1508">
        <f t="shared" ca="1" si="607"/>
        <v>280.07692026646265</v>
      </c>
      <c r="AN1508" t="str">
        <f t="shared" ca="1" si="608"/>
        <v>Supercritical</v>
      </c>
      <c r="AO1508">
        <f ca="1">IF(V32="Supercritical",R1508,AA1508)</f>
        <v>482.07306851378365</v>
      </c>
    </row>
    <row r="1509" spans="1:41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174</v>
      </c>
      <c r="I1509">
        <v>2E-3</v>
      </c>
      <c r="J1509">
        <f t="shared" si="609"/>
        <v>1.0010000000002037</v>
      </c>
      <c r="K1509">
        <f t="shared" si="610"/>
        <v>51</v>
      </c>
      <c r="L1509">
        <f t="shared" ca="1" si="611"/>
        <v>38818.051231278128</v>
      </c>
      <c r="M1509">
        <f t="shared" ca="1" si="589"/>
        <v>201853.86640264626</v>
      </c>
      <c r="N1509">
        <f t="shared" ca="1" si="590"/>
        <v>2.5998258658784543</v>
      </c>
      <c r="O1509">
        <f t="shared" ca="1" si="591"/>
        <v>2.5265802884482871E-4</v>
      </c>
      <c r="P1509">
        <f t="shared" ca="1" si="592"/>
        <v>39449.933731278128</v>
      </c>
      <c r="Q1509">
        <f t="shared" ca="1" si="593"/>
        <v>39449.93373128138</v>
      </c>
      <c r="R1509">
        <f t="shared" ca="1" si="594"/>
        <v>4.0178129257556468E-12</v>
      </c>
      <c r="S1509">
        <f t="shared" ca="1" si="612"/>
        <v>4.999999946448952E-4</v>
      </c>
      <c r="T1509">
        <f t="shared" ca="1" si="613"/>
        <v>1</v>
      </c>
      <c r="U1509">
        <f t="shared" ca="1" si="595"/>
        <v>0.05</v>
      </c>
      <c r="V1509">
        <f t="shared" ca="1" si="596"/>
        <v>0.26</v>
      </c>
      <c r="W1509">
        <f t="shared" ca="1" si="597"/>
        <v>4.9056603773584909E-2</v>
      </c>
      <c r="X1509">
        <f t="shared" ca="1" si="598"/>
        <v>196.15384615384616</v>
      </c>
      <c r="Y1509">
        <f t="shared" ca="1" si="599"/>
        <v>631.9325</v>
      </c>
      <c r="Z1509">
        <f t="shared" ca="1" si="600"/>
        <v>2593.0095316486622</v>
      </c>
      <c r="AA1509">
        <f t="shared" ca="1" si="601"/>
        <v>482.07306851378365</v>
      </c>
      <c r="AB1509">
        <f t="shared" ca="1" si="602"/>
        <v>482.07256851378361</v>
      </c>
      <c r="AC1509">
        <f t="shared" ca="1" si="603"/>
        <v>0</v>
      </c>
      <c r="AD1509">
        <f ca="1">IF(V32="Supercritical",L1509,U1509)</f>
        <v>0.05</v>
      </c>
      <c r="AE1509">
        <f t="shared" ca="1" si="604"/>
        <v>631.9325</v>
      </c>
      <c r="AF1509">
        <f t="shared" ca="1" si="605"/>
        <v>2593.0095316486622</v>
      </c>
      <c r="AI1509">
        <v>0</v>
      </c>
      <c r="AJ1509">
        <v>0</v>
      </c>
      <c r="AK1509">
        <f t="shared" si="606"/>
        <v>0</v>
      </c>
      <c r="AL1509">
        <f t="shared" si="614"/>
        <v>0</v>
      </c>
      <c r="AM1509">
        <f t="shared" ca="1" si="607"/>
        <v>280.07692026646265</v>
      </c>
      <c r="AN1509" t="str">
        <f t="shared" ca="1" si="608"/>
        <v>Supercritical</v>
      </c>
      <c r="AO1509">
        <f ca="1">IF(V32="Supercritical",R1509,AA1509)</f>
        <v>482.07306851378365</v>
      </c>
    </row>
    <row r="1510" spans="1:41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174</v>
      </c>
      <c r="I1510">
        <v>0</v>
      </c>
      <c r="J1510">
        <f t="shared" si="609"/>
        <v>1</v>
      </c>
      <c r="K1510">
        <f t="shared" si="610"/>
        <v>51</v>
      </c>
      <c r="L1510">
        <f t="shared" ca="1" si="611"/>
        <v>38818.051231278128</v>
      </c>
      <c r="M1510">
        <f t="shared" ca="1" si="589"/>
        <v>201853.86640264626</v>
      </c>
      <c r="N1510">
        <f t="shared" ca="1" si="590"/>
        <v>2.5998258658784543</v>
      </c>
      <c r="O1510">
        <f t="shared" ca="1" si="591"/>
        <v>2.5265802884482871E-4</v>
      </c>
      <c r="P1510">
        <f t="shared" ca="1" si="592"/>
        <v>39449.933231278126</v>
      </c>
      <c r="Q1510">
        <f t="shared" ca="1" si="593"/>
        <v>39449.933231281379</v>
      </c>
      <c r="R1510">
        <f t="shared" ca="1" si="594"/>
        <v>4.0178129257556468E-12</v>
      </c>
      <c r="S1510">
        <f t="shared" ca="1" si="612"/>
        <v>4.999999946448952E-4</v>
      </c>
      <c r="T1510">
        <f t="shared" ca="1" si="613"/>
        <v>1</v>
      </c>
      <c r="U1510">
        <f t="shared" ca="1" si="595"/>
        <v>0.05</v>
      </c>
      <c r="V1510">
        <f t="shared" ca="1" si="596"/>
        <v>0.26</v>
      </c>
      <c r="W1510">
        <f t="shared" ca="1" si="597"/>
        <v>4.9056603773584909E-2</v>
      </c>
      <c r="X1510">
        <f t="shared" ca="1" si="598"/>
        <v>196.15384615384616</v>
      </c>
      <c r="Y1510">
        <f t="shared" ca="1" si="599"/>
        <v>631.9319999999999</v>
      </c>
      <c r="Z1510">
        <f t="shared" ca="1" si="600"/>
        <v>2593.0090316486621</v>
      </c>
      <c r="AA1510">
        <f t="shared" ca="1" si="601"/>
        <v>482.07306851378365</v>
      </c>
      <c r="AB1510">
        <f t="shared" ca="1" si="602"/>
        <v>482.25887083179032</v>
      </c>
      <c r="AC1510">
        <f t="shared" ca="1" si="603"/>
        <v>0</v>
      </c>
      <c r="AD1510">
        <f ca="1">IF(V32="Supercritical",L1510,U1510)</f>
        <v>0.05</v>
      </c>
      <c r="AE1510">
        <f t="shared" ca="1" si="604"/>
        <v>631.9319999999999</v>
      </c>
      <c r="AF1510">
        <f t="shared" ca="1" si="605"/>
        <v>2593.0090316486621</v>
      </c>
      <c r="AI1510">
        <v>0</v>
      </c>
      <c r="AJ1510">
        <v>0</v>
      </c>
      <c r="AK1510">
        <f t="shared" si="606"/>
        <v>0</v>
      </c>
      <c r="AL1510">
        <f t="shared" si="614"/>
        <v>0</v>
      </c>
      <c r="AM1510">
        <f t="shared" ca="1" si="607"/>
        <v>280.07692026646265</v>
      </c>
      <c r="AN1510" t="str">
        <f t="shared" ca="1" si="608"/>
        <v>Supercritical</v>
      </c>
      <c r="AO1510">
        <f ca="1">IF(V32="Supercritical",R1510,AA1510)</f>
        <v>482.07306851378365</v>
      </c>
    </row>
    <row r="1511" spans="1:41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174</v>
      </c>
      <c r="I1511">
        <v>5.7000000000000002E-2</v>
      </c>
      <c r="J1511">
        <f t="shared" si="609"/>
        <v>1</v>
      </c>
      <c r="K1511">
        <f t="shared" si="610"/>
        <v>51</v>
      </c>
      <c r="L1511">
        <f t="shared" ca="1" si="611"/>
        <v>38818.051231278128</v>
      </c>
      <c r="M1511">
        <f t="shared" ca="1" si="589"/>
        <v>201853.86640264626</v>
      </c>
      <c r="N1511">
        <f t="shared" ca="1" si="590"/>
        <v>2.5998258658784543</v>
      </c>
      <c r="O1511">
        <f t="shared" ca="1" si="591"/>
        <v>2.5265802884482871E-4</v>
      </c>
      <c r="P1511">
        <f t="shared" ca="1" si="592"/>
        <v>39449.932731278132</v>
      </c>
      <c r="Q1511">
        <f t="shared" ca="1" si="593"/>
        <v>39449.932731281384</v>
      </c>
      <c r="R1511">
        <f t="shared" ca="1" si="594"/>
        <v>4.0178129257556468E-12</v>
      </c>
      <c r="S1511">
        <f t="shared" ca="1" si="612"/>
        <v>4.9999998736893758E-4</v>
      </c>
      <c r="T1511">
        <f t="shared" ca="1" si="613"/>
        <v>1</v>
      </c>
      <c r="U1511">
        <f t="shared" ca="1" si="595"/>
        <v>0.05</v>
      </c>
      <c r="V1511">
        <f t="shared" ca="1" si="596"/>
        <v>0.26</v>
      </c>
      <c r="W1511">
        <f t="shared" ca="1" si="597"/>
        <v>4.9056603773584909E-2</v>
      </c>
      <c r="X1511">
        <f t="shared" ca="1" si="598"/>
        <v>196.15384615384616</v>
      </c>
      <c r="Y1511">
        <f t="shared" ca="1" si="599"/>
        <v>631.93149999999991</v>
      </c>
      <c r="Z1511">
        <f t="shared" ca="1" si="600"/>
        <v>2593.008531648662</v>
      </c>
      <c r="AA1511">
        <f t="shared" ca="1" si="601"/>
        <v>482.07306851378365</v>
      </c>
      <c r="AB1511">
        <f t="shared" ca="1" si="602"/>
        <v>481.77679776317837</v>
      </c>
      <c r="AC1511">
        <f t="shared" ca="1" si="603"/>
        <v>0</v>
      </c>
      <c r="AD1511">
        <f ca="1">IF(V32="Supercritical",L1511,U1511)</f>
        <v>0.05</v>
      </c>
      <c r="AE1511">
        <f t="shared" ca="1" si="604"/>
        <v>631.93149999999991</v>
      </c>
      <c r="AF1511">
        <f t="shared" ca="1" si="605"/>
        <v>2593.008531648662</v>
      </c>
      <c r="AI1511">
        <v>0</v>
      </c>
      <c r="AJ1511">
        <v>0</v>
      </c>
      <c r="AK1511">
        <f t="shared" si="606"/>
        <v>0</v>
      </c>
      <c r="AL1511">
        <f t="shared" si="614"/>
        <v>0</v>
      </c>
      <c r="AM1511">
        <f t="shared" ca="1" si="607"/>
        <v>280.07692026646265</v>
      </c>
      <c r="AN1511" t="str">
        <f t="shared" ca="1" si="608"/>
        <v>Supercritical</v>
      </c>
      <c r="AO1511">
        <f ca="1">IF(V32="Supercritical",R1511,AA1511)</f>
        <v>482.07306851378365</v>
      </c>
    </row>
    <row r="1512" spans="1:41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174</v>
      </c>
      <c r="I1512">
        <v>5.7000000000000002E-2</v>
      </c>
      <c r="J1512">
        <f t="shared" si="609"/>
        <v>0.99899999999979627</v>
      </c>
      <c r="K1512">
        <f t="shared" si="610"/>
        <v>51</v>
      </c>
      <c r="L1512">
        <f t="shared" ca="1" si="611"/>
        <v>38818.051231278128</v>
      </c>
      <c r="M1512">
        <f t="shared" ca="1" si="589"/>
        <v>201853.86640264626</v>
      </c>
      <c r="N1512">
        <f t="shared" ca="1" si="590"/>
        <v>2.5998258658784543</v>
      </c>
      <c r="O1512">
        <f t="shared" ca="1" si="591"/>
        <v>2.5265802884482871E-4</v>
      </c>
      <c r="P1512">
        <f t="shared" ca="1" si="592"/>
        <v>39449.93223127813</v>
      </c>
      <c r="Q1512">
        <f t="shared" ca="1" si="593"/>
        <v>39449.932231281382</v>
      </c>
      <c r="R1512">
        <f t="shared" ca="1" si="594"/>
        <v>4.0178129257556468E-12</v>
      </c>
      <c r="S1512">
        <f t="shared" ca="1" si="612"/>
        <v>4.999999946448952E-4</v>
      </c>
      <c r="T1512">
        <f t="shared" ca="1" si="613"/>
        <v>1</v>
      </c>
      <c r="U1512">
        <f t="shared" ca="1" si="595"/>
        <v>0.05</v>
      </c>
      <c r="V1512">
        <f t="shared" ca="1" si="596"/>
        <v>0.26</v>
      </c>
      <c r="W1512">
        <f t="shared" ca="1" si="597"/>
        <v>4.9056603773584909E-2</v>
      </c>
      <c r="X1512">
        <f t="shared" ca="1" si="598"/>
        <v>196.15384615384616</v>
      </c>
      <c r="Y1512">
        <f t="shared" ca="1" si="599"/>
        <v>631.93099999999993</v>
      </c>
      <c r="Z1512">
        <f t="shared" ca="1" si="600"/>
        <v>2593.0080316486619</v>
      </c>
      <c r="AA1512">
        <f t="shared" ca="1" si="601"/>
        <v>482.07306851378365</v>
      </c>
      <c r="AB1512">
        <f t="shared" ca="1" si="602"/>
        <v>482.07256851378361</v>
      </c>
      <c r="AC1512">
        <f t="shared" ca="1" si="603"/>
        <v>0</v>
      </c>
      <c r="AD1512">
        <f ca="1">IF(V32="Supercritical",L1512,U1512)</f>
        <v>0.05</v>
      </c>
      <c r="AE1512">
        <f t="shared" ca="1" si="604"/>
        <v>631.93099999999993</v>
      </c>
      <c r="AF1512">
        <f t="shared" ca="1" si="605"/>
        <v>2593.0080316486619</v>
      </c>
      <c r="AI1512">
        <v>0</v>
      </c>
      <c r="AJ1512">
        <v>0</v>
      </c>
      <c r="AK1512">
        <f t="shared" si="606"/>
        <v>0</v>
      </c>
      <c r="AL1512">
        <f t="shared" si="614"/>
        <v>0</v>
      </c>
      <c r="AM1512">
        <f t="shared" ca="1" si="607"/>
        <v>280.07692026646265</v>
      </c>
      <c r="AN1512" t="str">
        <f t="shared" ca="1" si="608"/>
        <v>Supercritical</v>
      </c>
      <c r="AO1512">
        <f ca="1">IF(V32="Supercritical",R1512,AA1512)</f>
        <v>482.07306851378365</v>
      </c>
    </row>
    <row r="1513" spans="1:41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174</v>
      </c>
      <c r="I1513">
        <v>0</v>
      </c>
      <c r="J1513">
        <f t="shared" si="609"/>
        <v>1</v>
      </c>
      <c r="K1513">
        <f t="shared" si="610"/>
        <v>51</v>
      </c>
      <c r="L1513">
        <f t="shared" ca="1" si="611"/>
        <v>38818.051231278128</v>
      </c>
      <c r="M1513">
        <f t="shared" ca="1" si="589"/>
        <v>201853.86640264626</v>
      </c>
      <c r="N1513">
        <f t="shared" ca="1" si="590"/>
        <v>2.5998258658784543</v>
      </c>
      <c r="O1513">
        <f t="shared" ca="1" si="591"/>
        <v>2.5265802884482871E-4</v>
      </c>
      <c r="P1513">
        <f t="shared" ca="1" si="592"/>
        <v>39449.931731278128</v>
      </c>
      <c r="Q1513">
        <f t="shared" ca="1" si="593"/>
        <v>39449.93173128138</v>
      </c>
      <c r="R1513">
        <f t="shared" ca="1" si="594"/>
        <v>4.0178129257556468E-12</v>
      </c>
      <c r="S1513">
        <f t="shared" ca="1" si="612"/>
        <v>4.999999946448952E-4</v>
      </c>
      <c r="T1513">
        <f t="shared" ca="1" si="613"/>
        <v>1</v>
      </c>
      <c r="U1513">
        <f t="shared" ca="1" si="595"/>
        <v>0.05</v>
      </c>
      <c r="V1513">
        <f t="shared" ca="1" si="596"/>
        <v>0.26</v>
      </c>
      <c r="W1513">
        <f t="shared" ca="1" si="597"/>
        <v>4.9056603773584909E-2</v>
      </c>
      <c r="X1513">
        <f t="shared" ca="1" si="598"/>
        <v>196.15384615384616</v>
      </c>
      <c r="Y1513">
        <f t="shared" ca="1" si="599"/>
        <v>631.93049999999994</v>
      </c>
      <c r="Z1513">
        <f t="shared" ca="1" si="600"/>
        <v>2593.0075316486618</v>
      </c>
      <c r="AA1513">
        <f t="shared" ca="1" si="601"/>
        <v>482.07306851378365</v>
      </c>
      <c r="AB1513">
        <f t="shared" ca="1" si="602"/>
        <v>482.25887083179077</v>
      </c>
      <c r="AC1513">
        <f t="shared" ca="1" si="603"/>
        <v>0</v>
      </c>
      <c r="AD1513">
        <f ca="1">IF(V32="Supercritical",L1513,U1513)</f>
        <v>0.05</v>
      </c>
      <c r="AE1513">
        <f t="shared" ca="1" si="604"/>
        <v>631.93049999999994</v>
      </c>
      <c r="AF1513">
        <f t="shared" ca="1" si="605"/>
        <v>2593.0075316486618</v>
      </c>
      <c r="AI1513">
        <v>0</v>
      </c>
      <c r="AJ1513">
        <v>0</v>
      </c>
      <c r="AK1513">
        <f t="shared" si="606"/>
        <v>0</v>
      </c>
      <c r="AL1513">
        <f t="shared" si="614"/>
        <v>0</v>
      </c>
      <c r="AM1513">
        <f t="shared" ca="1" si="607"/>
        <v>280.07692026646265</v>
      </c>
      <c r="AN1513" t="str">
        <f t="shared" ca="1" si="608"/>
        <v>Supercritical</v>
      </c>
      <c r="AO1513">
        <f ca="1">IF(V32="Supercritical",R1513,AA1513)</f>
        <v>482.07306851378365</v>
      </c>
    </row>
    <row r="1514" spans="1:41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174</v>
      </c>
      <c r="I1514">
        <v>5.7000000000000002E-2</v>
      </c>
      <c r="J1514">
        <f t="shared" si="609"/>
        <v>1</v>
      </c>
      <c r="K1514">
        <f t="shared" si="610"/>
        <v>51</v>
      </c>
      <c r="L1514">
        <f t="shared" ca="1" si="611"/>
        <v>38818.051231278128</v>
      </c>
      <c r="M1514">
        <f t="shared" ca="1" si="589"/>
        <v>201853.86640264626</v>
      </c>
      <c r="N1514">
        <f t="shared" ca="1" si="590"/>
        <v>2.5998258658784543</v>
      </c>
      <c r="O1514">
        <f t="shared" ca="1" si="591"/>
        <v>2.5265802884482871E-4</v>
      </c>
      <c r="P1514">
        <f t="shared" ca="1" si="592"/>
        <v>39449.931231278126</v>
      </c>
      <c r="Q1514">
        <f t="shared" ca="1" si="593"/>
        <v>39449.931231281378</v>
      </c>
      <c r="R1514">
        <f t="shared" ca="1" si="594"/>
        <v>4.0178129257556468E-12</v>
      </c>
      <c r="S1514">
        <f t="shared" ca="1" si="612"/>
        <v>4.999999946448952E-4</v>
      </c>
      <c r="T1514">
        <f t="shared" ca="1" si="613"/>
        <v>1</v>
      </c>
      <c r="U1514">
        <f t="shared" ca="1" si="595"/>
        <v>0.05</v>
      </c>
      <c r="V1514">
        <f t="shared" ca="1" si="596"/>
        <v>0.26</v>
      </c>
      <c r="W1514">
        <f t="shared" ca="1" si="597"/>
        <v>4.9056603773584909E-2</v>
      </c>
      <c r="X1514">
        <f t="shared" ca="1" si="598"/>
        <v>196.15384615384616</v>
      </c>
      <c r="Y1514">
        <f t="shared" ca="1" si="599"/>
        <v>631.92999999999995</v>
      </c>
      <c r="Z1514">
        <f t="shared" ca="1" si="600"/>
        <v>2593.0070316486622</v>
      </c>
      <c r="AA1514">
        <f t="shared" ca="1" si="601"/>
        <v>482.07306851378365</v>
      </c>
      <c r="AB1514">
        <f t="shared" ca="1" si="602"/>
        <v>482.25887083179032</v>
      </c>
      <c r="AC1514">
        <f t="shared" ca="1" si="603"/>
        <v>0</v>
      </c>
      <c r="AD1514">
        <f ca="1">IF(V32="Supercritical",L1514,U1514)</f>
        <v>0.05</v>
      </c>
      <c r="AE1514">
        <f t="shared" ca="1" si="604"/>
        <v>631.92999999999995</v>
      </c>
      <c r="AF1514">
        <f t="shared" ca="1" si="605"/>
        <v>2593.0070316486622</v>
      </c>
      <c r="AI1514">
        <v>0</v>
      </c>
      <c r="AJ1514">
        <v>0</v>
      </c>
      <c r="AK1514">
        <f t="shared" si="606"/>
        <v>0</v>
      </c>
      <c r="AL1514">
        <f t="shared" si="614"/>
        <v>0</v>
      </c>
      <c r="AM1514">
        <f t="shared" ca="1" si="607"/>
        <v>280.07692026646265</v>
      </c>
      <c r="AN1514" t="str">
        <f t="shared" ca="1" si="608"/>
        <v>Supercritical</v>
      </c>
      <c r="AO1514">
        <f ca="1">IF(V32="Supercritical",R1514,AA1514)</f>
        <v>482.07306851378365</v>
      </c>
    </row>
    <row r="1515" spans="1:41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174</v>
      </c>
      <c r="I1515">
        <v>5.7000000000000002E-2</v>
      </c>
      <c r="J1515">
        <f t="shared" si="609"/>
        <v>1</v>
      </c>
      <c r="K1515">
        <f t="shared" si="610"/>
        <v>51</v>
      </c>
      <c r="L1515">
        <f t="shared" ca="1" si="611"/>
        <v>38818.051231278128</v>
      </c>
      <c r="M1515">
        <f t="shared" ca="1" si="589"/>
        <v>201853.86640264626</v>
      </c>
      <c r="N1515">
        <f t="shared" ca="1" si="590"/>
        <v>2.5998258658784543</v>
      </c>
      <c r="O1515">
        <f t="shared" ca="1" si="591"/>
        <v>2.5265802884482871E-4</v>
      </c>
      <c r="P1515">
        <f t="shared" ca="1" si="592"/>
        <v>39449.930731278131</v>
      </c>
      <c r="Q1515">
        <f t="shared" ca="1" si="593"/>
        <v>39449.930731281383</v>
      </c>
      <c r="R1515">
        <f t="shared" ca="1" si="594"/>
        <v>4.0178129257556468E-12</v>
      </c>
      <c r="S1515">
        <f t="shared" ca="1" si="612"/>
        <v>4.9999998736893758E-4</v>
      </c>
      <c r="T1515">
        <f t="shared" ca="1" si="613"/>
        <v>1</v>
      </c>
      <c r="U1515">
        <f t="shared" ca="1" si="595"/>
        <v>0.05</v>
      </c>
      <c r="V1515">
        <f t="shared" ca="1" si="596"/>
        <v>0.26</v>
      </c>
      <c r="W1515">
        <f t="shared" ca="1" si="597"/>
        <v>4.9056603773584909E-2</v>
      </c>
      <c r="X1515">
        <f t="shared" ca="1" si="598"/>
        <v>196.15384615384616</v>
      </c>
      <c r="Y1515">
        <f t="shared" ca="1" si="599"/>
        <v>631.92949999999996</v>
      </c>
      <c r="Z1515">
        <f t="shared" ca="1" si="600"/>
        <v>2593.0065316486621</v>
      </c>
      <c r="AA1515">
        <f t="shared" ca="1" si="601"/>
        <v>482.07306851378365</v>
      </c>
      <c r="AB1515">
        <f t="shared" ca="1" si="602"/>
        <v>483.95193400244671</v>
      </c>
      <c r="AC1515">
        <f t="shared" ca="1" si="603"/>
        <v>0</v>
      </c>
      <c r="AD1515">
        <f ca="1">IF(V32="Supercritical",L1515,U1515)</f>
        <v>0.05</v>
      </c>
      <c r="AE1515">
        <f t="shared" ca="1" si="604"/>
        <v>631.92949999999996</v>
      </c>
      <c r="AF1515">
        <f t="shared" ca="1" si="605"/>
        <v>2593.0065316486621</v>
      </c>
      <c r="AI1515">
        <v>0</v>
      </c>
      <c r="AJ1515">
        <v>0</v>
      </c>
      <c r="AK1515">
        <f t="shared" si="606"/>
        <v>0</v>
      </c>
      <c r="AL1515">
        <f t="shared" si="614"/>
        <v>0</v>
      </c>
      <c r="AM1515">
        <f t="shared" ca="1" si="607"/>
        <v>280.07692026646265</v>
      </c>
      <c r="AN1515" t="str">
        <f t="shared" ca="1" si="608"/>
        <v>Supercritical</v>
      </c>
      <c r="AO1515">
        <f ca="1">IF(V32="Supercritical",R1515,AA1515)</f>
        <v>482.07306851378365</v>
      </c>
    </row>
    <row r="1516" spans="1:41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174</v>
      </c>
      <c r="I1516">
        <v>0.57499999999999996</v>
      </c>
      <c r="J1516">
        <f t="shared" si="609"/>
        <v>1</v>
      </c>
      <c r="K1516">
        <f t="shared" si="610"/>
        <v>51</v>
      </c>
      <c r="L1516">
        <f t="shared" ca="1" si="611"/>
        <v>38818.051231278128</v>
      </c>
      <c r="M1516">
        <f t="shared" ca="1" si="589"/>
        <v>201853.86640264626</v>
      </c>
      <c r="N1516">
        <f t="shared" ca="1" si="590"/>
        <v>2.5998258658784543</v>
      </c>
      <c r="O1516">
        <f t="shared" ca="1" si="591"/>
        <v>2.5265802884482871E-4</v>
      </c>
      <c r="P1516">
        <f t="shared" ca="1" si="592"/>
        <v>39449.930231278129</v>
      </c>
      <c r="Q1516">
        <f t="shared" ca="1" si="593"/>
        <v>39449.930231281382</v>
      </c>
      <c r="R1516">
        <f t="shared" ca="1" si="594"/>
        <v>4.0178129257556468E-12</v>
      </c>
      <c r="S1516">
        <f t="shared" ca="1" si="612"/>
        <v>4.999999946448952E-4</v>
      </c>
      <c r="T1516">
        <f t="shared" ca="1" si="613"/>
        <v>1</v>
      </c>
      <c r="U1516">
        <f t="shared" ca="1" si="595"/>
        <v>0.05</v>
      </c>
      <c r="V1516">
        <f t="shared" ca="1" si="596"/>
        <v>0.26</v>
      </c>
      <c r="W1516">
        <f t="shared" ca="1" si="597"/>
        <v>4.9056603773584909E-2</v>
      </c>
      <c r="X1516">
        <f t="shared" ca="1" si="598"/>
        <v>196.15384615384616</v>
      </c>
      <c r="Y1516">
        <f t="shared" ca="1" si="599"/>
        <v>631.92899999999997</v>
      </c>
      <c r="Z1516">
        <f t="shared" ca="1" si="600"/>
        <v>2593.006031648662</v>
      </c>
      <c r="AA1516">
        <f t="shared" ca="1" si="601"/>
        <v>482.07306851378365</v>
      </c>
      <c r="AB1516">
        <f t="shared" ca="1" si="602"/>
        <v>490.5967398735711</v>
      </c>
      <c r="AC1516">
        <f t="shared" ca="1" si="603"/>
        <v>0</v>
      </c>
      <c r="AD1516">
        <f ca="1">IF(V32="Supercritical",L1516,U1516)</f>
        <v>0.05</v>
      </c>
      <c r="AE1516">
        <f t="shared" ca="1" si="604"/>
        <v>631.92899999999997</v>
      </c>
      <c r="AF1516">
        <f t="shared" ca="1" si="605"/>
        <v>2593.006031648662</v>
      </c>
      <c r="AI1516">
        <v>0</v>
      </c>
      <c r="AJ1516">
        <v>0</v>
      </c>
      <c r="AK1516">
        <f t="shared" si="606"/>
        <v>0</v>
      </c>
      <c r="AL1516">
        <f t="shared" si="614"/>
        <v>0</v>
      </c>
      <c r="AM1516">
        <f t="shared" ca="1" si="607"/>
        <v>280.07692026646265</v>
      </c>
      <c r="AN1516" t="str">
        <f t="shared" ca="1" si="608"/>
        <v>Supercritical</v>
      </c>
      <c r="AO1516">
        <f ca="1">IF(V32="Supercritical",R1516,AA1516)</f>
        <v>482.07306851378365</v>
      </c>
    </row>
    <row r="1517" spans="1:41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174</v>
      </c>
      <c r="I1517">
        <v>2.177</v>
      </c>
      <c r="J1517">
        <f t="shared" si="609"/>
        <v>1.0010000000002037</v>
      </c>
      <c r="K1517">
        <f t="shared" si="610"/>
        <v>51</v>
      </c>
      <c r="L1517">
        <f t="shared" ca="1" si="611"/>
        <v>38818.051231278128</v>
      </c>
      <c r="M1517">
        <f t="shared" ca="1" si="589"/>
        <v>201815.048351415</v>
      </c>
      <c r="N1517">
        <f t="shared" ca="1" si="590"/>
        <v>2.5993259328444349</v>
      </c>
      <c r="O1517">
        <f t="shared" ca="1" si="591"/>
        <v>2.5270662627295808E-4</v>
      </c>
      <c r="P1517">
        <f t="shared" ca="1" si="592"/>
        <v>39449.929731278127</v>
      </c>
      <c r="Q1517">
        <f t="shared" ca="1" si="593"/>
        <v>39449.92973128138</v>
      </c>
      <c r="R1517">
        <f t="shared" ca="1" si="594"/>
        <v>4.020389451320579E-12</v>
      </c>
      <c r="S1517">
        <f t="shared" ca="1" si="612"/>
        <v>4.9999998009297997E-4</v>
      </c>
      <c r="T1517">
        <f t="shared" ca="1" si="613"/>
        <v>1</v>
      </c>
      <c r="U1517">
        <f t="shared" ca="1" si="595"/>
        <v>0.05</v>
      </c>
      <c r="V1517">
        <f t="shared" ca="1" si="596"/>
        <v>0.25995000000000001</v>
      </c>
      <c r="W1517">
        <f t="shared" ca="1" si="597"/>
        <v>4.9056425740705803E-2</v>
      </c>
      <c r="X1517">
        <f t="shared" ca="1" si="598"/>
        <v>196.19157530294285</v>
      </c>
      <c r="Y1517">
        <f t="shared" ca="1" si="599"/>
        <v>631.92849999999999</v>
      </c>
      <c r="Z1517">
        <f t="shared" ca="1" si="600"/>
        <v>2593.7600096763654</v>
      </c>
      <c r="AA1517">
        <f t="shared" ca="1" si="601"/>
        <v>482.26086831350221</v>
      </c>
      <c r="AB1517">
        <f t="shared" ca="1" si="602"/>
        <v>482.44674230692181</v>
      </c>
      <c r="AC1517">
        <f t="shared" ca="1" si="603"/>
        <v>0</v>
      </c>
      <c r="AD1517">
        <f ca="1">IF(V32="Supercritical",L1517,U1517)</f>
        <v>0.05</v>
      </c>
      <c r="AE1517">
        <f t="shared" ca="1" si="604"/>
        <v>631.92849999999999</v>
      </c>
      <c r="AF1517">
        <f t="shared" ca="1" si="605"/>
        <v>2593.7600096763654</v>
      </c>
      <c r="AI1517">
        <v>0</v>
      </c>
      <c r="AJ1517">
        <v>0</v>
      </c>
      <c r="AK1517">
        <f t="shared" si="606"/>
        <v>0</v>
      </c>
      <c r="AL1517">
        <f t="shared" si="614"/>
        <v>0</v>
      </c>
      <c r="AM1517">
        <f t="shared" ca="1" si="607"/>
        <v>280.13079157253424</v>
      </c>
      <c r="AN1517" t="str">
        <f t="shared" ca="1" si="608"/>
        <v>Supercritical</v>
      </c>
      <c r="AO1517">
        <f ca="1">IF(V32="Supercritical",R1517,AA1517)</f>
        <v>482.26086831350221</v>
      </c>
    </row>
    <row r="1518" spans="1:41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174</v>
      </c>
      <c r="I1518">
        <v>5.7000000000000002E-2</v>
      </c>
      <c r="J1518">
        <f t="shared" si="609"/>
        <v>1</v>
      </c>
      <c r="K1518">
        <f t="shared" si="610"/>
        <v>51</v>
      </c>
      <c r="L1518">
        <f t="shared" ca="1" si="611"/>
        <v>38818.051231278128</v>
      </c>
      <c r="M1518">
        <f t="shared" ca="1" si="589"/>
        <v>201815.048351415</v>
      </c>
      <c r="N1518">
        <f t="shared" ca="1" si="590"/>
        <v>2.5993259328444349</v>
      </c>
      <c r="O1518">
        <f t="shared" ca="1" si="591"/>
        <v>2.5270662627295808E-4</v>
      </c>
      <c r="P1518">
        <f t="shared" ca="1" si="592"/>
        <v>39449.929231278125</v>
      </c>
      <c r="Q1518">
        <f t="shared" ca="1" si="593"/>
        <v>39449.929231281378</v>
      </c>
      <c r="R1518">
        <f t="shared" ca="1" si="594"/>
        <v>4.020389451320579E-12</v>
      </c>
      <c r="S1518">
        <f t="shared" ca="1" si="612"/>
        <v>4.999999946448952E-4</v>
      </c>
      <c r="T1518">
        <f t="shared" ca="1" si="613"/>
        <v>1</v>
      </c>
      <c r="U1518">
        <f t="shared" ca="1" si="595"/>
        <v>0.05</v>
      </c>
      <c r="V1518">
        <f t="shared" ca="1" si="596"/>
        <v>0.25995000000000001</v>
      </c>
      <c r="W1518">
        <f t="shared" ca="1" si="597"/>
        <v>4.9056425740705803E-2</v>
      </c>
      <c r="X1518">
        <f t="shared" ca="1" si="598"/>
        <v>196.19157530294285</v>
      </c>
      <c r="Y1518">
        <f t="shared" ca="1" si="599"/>
        <v>631.928</v>
      </c>
      <c r="Z1518">
        <f t="shared" ca="1" si="600"/>
        <v>2593.7595096763657</v>
      </c>
      <c r="AA1518">
        <f t="shared" ca="1" si="601"/>
        <v>482.26086831350221</v>
      </c>
      <c r="AB1518">
        <f t="shared" ca="1" si="602"/>
        <v>482.4470423069215</v>
      </c>
      <c r="AC1518">
        <f t="shared" ca="1" si="603"/>
        <v>0</v>
      </c>
      <c r="AD1518">
        <f ca="1">IF(V32="Supercritical",L1518,U1518)</f>
        <v>0.05</v>
      </c>
      <c r="AE1518">
        <f t="shared" ca="1" si="604"/>
        <v>631.928</v>
      </c>
      <c r="AF1518">
        <f t="shared" ca="1" si="605"/>
        <v>2593.7595096763657</v>
      </c>
      <c r="AI1518">
        <v>0</v>
      </c>
      <c r="AJ1518">
        <v>0</v>
      </c>
      <c r="AK1518">
        <f t="shared" si="606"/>
        <v>0</v>
      </c>
      <c r="AL1518">
        <f t="shared" si="614"/>
        <v>0</v>
      </c>
      <c r="AM1518">
        <f t="shared" ca="1" si="607"/>
        <v>280.13079157253424</v>
      </c>
      <c r="AN1518" t="str">
        <f t="shared" ca="1" si="608"/>
        <v>Supercritical</v>
      </c>
      <c r="AO1518">
        <f ca="1">IF(V32="Supercritical",R1518,AA1518)</f>
        <v>482.26086831350221</v>
      </c>
    </row>
    <row r="1519" spans="1:41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174</v>
      </c>
      <c r="I1519">
        <v>5.7000000000000002E-2</v>
      </c>
      <c r="J1519">
        <f t="shared" si="609"/>
        <v>1</v>
      </c>
      <c r="K1519">
        <f t="shared" si="610"/>
        <v>51</v>
      </c>
      <c r="L1519">
        <f t="shared" ca="1" si="611"/>
        <v>38818.051231278128</v>
      </c>
      <c r="M1519">
        <f t="shared" ca="1" si="589"/>
        <v>201815.048351415</v>
      </c>
      <c r="N1519">
        <f t="shared" ca="1" si="590"/>
        <v>2.5993259328444349</v>
      </c>
      <c r="O1519">
        <f t="shared" ca="1" si="591"/>
        <v>2.5270662627295808E-4</v>
      </c>
      <c r="P1519">
        <f t="shared" ca="1" si="592"/>
        <v>39449.92903127813</v>
      </c>
      <c r="Q1519">
        <f t="shared" ca="1" si="593"/>
        <v>39449.929031281383</v>
      </c>
      <c r="R1519">
        <f t="shared" ca="1" si="594"/>
        <v>4.020389451320579E-12</v>
      </c>
      <c r="S1519">
        <f t="shared" ca="1" si="612"/>
        <v>1.9999998767161742E-4</v>
      </c>
      <c r="T1519">
        <f t="shared" ca="1" si="613"/>
        <v>1</v>
      </c>
      <c r="U1519">
        <f t="shared" ca="1" si="595"/>
        <v>0.05</v>
      </c>
      <c r="V1519">
        <f t="shared" ca="1" si="596"/>
        <v>0.25995000000000001</v>
      </c>
      <c r="W1519">
        <f t="shared" ca="1" si="597"/>
        <v>4.9056425740705803E-2</v>
      </c>
      <c r="X1519">
        <f t="shared" ca="1" si="598"/>
        <v>196.19157530294285</v>
      </c>
      <c r="Y1519">
        <f t="shared" ca="1" si="599"/>
        <v>631.92779999999993</v>
      </c>
      <c r="Z1519">
        <f t="shared" ca="1" si="600"/>
        <v>2593.7593096763658</v>
      </c>
      <c r="AA1519">
        <f t="shared" ca="1" si="601"/>
        <v>482.26086831350221</v>
      </c>
      <c r="AB1519">
        <f t="shared" ca="1" si="602"/>
        <v>482.26066831350181</v>
      </c>
      <c r="AC1519">
        <f t="shared" ca="1" si="603"/>
        <v>0</v>
      </c>
      <c r="AD1519">
        <f ca="1">IF(V32="Supercritical",L1519,U1519)</f>
        <v>0.05</v>
      </c>
      <c r="AE1519">
        <f t="shared" ca="1" si="604"/>
        <v>631.92779999999993</v>
      </c>
      <c r="AF1519">
        <f t="shared" ca="1" si="605"/>
        <v>2593.7593096763658</v>
      </c>
      <c r="AI1519">
        <v>0</v>
      </c>
      <c r="AJ1519">
        <v>0</v>
      </c>
      <c r="AK1519">
        <f t="shared" si="606"/>
        <v>0</v>
      </c>
      <c r="AL1519">
        <f t="shared" si="614"/>
        <v>0</v>
      </c>
      <c r="AM1519">
        <f t="shared" ca="1" si="607"/>
        <v>280.13079157253424</v>
      </c>
      <c r="AN1519" t="str">
        <f t="shared" ca="1" si="608"/>
        <v>Supercritical</v>
      </c>
      <c r="AO1519">
        <f ca="1">IF(V32="Supercritical",R1519,AA1519)</f>
        <v>482.26086831350221</v>
      </c>
    </row>
    <row r="1520" spans="1:41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174</v>
      </c>
      <c r="I1520">
        <v>0</v>
      </c>
      <c r="J1520">
        <f t="shared" si="609"/>
        <v>1</v>
      </c>
      <c r="K1520">
        <f t="shared" si="610"/>
        <v>51</v>
      </c>
      <c r="L1520">
        <f t="shared" ca="1" si="611"/>
        <v>38818.051231278128</v>
      </c>
      <c r="M1520">
        <f t="shared" ca="1" si="589"/>
        <v>201815.048351415</v>
      </c>
      <c r="N1520">
        <f t="shared" ca="1" si="590"/>
        <v>2.5993259328444349</v>
      </c>
      <c r="O1520">
        <f t="shared" ca="1" si="591"/>
        <v>2.5270662627295808E-4</v>
      </c>
      <c r="P1520">
        <f t="shared" ca="1" si="592"/>
        <v>39449.928831278128</v>
      </c>
      <c r="Q1520">
        <f t="shared" ca="1" si="593"/>
        <v>39449.928831281381</v>
      </c>
      <c r="R1520">
        <f t="shared" ca="1" si="594"/>
        <v>4.020389451320579E-12</v>
      </c>
      <c r="S1520">
        <f t="shared" ca="1" si="612"/>
        <v>1.9999999494757503E-4</v>
      </c>
      <c r="T1520">
        <f t="shared" ca="1" si="613"/>
        <v>1</v>
      </c>
      <c r="U1520">
        <f t="shared" ca="1" si="595"/>
        <v>0.05</v>
      </c>
      <c r="V1520">
        <f t="shared" ca="1" si="596"/>
        <v>0.25995000000000001</v>
      </c>
      <c r="W1520">
        <f t="shared" ca="1" si="597"/>
        <v>4.9056425740705803E-2</v>
      </c>
      <c r="X1520">
        <f t="shared" ca="1" si="598"/>
        <v>196.19157530294285</v>
      </c>
      <c r="Y1520">
        <f t="shared" ca="1" si="599"/>
        <v>631.92759999999998</v>
      </c>
      <c r="Z1520">
        <f t="shared" ca="1" si="600"/>
        <v>2593.7591096763654</v>
      </c>
      <c r="AA1520">
        <f t="shared" ca="1" si="601"/>
        <v>482.26086831350221</v>
      </c>
      <c r="AB1520">
        <f t="shared" ca="1" si="602"/>
        <v>482.26066831350226</v>
      </c>
      <c r="AC1520">
        <f t="shared" ca="1" si="603"/>
        <v>0</v>
      </c>
      <c r="AD1520">
        <f ca="1">IF(V32="Supercritical",L1520,U1520)</f>
        <v>0.05</v>
      </c>
      <c r="AE1520">
        <f t="shared" ca="1" si="604"/>
        <v>631.92759999999998</v>
      </c>
      <c r="AF1520">
        <f t="shared" ca="1" si="605"/>
        <v>2593.7591096763654</v>
      </c>
      <c r="AI1520">
        <v>0</v>
      </c>
      <c r="AJ1520">
        <v>0</v>
      </c>
      <c r="AK1520">
        <f t="shared" si="606"/>
        <v>0</v>
      </c>
      <c r="AL1520">
        <f t="shared" si="614"/>
        <v>0</v>
      </c>
      <c r="AM1520">
        <f t="shared" ca="1" si="607"/>
        <v>280.13079157253424</v>
      </c>
      <c r="AN1520" t="str">
        <f t="shared" ca="1" si="608"/>
        <v>Supercritical</v>
      </c>
      <c r="AO1520">
        <f ca="1">IF(V32="Supercritical",R1520,AA1520)</f>
        <v>482.26086831350221</v>
      </c>
    </row>
    <row r="1521" spans="1:41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174</v>
      </c>
      <c r="I1521">
        <v>0</v>
      </c>
      <c r="J1521">
        <f t="shared" si="609"/>
        <v>1</v>
      </c>
      <c r="K1521">
        <f t="shared" si="610"/>
        <v>51</v>
      </c>
      <c r="L1521">
        <f t="shared" ca="1" si="611"/>
        <v>38818.051231278128</v>
      </c>
      <c r="M1521">
        <f t="shared" ca="1" si="589"/>
        <v>201815.048351415</v>
      </c>
      <c r="N1521">
        <f t="shared" ca="1" si="590"/>
        <v>2.5993259328444349</v>
      </c>
      <c r="O1521">
        <f t="shared" ca="1" si="591"/>
        <v>2.5270662627295808E-4</v>
      </c>
      <c r="P1521">
        <f t="shared" ca="1" si="592"/>
        <v>39449.928631278126</v>
      </c>
      <c r="Q1521">
        <f t="shared" ca="1" si="593"/>
        <v>39449.928631281378</v>
      </c>
      <c r="R1521">
        <f t="shared" ca="1" si="594"/>
        <v>4.020389451320579E-12</v>
      </c>
      <c r="S1521">
        <f t="shared" ca="1" si="612"/>
        <v>1.9999999494757503E-4</v>
      </c>
      <c r="T1521">
        <f t="shared" ca="1" si="613"/>
        <v>1</v>
      </c>
      <c r="U1521">
        <f t="shared" ca="1" si="595"/>
        <v>0.05</v>
      </c>
      <c r="V1521">
        <f t="shared" ca="1" si="596"/>
        <v>0.25995000000000001</v>
      </c>
      <c r="W1521">
        <f t="shared" ca="1" si="597"/>
        <v>4.9056425740705803E-2</v>
      </c>
      <c r="X1521">
        <f t="shared" ca="1" si="598"/>
        <v>196.19157530294285</v>
      </c>
      <c r="Y1521">
        <f t="shared" ca="1" si="599"/>
        <v>631.92739999999992</v>
      </c>
      <c r="Z1521">
        <f t="shared" ca="1" si="600"/>
        <v>2593.7589096763654</v>
      </c>
      <c r="AA1521">
        <f t="shared" ca="1" si="601"/>
        <v>482.26086831350221</v>
      </c>
      <c r="AB1521">
        <f t="shared" ca="1" si="602"/>
        <v>481.34284081915803</v>
      </c>
      <c r="AC1521">
        <f t="shared" ca="1" si="603"/>
        <v>0</v>
      </c>
      <c r="AD1521">
        <f ca="1">IF(V32="Supercritical",L1521,U1521)</f>
        <v>0.05</v>
      </c>
      <c r="AE1521">
        <f t="shared" ca="1" si="604"/>
        <v>631.92739999999992</v>
      </c>
      <c r="AF1521">
        <f t="shared" ca="1" si="605"/>
        <v>2593.7589096763654</v>
      </c>
      <c r="AI1521">
        <v>0</v>
      </c>
      <c r="AJ1521">
        <v>0</v>
      </c>
      <c r="AK1521">
        <f t="shared" si="606"/>
        <v>0</v>
      </c>
      <c r="AL1521">
        <f t="shared" si="614"/>
        <v>0</v>
      </c>
      <c r="AM1521">
        <f t="shared" ca="1" si="607"/>
        <v>280.13079157253424</v>
      </c>
      <c r="AN1521" t="str">
        <f t="shared" ca="1" si="608"/>
        <v>Supercritical</v>
      </c>
      <c r="AO1521">
        <f ca="1">IF(V32="Supercritical",R1521,AA1521)</f>
        <v>482.26086831350221</v>
      </c>
    </row>
    <row r="1522" spans="1:41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174</v>
      </c>
      <c r="I1522">
        <v>5.7000000000000002E-2</v>
      </c>
      <c r="J1522">
        <f t="shared" si="609"/>
        <v>0.99899999999979627</v>
      </c>
      <c r="K1522">
        <f t="shared" si="610"/>
        <v>51</v>
      </c>
      <c r="L1522">
        <f t="shared" ca="1" si="611"/>
        <v>38818.051231278128</v>
      </c>
      <c r="M1522">
        <f t="shared" ca="1" si="589"/>
        <v>201853.86640264626</v>
      </c>
      <c r="N1522">
        <f t="shared" ca="1" si="590"/>
        <v>2.5998258658784543</v>
      </c>
      <c r="O1522">
        <f t="shared" ca="1" si="591"/>
        <v>2.5265802884482871E-4</v>
      </c>
      <c r="P1522">
        <f t="shared" ca="1" si="592"/>
        <v>39449.928431278131</v>
      </c>
      <c r="Q1522">
        <f t="shared" ca="1" si="593"/>
        <v>39449.928431281383</v>
      </c>
      <c r="R1522">
        <f t="shared" ca="1" si="594"/>
        <v>4.0178129257556468E-12</v>
      </c>
      <c r="S1522">
        <f t="shared" ca="1" si="612"/>
        <v>1.9999998767161742E-4</v>
      </c>
      <c r="T1522">
        <f t="shared" ca="1" si="613"/>
        <v>1</v>
      </c>
      <c r="U1522">
        <f t="shared" ca="1" si="595"/>
        <v>0.05</v>
      </c>
      <c r="V1522">
        <f t="shared" ca="1" si="596"/>
        <v>0.26</v>
      </c>
      <c r="W1522">
        <f t="shared" ca="1" si="597"/>
        <v>4.9056603773584909E-2</v>
      </c>
      <c r="X1522">
        <f t="shared" ca="1" si="598"/>
        <v>196.15384615384616</v>
      </c>
      <c r="Y1522">
        <f t="shared" ca="1" si="599"/>
        <v>631.92719999999997</v>
      </c>
      <c r="Z1522">
        <f t="shared" ca="1" si="600"/>
        <v>2593.004231648662</v>
      </c>
      <c r="AA1522">
        <f t="shared" ca="1" si="601"/>
        <v>482.07306851378365</v>
      </c>
      <c r="AB1522">
        <f t="shared" ca="1" si="602"/>
        <v>482.25917083179047</v>
      </c>
      <c r="AC1522">
        <f t="shared" ca="1" si="603"/>
        <v>0</v>
      </c>
      <c r="AD1522">
        <f ca="1">IF(V32="Supercritical",L1522,U1522)</f>
        <v>0.05</v>
      </c>
      <c r="AE1522">
        <f t="shared" ca="1" si="604"/>
        <v>631.92719999999997</v>
      </c>
      <c r="AF1522">
        <f t="shared" ca="1" si="605"/>
        <v>2593.004231648662</v>
      </c>
      <c r="AI1522">
        <v>0</v>
      </c>
      <c r="AJ1522">
        <v>0</v>
      </c>
      <c r="AK1522">
        <f t="shared" si="606"/>
        <v>0</v>
      </c>
      <c r="AL1522">
        <f t="shared" si="614"/>
        <v>0</v>
      </c>
      <c r="AM1522">
        <f t="shared" ca="1" si="607"/>
        <v>280.07692026646265</v>
      </c>
      <c r="AN1522" t="str">
        <f t="shared" ca="1" si="608"/>
        <v>Supercritical</v>
      </c>
      <c r="AO1522">
        <f ca="1">IF(V32="Supercritical",R1522,AA1522)</f>
        <v>482.07306851378365</v>
      </c>
    </row>
    <row r="1523" spans="1:41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174</v>
      </c>
      <c r="I1523">
        <v>5.7000000000000002E-2</v>
      </c>
      <c r="J1523">
        <f t="shared" si="609"/>
        <v>1</v>
      </c>
      <c r="K1523">
        <f t="shared" si="610"/>
        <v>51</v>
      </c>
      <c r="L1523">
        <f t="shared" ca="1" si="611"/>
        <v>38818.051231278128</v>
      </c>
      <c r="M1523">
        <f t="shared" ca="1" si="589"/>
        <v>201853.86640264626</v>
      </c>
      <c r="N1523">
        <f t="shared" ca="1" si="590"/>
        <v>2.5998258658784543</v>
      </c>
      <c r="O1523">
        <f t="shared" ca="1" si="591"/>
        <v>2.5265802884482871E-4</v>
      </c>
      <c r="P1523">
        <f t="shared" ca="1" si="592"/>
        <v>39449.928231278129</v>
      </c>
      <c r="Q1523">
        <f t="shared" ca="1" si="593"/>
        <v>39449.928231281381</v>
      </c>
      <c r="R1523">
        <f t="shared" ca="1" si="594"/>
        <v>4.0178129257556468E-12</v>
      </c>
      <c r="S1523">
        <f t="shared" ca="1" si="612"/>
        <v>1.9999999494757503E-4</v>
      </c>
      <c r="T1523">
        <f t="shared" ca="1" si="613"/>
        <v>1</v>
      </c>
      <c r="U1523">
        <f t="shared" ca="1" si="595"/>
        <v>0.05</v>
      </c>
      <c r="V1523">
        <f t="shared" ca="1" si="596"/>
        <v>0.26</v>
      </c>
      <c r="W1523">
        <f t="shared" ca="1" si="597"/>
        <v>4.9056603773584909E-2</v>
      </c>
      <c r="X1523">
        <f t="shared" ca="1" si="598"/>
        <v>196.15384615384616</v>
      </c>
      <c r="Y1523">
        <f t="shared" ca="1" si="599"/>
        <v>631.92699999999991</v>
      </c>
      <c r="Z1523">
        <f t="shared" ca="1" si="600"/>
        <v>2593.004031648662</v>
      </c>
      <c r="AA1523">
        <f t="shared" ca="1" si="601"/>
        <v>482.07306851378365</v>
      </c>
      <c r="AB1523">
        <f t="shared" ca="1" si="602"/>
        <v>482.07286851378376</v>
      </c>
      <c r="AC1523">
        <f t="shared" ca="1" si="603"/>
        <v>0</v>
      </c>
      <c r="AD1523">
        <f ca="1">IF(V32="Supercritical",L1523,U1523)</f>
        <v>0.05</v>
      </c>
      <c r="AE1523">
        <f t="shared" ca="1" si="604"/>
        <v>631.92699999999991</v>
      </c>
      <c r="AF1523">
        <f t="shared" ca="1" si="605"/>
        <v>2593.004031648662</v>
      </c>
      <c r="AI1523">
        <v>0</v>
      </c>
      <c r="AJ1523">
        <v>0</v>
      </c>
      <c r="AK1523">
        <f t="shared" si="606"/>
        <v>0</v>
      </c>
      <c r="AL1523">
        <f t="shared" si="614"/>
        <v>0</v>
      </c>
      <c r="AM1523">
        <f t="shared" ca="1" si="607"/>
        <v>280.07692026646265</v>
      </c>
      <c r="AN1523" t="str">
        <f t="shared" ca="1" si="608"/>
        <v>Supercritical</v>
      </c>
      <c r="AO1523">
        <f ca="1">IF(V32="Supercritical",R1523,AA1523)</f>
        <v>482.07306851378365</v>
      </c>
    </row>
    <row r="1524" spans="1:41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174</v>
      </c>
      <c r="I1524">
        <v>0</v>
      </c>
      <c r="J1524">
        <f t="shared" si="609"/>
        <v>1</v>
      </c>
      <c r="K1524">
        <f t="shared" si="610"/>
        <v>51</v>
      </c>
      <c r="L1524">
        <f t="shared" ca="1" si="611"/>
        <v>38818.051231278128</v>
      </c>
      <c r="M1524">
        <f t="shared" ca="1" si="589"/>
        <v>201853.86640264626</v>
      </c>
      <c r="N1524">
        <f t="shared" ca="1" si="590"/>
        <v>2.5998258658784543</v>
      </c>
      <c r="O1524">
        <f t="shared" ca="1" si="591"/>
        <v>2.5265802884482871E-4</v>
      </c>
      <c r="P1524">
        <f t="shared" ca="1" si="592"/>
        <v>39449.928031278127</v>
      </c>
      <c r="Q1524">
        <f t="shared" ca="1" si="593"/>
        <v>39449.928031281379</v>
      </c>
      <c r="R1524">
        <f t="shared" ca="1" si="594"/>
        <v>4.0178129257556468E-12</v>
      </c>
      <c r="S1524">
        <f t="shared" ca="1" si="612"/>
        <v>1.9999999494757503E-4</v>
      </c>
      <c r="T1524">
        <f t="shared" ca="1" si="613"/>
        <v>1</v>
      </c>
      <c r="U1524">
        <f t="shared" ca="1" si="595"/>
        <v>0.05</v>
      </c>
      <c r="V1524">
        <f t="shared" ca="1" si="596"/>
        <v>0.26</v>
      </c>
      <c r="W1524">
        <f t="shared" ca="1" si="597"/>
        <v>4.9056603773584909E-2</v>
      </c>
      <c r="X1524">
        <f t="shared" ca="1" si="598"/>
        <v>196.15384615384616</v>
      </c>
      <c r="Y1524">
        <f t="shared" ca="1" si="599"/>
        <v>631.92679999999996</v>
      </c>
      <c r="Z1524">
        <f t="shared" ca="1" si="600"/>
        <v>2593.0038316486621</v>
      </c>
      <c r="AA1524">
        <f t="shared" ca="1" si="601"/>
        <v>482.07306851378365</v>
      </c>
      <c r="AB1524">
        <f t="shared" ca="1" si="602"/>
        <v>482.07286851378376</v>
      </c>
      <c r="AC1524">
        <f t="shared" ca="1" si="603"/>
        <v>0</v>
      </c>
      <c r="AD1524">
        <f ca="1">IF(V32="Supercritical",L1524,U1524)</f>
        <v>0.05</v>
      </c>
      <c r="AE1524">
        <f t="shared" ca="1" si="604"/>
        <v>631.92679999999996</v>
      </c>
      <c r="AF1524">
        <f t="shared" ca="1" si="605"/>
        <v>2593.0038316486621</v>
      </c>
      <c r="AI1524">
        <v>0</v>
      </c>
      <c r="AJ1524">
        <v>0</v>
      </c>
      <c r="AK1524">
        <f t="shared" si="606"/>
        <v>0</v>
      </c>
      <c r="AL1524">
        <f t="shared" si="614"/>
        <v>0</v>
      </c>
      <c r="AM1524">
        <f t="shared" ca="1" si="607"/>
        <v>280.07692026646265</v>
      </c>
      <c r="AN1524" t="str">
        <f t="shared" ca="1" si="608"/>
        <v>Supercritical</v>
      </c>
      <c r="AO1524">
        <f ca="1">IF(V32="Supercritical",R1524,AA1524)</f>
        <v>482.07306851378365</v>
      </c>
    </row>
    <row r="1525" spans="1:41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174</v>
      </c>
      <c r="I1525">
        <v>0</v>
      </c>
      <c r="J1525">
        <f t="shared" si="609"/>
        <v>1</v>
      </c>
      <c r="K1525">
        <f t="shared" si="610"/>
        <v>51</v>
      </c>
      <c r="L1525">
        <f t="shared" ca="1" si="611"/>
        <v>38818.051231278128</v>
      </c>
      <c r="M1525">
        <f t="shared" ca="1" si="589"/>
        <v>201853.86640264626</v>
      </c>
      <c r="N1525">
        <f t="shared" ca="1" si="590"/>
        <v>2.5998258658784543</v>
      </c>
      <c r="O1525">
        <f t="shared" ca="1" si="591"/>
        <v>2.5265802884482871E-4</v>
      </c>
      <c r="P1525">
        <f t="shared" ca="1" si="592"/>
        <v>39449.927831278132</v>
      </c>
      <c r="Q1525">
        <f t="shared" ca="1" si="593"/>
        <v>39449.927831281384</v>
      </c>
      <c r="R1525">
        <f t="shared" ca="1" si="594"/>
        <v>4.0178129257556468E-12</v>
      </c>
      <c r="S1525">
        <f t="shared" ca="1" si="612"/>
        <v>1.9999998767161742E-4</v>
      </c>
      <c r="T1525">
        <f t="shared" ca="1" si="613"/>
        <v>1</v>
      </c>
      <c r="U1525">
        <f t="shared" ca="1" si="595"/>
        <v>0.05</v>
      </c>
      <c r="V1525">
        <f t="shared" ca="1" si="596"/>
        <v>0.26</v>
      </c>
      <c r="W1525">
        <f t="shared" ca="1" si="597"/>
        <v>4.9056603773584909E-2</v>
      </c>
      <c r="X1525">
        <f t="shared" ca="1" si="598"/>
        <v>196.15384615384616</v>
      </c>
      <c r="Y1525">
        <f t="shared" ca="1" si="599"/>
        <v>631.92660000000001</v>
      </c>
      <c r="Z1525">
        <f t="shared" ca="1" si="600"/>
        <v>2593.0036316486621</v>
      </c>
      <c r="AA1525">
        <f t="shared" ca="1" si="601"/>
        <v>482.07306851378365</v>
      </c>
      <c r="AB1525">
        <f t="shared" ca="1" si="602"/>
        <v>482.25917083179047</v>
      </c>
      <c r="AC1525">
        <f t="shared" ca="1" si="603"/>
        <v>0</v>
      </c>
      <c r="AD1525">
        <f ca="1">IF(V32="Supercritical",L1525,U1525)</f>
        <v>0.05</v>
      </c>
      <c r="AE1525">
        <f t="shared" ca="1" si="604"/>
        <v>631.92660000000001</v>
      </c>
      <c r="AF1525">
        <f t="shared" ca="1" si="605"/>
        <v>2593.0036316486621</v>
      </c>
      <c r="AI1525">
        <v>0</v>
      </c>
      <c r="AJ1525">
        <v>0</v>
      </c>
      <c r="AK1525">
        <f t="shared" si="606"/>
        <v>0</v>
      </c>
      <c r="AL1525">
        <f t="shared" si="614"/>
        <v>0</v>
      </c>
      <c r="AM1525">
        <f t="shared" ca="1" si="607"/>
        <v>280.07692026646265</v>
      </c>
      <c r="AN1525" t="str">
        <f t="shared" ca="1" si="608"/>
        <v>Supercritical</v>
      </c>
      <c r="AO1525">
        <f ca="1">IF(V32="Supercritical",R1525,AA1525)</f>
        <v>482.07306851378365</v>
      </c>
    </row>
    <row r="1526" spans="1:41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174</v>
      </c>
      <c r="I1526">
        <v>5.7000000000000002E-2</v>
      </c>
      <c r="J1526">
        <f t="shared" si="609"/>
        <v>1</v>
      </c>
      <c r="K1526">
        <f t="shared" si="610"/>
        <v>51</v>
      </c>
      <c r="L1526">
        <f t="shared" ca="1" si="611"/>
        <v>38818.051231278128</v>
      </c>
      <c r="M1526">
        <f t="shared" ca="1" si="589"/>
        <v>201853.86640264626</v>
      </c>
      <c r="N1526">
        <f t="shared" ca="1" si="590"/>
        <v>2.5998258658784543</v>
      </c>
      <c r="O1526">
        <f t="shared" ca="1" si="591"/>
        <v>2.5265802884482871E-4</v>
      </c>
      <c r="P1526">
        <f t="shared" ca="1" si="592"/>
        <v>39449.927631278129</v>
      </c>
      <c r="Q1526">
        <f t="shared" ca="1" si="593"/>
        <v>39449.927631281382</v>
      </c>
      <c r="R1526">
        <f t="shared" ca="1" si="594"/>
        <v>4.0178129257556468E-12</v>
      </c>
      <c r="S1526">
        <f t="shared" ca="1" si="612"/>
        <v>1.9999999494757503E-4</v>
      </c>
      <c r="T1526">
        <f t="shared" ca="1" si="613"/>
        <v>1</v>
      </c>
      <c r="U1526">
        <f t="shared" ca="1" si="595"/>
        <v>0.05</v>
      </c>
      <c r="V1526">
        <f t="shared" ca="1" si="596"/>
        <v>0.26</v>
      </c>
      <c r="W1526">
        <f t="shared" ca="1" si="597"/>
        <v>4.9056603773584909E-2</v>
      </c>
      <c r="X1526">
        <f t="shared" ca="1" si="598"/>
        <v>196.15384615384616</v>
      </c>
      <c r="Y1526">
        <f t="shared" ca="1" si="599"/>
        <v>631.92639999999994</v>
      </c>
      <c r="Z1526">
        <f t="shared" ca="1" si="600"/>
        <v>2593.0034316486622</v>
      </c>
      <c r="AA1526">
        <f t="shared" ca="1" si="601"/>
        <v>482.07306851378365</v>
      </c>
      <c r="AB1526">
        <f t="shared" ca="1" si="602"/>
        <v>483.38352166326877</v>
      </c>
      <c r="AC1526">
        <f t="shared" ca="1" si="603"/>
        <v>0</v>
      </c>
      <c r="AD1526">
        <f ca="1">IF(V32="Supercritical",L1526,U1526)</f>
        <v>0.05</v>
      </c>
      <c r="AE1526">
        <f t="shared" ca="1" si="604"/>
        <v>631.92639999999994</v>
      </c>
      <c r="AF1526">
        <f t="shared" ca="1" si="605"/>
        <v>2593.0034316486622</v>
      </c>
      <c r="AI1526">
        <v>0</v>
      </c>
      <c r="AJ1526">
        <v>0</v>
      </c>
      <c r="AK1526">
        <f t="shared" si="606"/>
        <v>0</v>
      </c>
      <c r="AL1526">
        <f t="shared" si="614"/>
        <v>0</v>
      </c>
      <c r="AM1526">
        <f t="shared" ca="1" si="607"/>
        <v>280.07692026646265</v>
      </c>
      <c r="AN1526" t="str">
        <f t="shared" ca="1" si="608"/>
        <v>Supercritical</v>
      </c>
      <c r="AO1526">
        <f ca="1">IF(V32="Supercritical",R1526,AA1526)</f>
        <v>482.07306851378365</v>
      </c>
    </row>
    <row r="1527" spans="1:41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174</v>
      </c>
      <c r="I1527">
        <v>0.40100000000000002</v>
      </c>
      <c r="J1527">
        <f t="shared" si="609"/>
        <v>1</v>
      </c>
      <c r="K1527">
        <f t="shared" si="610"/>
        <v>51</v>
      </c>
      <c r="L1527">
        <f t="shared" ca="1" si="611"/>
        <v>38818.051231278128</v>
      </c>
      <c r="M1527">
        <f t="shared" ca="1" si="589"/>
        <v>201853.86640264626</v>
      </c>
      <c r="N1527">
        <f t="shared" ca="1" si="590"/>
        <v>2.5998258658784543</v>
      </c>
      <c r="O1527">
        <f t="shared" ca="1" si="591"/>
        <v>2.5265802884482871E-4</v>
      </c>
      <c r="P1527">
        <f t="shared" ca="1" si="592"/>
        <v>39449.927431278127</v>
      </c>
      <c r="Q1527">
        <f t="shared" ca="1" si="593"/>
        <v>39449.92743128138</v>
      </c>
      <c r="R1527">
        <f t="shared" ca="1" si="594"/>
        <v>4.0178129257556468E-12</v>
      </c>
      <c r="S1527">
        <f t="shared" ca="1" si="612"/>
        <v>1.9999999494757503E-4</v>
      </c>
      <c r="T1527">
        <f t="shared" ca="1" si="613"/>
        <v>1</v>
      </c>
      <c r="U1527">
        <f t="shared" ca="1" si="595"/>
        <v>0.05</v>
      </c>
      <c r="V1527">
        <f t="shared" ca="1" si="596"/>
        <v>0.26</v>
      </c>
      <c r="W1527">
        <f t="shared" ca="1" si="597"/>
        <v>4.9056603773584909E-2</v>
      </c>
      <c r="X1527">
        <f t="shared" ca="1" si="598"/>
        <v>196.15384615384616</v>
      </c>
      <c r="Y1527">
        <f t="shared" ca="1" si="599"/>
        <v>631.92619999999999</v>
      </c>
      <c r="Z1527">
        <f t="shared" ca="1" si="600"/>
        <v>2593.0032316486622</v>
      </c>
      <c r="AA1527">
        <f t="shared" ca="1" si="601"/>
        <v>482.07306851378365</v>
      </c>
      <c r="AB1527">
        <f t="shared" ca="1" si="602"/>
        <v>482.07286851378331</v>
      </c>
      <c r="AC1527">
        <f t="shared" ca="1" si="603"/>
        <v>0</v>
      </c>
      <c r="AD1527">
        <f ca="1">IF(V32="Supercritical",L1527,U1527)</f>
        <v>0.05</v>
      </c>
      <c r="AE1527">
        <f t="shared" ca="1" si="604"/>
        <v>631.92619999999999</v>
      </c>
      <c r="AF1527">
        <f t="shared" ca="1" si="605"/>
        <v>2593.0032316486622</v>
      </c>
      <c r="AI1527">
        <v>0</v>
      </c>
      <c r="AJ1527">
        <v>0</v>
      </c>
      <c r="AK1527">
        <f t="shared" si="606"/>
        <v>0</v>
      </c>
      <c r="AL1527">
        <f t="shared" si="614"/>
        <v>0</v>
      </c>
      <c r="AM1527">
        <f t="shared" ca="1" si="607"/>
        <v>280.07692026646265</v>
      </c>
      <c r="AN1527" t="str">
        <f t="shared" ca="1" si="608"/>
        <v>Supercritical</v>
      </c>
      <c r="AO1527">
        <f ca="1">IF(V32="Supercritical",R1527,AA1527)</f>
        <v>482.07306851378365</v>
      </c>
    </row>
    <row r="1528" spans="1:41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174</v>
      </c>
      <c r="I1528">
        <v>0</v>
      </c>
      <c r="J1528">
        <f t="shared" si="609"/>
        <v>1</v>
      </c>
      <c r="K1528">
        <f t="shared" si="610"/>
        <v>51</v>
      </c>
      <c r="L1528">
        <f t="shared" ca="1" si="611"/>
        <v>38818.051231278128</v>
      </c>
      <c r="M1528">
        <f t="shared" ca="1" si="589"/>
        <v>201853.86640264626</v>
      </c>
      <c r="N1528">
        <f t="shared" ca="1" si="590"/>
        <v>2.5998258658784543</v>
      </c>
      <c r="O1528">
        <f t="shared" ca="1" si="591"/>
        <v>2.5265802884482871E-4</v>
      </c>
      <c r="P1528">
        <f t="shared" ca="1" si="592"/>
        <v>39449.927231278125</v>
      </c>
      <c r="Q1528">
        <f t="shared" ca="1" si="593"/>
        <v>39449.927231281377</v>
      </c>
      <c r="R1528">
        <f t="shared" ca="1" si="594"/>
        <v>4.0178129257556468E-12</v>
      </c>
      <c r="S1528">
        <f t="shared" ca="1" si="612"/>
        <v>1.9999999494757503E-4</v>
      </c>
      <c r="T1528">
        <f t="shared" ca="1" si="613"/>
        <v>1</v>
      </c>
      <c r="U1528">
        <f t="shared" ca="1" si="595"/>
        <v>0.05</v>
      </c>
      <c r="V1528">
        <f t="shared" ca="1" si="596"/>
        <v>0.26</v>
      </c>
      <c r="W1528">
        <f t="shared" ca="1" si="597"/>
        <v>4.9056603773584909E-2</v>
      </c>
      <c r="X1528">
        <f t="shared" ca="1" si="598"/>
        <v>196.15384615384616</v>
      </c>
      <c r="Y1528">
        <f t="shared" ca="1" si="599"/>
        <v>631.92599999999993</v>
      </c>
      <c r="Z1528">
        <f t="shared" ca="1" si="600"/>
        <v>2593.0030316486618</v>
      </c>
      <c r="AA1528">
        <f t="shared" ca="1" si="601"/>
        <v>482.07306851378365</v>
      </c>
      <c r="AB1528">
        <f t="shared" ca="1" si="602"/>
        <v>482.07286851378421</v>
      </c>
      <c r="AC1528">
        <f t="shared" ca="1" si="603"/>
        <v>0</v>
      </c>
      <c r="AD1528">
        <f ca="1">IF(V32="Supercritical",L1528,U1528)</f>
        <v>0.05</v>
      </c>
      <c r="AE1528">
        <f t="shared" ca="1" si="604"/>
        <v>631.92599999999993</v>
      </c>
      <c r="AF1528">
        <f t="shared" ca="1" si="605"/>
        <v>2593.0030316486618</v>
      </c>
      <c r="AI1528">
        <v>0</v>
      </c>
      <c r="AJ1528">
        <v>0</v>
      </c>
      <c r="AK1528">
        <f t="shared" si="606"/>
        <v>0</v>
      </c>
      <c r="AL1528">
        <f t="shared" si="614"/>
        <v>0</v>
      </c>
      <c r="AM1528">
        <f t="shared" ca="1" si="607"/>
        <v>280.07692026646265</v>
      </c>
      <c r="AN1528" t="str">
        <f t="shared" ca="1" si="608"/>
        <v>Supercritical</v>
      </c>
      <c r="AO1528">
        <f ca="1">IF(V32="Supercritical",R1528,AA1528)</f>
        <v>482.07306851378365</v>
      </c>
    </row>
    <row r="1529" spans="1:41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174</v>
      </c>
      <c r="I1529">
        <v>0</v>
      </c>
      <c r="J1529">
        <f t="shared" si="609"/>
        <v>1</v>
      </c>
      <c r="K1529">
        <f t="shared" si="610"/>
        <v>51</v>
      </c>
      <c r="L1529">
        <f t="shared" ca="1" si="611"/>
        <v>38818.051231278128</v>
      </c>
      <c r="M1529">
        <f t="shared" ca="1" si="589"/>
        <v>201853.86640264626</v>
      </c>
      <c r="N1529">
        <f t="shared" ca="1" si="590"/>
        <v>2.5998258658784543</v>
      </c>
      <c r="O1529">
        <f t="shared" ca="1" si="591"/>
        <v>2.5265802884482871E-4</v>
      </c>
      <c r="P1529">
        <f t="shared" ca="1" si="592"/>
        <v>39449.92703127813</v>
      </c>
      <c r="Q1529">
        <f t="shared" ca="1" si="593"/>
        <v>39449.927031281382</v>
      </c>
      <c r="R1529">
        <f t="shared" ca="1" si="594"/>
        <v>4.0178129257556468E-12</v>
      </c>
      <c r="S1529">
        <f t="shared" ca="1" si="612"/>
        <v>1.9999998767161742E-4</v>
      </c>
      <c r="T1529">
        <f t="shared" ca="1" si="613"/>
        <v>1</v>
      </c>
      <c r="U1529">
        <f t="shared" ca="1" si="595"/>
        <v>0.05</v>
      </c>
      <c r="V1529">
        <f t="shared" ca="1" si="596"/>
        <v>0.26</v>
      </c>
      <c r="W1529">
        <f t="shared" ca="1" si="597"/>
        <v>4.9056603773584909E-2</v>
      </c>
      <c r="X1529">
        <f t="shared" ca="1" si="598"/>
        <v>196.15384615384616</v>
      </c>
      <c r="Y1529">
        <f t="shared" ca="1" si="599"/>
        <v>631.92579999999998</v>
      </c>
      <c r="Z1529">
        <f t="shared" ca="1" si="600"/>
        <v>2593.0028316486623</v>
      </c>
      <c r="AA1529">
        <f t="shared" ca="1" si="601"/>
        <v>482.07306851378365</v>
      </c>
      <c r="AB1529">
        <f t="shared" ca="1" si="602"/>
        <v>-340.02246985265992</v>
      </c>
      <c r="AC1529">
        <f t="shared" ca="1" si="603"/>
        <v>0</v>
      </c>
      <c r="AD1529">
        <f ca="1">IF(V32="Supercritical",L1529,U1529)</f>
        <v>0.05</v>
      </c>
      <c r="AE1529">
        <f t="shared" ca="1" si="604"/>
        <v>631.92579999999998</v>
      </c>
      <c r="AF1529">
        <f t="shared" ca="1" si="605"/>
        <v>2593.0028316486623</v>
      </c>
      <c r="AI1529">
        <v>0</v>
      </c>
      <c r="AJ1529">
        <v>0</v>
      </c>
      <c r="AK1529">
        <f t="shared" si="606"/>
        <v>0</v>
      </c>
      <c r="AL1529">
        <f t="shared" si="614"/>
        <v>0</v>
      </c>
      <c r="AM1529">
        <f t="shared" ca="1" si="607"/>
        <v>280.07692026646265</v>
      </c>
      <c r="AN1529" t="str">
        <f t="shared" ca="1" si="608"/>
        <v>Supercritical</v>
      </c>
      <c r="AO1529">
        <f ca="1">IF(V32="Supercritical",R1529,AA1529)</f>
        <v>482.07306851378365</v>
      </c>
    </row>
    <row r="1530" spans="1:41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174</v>
      </c>
      <c r="I1530">
        <v>0</v>
      </c>
      <c r="J1530">
        <f t="shared" si="609"/>
        <v>1</v>
      </c>
      <c r="K1530">
        <f t="shared" si="610"/>
        <v>51</v>
      </c>
      <c r="L1530">
        <f t="shared" ca="1" si="611"/>
        <v>38818.051231278128</v>
      </c>
      <c r="M1530">
        <f t="shared" ca="1" si="589"/>
        <v>288029.94013608369</v>
      </c>
      <c r="N1530">
        <f t="shared" ca="1" si="590"/>
        <v>3.7096454540040571</v>
      </c>
      <c r="O1530">
        <f t="shared" ca="1" si="591"/>
        <v>1.7706492587508211E-4</v>
      </c>
      <c r="P1530">
        <f t="shared" ca="1" si="592"/>
        <v>39449.926831278128</v>
      </c>
      <c r="Q1530">
        <f t="shared" ca="1" si="593"/>
        <v>39449.926831279729</v>
      </c>
      <c r="R1530">
        <f t="shared" ca="1" si="594"/>
        <v>1.228394121955432E-12</v>
      </c>
      <c r="S1530">
        <f t="shared" ca="1" si="612"/>
        <v>2.000011591007933E-4</v>
      </c>
      <c r="T1530">
        <f t="shared" ca="1" si="613"/>
        <v>1</v>
      </c>
      <c r="U1530">
        <f t="shared" ca="1" si="595"/>
        <v>0.05</v>
      </c>
      <c r="V1530">
        <f t="shared" ca="1" si="596"/>
        <v>0.371</v>
      </c>
      <c r="W1530">
        <f t="shared" ca="1" si="597"/>
        <v>4.9335106382978729E-2</v>
      </c>
      <c r="X1530">
        <f t="shared" ca="1" si="598"/>
        <v>137.46630727762803</v>
      </c>
      <c r="Y1530">
        <f t="shared" ca="1" si="599"/>
        <v>631.92559999999992</v>
      </c>
      <c r="Z1530">
        <f t="shared" ca="1" si="600"/>
        <v>1595.0747150126019</v>
      </c>
      <c r="AA1530">
        <f t="shared" ca="1" si="601"/>
        <v>234.98147507138131</v>
      </c>
      <c r="AB1530">
        <f t="shared" ca="1" si="602"/>
        <v>-107.47602431538917</v>
      </c>
      <c r="AC1530">
        <f t="shared" ca="1" si="603"/>
        <v>0</v>
      </c>
      <c r="AD1530">
        <f ca="1">IF(V32="Supercritical",L1530,U1530)</f>
        <v>0.05</v>
      </c>
      <c r="AE1530">
        <f t="shared" ca="1" si="604"/>
        <v>631.92559999999992</v>
      </c>
      <c r="AF1530">
        <f t="shared" ca="1" si="605"/>
        <v>1595.0747150126019</v>
      </c>
      <c r="AI1530">
        <v>0</v>
      </c>
      <c r="AJ1530">
        <v>0</v>
      </c>
      <c r="AK1530">
        <f t="shared" si="606"/>
        <v>0</v>
      </c>
      <c r="AL1530">
        <f t="shared" si="614"/>
        <v>0</v>
      </c>
      <c r="AM1530">
        <f t="shared" ca="1" si="607"/>
        <v>196.28032148053984</v>
      </c>
      <c r="AN1530" t="str">
        <f t="shared" ca="1" si="608"/>
        <v>Supercritical</v>
      </c>
      <c r="AO1530">
        <f ca="1">IF(V32="Supercritical",R1530,AA1530)</f>
        <v>234.98147507138131</v>
      </c>
    </row>
    <row r="1531" spans="1:41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174</v>
      </c>
      <c r="I1531">
        <v>0</v>
      </c>
      <c r="J1531">
        <f t="shared" si="609"/>
        <v>1</v>
      </c>
      <c r="K1531">
        <f t="shared" si="610"/>
        <v>51</v>
      </c>
      <c r="L1531">
        <f t="shared" ca="1" si="611"/>
        <v>38818.051231278128</v>
      </c>
      <c r="M1531">
        <f t="shared" ca="1" si="589"/>
        <v>382241.35047439573</v>
      </c>
      <c r="N1531">
        <f t="shared" ca="1" si="590"/>
        <v>4.9228756054908782</v>
      </c>
      <c r="O1531">
        <f t="shared" ca="1" si="591"/>
        <v>1.3342355539688324E-4</v>
      </c>
      <c r="P1531">
        <f t="shared" ca="1" si="592"/>
        <v>39449.926631278126</v>
      </c>
      <c r="Q1531">
        <f t="shared" ca="1" si="593"/>
        <v>39449.926631279035</v>
      </c>
      <c r="R1531">
        <f t="shared" ca="1" si="594"/>
        <v>4.7828752584174761E-13</v>
      </c>
      <c r="S1531">
        <f t="shared" ca="1" si="612"/>
        <v>2.000004897126928E-4</v>
      </c>
      <c r="T1531">
        <f t="shared" ca="1" si="613"/>
        <v>1</v>
      </c>
      <c r="U1531">
        <f t="shared" ca="1" si="595"/>
        <v>0.05</v>
      </c>
      <c r="V1531">
        <f t="shared" ca="1" si="596"/>
        <v>0.49235000000000001</v>
      </c>
      <c r="W1531">
        <f t="shared" ca="1" si="597"/>
        <v>4.9497335880164882E-2</v>
      </c>
      <c r="X1531">
        <f t="shared" ca="1" si="598"/>
        <v>103.58484817710978</v>
      </c>
      <c r="Y1531">
        <f t="shared" ca="1" si="599"/>
        <v>631.92539999999997</v>
      </c>
      <c r="Z1531">
        <f t="shared" ca="1" si="600"/>
        <v>1178.8071926541734</v>
      </c>
      <c r="AA1531">
        <f t="shared" ca="1" si="601"/>
        <v>132.84112759964052</v>
      </c>
      <c r="AB1531">
        <f t="shared" ca="1" si="602"/>
        <v>110.59524637089112</v>
      </c>
      <c r="AC1531">
        <f t="shared" ca="1" si="603"/>
        <v>0</v>
      </c>
      <c r="AD1531">
        <f ca="1">IF(V32="Supercritical",L1531,U1531)</f>
        <v>0.05</v>
      </c>
      <c r="AE1531">
        <f t="shared" ca="1" si="604"/>
        <v>631.92539999999997</v>
      </c>
      <c r="AF1531">
        <f t="shared" ca="1" si="605"/>
        <v>1178.8071926541734</v>
      </c>
      <c r="AI1531">
        <v>0</v>
      </c>
      <c r="AJ1531">
        <v>0</v>
      </c>
      <c r="AK1531">
        <f t="shared" si="606"/>
        <v>0</v>
      </c>
      <c r="AL1531">
        <f t="shared" si="614"/>
        <v>0</v>
      </c>
      <c r="AM1531">
        <f t="shared" ca="1" si="607"/>
        <v>147.90291310913025</v>
      </c>
      <c r="AN1531" t="str">
        <f t="shared" ca="1" si="608"/>
        <v>Supercritical</v>
      </c>
      <c r="AO1531">
        <f ca="1">IF(V32="Supercritical",R1531,AA1531)</f>
        <v>132.84112759964052</v>
      </c>
    </row>
    <row r="1532" spans="1:41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174</v>
      </c>
      <c r="I1532">
        <v>0</v>
      </c>
      <c r="J1532">
        <f t="shared" si="609"/>
        <v>1</v>
      </c>
      <c r="K1532">
        <f t="shared" si="610"/>
        <v>51</v>
      </c>
      <c r="L1532">
        <f t="shared" ca="1" si="611"/>
        <v>38818.051231278128</v>
      </c>
      <c r="M1532">
        <f t="shared" ca="1" si="589"/>
        <v>392062.31743590906</v>
      </c>
      <c r="N1532">
        <f t="shared" ca="1" si="590"/>
        <v>5.0493431101794748</v>
      </c>
      <c r="O1532">
        <f t="shared" ca="1" si="591"/>
        <v>1.3008136138545638E-4</v>
      </c>
      <c r="P1532">
        <f t="shared" ca="1" si="592"/>
        <v>39449.926431278131</v>
      </c>
      <c r="Q1532">
        <f t="shared" ca="1" si="593"/>
        <v>39449.926431278996</v>
      </c>
      <c r="R1532">
        <f t="shared" ca="1" si="594"/>
        <v>4.3950736267619468E-13</v>
      </c>
      <c r="S1532">
        <f t="shared" ca="1" si="612"/>
        <v>2.0000002405140549E-4</v>
      </c>
      <c r="T1532">
        <f t="shared" ca="1" si="613"/>
        <v>1</v>
      </c>
      <c r="U1532">
        <f t="shared" ca="1" si="595"/>
        <v>0.05</v>
      </c>
      <c r="V1532">
        <f t="shared" ca="1" si="596"/>
        <v>0.505</v>
      </c>
      <c r="W1532">
        <f t="shared" ca="1" si="597"/>
        <v>4.9509803921568632E-2</v>
      </c>
      <c r="X1532">
        <f t="shared" ca="1" si="598"/>
        <v>100.99009900990099</v>
      </c>
      <c r="Y1532">
        <f t="shared" ca="1" si="599"/>
        <v>631.9251999999999</v>
      </c>
      <c r="Z1532">
        <f t="shared" ca="1" si="600"/>
        <v>1151.7519124377982</v>
      </c>
      <c r="AA1532">
        <f t="shared" ca="1" si="601"/>
        <v>126.22687744506716</v>
      </c>
      <c r="AB1532">
        <f t="shared" ca="1" si="602"/>
        <v>56.06190528049774</v>
      </c>
      <c r="AC1532">
        <f t="shared" ca="1" si="603"/>
        <v>0</v>
      </c>
      <c r="AD1532">
        <f ca="1">IF(V32="Supercritical",L1532,U1532)</f>
        <v>0.05</v>
      </c>
      <c r="AE1532">
        <f t="shared" ca="1" si="604"/>
        <v>631.9251999999999</v>
      </c>
      <c r="AF1532">
        <f t="shared" ca="1" si="605"/>
        <v>1151.7519124377982</v>
      </c>
      <c r="AI1532">
        <v>0</v>
      </c>
      <c r="AJ1532">
        <v>0</v>
      </c>
      <c r="AK1532">
        <f t="shared" si="606"/>
        <v>0</v>
      </c>
      <c r="AL1532">
        <f t="shared" si="614"/>
        <v>0</v>
      </c>
      <c r="AM1532">
        <f t="shared" ca="1" si="607"/>
        <v>144.19801835501045</v>
      </c>
      <c r="AN1532" t="str">
        <f t="shared" ca="1" si="608"/>
        <v>Supercritical</v>
      </c>
      <c r="AO1532">
        <f ca="1">IF(V32="Supercritical",R1532,AA1532)</f>
        <v>126.22687744506716</v>
      </c>
    </row>
    <row r="1533" spans="1:41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175</v>
      </c>
      <c r="I1533">
        <v>0</v>
      </c>
      <c r="J1533">
        <f t="shared" si="609"/>
        <v>0.50900000000001455</v>
      </c>
      <c r="K1533">
        <f t="shared" si="610"/>
        <v>51</v>
      </c>
      <c r="L1533">
        <f t="shared" ca="1" si="611"/>
        <v>38818.051231278128</v>
      </c>
      <c r="M1533">
        <f t="shared" ca="1" si="589"/>
        <v>396177.03086642455</v>
      </c>
      <c r="N1533">
        <f t="shared" ca="1" si="590"/>
        <v>5.1023292505589604</v>
      </c>
      <c r="O1533">
        <f t="shared" ca="1" si="591"/>
        <v>1.2873033019724763E-4</v>
      </c>
      <c r="P1533">
        <f t="shared" ca="1" si="592"/>
        <v>39449.926231278128</v>
      </c>
      <c r="Q1533">
        <f t="shared" ca="1" si="593"/>
        <v>39449.926231278972</v>
      </c>
      <c r="R1533">
        <f t="shared" ca="1" si="594"/>
        <v>4.2447584148584642E-13</v>
      </c>
      <c r="S1533">
        <f t="shared" ca="1" si="612"/>
        <v>2.0000001677544788E-4</v>
      </c>
      <c r="T1533">
        <f t="shared" ca="1" si="613"/>
        <v>1</v>
      </c>
      <c r="U1533">
        <f>MAX($D$16,($I$14)-E1533)</f>
        <v>0.05</v>
      </c>
      <c r="V1533">
        <f t="shared" si="596"/>
        <v>0.51029999999999998</v>
      </c>
      <c r="W1533">
        <f t="shared" si="597"/>
        <v>4.9514845720939261E-2</v>
      </c>
      <c r="X1533">
        <f t="shared" si="598"/>
        <v>99.941211052322174</v>
      </c>
      <c r="Y1533">
        <f t="shared" si="599"/>
        <v>631.92499999999995</v>
      </c>
      <c r="Z1533">
        <f t="shared" si="600"/>
        <v>1141.009896361101</v>
      </c>
      <c r="AA1533">
        <f t="shared" si="601"/>
        <v>123.60171404484957</v>
      </c>
      <c r="AB1533">
        <v>0</v>
      </c>
      <c r="AC1533">
        <v>1</v>
      </c>
      <c r="AD1533">
        <f>IF(V32="Supercritical",L1533,U1533)</f>
        <v>0.05</v>
      </c>
      <c r="AE1533">
        <f t="shared" si="604"/>
        <v>631.92499999999995</v>
      </c>
      <c r="AF1533">
        <f t="shared" si="605"/>
        <v>1141.009896361101</v>
      </c>
      <c r="AI1533">
        <v>0</v>
      </c>
      <c r="AJ1533">
        <v>0</v>
      </c>
      <c r="AK1533">
        <f t="shared" si="606"/>
        <v>0</v>
      </c>
      <c r="AL1533">
        <f t="shared" si="614"/>
        <v>0</v>
      </c>
      <c r="AM1533">
        <f t="shared" si="607"/>
        <v>142.70037089806053</v>
      </c>
      <c r="AN1533" t="str">
        <f t="shared" si="608"/>
        <v>Supercritical</v>
      </c>
      <c r="AO1533">
        <f>IF(V32="Supercritical",R1533,AA1533)</f>
        <v>123.60171404484957</v>
      </c>
    </row>
    <row r="1536" spans="1:41" x14ac:dyDescent="0.35">
      <c r="A1536" t="s">
        <v>177</v>
      </c>
      <c r="E1536">
        <f>E33</f>
        <v>17.254999999999999</v>
      </c>
      <c r="F1536" t="s">
        <v>129</v>
      </c>
      <c r="H1536">
        <f>N33</f>
        <v>0</v>
      </c>
      <c r="I1536" t="s">
        <v>13</v>
      </c>
      <c r="K1536" t="str">
        <f>V33</f>
        <v>Subcritical</v>
      </c>
      <c r="L1536" t="s">
        <v>130</v>
      </c>
    </row>
    <row r="1537" spans="1:41" x14ac:dyDescent="0.35">
      <c r="A1537" t="s">
        <v>131</v>
      </c>
      <c r="B1537" t="s">
        <v>132</v>
      </c>
      <c r="C1537" t="s">
        <v>133</v>
      </c>
      <c r="D1537" t="s">
        <v>134</v>
      </c>
      <c r="E1537" t="s">
        <v>135</v>
      </c>
      <c r="F1537" t="s">
        <v>136</v>
      </c>
      <c r="G1537" t="s">
        <v>137</v>
      </c>
      <c r="H1537" t="s">
        <v>9</v>
      </c>
      <c r="I1537" t="s">
        <v>138</v>
      </c>
      <c r="J1537" t="s">
        <v>139</v>
      </c>
      <c r="K1537" t="s">
        <v>140</v>
      </c>
      <c r="L1537" t="s">
        <v>141</v>
      </c>
      <c r="M1537" t="s">
        <v>142</v>
      </c>
      <c r="N1537" t="s">
        <v>143</v>
      </c>
      <c r="O1537" t="s">
        <v>144</v>
      </c>
      <c r="P1537" t="s">
        <v>145</v>
      </c>
      <c r="Q1537" t="s">
        <v>146</v>
      </c>
      <c r="R1537" t="s">
        <v>147</v>
      </c>
      <c r="S1537" t="s">
        <v>148</v>
      </c>
      <c r="T1537" t="s">
        <v>149</v>
      </c>
      <c r="U1537" t="s">
        <v>150</v>
      </c>
      <c r="V1537" t="s">
        <v>151</v>
      </c>
      <c r="W1537" t="s">
        <v>152</v>
      </c>
      <c r="X1537" t="s">
        <v>153</v>
      </c>
      <c r="Y1537" t="s">
        <v>154</v>
      </c>
      <c r="Z1537" t="s">
        <v>155</v>
      </c>
      <c r="AA1537" t="s">
        <v>156</v>
      </c>
      <c r="AB1537" t="s">
        <v>157</v>
      </c>
      <c r="AC1537" t="s">
        <v>158</v>
      </c>
      <c r="AD1537" t="s">
        <v>159</v>
      </c>
      <c r="AE1537" t="s">
        <v>160</v>
      </c>
      <c r="AF1537" t="s">
        <v>161</v>
      </c>
      <c r="AG1537" t="s">
        <v>162</v>
      </c>
      <c r="AH1537" t="s">
        <v>163</v>
      </c>
      <c r="AI1537" t="s">
        <v>164</v>
      </c>
      <c r="AJ1537" t="s">
        <v>165</v>
      </c>
      <c r="AK1537" t="s">
        <v>166</v>
      </c>
      <c r="AL1537" t="s">
        <v>167</v>
      </c>
      <c r="AM1537" t="s">
        <v>168</v>
      </c>
      <c r="AN1537" t="s">
        <v>169</v>
      </c>
      <c r="AO1537" t="s">
        <v>170</v>
      </c>
    </row>
    <row r="1538" spans="1:41" x14ac:dyDescent="0.35">
      <c r="A1538" t="s">
        <v>22</v>
      </c>
      <c r="B1538" t="s">
        <v>52</v>
      </c>
      <c r="C1538" t="s">
        <v>52</v>
      </c>
      <c r="D1538" t="s">
        <v>52</v>
      </c>
      <c r="E1538" t="s">
        <v>52</v>
      </c>
      <c r="F1538" t="s">
        <v>52</v>
      </c>
      <c r="G1538" t="s">
        <v>22</v>
      </c>
      <c r="H1538" t="s">
        <v>22</v>
      </c>
      <c r="I1538" t="s">
        <v>171</v>
      </c>
      <c r="J1538" t="s">
        <v>52</v>
      </c>
      <c r="K1538" t="s">
        <v>13</v>
      </c>
      <c r="L1538" t="s">
        <v>52</v>
      </c>
      <c r="M1538" t="s">
        <v>172</v>
      </c>
      <c r="N1538" t="s">
        <v>52</v>
      </c>
      <c r="O1538" t="s">
        <v>173</v>
      </c>
      <c r="P1538" t="s">
        <v>52</v>
      </c>
      <c r="Q1538" t="s">
        <v>52</v>
      </c>
      <c r="R1538" t="s">
        <v>22</v>
      </c>
      <c r="S1538" t="s">
        <v>52</v>
      </c>
      <c r="T1538" t="s">
        <v>22</v>
      </c>
      <c r="U1538" t="s">
        <v>52</v>
      </c>
      <c r="V1538" t="s">
        <v>172</v>
      </c>
      <c r="W1538" t="s">
        <v>52</v>
      </c>
      <c r="X1538" t="s">
        <v>173</v>
      </c>
      <c r="Y1538" t="s">
        <v>52</v>
      </c>
      <c r="Z1538" t="s">
        <v>52</v>
      </c>
      <c r="AA1538" t="s">
        <v>22</v>
      </c>
      <c r="AB1538" t="s">
        <v>52</v>
      </c>
      <c r="AC1538" t="s">
        <v>22</v>
      </c>
      <c r="AD1538" t="s">
        <v>52</v>
      </c>
      <c r="AE1538" t="s">
        <v>52</v>
      </c>
      <c r="AF1538" t="s">
        <v>52</v>
      </c>
      <c r="AG1538" t="s">
        <v>52</v>
      </c>
      <c r="AH1538" t="s">
        <v>52</v>
      </c>
      <c r="AI1538" t="s">
        <v>13</v>
      </c>
      <c r="AJ1538" t="s">
        <v>13</v>
      </c>
      <c r="AK1538" t="s">
        <v>13</v>
      </c>
      <c r="AL1538" t="s">
        <v>13</v>
      </c>
      <c r="AM1538" t="s">
        <v>22</v>
      </c>
      <c r="AN1538" t="s">
        <v>22</v>
      </c>
      <c r="AO1538" t="s">
        <v>22</v>
      </c>
    </row>
    <row r="1539" spans="1:41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175</v>
      </c>
      <c r="I1539">
        <v>0</v>
      </c>
      <c r="J1539">
        <v>0</v>
      </c>
      <c r="K1539">
        <f>N33</f>
        <v>0</v>
      </c>
      <c r="L1539">
        <f>MAX($D$16,($I$13)-E1539)</f>
        <v>38818.051231278128</v>
      </c>
      <c r="M1539">
        <f t="shared" ref="M1539:M1557" si="615">((F1539)+(G1539)*(L1539))*(L1539)</f>
        <v>254568.77997472195</v>
      </c>
      <c r="N1539">
        <f t="shared" ref="N1539:N1557" si="616">(((F1539)+(G1539)*(L1539))*(L1539))/MAX((F1539)+2*(L1539)*SQRT(1+(G1539)^2),0.000001)</f>
        <v>3.2787230429525223</v>
      </c>
      <c r="O1539">
        <f t="shared" ref="O1539:O1557" si="617">ABS(K1539)/MAX(((F1539)+(G1539)*(L1539))*(L1539),0.000001)</f>
        <v>0</v>
      </c>
      <c r="P1539">
        <f t="shared" ref="P1539:P1557" si="618">E1539+L1539</f>
        <v>39452.349231278131</v>
      </c>
      <c r="Q1539">
        <f t="shared" ref="Q1539:Q1557" si="619">P1539+((ABS(K1539)/MAX(((F1539)+(G1539)*(L1539))*(L1539),0.000001))^2)/(2*$I$5)</f>
        <v>39452.349231278131</v>
      </c>
      <c r="R1539">
        <f t="shared" ref="R1539:R1557" si="620">((ABS(K1539)*$D$6)/(MAX(((F1539)+(G1539)*(L1539))*(L1539),0.000001)*MAX(((((F1539)+(G1539)*(L1539))*(L1539))/MAX((F1539)+2*(L1539)*SQRT(1+(G1539)^2),0.000001))^(2/3),0.000001)))^2</f>
        <v>0</v>
      </c>
      <c r="S1539">
        <v>0</v>
      </c>
      <c r="T1539">
        <v>1</v>
      </c>
      <c r="U1539">
        <f t="shared" ref="U1539:U1556" ca="1" si="621">IF($D$20=0,U1540,IF(AC1540=0,U1540,IF(U1539=0,U1540,IF(ABS(AB1539)&gt;$D$19,MAX($D$16,U1539+((AB1539)*$D$18*IF((ABS(ABS(K1539)/MAX(((F1539)+(G1539)*(U1539))*(U1539),0.000001))/SQRT($I$5*MAX((((F1539)+(G1539)*(U1539))*(U1539))/MAX((F1539)+2*(G1539)*(U1539),0.000001),0.000001)))&lt;1,1,-1))),U1539))))</f>
        <v>2.7176438202914173</v>
      </c>
      <c r="V1539">
        <f t="shared" ref="V1539:V1557" ca="1" si="622">((F1539)+(G1539)*(U1539))*(U1539)</f>
        <v>17.822308173471114</v>
      </c>
      <c r="W1539">
        <f t="shared" ref="W1539:W1557" ca="1" si="623">(((F1539)+(G1539)*(U1539))*(U1539))/MAX((F1539)+2*(U1539)*SQRT(1+(G1539)^2),0.000001)</f>
        <v>1.4860235748173056</v>
      </c>
      <c r="X1539">
        <f t="shared" ref="X1539:X1557" ca="1" si="624">ABS(K1539)/MAX(((F1539)+(G1539)*(U1539))*(U1539),0.000001)</f>
        <v>0</v>
      </c>
      <c r="Y1539">
        <f t="shared" ref="Y1539:Y1557" ca="1" si="625">E1539+U1539</f>
        <v>637.01564382029142</v>
      </c>
      <c r="Z1539">
        <f t="shared" ref="Z1539:Z1557" ca="1" si="626">Y1539+((ABS(K1539)/MAX(((F1539)+(G1539)*(U1539))*(U1539),0.000001))^2)/(2*$I$5)</f>
        <v>637.01564382029142</v>
      </c>
      <c r="AA1539">
        <f t="shared" ref="AA1539:AA1557" ca="1" si="627">((ABS(K1539)*$D$6)/(MAX(((F1539)+(G1539)*(U1539))*(U1539),0.000001)*MAX(((((F1539)+(G1539)*(U1539))*(U1539))/MAX((F1539)+2*(U1539)*SQRT(1+(G1539)^2),0.000001))^(2/3),0.000001)))^2</f>
        <v>0</v>
      </c>
      <c r="AB1539">
        <f t="shared" ref="AB1539:AB1556" ca="1" si="628">Z1540+(((AA1539+AA1540)/2)*J1540)+(IF(X1539&gt;X1540,$D$8*((X1539^2-X1540^2)/(2*$I$5)),$D$9*((X1540^2-X1539^2)/(2*$I$5)))+($D$10*(ABS(I1540)/90)*(MAX(X1539^2,X1540^2)/(2*$I$5))))-Z1539</f>
        <v>-9.7745230993950827E-4</v>
      </c>
      <c r="AC1539">
        <f t="shared" ref="AC1539:AC1556" ca="1" si="629">IF(ABS(AB1539)&lt;$D$19,1,0)</f>
        <v>1</v>
      </c>
      <c r="AD1539">
        <f ca="1">IF(V33="Supercritical",L1539,U1539)</f>
        <v>2.7176438202914173</v>
      </c>
      <c r="AE1539">
        <f t="shared" ref="AE1539:AE1557" ca="1" si="630">E1539+AD1539</f>
        <v>637.01564382029142</v>
      </c>
      <c r="AF1539">
        <f t="shared" ref="AF1539:AF1557" ca="1" si="631">AE1539+((ABS(K1539)/MAX(((F1539)+(G1539)*(AD1539))*(AD1539),0.000001))^2)/(2*$I$5)</f>
        <v>637.01564382029142</v>
      </c>
      <c r="AI1539">
        <v>0</v>
      </c>
      <c r="AJ1539">
        <v>0</v>
      </c>
      <c r="AK1539">
        <f t="shared" ref="AK1539:AK1557" si="632">AI1539+AJ1539</f>
        <v>0</v>
      </c>
      <c r="AL1539">
        <f>AK1539</f>
        <v>0</v>
      </c>
      <c r="AM1539">
        <f t="shared" ref="AM1539:AM1557" ca="1" si="633">ABS(ABS(K1539)/MAX(((F1539)+(G1539)*(AD1539))*(AD1539),0.000001))/SQRT($I$5*MAX((((F1539)+(G1539)*(AD1539))*(AD1539))/MAX((F1539)+2*(G1539)*(AD1539),0.000001),0.000001))</f>
        <v>0</v>
      </c>
      <c r="AN1539" t="str">
        <f t="shared" ref="AN1539:AN1557" ca="1" si="634">IF(AM1539&lt;1,"Subcritical","Supercritical")</f>
        <v>Subcritical</v>
      </c>
      <c r="AO1539">
        <f ca="1">IF(V33="Supercritical",R1539,AA1539)</f>
        <v>0</v>
      </c>
    </row>
    <row r="1540" spans="1:41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175</v>
      </c>
      <c r="I1540">
        <v>2.7E-2</v>
      </c>
      <c r="J1540">
        <f t="shared" ref="J1540:J1557" si="635">B1540-B1539</f>
        <v>1</v>
      </c>
      <c r="K1540">
        <f t="shared" ref="K1540:K1557" si="636">MAX(0,K1539-AK1539)</f>
        <v>0</v>
      </c>
      <c r="L1540">
        <f t="shared" ref="L1540:L1557" ca="1" si="637">IF($D$20=0,L1539,IF(T1539=0,L1539,IF(L1540=0,L1539,IF(ABS(S1540)&gt;$D$19,MAX($D$16,L1540+((S1540)*$D$18*IF((ABS(ABS(K1540)/MAX(((F1540)+(G1540)*(L1540))*(L1540),0.000001))/SQRT($I$5*MAX((((F1540)+(G1540)*(L1540))*(L1540))/MAX((F1540)+2*(G1540)*(L1540),0.000001),0.000001)))&lt;1,1,-1))),L1540))))</f>
        <v>38818.052343867501</v>
      </c>
      <c r="M1540">
        <f t="shared" ca="1" si="615"/>
        <v>279140.61440475122</v>
      </c>
      <c r="N1540">
        <f t="shared" ca="1" si="616"/>
        <v>3.5951669997033102</v>
      </c>
      <c r="O1540">
        <f t="shared" ca="1" si="617"/>
        <v>0</v>
      </c>
      <c r="P1540">
        <f t="shared" ca="1" si="618"/>
        <v>39452.348343867503</v>
      </c>
      <c r="Q1540">
        <f t="shared" ca="1" si="619"/>
        <v>39452.348343867503</v>
      </c>
      <c r="R1540">
        <f t="shared" ca="1" si="620"/>
        <v>0</v>
      </c>
      <c r="S1540">
        <f t="shared" ref="S1540:S1557" ca="1" si="638">Q1539-(((R1539+R1540)/2)*J1540)-(IF(O1539&gt;O1540,$D$8*((O1539^2-O1540^2)/(2*$I$5)),$D$9*((O1540^2-O1539^2)/(2*$I$5)))+($D$10*(ABS(I1540)/90)*(MAX(O1539^2,O1540^2)/(2*$I$5))))-Q1540</f>
        <v>8.8741062791086733E-4</v>
      </c>
      <c r="T1540">
        <f t="shared" ref="T1540:T1557" ca="1" si="639">IF(ABS(S1540)&lt;$D$19,1,0)</f>
        <v>1</v>
      </c>
      <c r="U1540">
        <f t="shared" ca="1" si="621"/>
        <v>2.7186663679813736</v>
      </c>
      <c r="V1540">
        <f t="shared" ca="1" si="622"/>
        <v>19.549929852154058</v>
      </c>
      <c r="W1540">
        <f t="shared" ca="1" si="623"/>
        <v>1.548100629030791</v>
      </c>
      <c r="X1540">
        <f t="shared" ca="1" si="624"/>
        <v>0</v>
      </c>
      <c r="Y1540">
        <f t="shared" ca="1" si="625"/>
        <v>637.01466636798148</v>
      </c>
      <c r="Z1540">
        <f t="shared" ca="1" si="626"/>
        <v>637.01466636798148</v>
      </c>
      <c r="AA1540">
        <f t="shared" ca="1" si="627"/>
        <v>0</v>
      </c>
      <c r="AB1540">
        <f t="shared" ca="1" si="628"/>
        <v>-9.7745231005319511E-4</v>
      </c>
      <c r="AC1540">
        <f t="shared" ca="1" si="629"/>
        <v>1</v>
      </c>
      <c r="AD1540">
        <f ca="1">IF(V33="Supercritical",L1540,U1540)</f>
        <v>2.7186663679813736</v>
      </c>
      <c r="AE1540">
        <f t="shared" ca="1" si="630"/>
        <v>637.01466636798148</v>
      </c>
      <c r="AF1540">
        <f t="shared" ca="1" si="631"/>
        <v>637.01466636798148</v>
      </c>
      <c r="AI1540">
        <v>0</v>
      </c>
      <c r="AJ1540">
        <v>0</v>
      </c>
      <c r="AK1540">
        <f t="shared" si="632"/>
        <v>0</v>
      </c>
      <c r="AL1540">
        <f t="shared" ref="AL1540:AL1557" si="640">AL1539+AK1540</f>
        <v>0</v>
      </c>
      <c r="AM1540">
        <f t="shared" ca="1" si="633"/>
        <v>0</v>
      </c>
      <c r="AN1540" t="str">
        <f t="shared" ca="1" si="634"/>
        <v>Subcritical</v>
      </c>
      <c r="AO1540">
        <f ca="1">IF(V33="Supercritical",R1540,AA1540)</f>
        <v>0</v>
      </c>
    </row>
    <row r="1541" spans="1:41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175</v>
      </c>
      <c r="I1541">
        <v>2.7E-2</v>
      </c>
      <c r="J1541">
        <f t="shared" si="635"/>
        <v>1</v>
      </c>
      <c r="K1541">
        <f t="shared" si="636"/>
        <v>0</v>
      </c>
      <c r="L1541">
        <f t="shared" ca="1" si="637"/>
        <v>38818.053374709722</v>
      </c>
      <c r="M1541">
        <f t="shared" ca="1" si="615"/>
        <v>307710.70910132397</v>
      </c>
      <c r="N1541">
        <f t="shared" ca="1" si="616"/>
        <v>3.9630953499195911</v>
      </c>
      <c r="O1541">
        <f t="shared" ca="1" si="617"/>
        <v>0</v>
      </c>
      <c r="P1541">
        <f t="shared" ca="1" si="618"/>
        <v>39452.347374709723</v>
      </c>
      <c r="Q1541">
        <f t="shared" ca="1" si="619"/>
        <v>39452.347374709723</v>
      </c>
      <c r="R1541">
        <f t="shared" ca="1" si="620"/>
        <v>0</v>
      </c>
      <c r="S1541">
        <f t="shared" ca="1" si="638"/>
        <v>9.6915777976391837E-4</v>
      </c>
      <c r="T1541">
        <f t="shared" ca="1" si="639"/>
        <v>1</v>
      </c>
      <c r="U1541">
        <f t="shared" ca="1" si="621"/>
        <v>2.7196889156714494</v>
      </c>
      <c r="V1541">
        <f t="shared" ca="1" si="622"/>
        <v>21.55897403452758</v>
      </c>
      <c r="W1541">
        <f t="shared" ca="1" si="623"/>
        <v>1.6129256786362731</v>
      </c>
      <c r="X1541">
        <f t="shared" ca="1" si="624"/>
        <v>0</v>
      </c>
      <c r="Y1541">
        <f t="shared" ca="1" si="625"/>
        <v>637.01368891567142</v>
      </c>
      <c r="Z1541">
        <f t="shared" ca="1" si="626"/>
        <v>637.01368891567142</v>
      </c>
      <c r="AA1541">
        <f t="shared" ca="1" si="627"/>
        <v>0</v>
      </c>
      <c r="AB1541">
        <f t="shared" ca="1" si="628"/>
        <v>-9.7745230993950827E-4</v>
      </c>
      <c r="AC1541">
        <f t="shared" ca="1" si="629"/>
        <v>1</v>
      </c>
      <c r="AD1541">
        <f ca="1">IF(V33="Supercritical",L1541,U1541)</f>
        <v>2.7196889156714494</v>
      </c>
      <c r="AE1541">
        <f t="shared" ca="1" si="630"/>
        <v>637.01368891567142</v>
      </c>
      <c r="AF1541">
        <f t="shared" ca="1" si="631"/>
        <v>637.01368891567142</v>
      </c>
      <c r="AI1541">
        <v>0</v>
      </c>
      <c r="AJ1541">
        <v>0</v>
      </c>
      <c r="AK1541">
        <f t="shared" si="632"/>
        <v>0</v>
      </c>
      <c r="AL1541">
        <f t="shared" si="640"/>
        <v>0</v>
      </c>
      <c r="AM1541">
        <f t="shared" ca="1" si="633"/>
        <v>0</v>
      </c>
      <c r="AN1541" t="str">
        <f t="shared" ca="1" si="634"/>
        <v>Subcritical</v>
      </c>
      <c r="AO1541">
        <f ca="1">IF(V33="Supercritical",R1541,AA1541)</f>
        <v>0</v>
      </c>
    </row>
    <row r="1542" spans="1:41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175</v>
      </c>
      <c r="I1542">
        <v>0</v>
      </c>
      <c r="J1542">
        <f t="shared" si="635"/>
        <v>1</v>
      </c>
      <c r="K1542">
        <f t="shared" si="636"/>
        <v>0</v>
      </c>
      <c r="L1542">
        <f t="shared" ca="1" si="637"/>
        <v>38818.054398021493</v>
      </c>
      <c r="M1542">
        <f t="shared" ca="1" si="615"/>
        <v>336319.62330445822</v>
      </c>
      <c r="N1542">
        <f t="shared" ca="1" si="616"/>
        <v>4.3315166133321217</v>
      </c>
      <c r="O1542">
        <f t="shared" ca="1" si="617"/>
        <v>0</v>
      </c>
      <c r="P1542">
        <f t="shared" ca="1" si="618"/>
        <v>39452.346398021495</v>
      </c>
      <c r="Q1542">
        <f t="shared" ca="1" si="619"/>
        <v>39452.346398021495</v>
      </c>
      <c r="R1542">
        <f t="shared" ca="1" si="620"/>
        <v>0</v>
      </c>
      <c r="S1542">
        <f t="shared" ca="1" si="638"/>
        <v>9.7668822854757309E-4</v>
      </c>
      <c r="T1542">
        <f t="shared" ca="1" si="639"/>
        <v>1</v>
      </c>
      <c r="U1542">
        <f t="shared" ca="1" si="621"/>
        <v>2.7207114633614058</v>
      </c>
      <c r="V1542">
        <f t="shared" ca="1" si="622"/>
        <v>23.572244118563219</v>
      </c>
      <c r="W1542">
        <f t="shared" ca="1" si="623"/>
        <v>1.6711476317314427</v>
      </c>
      <c r="X1542">
        <f t="shared" ca="1" si="624"/>
        <v>0</v>
      </c>
      <c r="Y1542">
        <f t="shared" ca="1" si="625"/>
        <v>637.01271146336148</v>
      </c>
      <c r="Z1542">
        <f t="shared" ca="1" si="626"/>
        <v>637.01271146336148</v>
      </c>
      <c r="AA1542">
        <f t="shared" ca="1" si="627"/>
        <v>0</v>
      </c>
      <c r="AB1542">
        <f t="shared" ca="1" si="628"/>
        <v>-9.7745231005319511E-4</v>
      </c>
      <c r="AC1542">
        <f t="shared" ca="1" si="629"/>
        <v>1</v>
      </c>
      <c r="AD1542">
        <f ca="1">IF(V33="Supercritical",L1542,U1542)</f>
        <v>2.7207114633614058</v>
      </c>
      <c r="AE1542">
        <f t="shared" ca="1" si="630"/>
        <v>637.01271146336148</v>
      </c>
      <c r="AF1542">
        <f t="shared" ca="1" si="631"/>
        <v>637.01271146336148</v>
      </c>
      <c r="AI1542">
        <v>0</v>
      </c>
      <c r="AJ1542">
        <v>0</v>
      </c>
      <c r="AK1542">
        <f t="shared" si="632"/>
        <v>0</v>
      </c>
      <c r="AL1542">
        <f t="shared" si="640"/>
        <v>0</v>
      </c>
      <c r="AM1542">
        <f t="shared" ca="1" si="633"/>
        <v>0</v>
      </c>
      <c r="AN1542" t="str">
        <f t="shared" ca="1" si="634"/>
        <v>Subcritical</v>
      </c>
      <c r="AO1542">
        <f ca="1">IF(V33="Supercritical",R1542,AA1542)</f>
        <v>0</v>
      </c>
    </row>
    <row r="1543" spans="1:41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175</v>
      </c>
      <c r="I1543">
        <v>0</v>
      </c>
      <c r="J1543">
        <f t="shared" si="635"/>
        <v>1</v>
      </c>
      <c r="K1543">
        <f t="shared" si="636"/>
        <v>0</v>
      </c>
      <c r="L1543">
        <f t="shared" ca="1" si="637"/>
        <v>38818.055420639575</v>
      </c>
      <c r="M1543">
        <f t="shared" ca="1" si="615"/>
        <v>364928.53900943266</v>
      </c>
      <c r="N1543">
        <f t="shared" ca="1" si="616"/>
        <v>4.6999308827458011</v>
      </c>
      <c r="O1543">
        <f t="shared" ca="1" si="617"/>
        <v>0</v>
      </c>
      <c r="P1543">
        <f t="shared" ca="1" si="618"/>
        <v>39452.345420639576</v>
      </c>
      <c r="Q1543">
        <f t="shared" ca="1" si="619"/>
        <v>39452.345420639576</v>
      </c>
      <c r="R1543">
        <f t="shared" ca="1" si="620"/>
        <v>0</v>
      </c>
      <c r="S1543">
        <f t="shared" ca="1" si="638"/>
        <v>9.7738191834650934E-4</v>
      </c>
      <c r="T1543">
        <f t="shared" ca="1" si="639"/>
        <v>1</v>
      </c>
      <c r="U1543">
        <f t="shared" ca="1" si="621"/>
        <v>2.7217340110514816</v>
      </c>
      <c r="V1543">
        <f t="shared" ca="1" si="622"/>
        <v>25.587021437894979</v>
      </c>
      <c r="W1543">
        <f t="shared" ca="1" si="623"/>
        <v>1.7236738561325795</v>
      </c>
      <c r="X1543">
        <f t="shared" ca="1" si="624"/>
        <v>0</v>
      </c>
      <c r="Y1543">
        <f t="shared" ca="1" si="625"/>
        <v>637.01173401105143</v>
      </c>
      <c r="Z1543">
        <f t="shared" ca="1" si="626"/>
        <v>637.01173401105143</v>
      </c>
      <c r="AA1543">
        <f t="shared" ca="1" si="627"/>
        <v>0</v>
      </c>
      <c r="AB1543">
        <f t="shared" ca="1" si="628"/>
        <v>-9.7745230993950827E-4</v>
      </c>
      <c r="AC1543">
        <f t="shared" ca="1" si="629"/>
        <v>1</v>
      </c>
      <c r="AD1543">
        <f ca="1">IF(V33="Supercritical",L1543,U1543)</f>
        <v>2.7217340110514816</v>
      </c>
      <c r="AE1543">
        <f t="shared" ca="1" si="630"/>
        <v>637.01173401105143</v>
      </c>
      <c r="AF1543">
        <f t="shared" ca="1" si="631"/>
        <v>637.01173401105143</v>
      </c>
      <c r="AI1543">
        <v>0</v>
      </c>
      <c r="AJ1543">
        <v>0</v>
      </c>
      <c r="AK1543">
        <f t="shared" si="632"/>
        <v>0</v>
      </c>
      <c r="AL1543">
        <f t="shared" si="640"/>
        <v>0</v>
      </c>
      <c r="AM1543">
        <f t="shared" ca="1" si="633"/>
        <v>0</v>
      </c>
      <c r="AN1543" t="str">
        <f t="shared" ca="1" si="634"/>
        <v>Subcritical</v>
      </c>
      <c r="AO1543">
        <f ca="1">IF(V33="Supercritical",R1543,AA1543)</f>
        <v>0</v>
      </c>
    </row>
    <row r="1544" spans="1:41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175</v>
      </c>
      <c r="I1544">
        <v>2.7E-2</v>
      </c>
      <c r="J1544">
        <f t="shared" si="635"/>
        <v>1.0010000000000003</v>
      </c>
      <c r="K1544">
        <f t="shared" si="636"/>
        <v>0</v>
      </c>
      <c r="L1544">
        <f t="shared" ca="1" si="637"/>
        <v>38818.056443193753</v>
      </c>
      <c r="M1544">
        <f t="shared" ca="1" si="615"/>
        <v>393537.45622109825</v>
      </c>
      <c r="N1544">
        <f t="shared" ca="1" si="616"/>
        <v>5.0683381583603406</v>
      </c>
      <c r="O1544">
        <f t="shared" ca="1" si="617"/>
        <v>0</v>
      </c>
      <c r="P1544">
        <f t="shared" ca="1" si="618"/>
        <v>39452.344443193753</v>
      </c>
      <c r="Q1544">
        <f t="shared" ca="1" si="619"/>
        <v>39452.344443193753</v>
      </c>
      <c r="R1544">
        <f t="shared" ca="1" si="620"/>
        <v>0</v>
      </c>
      <c r="S1544">
        <f t="shared" ca="1" si="638"/>
        <v>9.7744582308223471E-4</v>
      </c>
      <c r="T1544">
        <f t="shared" ca="1" si="639"/>
        <v>1</v>
      </c>
      <c r="U1544">
        <f t="shared" ca="1" si="621"/>
        <v>2.7227565587414553</v>
      </c>
      <c r="V1544">
        <f t="shared" ca="1" si="622"/>
        <v>27.603305992520873</v>
      </c>
      <c r="W1544">
        <f t="shared" ca="1" si="623"/>
        <v>1.7713147083344858</v>
      </c>
      <c r="X1544">
        <f t="shared" ca="1" si="624"/>
        <v>0</v>
      </c>
      <c r="Y1544">
        <f t="shared" ca="1" si="625"/>
        <v>637.01075655874149</v>
      </c>
      <c r="Z1544">
        <f t="shared" ca="1" si="626"/>
        <v>637.01075655874149</v>
      </c>
      <c r="AA1544">
        <f t="shared" ca="1" si="627"/>
        <v>0</v>
      </c>
      <c r="AB1544">
        <f t="shared" ca="1" si="628"/>
        <v>-9.7745231005319511E-4</v>
      </c>
      <c r="AC1544">
        <f t="shared" ca="1" si="629"/>
        <v>1</v>
      </c>
      <c r="AD1544">
        <f ca="1">IF(V33="Supercritical",L1544,U1544)</f>
        <v>2.7227565587414553</v>
      </c>
      <c r="AE1544">
        <f t="shared" ca="1" si="630"/>
        <v>637.01075655874149</v>
      </c>
      <c r="AF1544">
        <f t="shared" ca="1" si="631"/>
        <v>637.01075655874149</v>
      </c>
      <c r="AI1544">
        <v>0</v>
      </c>
      <c r="AJ1544">
        <v>0</v>
      </c>
      <c r="AK1544">
        <f t="shared" si="632"/>
        <v>0</v>
      </c>
      <c r="AL1544">
        <f t="shared" si="640"/>
        <v>0</v>
      </c>
      <c r="AM1544">
        <f t="shared" ca="1" si="633"/>
        <v>0</v>
      </c>
      <c r="AN1544" t="str">
        <f t="shared" ca="1" si="634"/>
        <v>Subcritical</v>
      </c>
      <c r="AO1544">
        <f ca="1">IF(V33="Supercritical",R1544,AA1544)</f>
        <v>0</v>
      </c>
    </row>
    <row r="1545" spans="1:41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175</v>
      </c>
      <c r="I1545">
        <v>2.7E-2</v>
      </c>
      <c r="J1545">
        <f t="shared" si="635"/>
        <v>0.99899999999999967</v>
      </c>
      <c r="K1545">
        <f t="shared" si="636"/>
        <v>0</v>
      </c>
      <c r="L1545">
        <f t="shared" ca="1" si="637"/>
        <v>38818.057465742037</v>
      </c>
      <c r="M1545">
        <f t="shared" ca="1" si="615"/>
        <v>422107.55688247894</v>
      </c>
      <c r="N1545">
        <f t="shared" ca="1" si="616"/>
        <v>5.4362385804161431</v>
      </c>
      <c r="O1545">
        <f t="shared" ca="1" si="617"/>
        <v>0</v>
      </c>
      <c r="P1545">
        <f t="shared" ca="1" si="618"/>
        <v>39452.343465742037</v>
      </c>
      <c r="Q1545">
        <f t="shared" ca="1" si="619"/>
        <v>39452.343465742037</v>
      </c>
      <c r="R1545">
        <f t="shared" ca="1" si="620"/>
        <v>0</v>
      </c>
      <c r="S1545">
        <f t="shared" ca="1" si="638"/>
        <v>9.774517166079022E-4</v>
      </c>
      <c r="T1545">
        <f t="shared" ca="1" si="639"/>
        <v>1</v>
      </c>
      <c r="U1545">
        <f t="shared" ca="1" si="621"/>
        <v>2.7237791064315142</v>
      </c>
      <c r="V1545">
        <f t="shared" ca="1" si="622"/>
        <v>29.618374003336289</v>
      </c>
      <c r="W1545">
        <f t="shared" ca="1" si="623"/>
        <v>1.8146780850858979</v>
      </c>
      <c r="X1545">
        <f t="shared" ca="1" si="624"/>
        <v>0</v>
      </c>
      <c r="Y1545">
        <f t="shared" ca="1" si="625"/>
        <v>637.00977910643144</v>
      </c>
      <c r="Z1545">
        <f t="shared" ca="1" si="626"/>
        <v>637.00977910643144</v>
      </c>
      <c r="AA1545">
        <f t="shared" ca="1" si="627"/>
        <v>0</v>
      </c>
      <c r="AB1545">
        <f t="shared" ca="1" si="628"/>
        <v>-9.7745230993950827E-4</v>
      </c>
      <c r="AC1545">
        <f t="shared" ca="1" si="629"/>
        <v>1</v>
      </c>
      <c r="AD1545">
        <f ca="1">IF(V33="Supercritical",L1545,U1545)</f>
        <v>2.7237791064315142</v>
      </c>
      <c r="AE1545">
        <f t="shared" ca="1" si="630"/>
        <v>637.00977910643144</v>
      </c>
      <c r="AF1545">
        <f t="shared" ca="1" si="631"/>
        <v>637.00977910643144</v>
      </c>
      <c r="AI1545">
        <v>0</v>
      </c>
      <c r="AJ1545">
        <v>0</v>
      </c>
      <c r="AK1545">
        <f t="shared" si="632"/>
        <v>0</v>
      </c>
      <c r="AL1545">
        <f t="shared" si="640"/>
        <v>0</v>
      </c>
      <c r="AM1545">
        <f t="shared" ca="1" si="633"/>
        <v>0</v>
      </c>
      <c r="AN1545" t="str">
        <f t="shared" ca="1" si="634"/>
        <v>Subcritical</v>
      </c>
      <c r="AO1545">
        <f ca="1">IF(V33="Supercritical",R1545,AA1545)</f>
        <v>0</v>
      </c>
    </row>
    <row r="1546" spans="1:41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175</v>
      </c>
      <c r="I1546">
        <v>0</v>
      </c>
      <c r="J1546">
        <f t="shared" si="635"/>
        <v>1</v>
      </c>
      <c r="K1546">
        <f t="shared" si="636"/>
        <v>0</v>
      </c>
      <c r="L1546">
        <f t="shared" ca="1" si="637"/>
        <v>38818.058488289782</v>
      </c>
      <c r="M1546">
        <f t="shared" ca="1" si="615"/>
        <v>450716.47710753267</v>
      </c>
      <c r="N1546">
        <f t="shared" ca="1" si="616"/>
        <v>5.8046318785203823</v>
      </c>
      <c r="O1546">
        <f t="shared" ca="1" si="617"/>
        <v>0</v>
      </c>
      <c r="P1546">
        <f t="shared" ca="1" si="618"/>
        <v>39452.342488289782</v>
      </c>
      <c r="Q1546">
        <f t="shared" ca="1" si="619"/>
        <v>39452.342488289782</v>
      </c>
      <c r="R1546">
        <f t="shared" ca="1" si="620"/>
        <v>0</v>
      </c>
      <c r="S1546">
        <f t="shared" ca="1" si="638"/>
        <v>9.7745225502876565E-4</v>
      </c>
      <c r="T1546">
        <f t="shared" ca="1" si="639"/>
        <v>1</v>
      </c>
      <c r="U1546">
        <f t="shared" ca="1" si="621"/>
        <v>2.7248016541215216</v>
      </c>
      <c r="V1546">
        <f t="shared" ca="1" si="622"/>
        <v>31.637672006004991</v>
      </c>
      <c r="W1546">
        <f t="shared" ca="1" si="623"/>
        <v>1.8544286760784625</v>
      </c>
      <c r="X1546">
        <f t="shared" ca="1" si="624"/>
        <v>0</v>
      </c>
      <c r="Y1546">
        <f t="shared" ca="1" si="625"/>
        <v>637.0088016541215</v>
      </c>
      <c r="Z1546">
        <f t="shared" ca="1" si="626"/>
        <v>637.0088016541215</v>
      </c>
      <c r="AA1546">
        <f t="shared" ca="1" si="627"/>
        <v>0</v>
      </c>
      <c r="AB1546">
        <f t="shared" ca="1" si="628"/>
        <v>-9.7745230993950827E-4</v>
      </c>
      <c r="AC1546">
        <f t="shared" ca="1" si="629"/>
        <v>1</v>
      </c>
      <c r="AD1546">
        <f ca="1">IF(V33="Supercritical",L1546,U1546)</f>
        <v>2.7248016541215216</v>
      </c>
      <c r="AE1546">
        <f t="shared" ca="1" si="630"/>
        <v>637.0088016541215</v>
      </c>
      <c r="AF1546">
        <f t="shared" ca="1" si="631"/>
        <v>637.0088016541215</v>
      </c>
      <c r="AI1546">
        <v>0</v>
      </c>
      <c r="AJ1546">
        <v>0</v>
      </c>
      <c r="AK1546">
        <f t="shared" si="632"/>
        <v>0</v>
      </c>
      <c r="AL1546">
        <f t="shared" si="640"/>
        <v>0</v>
      </c>
      <c r="AM1546">
        <f t="shared" ca="1" si="633"/>
        <v>0</v>
      </c>
      <c r="AN1546" t="str">
        <f t="shared" ca="1" si="634"/>
        <v>Subcritical</v>
      </c>
      <c r="AO1546">
        <f ca="1">IF(V33="Supercritical",R1546,AA1546)</f>
        <v>0</v>
      </c>
    </row>
    <row r="1547" spans="1:41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175</v>
      </c>
      <c r="I1547">
        <v>2.7E-2</v>
      </c>
      <c r="J1547">
        <f t="shared" si="635"/>
        <v>1.0009999999999994</v>
      </c>
      <c r="K1547">
        <f t="shared" si="636"/>
        <v>0</v>
      </c>
      <c r="L1547">
        <f t="shared" ca="1" si="637"/>
        <v>38818.059510837476</v>
      </c>
      <c r="M1547">
        <f t="shared" ca="1" si="615"/>
        <v>479325.39883982117</v>
      </c>
      <c r="N1547">
        <f t="shared" ca="1" si="616"/>
        <v>6.1730181834242952</v>
      </c>
      <c r="O1547">
        <f t="shared" ca="1" si="617"/>
        <v>0</v>
      </c>
      <c r="P1547">
        <f t="shared" ca="1" si="618"/>
        <v>39452.341510837476</v>
      </c>
      <c r="Q1547">
        <f t="shared" ca="1" si="619"/>
        <v>39452.341510837476</v>
      </c>
      <c r="R1547">
        <f t="shared" ca="1" si="620"/>
        <v>0</v>
      </c>
      <c r="S1547">
        <f t="shared" ca="1" si="638"/>
        <v>9.7745230596046895E-4</v>
      </c>
      <c r="T1547">
        <f t="shared" ca="1" si="639"/>
        <v>1</v>
      </c>
      <c r="U1547">
        <f t="shared" ca="1" si="621"/>
        <v>2.7258242018115122</v>
      </c>
      <c r="V1547">
        <f t="shared" ca="1" si="622"/>
        <v>33.658477243968555</v>
      </c>
      <c r="W1547">
        <f t="shared" ca="1" si="623"/>
        <v>1.8909630393102344</v>
      </c>
      <c r="X1547">
        <f t="shared" ca="1" si="624"/>
        <v>0</v>
      </c>
      <c r="Y1547">
        <f t="shared" ca="1" si="625"/>
        <v>637.00782420181156</v>
      </c>
      <c r="Z1547">
        <f t="shared" ca="1" si="626"/>
        <v>637.00782420181156</v>
      </c>
      <c r="AA1547">
        <f t="shared" ca="1" si="627"/>
        <v>0</v>
      </c>
      <c r="AB1547">
        <f t="shared" ca="1" si="628"/>
        <v>-9.7745230982582143E-4</v>
      </c>
      <c r="AC1547">
        <f t="shared" ca="1" si="629"/>
        <v>1</v>
      </c>
      <c r="AD1547">
        <f ca="1">IF(V33="Supercritical",L1547,U1547)</f>
        <v>2.7258242018115122</v>
      </c>
      <c r="AE1547">
        <f t="shared" ca="1" si="630"/>
        <v>637.00782420181156</v>
      </c>
      <c r="AF1547">
        <f t="shared" ca="1" si="631"/>
        <v>637.00782420181156</v>
      </c>
      <c r="AI1547">
        <v>0</v>
      </c>
      <c r="AJ1547">
        <v>0</v>
      </c>
      <c r="AK1547">
        <f t="shared" si="632"/>
        <v>0</v>
      </c>
      <c r="AL1547">
        <f t="shared" si="640"/>
        <v>0</v>
      </c>
      <c r="AM1547">
        <f t="shared" ca="1" si="633"/>
        <v>0</v>
      </c>
      <c r="AN1547" t="str">
        <f t="shared" ca="1" si="634"/>
        <v>Subcritical</v>
      </c>
      <c r="AO1547">
        <f ca="1">IF(V33="Supercritical",R1547,AA1547)</f>
        <v>0</v>
      </c>
    </row>
    <row r="1548" spans="1:41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174</v>
      </c>
      <c r="I1548">
        <v>2.7E-2</v>
      </c>
      <c r="J1548">
        <f t="shared" si="635"/>
        <v>0.99900000000000055</v>
      </c>
      <c r="K1548">
        <f t="shared" si="636"/>
        <v>0</v>
      </c>
      <c r="L1548">
        <f t="shared" ca="1" si="637"/>
        <v>38818.060533385171</v>
      </c>
      <c r="M1548">
        <f t="shared" ca="1" si="615"/>
        <v>241603.60875978932</v>
      </c>
      <c r="N1548">
        <f t="shared" ca="1" si="616"/>
        <v>3.1117505344798211</v>
      </c>
      <c r="O1548">
        <f t="shared" ca="1" si="617"/>
        <v>0</v>
      </c>
      <c r="P1548">
        <f t="shared" ca="1" si="618"/>
        <v>39452.34053338517</v>
      </c>
      <c r="Q1548">
        <f t="shared" ca="1" si="619"/>
        <v>39452.34053338517</v>
      </c>
      <c r="R1548">
        <f t="shared" ca="1" si="620"/>
        <v>0</v>
      </c>
      <c r="S1548">
        <f t="shared" ca="1" si="638"/>
        <v>9.7745230596046895E-4</v>
      </c>
      <c r="T1548">
        <f t="shared" ca="1" si="639"/>
        <v>1</v>
      </c>
      <c r="U1548">
        <f t="shared" ca="1" si="621"/>
        <v>2.7268467495017412</v>
      </c>
      <c r="V1548">
        <f t="shared" ca="1" si="622"/>
        <v>16.971894168898839</v>
      </c>
      <c r="W1548">
        <f t="shared" ca="1" si="623"/>
        <v>1.4533601323195491</v>
      </c>
      <c r="X1548">
        <f t="shared" ca="1" si="624"/>
        <v>0</v>
      </c>
      <c r="Y1548">
        <f t="shared" ca="1" si="625"/>
        <v>637.00684674950173</v>
      </c>
      <c r="Z1548">
        <f t="shared" ca="1" si="626"/>
        <v>637.00684674950173</v>
      </c>
      <c r="AA1548">
        <f t="shared" ca="1" si="627"/>
        <v>0</v>
      </c>
      <c r="AB1548">
        <f t="shared" ca="1" si="628"/>
        <v>-9.7745230800683203E-4</v>
      </c>
      <c r="AC1548">
        <f t="shared" ca="1" si="629"/>
        <v>1</v>
      </c>
      <c r="AD1548">
        <f ca="1">IF(V33="Supercritical",L1548,U1548)</f>
        <v>2.7268467495017412</v>
      </c>
      <c r="AE1548">
        <f t="shared" ca="1" si="630"/>
        <v>637.00684674950173</v>
      </c>
      <c r="AF1548">
        <f t="shared" ca="1" si="631"/>
        <v>637.00684674950173</v>
      </c>
      <c r="AI1548">
        <v>0</v>
      </c>
      <c r="AJ1548">
        <v>0</v>
      </c>
      <c r="AK1548">
        <f t="shared" si="632"/>
        <v>0</v>
      </c>
      <c r="AL1548">
        <f t="shared" si="640"/>
        <v>0</v>
      </c>
      <c r="AM1548">
        <f t="shared" ca="1" si="633"/>
        <v>0</v>
      </c>
      <c r="AN1548" t="str">
        <f t="shared" ca="1" si="634"/>
        <v>Subcritical</v>
      </c>
      <c r="AO1548">
        <f ca="1">IF(V33="Supercritical",R1548,AA1548)</f>
        <v>0</v>
      </c>
    </row>
    <row r="1549" spans="1:41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174</v>
      </c>
      <c r="I1549">
        <v>0</v>
      </c>
      <c r="J1549">
        <f t="shared" si="635"/>
        <v>1</v>
      </c>
      <c r="K1549">
        <f t="shared" si="636"/>
        <v>0</v>
      </c>
      <c r="L1549">
        <f t="shared" ca="1" si="637"/>
        <v>38818.061555932865</v>
      </c>
      <c r="M1549">
        <f t="shared" ca="1" si="615"/>
        <v>241603.61512412617</v>
      </c>
      <c r="N1549">
        <f t="shared" ca="1" si="616"/>
        <v>3.1117505344863918</v>
      </c>
      <c r="O1549">
        <f t="shared" ca="1" si="617"/>
        <v>0</v>
      </c>
      <c r="P1549">
        <f t="shared" ca="1" si="618"/>
        <v>39452.339555932864</v>
      </c>
      <c r="Q1549">
        <f t="shared" ca="1" si="619"/>
        <v>39452.339555932864</v>
      </c>
      <c r="R1549">
        <f t="shared" ca="1" si="620"/>
        <v>0</v>
      </c>
      <c r="S1549">
        <f t="shared" ca="1" si="638"/>
        <v>9.7745230596046895E-4</v>
      </c>
      <c r="T1549">
        <f t="shared" ca="1" si="639"/>
        <v>1</v>
      </c>
      <c r="U1549">
        <f t="shared" ca="1" si="621"/>
        <v>2.7278692971936764</v>
      </c>
      <c r="V1549">
        <f t="shared" ca="1" si="622"/>
        <v>16.978258505733443</v>
      </c>
      <c r="W1549">
        <f t="shared" ca="1" si="623"/>
        <v>1.453650556348262</v>
      </c>
      <c r="X1549">
        <f t="shared" ca="1" si="624"/>
        <v>0</v>
      </c>
      <c r="Y1549">
        <f t="shared" ca="1" si="625"/>
        <v>637.00586929719373</v>
      </c>
      <c r="Z1549">
        <f t="shared" ca="1" si="626"/>
        <v>637.00586929719373</v>
      </c>
      <c r="AA1549">
        <f t="shared" ca="1" si="627"/>
        <v>0</v>
      </c>
      <c r="AB1549">
        <f t="shared" ca="1" si="628"/>
        <v>-9.7745228879375645E-4</v>
      </c>
      <c r="AC1549">
        <f t="shared" ca="1" si="629"/>
        <v>1</v>
      </c>
      <c r="AD1549">
        <f ca="1">IF(V33="Supercritical",L1549,U1549)</f>
        <v>2.7278692971936764</v>
      </c>
      <c r="AE1549">
        <f t="shared" ca="1" si="630"/>
        <v>637.00586929719373</v>
      </c>
      <c r="AF1549">
        <f t="shared" ca="1" si="631"/>
        <v>637.00586929719373</v>
      </c>
      <c r="AI1549">
        <v>0</v>
      </c>
      <c r="AJ1549">
        <v>0</v>
      </c>
      <c r="AK1549">
        <f t="shared" si="632"/>
        <v>0</v>
      </c>
      <c r="AL1549">
        <f t="shared" si="640"/>
        <v>0</v>
      </c>
      <c r="AM1549">
        <f t="shared" ca="1" si="633"/>
        <v>0</v>
      </c>
      <c r="AN1549" t="str">
        <f t="shared" ca="1" si="634"/>
        <v>Subcritical</v>
      </c>
      <c r="AO1549">
        <f ca="1">IF(V33="Supercritical",R1549,AA1549)</f>
        <v>0</v>
      </c>
    </row>
    <row r="1550" spans="1:41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174</v>
      </c>
      <c r="I1550">
        <v>2.7E-2</v>
      </c>
      <c r="J1550">
        <f t="shared" si="635"/>
        <v>1.0009999999999994</v>
      </c>
      <c r="K1550">
        <f t="shared" si="636"/>
        <v>0</v>
      </c>
      <c r="L1550">
        <f t="shared" ca="1" si="637"/>
        <v>38818.06257848056</v>
      </c>
      <c r="M1550">
        <f t="shared" ca="1" si="615"/>
        <v>232714.28515799096</v>
      </c>
      <c r="N1550">
        <f t="shared" ca="1" si="616"/>
        <v>2.9972685532998886</v>
      </c>
      <c r="O1550">
        <f t="shared" ca="1" si="617"/>
        <v>0</v>
      </c>
      <c r="P1550">
        <f t="shared" ca="1" si="618"/>
        <v>39452.338578480558</v>
      </c>
      <c r="Q1550">
        <f t="shared" ca="1" si="619"/>
        <v>39452.338578480558</v>
      </c>
      <c r="R1550">
        <f t="shared" ca="1" si="620"/>
        <v>0</v>
      </c>
      <c r="S1550">
        <f t="shared" ca="1" si="638"/>
        <v>9.7745230596046895E-4</v>
      </c>
      <c r="T1550">
        <f t="shared" ca="1" si="639"/>
        <v>1</v>
      </c>
      <c r="U1550">
        <f t="shared" ca="1" si="621"/>
        <v>2.7288918449049491</v>
      </c>
      <c r="V1550">
        <f t="shared" ca="1" si="622"/>
        <v>16.359706610205169</v>
      </c>
      <c r="W1550">
        <f t="shared" ca="1" si="623"/>
        <v>1.4284480571095741</v>
      </c>
      <c r="X1550">
        <f t="shared" ca="1" si="624"/>
        <v>0</v>
      </c>
      <c r="Y1550">
        <f t="shared" ca="1" si="625"/>
        <v>637.00489184490493</v>
      </c>
      <c r="Z1550">
        <f t="shared" ca="1" si="626"/>
        <v>637.00489184490493</v>
      </c>
      <c r="AA1550">
        <f t="shared" ca="1" si="627"/>
        <v>0</v>
      </c>
      <c r="AB1550">
        <f t="shared" ca="1" si="628"/>
        <v>-9.7745207960997504E-4</v>
      </c>
      <c r="AC1550">
        <f t="shared" ca="1" si="629"/>
        <v>1</v>
      </c>
      <c r="AD1550">
        <f ca="1">IF(V33="Supercritical",L1550,U1550)</f>
        <v>2.7288918449049491</v>
      </c>
      <c r="AE1550">
        <f t="shared" ca="1" si="630"/>
        <v>637.00489184490493</v>
      </c>
      <c r="AF1550">
        <f t="shared" ca="1" si="631"/>
        <v>637.00489184490493</v>
      </c>
      <c r="AI1550">
        <v>0</v>
      </c>
      <c r="AJ1550">
        <v>0</v>
      </c>
      <c r="AK1550">
        <f t="shared" si="632"/>
        <v>0</v>
      </c>
      <c r="AL1550">
        <f t="shared" si="640"/>
        <v>0</v>
      </c>
      <c r="AM1550">
        <f t="shared" ca="1" si="633"/>
        <v>0</v>
      </c>
      <c r="AN1550" t="str">
        <f t="shared" ca="1" si="634"/>
        <v>Subcritical</v>
      </c>
      <c r="AO1550">
        <f ca="1">IF(V33="Supercritical",R1550,AA1550)</f>
        <v>0</v>
      </c>
    </row>
    <row r="1551" spans="1:41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174</v>
      </c>
      <c r="I1551">
        <v>2.7E-2</v>
      </c>
      <c r="J1551">
        <f t="shared" si="635"/>
        <v>0.99900000000000055</v>
      </c>
      <c r="K1551">
        <f t="shared" si="636"/>
        <v>0</v>
      </c>
      <c r="L1551">
        <f t="shared" ca="1" si="637"/>
        <v>38818.063601028254</v>
      </c>
      <c r="M1551">
        <f t="shared" ca="1" si="615"/>
        <v>232714.29128816439</v>
      </c>
      <c r="N1551">
        <f t="shared" ca="1" si="616"/>
        <v>2.9972685533059851</v>
      </c>
      <c r="O1551">
        <f t="shared" ca="1" si="617"/>
        <v>0</v>
      </c>
      <c r="P1551">
        <f t="shared" ca="1" si="618"/>
        <v>39452.337601028252</v>
      </c>
      <c r="Q1551">
        <f t="shared" ca="1" si="619"/>
        <v>39452.337601028252</v>
      </c>
      <c r="R1551">
        <f t="shared" ca="1" si="620"/>
        <v>0</v>
      </c>
      <c r="S1551">
        <f t="shared" ca="1" si="638"/>
        <v>9.7745230596046895E-4</v>
      </c>
      <c r="T1551">
        <f t="shared" ca="1" si="639"/>
        <v>1</v>
      </c>
      <c r="U1551">
        <f t="shared" ca="1" si="621"/>
        <v>2.7299143928253091</v>
      </c>
      <c r="V1551">
        <f t="shared" ca="1" si="622"/>
        <v>16.365836784987728</v>
      </c>
      <c r="W1551">
        <f t="shared" ca="1" si="623"/>
        <v>1.4287281888917531</v>
      </c>
      <c r="X1551">
        <f t="shared" ca="1" si="624"/>
        <v>0</v>
      </c>
      <c r="Y1551">
        <f t="shared" ca="1" si="625"/>
        <v>637.00391439282532</v>
      </c>
      <c r="Z1551">
        <f t="shared" ca="1" si="626"/>
        <v>637.00391439282532</v>
      </c>
      <c r="AA1551">
        <f t="shared" ca="1" si="627"/>
        <v>0</v>
      </c>
      <c r="AB1551">
        <f t="shared" ca="1" si="628"/>
        <v>-9.7744980917013891E-4</v>
      </c>
      <c r="AC1551">
        <f t="shared" ca="1" si="629"/>
        <v>1</v>
      </c>
      <c r="AD1551">
        <f ca="1">IF(V33="Supercritical",L1551,U1551)</f>
        <v>2.7299143928253091</v>
      </c>
      <c r="AE1551">
        <f t="shared" ca="1" si="630"/>
        <v>637.00391439282532</v>
      </c>
      <c r="AF1551">
        <f t="shared" ca="1" si="631"/>
        <v>637.00391439282532</v>
      </c>
      <c r="AI1551">
        <v>0</v>
      </c>
      <c r="AJ1551">
        <v>0</v>
      </c>
      <c r="AK1551">
        <f t="shared" si="632"/>
        <v>0</v>
      </c>
      <c r="AL1551">
        <f t="shared" si="640"/>
        <v>0</v>
      </c>
      <c r="AM1551">
        <f t="shared" ca="1" si="633"/>
        <v>0</v>
      </c>
      <c r="AN1551" t="str">
        <f t="shared" ca="1" si="634"/>
        <v>Subcritical</v>
      </c>
      <c r="AO1551">
        <f ca="1">IF(V33="Supercritical",R1551,AA1551)</f>
        <v>0</v>
      </c>
    </row>
    <row r="1552" spans="1:41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174</v>
      </c>
      <c r="I1552">
        <v>0</v>
      </c>
      <c r="J1552">
        <f t="shared" si="635"/>
        <v>1</v>
      </c>
      <c r="K1552">
        <f t="shared" si="636"/>
        <v>0</v>
      </c>
      <c r="L1552">
        <f t="shared" ca="1" si="637"/>
        <v>38818.064623575949</v>
      </c>
      <c r="M1552">
        <f t="shared" ca="1" si="615"/>
        <v>232714.29741833781</v>
      </c>
      <c r="N1552">
        <f t="shared" ca="1" si="616"/>
        <v>2.9972685533120811</v>
      </c>
      <c r="O1552">
        <f t="shared" ca="1" si="617"/>
        <v>0</v>
      </c>
      <c r="P1552">
        <f t="shared" ca="1" si="618"/>
        <v>39452.336623575946</v>
      </c>
      <c r="Q1552">
        <f t="shared" ca="1" si="619"/>
        <v>39452.336623575946</v>
      </c>
      <c r="R1552">
        <f t="shared" ca="1" si="620"/>
        <v>0</v>
      </c>
      <c r="S1552">
        <f t="shared" ca="1" si="638"/>
        <v>9.7745230596046895E-4</v>
      </c>
      <c r="T1552">
        <f t="shared" ca="1" si="639"/>
        <v>1</v>
      </c>
      <c r="U1552">
        <f t="shared" ca="1" si="621"/>
        <v>2.7309369430161263</v>
      </c>
      <c r="V1552">
        <f t="shared" ca="1" si="622"/>
        <v>16.371966973381678</v>
      </c>
      <c r="W1552">
        <f t="shared" ca="1" si="623"/>
        <v>1.4290082212864108</v>
      </c>
      <c r="X1552">
        <f t="shared" ca="1" si="624"/>
        <v>0</v>
      </c>
      <c r="Y1552">
        <f t="shared" ca="1" si="625"/>
        <v>637.00293694301615</v>
      </c>
      <c r="Z1552">
        <f t="shared" ca="1" si="626"/>
        <v>637.00293694301615</v>
      </c>
      <c r="AA1552">
        <f t="shared" ca="1" si="627"/>
        <v>0</v>
      </c>
      <c r="AB1552">
        <f t="shared" ca="1" si="628"/>
        <v>-9.7742516220478137E-4</v>
      </c>
      <c r="AC1552">
        <f t="shared" ca="1" si="629"/>
        <v>1</v>
      </c>
      <c r="AD1552">
        <f ca="1">IF(V33="Supercritical",L1552,U1552)</f>
        <v>2.7309369430161263</v>
      </c>
      <c r="AE1552">
        <f t="shared" ca="1" si="630"/>
        <v>637.00293694301615</v>
      </c>
      <c r="AF1552">
        <f t="shared" ca="1" si="631"/>
        <v>637.00293694301615</v>
      </c>
      <c r="AI1552">
        <v>0</v>
      </c>
      <c r="AJ1552">
        <v>0</v>
      </c>
      <c r="AK1552">
        <f t="shared" si="632"/>
        <v>0</v>
      </c>
      <c r="AL1552">
        <f t="shared" si="640"/>
        <v>0</v>
      </c>
      <c r="AM1552">
        <f t="shared" ca="1" si="633"/>
        <v>0</v>
      </c>
      <c r="AN1552" t="str">
        <f t="shared" ca="1" si="634"/>
        <v>Subcritical</v>
      </c>
      <c r="AO1552">
        <f ca="1">IF(V33="Supercritical",R1552,AA1552)</f>
        <v>0</v>
      </c>
    </row>
    <row r="1553" spans="1:41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174</v>
      </c>
      <c r="I1553">
        <v>2.7E-2</v>
      </c>
      <c r="J1553">
        <f t="shared" si="635"/>
        <v>1.0009999999999994</v>
      </c>
      <c r="K1553">
        <f t="shared" si="636"/>
        <v>0</v>
      </c>
      <c r="L1553">
        <f t="shared" ca="1" si="637"/>
        <v>38818.065646123643</v>
      </c>
      <c r="M1553">
        <f t="shared" ca="1" si="615"/>
        <v>232675.4854828651</v>
      </c>
      <c r="N1553">
        <f t="shared" ca="1" si="616"/>
        <v>2.9967686305219954</v>
      </c>
      <c r="O1553">
        <f t="shared" ca="1" si="617"/>
        <v>0</v>
      </c>
      <c r="P1553">
        <f t="shared" ca="1" si="618"/>
        <v>39452.33564612364</v>
      </c>
      <c r="Q1553">
        <f t="shared" ca="1" si="619"/>
        <v>39452.33564612364</v>
      </c>
      <c r="R1553">
        <f t="shared" ca="1" si="620"/>
        <v>0</v>
      </c>
      <c r="S1553">
        <f t="shared" ca="1" si="638"/>
        <v>9.7745230596046895E-4</v>
      </c>
      <c r="T1553">
        <f t="shared" ca="1" si="639"/>
        <v>1</v>
      </c>
      <c r="U1553">
        <f t="shared" ca="1" si="621"/>
        <v>2.7319595178539879</v>
      </c>
      <c r="V1553">
        <f t="shared" ca="1" si="622"/>
        <v>16.375365350016803</v>
      </c>
      <c r="W1553">
        <f t="shared" ca="1" si="623"/>
        <v>1.4291744686782892</v>
      </c>
      <c r="X1553">
        <f t="shared" ca="1" si="624"/>
        <v>0</v>
      </c>
      <c r="Y1553">
        <f t="shared" ca="1" si="625"/>
        <v>637.00195951785395</v>
      </c>
      <c r="Z1553">
        <f t="shared" ca="1" si="626"/>
        <v>637.00195951785395</v>
      </c>
      <c r="AA1553">
        <f t="shared" ca="1" si="627"/>
        <v>0</v>
      </c>
      <c r="AB1553">
        <f t="shared" ca="1" si="628"/>
        <v>-9.7715760557548492E-4</v>
      </c>
      <c r="AC1553">
        <f t="shared" ca="1" si="629"/>
        <v>1</v>
      </c>
      <c r="AD1553">
        <f ca="1">IF(V33="Supercritical",L1553,U1553)</f>
        <v>2.7319595178539879</v>
      </c>
      <c r="AE1553">
        <f t="shared" ca="1" si="630"/>
        <v>637.00195951785395</v>
      </c>
      <c r="AF1553">
        <f t="shared" ca="1" si="631"/>
        <v>637.00195951785395</v>
      </c>
      <c r="AI1553">
        <v>0</v>
      </c>
      <c r="AJ1553">
        <v>0</v>
      </c>
      <c r="AK1553">
        <f t="shared" si="632"/>
        <v>0</v>
      </c>
      <c r="AL1553">
        <f t="shared" si="640"/>
        <v>0</v>
      </c>
      <c r="AM1553">
        <f t="shared" ca="1" si="633"/>
        <v>0</v>
      </c>
      <c r="AN1553" t="str">
        <f t="shared" ca="1" si="634"/>
        <v>Subcritical</v>
      </c>
      <c r="AO1553">
        <f ca="1">IF(V33="Supercritical",R1553,AA1553)</f>
        <v>0</v>
      </c>
    </row>
    <row r="1554" spans="1:41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174</v>
      </c>
      <c r="I1554">
        <v>2.7E-2</v>
      </c>
      <c r="J1554">
        <f t="shared" si="635"/>
        <v>0.99900000000000055</v>
      </c>
      <c r="K1554">
        <f t="shared" si="636"/>
        <v>0</v>
      </c>
      <c r="L1554">
        <f t="shared" ca="1" si="637"/>
        <v>38818.06666867133</v>
      </c>
      <c r="M1554">
        <f t="shared" ca="1" si="615"/>
        <v>232675.49161201593</v>
      </c>
      <c r="N1554">
        <f t="shared" ca="1" si="616"/>
        <v>2.9967686305280896</v>
      </c>
      <c r="O1554">
        <f t="shared" ca="1" si="617"/>
        <v>0</v>
      </c>
      <c r="P1554">
        <f t="shared" ca="1" si="618"/>
        <v>39452.334668671334</v>
      </c>
      <c r="Q1554">
        <f t="shared" ca="1" si="619"/>
        <v>39452.334668671334</v>
      </c>
      <c r="R1554">
        <f t="shared" ca="1" si="620"/>
        <v>0</v>
      </c>
      <c r="S1554">
        <f t="shared" ca="1" si="638"/>
        <v>9.7745230596046895E-4</v>
      </c>
      <c r="T1554">
        <f t="shared" ca="1" si="639"/>
        <v>1</v>
      </c>
      <c r="U1554">
        <f t="shared" ca="1" si="621"/>
        <v>2.7329823602483141</v>
      </c>
      <c r="V1554">
        <f t="shared" ca="1" si="622"/>
        <v>16.381496267328394</v>
      </c>
      <c r="W1554">
        <f t="shared" ca="1" si="623"/>
        <v>1.4294543366289252</v>
      </c>
      <c r="X1554">
        <f t="shared" ca="1" si="624"/>
        <v>0</v>
      </c>
      <c r="Y1554">
        <f t="shared" ca="1" si="625"/>
        <v>637.00098236024837</v>
      </c>
      <c r="Z1554">
        <f t="shared" ca="1" si="626"/>
        <v>637.00098236024837</v>
      </c>
      <c r="AA1554">
        <f t="shared" ca="1" si="627"/>
        <v>0</v>
      </c>
      <c r="AB1554">
        <f t="shared" ca="1" si="628"/>
        <v>-9.742531312895153E-4</v>
      </c>
      <c r="AC1554">
        <f t="shared" ca="1" si="629"/>
        <v>1</v>
      </c>
      <c r="AD1554">
        <f ca="1">IF(V33="Supercritical",L1554,U1554)</f>
        <v>2.7329823602483141</v>
      </c>
      <c r="AE1554">
        <f t="shared" ca="1" si="630"/>
        <v>637.00098236024837</v>
      </c>
      <c r="AF1554">
        <f t="shared" ca="1" si="631"/>
        <v>637.00098236024837</v>
      </c>
      <c r="AI1554">
        <v>0</v>
      </c>
      <c r="AJ1554">
        <v>0</v>
      </c>
      <c r="AK1554">
        <f t="shared" si="632"/>
        <v>0</v>
      </c>
      <c r="AL1554">
        <f t="shared" si="640"/>
        <v>0</v>
      </c>
      <c r="AM1554">
        <f t="shared" ca="1" si="633"/>
        <v>0</v>
      </c>
      <c r="AN1554" t="str">
        <f t="shared" ca="1" si="634"/>
        <v>Subcritical</v>
      </c>
      <c r="AO1554">
        <f ca="1">IF(V33="Supercritical",R1554,AA1554)</f>
        <v>0</v>
      </c>
    </row>
    <row r="1555" spans="1:41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174</v>
      </c>
      <c r="I1555">
        <v>0</v>
      </c>
      <c r="J1555">
        <f t="shared" si="635"/>
        <v>1</v>
      </c>
      <c r="K1555">
        <f t="shared" si="636"/>
        <v>0</v>
      </c>
      <c r="L1555">
        <f t="shared" ca="1" si="637"/>
        <v>38818.067691219025</v>
      </c>
      <c r="M1555">
        <f t="shared" ca="1" si="615"/>
        <v>232675.49774116682</v>
      </c>
      <c r="N1555">
        <f t="shared" ca="1" si="616"/>
        <v>2.9967686305341839</v>
      </c>
      <c r="O1555">
        <f t="shared" ca="1" si="617"/>
        <v>0</v>
      </c>
      <c r="P1555">
        <f t="shared" ca="1" si="618"/>
        <v>39452.333691219028</v>
      </c>
      <c r="Q1555">
        <f t="shared" ca="1" si="619"/>
        <v>39452.333691219028</v>
      </c>
      <c r="R1555">
        <f t="shared" ca="1" si="620"/>
        <v>0</v>
      </c>
      <c r="S1555">
        <f t="shared" ca="1" si="638"/>
        <v>9.7745230596046895E-4</v>
      </c>
      <c r="T1555">
        <f t="shared" ca="1" si="639"/>
        <v>1</v>
      </c>
      <c r="U1555">
        <f t="shared" ca="1" si="621"/>
        <v>2.734008107117142</v>
      </c>
      <c r="V1555">
        <f t="shared" ca="1" si="622"/>
        <v>16.387644594060149</v>
      </c>
      <c r="W1555">
        <f t="shared" ca="1" si="623"/>
        <v>1.4297348989708194</v>
      </c>
      <c r="X1555">
        <f t="shared" ca="1" si="624"/>
        <v>0</v>
      </c>
      <c r="Y1555">
        <f t="shared" ca="1" si="625"/>
        <v>637.00000810711708</v>
      </c>
      <c r="Z1555">
        <f t="shared" ca="1" si="626"/>
        <v>637.00000810711708</v>
      </c>
      <c r="AA1555">
        <f t="shared" ca="1" si="627"/>
        <v>0</v>
      </c>
      <c r="AB1555">
        <f t="shared" ca="1" si="628"/>
        <v>-9.4272345438639604E-4</v>
      </c>
      <c r="AC1555">
        <f t="shared" ca="1" si="629"/>
        <v>1</v>
      </c>
      <c r="AD1555">
        <f ca="1">IF(V33="Supercritical",L1555,U1555)</f>
        <v>2.734008107117142</v>
      </c>
      <c r="AE1555">
        <f t="shared" ca="1" si="630"/>
        <v>637.00000810711708</v>
      </c>
      <c r="AF1555">
        <f t="shared" ca="1" si="631"/>
        <v>637.00000810711708</v>
      </c>
      <c r="AI1555">
        <v>0</v>
      </c>
      <c r="AJ1555">
        <v>0</v>
      </c>
      <c r="AK1555">
        <f t="shared" si="632"/>
        <v>0</v>
      </c>
      <c r="AL1555">
        <f t="shared" si="640"/>
        <v>0</v>
      </c>
      <c r="AM1555">
        <f t="shared" ca="1" si="633"/>
        <v>0</v>
      </c>
      <c r="AN1555" t="str">
        <f t="shared" ca="1" si="634"/>
        <v>Subcritical</v>
      </c>
      <c r="AO1555">
        <f ca="1">IF(V33="Supercritical",R1555,AA1555)</f>
        <v>0</v>
      </c>
    </row>
    <row r="1556" spans="1:41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174</v>
      </c>
      <c r="I1556">
        <v>0.151</v>
      </c>
      <c r="J1556">
        <f t="shared" si="635"/>
        <v>1.0010000000000012</v>
      </c>
      <c r="K1556">
        <f t="shared" si="636"/>
        <v>0</v>
      </c>
      <c r="L1556">
        <f t="shared" ca="1" si="637"/>
        <v>38818.068713766719</v>
      </c>
      <c r="M1556">
        <f t="shared" ca="1" si="615"/>
        <v>232675.50387031771</v>
      </c>
      <c r="N1556">
        <f t="shared" ca="1" si="616"/>
        <v>2.9967686305402785</v>
      </c>
      <c r="O1556">
        <f t="shared" ca="1" si="617"/>
        <v>0</v>
      </c>
      <c r="P1556">
        <f t="shared" ca="1" si="618"/>
        <v>39452.332713766722</v>
      </c>
      <c r="Q1556">
        <f t="shared" ca="1" si="619"/>
        <v>39452.332713766722</v>
      </c>
      <c r="R1556">
        <f t="shared" ca="1" si="620"/>
        <v>0</v>
      </c>
      <c r="S1556">
        <f t="shared" ca="1" si="638"/>
        <v>9.7745230596046895E-4</v>
      </c>
      <c r="T1556">
        <f t="shared" ca="1" si="639"/>
        <v>1</v>
      </c>
      <c r="U1556">
        <f t="shared" ca="1" si="621"/>
        <v>2.7350653836626573</v>
      </c>
      <c r="V1556">
        <f t="shared" ca="1" si="622"/>
        <v>16.393981909673968</v>
      </c>
      <c r="W1556">
        <f t="shared" ca="1" si="623"/>
        <v>1.4300239802218195</v>
      </c>
      <c r="X1556">
        <f t="shared" ca="1" si="624"/>
        <v>0</v>
      </c>
      <c r="Y1556">
        <f t="shared" ca="1" si="625"/>
        <v>636.9990653836627</v>
      </c>
      <c r="Z1556">
        <f t="shared" ca="1" si="626"/>
        <v>636.9990653836627</v>
      </c>
      <c r="AA1556">
        <f t="shared" ca="1" si="627"/>
        <v>0</v>
      </c>
      <c r="AB1556">
        <f t="shared" ca="1" si="628"/>
        <v>9.3461633730385074E-4</v>
      </c>
      <c r="AC1556">
        <f t="shared" ca="1" si="629"/>
        <v>1</v>
      </c>
      <c r="AD1556">
        <f ca="1">IF(V33="Supercritical",L1556,U1556)</f>
        <v>2.7350653836626573</v>
      </c>
      <c r="AE1556">
        <f t="shared" ca="1" si="630"/>
        <v>636.9990653836627</v>
      </c>
      <c r="AF1556">
        <f t="shared" ca="1" si="631"/>
        <v>636.9990653836627</v>
      </c>
      <c r="AI1556">
        <v>0</v>
      </c>
      <c r="AJ1556">
        <v>0</v>
      </c>
      <c r="AK1556">
        <f t="shared" si="632"/>
        <v>0</v>
      </c>
      <c r="AL1556">
        <f t="shared" si="640"/>
        <v>0</v>
      </c>
      <c r="AM1556">
        <f t="shared" ca="1" si="633"/>
        <v>0</v>
      </c>
      <c r="AN1556" t="str">
        <f t="shared" ca="1" si="634"/>
        <v>Subcritical</v>
      </c>
      <c r="AO1556">
        <f ca="1">IF(V33="Supercritical",R1556,AA1556)</f>
        <v>0</v>
      </c>
    </row>
    <row r="1557" spans="1:41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174</v>
      </c>
      <c r="I1557">
        <v>0</v>
      </c>
      <c r="J1557">
        <f t="shared" si="635"/>
        <v>0.25399999999999778</v>
      </c>
      <c r="K1557">
        <f t="shared" si="636"/>
        <v>0</v>
      </c>
      <c r="L1557">
        <f t="shared" ca="1" si="637"/>
        <v>38818.069736314414</v>
      </c>
      <c r="M1557">
        <f t="shared" ca="1" si="615"/>
        <v>232675.50999946857</v>
      </c>
      <c r="N1557">
        <f t="shared" ca="1" si="616"/>
        <v>2.9967686305463723</v>
      </c>
      <c r="O1557">
        <f t="shared" ca="1" si="617"/>
        <v>0</v>
      </c>
      <c r="P1557">
        <f t="shared" ca="1" si="618"/>
        <v>39452.331736314416</v>
      </c>
      <c r="Q1557">
        <f t="shared" ca="1" si="619"/>
        <v>39452.331736314416</v>
      </c>
      <c r="R1557">
        <f t="shared" ca="1" si="620"/>
        <v>0</v>
      </c>
      <c r="S1557">
        <f t="shared" ca="1" si="638"/>
        <v>9.7745230596046895E-4</v>
      </c>
      <c r="T1557">
        <f t="shared" ca="1" si="639"/>
        <v>1</v>
      </c>
      <c r="U1557">
        <f>MAX($D$16,(P6)-E1557)</f>
        <v>2.7380000000000564</v>
      </c>
      <c r="V1557">
        <f t="shared" si="622"/>
        <v>16.411572000000337</v>
      </c>
      <c r="W1557">
        <f t="shared" si="623"/>
        <v>1.4308258064516282</v>
      </c>
      <c r="X1557">
        <f t="shared" si="624"/>
        <v>0</v>
      </c>
      <c r="Y1557">
        <f t="shared" si="625"/>
        <v>637</v>
      </c>
      <c r="Z1557">
        <f t="shared" si="626"/>
        <v>637</v>
      </c>
      <c r="AA1557">
        <f t="shared" si="627"/>
        <v>0</v>
      </c>
      <c r="AB1557">
        <v>0</v>
      </c>
      <c r="AC1557">
        <v>1</v>
      </c>
      <c r="AD1557">
        <f>IF(V33="Supercritical",L1557,U1557)</f>
        <v>2.7380000000000564</v>
      </c>
      <c r="AE1557">
        <f t="shared" si="630"/>
        <v>637</v>
      </c>
      <c r="AF1557">
        <f t="shared" si="631"/>
        <v>637</v>
      </c>
      <c r="AI1557">
        <v>0</v>
      </c>
      <c r="AJ1557">
        <v>0</v>
      </c>
      <c r="AK1557">
        <f t="shared" si="632"/>
        <v>0</v>
      </c>
      <c r="AL1557">
        <f t="shared" si="640"/>
        <v>0</v>
      </c>
      <c r="AM1557">
        <f t="shared" si="633"/>
        <v>0</v>
      </c>
      <c r="AN1557" t="str">
        <f t="shared" si="634"/>
        <v>Subcritical</v>
      </c>
      <c r="AO1557">
        <f>IF(V33="Supercritical",R1557,AA1557)</f>
        <v>0</v>
      </c>
    </row>
    <row r="1560" spans="1:41" x14ac:dyDescent="0.35">
      <c r="A1560" t="s">
        <v>178</v>
      </c>
      <c r="E1560">
        <f>E34</f>
        <v>38</v>
      </c>
      <c r="F1560" t="s">
        <v>129</v>
      </c>
      <c r="H1560">
        <f>N34</f>
        <v>0</v>
      </c>
      <c r="I1560" t="s">
        <v>13</v>
      </c>
      <c r="K1560" t="str">
        <f>V34</f>
        <v>Subcritical</v>
      </c>
      <c r="L1560" t="s">
        <v>130</v>
      </c>
    </row>
    <row r="1561" spans="1:41" x14ac:dyDescent="0.35">
      <c r="A1561" t="s">
        <v>131</v>
      </c>
      <c r="B1561" t="s">
        <v>132</v>
      </c>
      <c r="C1561" t="s">
        <v>133</v>
      </c>
      <c r="D1561" t="s">
        <v>134</v>
      </c>
      <c r="E1561" t="s">
        <v>135</v>
      </c>
      <c r="F1561" t="s">
        <v>136</v>
      </c>
      <c r="G1561" t="s">
        <v>137</v>
      </c>
      <c r="H1561" t="s">
        <v>9</v>
      </c>
      <c r="I1561" t="s">
        <v>138</v>
      </c>
      <c r="J1561" t="s">
        <v>139</v>
      </c>
      <c r="K1561" t="s">
        <v>140</v>
      </c>
      <c r="L1561" t="s">
        <v>141</v>
      </c>
      <c r="M1561" t="s">
        <v>142</v>
      </c>
      <c r="N1561" t="s">
        <v>143</v>
      </c>
      <c r="O1561" t="s">
        <v>144</v>
      </c>
      <c r="P1561" t="s">
        <v>145</v>
      </c>
      <c r="Q1561" t="s">
        <v>146</v>
      </c>
      <c r="R1561" t="s">
        <v>147</v>
      </c>
      <c r="S1561" t="s">
        <v>148</v>
      </c>
      <c r="T1561" t="s">
        <v>149</v>
      </c>
      <c r="U1561" t="s">
        <v>150</v>
      </c>
      <c r="V1561" t="s">
        <v>151</v>
      </c>
      <c r="W1561" t="s">
        <v>152</v>
      </c>
      <c r="X1561" t="s">
        <v>153</v>
      </c>
      <c r="Y1561" t="s">
        <v>154</v>
      </c>
      <c r="Z1561" t="s">
        <v>155</v>
      </c>
      <c r="AA1561" t="s">
        <v>156</v>
      </c>
      <c r="AB1561" t="s">
        <v>157</v>
      </c>
      <c r="AC1561" t="s">
        <v>158</v>
      </c>
      <c r="AD1561" t="s">
        <v>159</v>
      </c>
      <c r="AE1561" t="s">
        <v>160</v>
      </c>
      <c r="AF1561" t="s">
        <v>161</v>
      </c>
      <c r="AG1561" t="s">
        <v>162</v>
      </c>
      <c r="AH1561" t="s">
        <v>163</v>
      </c>
      <c r="AI1561" t="s">
        <v>164</v>
      </c>
      <c r="AJ1561" t="s">
        <v>165</v>
      </c>
      <c r="AK1561" t="s">
        <v>166</v>
      </c>
      <c r="AL1561" t="s">
        <v>167</v>
      </c>
      <c r="AM1561" t="s">
        <v>168</v>
      </c>
      <c r="AN1561" t="s">
        <v>169</v>
      </c>
      <c r="AO1561" t="s">
        <v>170</v>
      </c>
    </row>
    <row r="1562" spans="1:41" x14ac:dyDescent="0.35">
      <c r="A1562" t="s">
        <v>22</v>
      </c>
      <c r="B1562" t="s">
        <v>52</v>
      </c>
      <c r="C1562" t="s">
        <v>52</v>
      </c>
      <c r="D1562" t="s">
        <v>52</v>
      </c>
      <c r="E1562" t="s">
        <v>52</v>
      </c>
      <c r="F1562" t="s">
        <v>52</v>
      </c>
      <c r="G1562" t="s">
        <v>22</v>
      </c>
      <c r="H1562" t="s">
        <v>22</v>
      </c>
      <c r="I1562" t="s">
        <v>171</v>
      </c>
      <c r="J1562" t="s">
        <v>52</v>
      </c>
      <c r="K1562" t="s">
        <v>13</v>
      </c>
      <c r="L1562" t="s">
        <v>52</v>
      </c>
      <c r="M1562" t="s">
        <v>172</v>
      </c>
      <c r="N1562" t="s">
        <v>52</v>
      </c>
      <c r="O1562" t="s">
        <v>173</v>
      </c>
      <c r="P1562" t="s">
        <v>52</v>
      </c>
      <c r="Q1562" t="s">
        <v>52</v>
      </c>
      <c r="R1562" t="s">
        <v>22</v>
      </c>
      <c r="S1562" t="s">
        <v>52</v>
      </c>
      <c r="T1562" t="s">
        <v>22</v>
      </c>
      <c r="U1562" t="s">
        <v>52</v>
      </c>
      <c r="V1562" t="s">
        <v>172</v>
      </c>
      <c r="W1562" t="s">
        <v>52</v>
      </c>
      <c r="X1562" t="s">
        <v>173</v>
      </c>
      <c r="Y1562" t="s">
        <v>52</v>
      </c>
      <c r="Z1562" t="s">
        <v>52</v>
      </c>
      <c r="AA1562" t="s">
        <v>22</v>
      </c>
      <c r="AB1562" t="s">
        <v>52</v>
      </c>
      <c r="AC1562" t="s">
        <v>22</v>
      </c>
      <c r="AD1562" t="s">
        <v>52</v>
      </c>
      <c r="AE1562" t="s">
        <v>52</v>
      </c>
      <c r="AF1562" t="s">
        <v>52</v>
      </c>
      <c r="AG1562" t="s">
        <v>52</v>
      </c>
      <c r="AH1562" t="s">
        <v>52</v>
      </c>
      <c r="AI1562" t="s">
        <v>13</v>
      </c>
      <c r="AJ1562" t="s">
        <v>13</v>
      </c>
      <c r="AK1562" t="s">
        <v>13</v>
      </c>
      <c r="AL1562" t="s">
        <v>13</v>
      </c>
      <c r="AM1562" t="s">
        <v>22</v>
      </c>
      <c r="AN1562" t="s">
        <v>22</v>
      </c>
      <c r="AO1562" t="s">
        <v>22</v>
      </c>
    </row>
    <row r="1563" spans="1:41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175</v>
      </c>
      <c r="I1563">
        <v>0</v>
      </c>
      <c r="J1563">
        <v>0</v>
      </c>
      <c r="K1563">
        <f>N34</f>
        <v>0</v>
      </c>
      <c r="L1563">
        <f>MAX($D$16,($I$14)-E1563)</f>
        <v>0.05</v>
      </c>
      <c r="M1563">
        <f t="shared" ref="M1563:M1601" si="641">((F1563)+(G1563)*(L1563))*(L1563)</f>
        <v>0.51029999999999998</v>
      </c>
      <c r="N1563">
        <f t="shared" ref="N1563:N1601" si="642">(((F1563)+(G1563)*(L1563))*(L1563))/MAX((F1563)+2*(L1563)*SQRT(1+(G1563)^2),0.000001)</f>
        <v>4.9514845720939261E-2</v>
      </c>
      <c r="O1563">
        <f t="shared" ref="O1563:O1601" si="643">ABS(K1563)/MAX(((F1563)+(G1563)*(L1563))*(L1563),0.000001)</f>
        <v>0</v>
      </c>
      <c r="P1563">
        <f t="shared" ref="P1563:P1601" si="644">E1563+L1563</f>
        <v>631.92499999999995</v>
      </c>
      <c r="Q1563">
        <f t="shared" ref="Q1563:Q1601" si="645">P1563+((ABS(K1563)/MAX(((F1563)+(G1563)*(L1563))*(L1563),0.000001))^2)/(2*$I$5)</f>
        <v>631.92499999999995</v>
      </c>
      <c r="R1563">
        <f t="shared" ref="R1563:R1601" si="646">((ABS(K1563)*$D$6)/(MAX(((F1563)+(G1563)*(L1563))*(L1563),0.000001)*MAX(((((F1563)+(G1563)*(L1563))*(L1563))/MAX((F1563)+2*(L1563)*SQRT(1+(G1563)^2),0.000001))^(2/3),0.000001)))^2</f>
        <v>0</v>
      </c>
      <c r="S1563">
        <v>0</v>
      </c>
      <c r="T1563">
        <v>1</v>
      </c>
      <c r="U1563">
        <f t="shared" ref="U1563:U1600" ca="1" si="647">IF($D$20=0,U1564,IF(AC1564=0,U1564,IF(U1563=0,U1564,IF(ABS(AB1563)&gt;$D$19,MAX($D$16,U1563+((AB1563)*$D$18*IF((ABS(ABS(K1563)/MAX(((F1563)+(G1563)*(U1563))*(U1563),0.000001))/SQRT($I$5*MAX((((F1563)+(G1563)*(U1563))*(U1563))/MAX((F1563)+2*(G1563)*(U1563),0.000001),0.000001)))&lt;1,1,-1))),U1563))))</f>
        <v>3.6535530571023238</v>
      </c>
      <c r="V1563">
        <f t="shared" ref="V1563:V1601" ca="1" si="648">((F1563)+(G1563)*(U1563))*(U1563)</f>
        <v>37.288162500786314</v>
      </c>
      <c r="W1563">
        <f t="shared" ref="W1563:W1601" ca="1" si="649">(((F1563)+(G1563)*(U1563))*(U1563))/MAX((F1563)+2*(U1563)*SQRT(1+(G1563)^2),0.000001)</f>
        <v>2.1291575724846652</v>
      </c>
      <c r="X1563">
        <f t="shared" ref="X1563:X1601" ca="1" si="650">ABS(K1563)/MAX(((F1563)+(G1563)*(U1563))*(U1563),0.000001)</f>
        <v>0</v>
      </c>
      <c r="Y1563">
        <f t="shared" ref="Y1563:Y1601" ca="1" si="651">E1563+U1563</f>
        <v>635.52855305710227</v>
      </c>
      <c r="Z1563">
        <f t="shared" ref="Z1563:Z1601" ca="1" si="652">Y1563+((ABS(K1563)/MAX(((F1563)+(G1563)*(U1563))*(U1563),0.000001))^2)/(2*$I$5)</f>
        <v>635.52855305710227</v>
      </c>
      <c r="AA1563">
        <f t="shared" ref="AA1563:AA1601" ca="1" si="653">((ABS(K1563)*$D$6)/(MAX(((F1563)+(G1563)*(U1563))*(U1563),0.000001)*MAX(((((F1563)+(G1563)*(U1563))*(U1563))/MAX((F1563)+2*(U1563)*SQRT(1+(G1563)^2),0.000001))^(2/3),0.000001)))^2</f>
        <v>0</v>
      </c>
      <c r="AB1563">
        <f t="shared" ref="AB1563:AB1600" ca="1" si="654">Z1564+(((AA1563+AA1564)/2)*J1564)+(IF(X1563&gt;X1564,$D$8*((X1563^2-X1564^2)/(2*$I$5)),$D$9*((X1564^2-X1563^2)/(2*$I$5)))+($D$10*(ABS(I1564)/90)*(MAX(X1563^2,X1564^2)/(2*$I$5))))-Z1563</f>
        <v>-8.8821504425595776E-4</v>
      </c>
      <c r="AC1563">
        <f t="shared" ref="AC1563:AC1600" ca="1" si="655">IF(ABS(AB1563)&lt;$D$19,1,0)</f>
        <v>1</v>
      </c>
      <c r="AD1563">
        <f ca="1">IF(V34="Supercritical",L1563,U1563)</f>
        <v>3.6535530571023238</v>
      </c>
      <c r="AE1563">
        <f t="shared" ref="AE1563:AE1601" ca="1" si="656">E1563+AD1563</f>
        <v>635.52855305710227</v>
      </c>
      <c r="AF1563">
        <f t="shared" ref="AF1563:AF1601" ca="1" si="657">AE1563+((ABS(K1563)/MAX(((F1563)+(G1563)*(AD1563))*(AD1563),0.000001))^2)/(2*$I$5)</f>
        <v>635.52855305710227</v>
      </c>
      <c r="AI1563">
        <v>0</v>
      </c>
      <c r="AJ1563">
        <v>0</v>
      </c>
      <c r="AK1563">
        <f t="shared" ref="AK1563:AK1601" si="658">AI1563+AJ1563</f>
        <v>0</v>
      </c>
      <c r="AL1563">
        <f>AK1563</f>
        <v>0</v>
      </c>
      <c r="AM1563">
        <f t="shared" ref="AM1563:AM1601" ca="1" si="659">ABS(ABS(K1563)/MAX(((F1563)+(G1563)*(AD1563))*(AD1563),0.000001))/SQRT($I$5*MAX((((F1563)+(G1563)*(AD1563))*(AD1563))/MAX((F1563)+2*(G1563)*(AD1563),0.000001),0.000001))</f>
        <v>0</v>
      </c>
      <c r="AN1563" t="str">
        <f t="shared" ref="AN1563:AN1601" ca="1" si="660">IF(AM1563&lt;1,"Subcritical","Supercritical")</f>
        <v>Subcritical</v>
      </c>
      <c r="AO1563">
        <f ca="1">IF(V34="Supercritical",R1563,AA1563)</f>
        <v>0</v>
      </c>
    </row>
    <row r="1564" spans="1:41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175</v>
      </c>
      <c r="I1564">
        <v>0</v>
      </c>
      <c r="J1564">
        <f t="shared" ref="J1564:J1601" si="661">B1564-B1563</f>
        <v>1</v>
      </c>
      <c r="K1564">
        <f t="shared" ref="K1564:K1601" si="662">MAX(0,K1563-AK1563)</f>
        <v>0</v>
      </c>
      <c r="L1564">
        <f t="shared" ref="L1564:L1601" ca="1" si="663">IF($D$20=0,L1563,IF(T1563=0,L1563,IF(L1564=0,L1563,IF(ABS(S1564)&gt;$D$19,MAX($D$16,L1564+((S1564)*$D$18*IF((ABS(ABS(K1564)/MAX(((F1564)+(G1564)*(L1564))*(L1564),0.000001))/SQRT($I$5*MAX((((F1564)+(G1564)*(L1564))*(L1564))/MAX((F1564)+2*(G1564)*(L1564),0.000001),0.000001)))&lt;1,1,-1))),L1564))))</f>
        <v>0.27191251982404208</v>
      </c>
      <c r="M1564">
        <f t="shared" ca="1" si="641"/>
        <v>3.297211215386334</v>
      </c>
      <c r="N1564">
        <f t="shared" ca="1" si="642"/>
        <v>0.26024125866523545</v>
      </c>
      <c r="O1564">
        <f t="shared" ca="1" si="643"/>
        <v>0</v>
      </c>
      <c r="P1564">
        <f t="shared" ca="1" si="644"/>
        <v>631.92411251982401</v>
      </c>
      <c r="Q1564">
        <f t="shared" ca="1" si="645"/>
        <v>631.92411251982401</v>
      </c>
      <c r="R1564">
        <f t="shared" ca="1" si="646"/>
        <v>0</v>
      </c>
      <c r="S1564">
        <f t="shared" ref="S1564:S1601" ca="1" si="664">Q1563-(((R1563+R1564)/2)*J1564)-(IF(O1563&gt;O1564,$D$8*((O1563^2-O1564^2)/(2*$I$5)),$D$9*((O1564^2-O1563^2)/(2*$I$5)))+($D$10*(ABS(I1564)/90)*(MAX(O1563^2,O1564^2)/(2*$I$5))))-Q1564</f>
        <v>8.8748017594753037E-4</v>
      </c>
      <c r="T1564">
        <f t="shared" ref="T1564:T1601" ca="1" si="665">IF(ABS(S1564)&lt;$D$19,1,0)</f>
        <v>1</v>
      </c>
      <c r="U1564">
        <f t="shared" ca="1" si="647"/>
        <v>3.8754648420580118</v>
      </c>
      <c r="V1564">
        <f t="shared" ca="1" si="648"/>
        <v>46.993886674795448</v>
      </c>
      <c r="W1564">
        <f t="shared" ca="1" si="649"/>
        <v>2.3642427387741392</v>
      </c>
      <c r="X1564">
        <f t="shared" ca="1" si="650"/>
        <v>0</v>
      </c>
      <c r="Y1564">
        <f t="shared" ca="1" si="651"/>
        <v>635.52766484205802</v>
      </c>
      <c r="Z1564">
        <f t="shared" ca="1" si="652"/>
        <v>635.52766484205802</v>
      </c>
      <c r="AA1564">
        <f t="shared" ca="1" si="653"/>
        <v>0</v>
      </c>
      <c r="AB1564">
        <f t="shared" ca="1" si="654"/>
        <v>-8.8861304561760335E-4</v>
      </c>
      <c r="AC1564">
        <f t="shared" ca="1" si="655"/>
        <v>1</v>
      </c>
      <c r="AD1564">
        <f ca="1">IF(V34="Supercritical",L1564,U1564)</f>
        <v>3.8754648420580118</v>
      </c>
      <c r="AE1564">
        <f t="shared" ca="1" si="656"/>
        <v>635.52766484205802</v>
      </c>
      <c r="AF1564">
        <f t="shared" ca="1" si="657"/>
        <v>635.52766484205802</v>
      </c>
      <c r="AI1564">
        <v>0</v>
      </c>
      <c r="AJ1564">
        <v>0</v>
      </c>
      <c r="AK1564">
        <f t="shared" si="658"/>
        <v>0</v>
      </c>
      <c r="AL1564">
        <f t="shared" ref="AL1564:AL1601" si="666">AL1563+AK1564</f>
        <v>0</v>
      </c>
      <c r="AM1564">
        <f t="shared" ca="1" si="659"/>
        <v>0</v>
      </c>
      <c r="AN1564" t="str">
        <f t="shared" ca="1" si="660"/>
        <v>Subcritical</v>
      </c>
      <c r="AO1564">
        <f ca="1">IF(V34="Supercritical",R1564,AA1564)</f>
        <v>0</v>
      </c>
    </row>
    <row r="1565" spans="1:41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175</v>
      </c>
      <c r="I1565">
        <v>0</v>
      </c>
      <c r="J1565">
        <f t="shared" si="661"/>
        <v>1</v>
      </c>
      <c r="K1565">
        <f t="shared" si="662"/>
        <v>0</v>
      </c>
      <c r="L1565">
        <f t="shared" ca="1" si="663"/>
        <v>0.49392390738611891</v>
      </c>
      <c r="M1565">
        <f t="shared" ca="1" si="641"/>
        <v>6.7390977923762065</v>
      </c>
      <c r="N1565">
        <f t="shared" ca="1" si="642"/>
        <v>0.46057735685115919</v>
      </c>
      <c r="O1565">
        <f t="shared" ca="1" si="643"/>
        <v>0</v>
      </c>
      <c r="P1565">
        <f t="shared" ca="1" si="644"/>
        <v>631.92322390738616</v>
      </c>
      <c r="Q1565">
        <f t="shared" ca="1" si="645"/>
        <v>631.92322390738616</v>
      </c>
      <c r="R1565">
        <f t="shared" ca="1" si="646"/>
        <v>0</v>
      </c>
      <c r="S1565">
        <f t="shared" ca="1" si="664"/>
        <v>8.8861243784776889E-4</v>
      </c>
      <c r="T1565">
        <f t="shared" ca="1" si="665"/>
        <v>1</v>
      </c>
      <c r="U1565">
        <f t="shared" ca="1" si="647"/>
        <v>4.0974762290124396</v>
      </c>
      <c r="V1565">
        <f t="shared" ca="1" si="648"/>
        <v>55.905965668645727</v>
      </c>
      <c r="W1565">
        <f t="shared" ca="1" si="649"/>
        <v>2.5599197478037774</v>
      </c>
      <c r="X1565">
        <f t="shared" ca="1" si="650"/>
        <v>0</v>
      </c>
      <c r="Y1565">
        <f t="shared" ca="1" si="651"/>
        <v>635.5267762290124</v>
      </c>
      <c r="Z1565">
        <f t="shared" ca="1" si="652"/>
        <v>635.5267762290124</v>
      </c>
      <c r="AA1565">
        <f t="shared" ca="1" si="653"/>
        <v>0</v>
      </c>
      <c r="AB1565">
        <f t="shared" ca="1" si="654"/>
        <v>-8.8821504425595776E-4</v>
      </c>
      <c r="AC1565">
        <f t="shared" ca="1" si="655"/>
        <v>1</v>
      </c>
      <c r="AD1565">
        <f ca="1">IF(V34="Supercritical",L1565,U1565)</f>
        <v>4.0974762290124396</v>
      </c>
      <c r="AE1565">
        <f t="shared" ca="1" si="656"/>
        <v>635.5267762290124</v>
      </c>
      <c r="AF1565">
        <f t="shared" ca="1" si="657"/>
        <v>635.5267762290124</v>
      </c>
      <c r="AI1565">
        <v>0</v>
      </c>
      <c r="AJ1565">
        <v>0</v>
      </c>
      <c r="AK1565">
        <f t="shared" si="658"/>
        <v>0</v>
      </c>
      <c r="AL1565">
        <f t="shared" si="666"/>
        <v>0</v>
      </c>
      <c r="AM1565">
        <f t="shared" ca="1" si="659"/>
        <v>0</v>
      </c>
      <c r="AN1565" t="str">
        <f t="shared" ca="1" si="660"/>
        <v>Subcritical</v>
      </c>
      <c r="AO1565">
        <f ca="1">IF(V34="Supercritical",R1565,AA1565)</f>
        <v>0</v>
      </c>
    </row>
    <row r="1566" spans="1:41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175</v>
      </c>
      <c r="I1566">
        <v>0</v>
      </c>
      <c r="J1566">
        <f t="shared" si="661"/>
        <v>1</v>
      </c>
      <c r="K1566">
        <f t="shared" si="662"/>
        <v>0</v>
      </c>
      <c r="L1566">
        <f t="shared" ca="1" si="663"/>
        <v>0.71583569234235256</v>
      </c>
      <c r="M1566">
        <f t="shared" ca="1" si="641"/>
        <v>10.737535385135288</v>
      </c>
      <c r="N1566">
        <f t="shared" ca="1" si="642"/>
        <v>0.65346580598875104</v>
      </c>
      <c r="O1566">
        <f t="shared" ca="1" si="643"/>
        <v>0</v>
      </c>
      <c r="P1566">
        <f t="shared" ca="1" si="644"/>
        <v>631.92233569234236</v>
      </c>
      <c r="Q1566">
        <f t="shared" ca="1" si="645"/>
        <v>631.92233569234236</v>
      </c>
      <c r="R1566">
        <f t="shared" ca="1" si="646"/>
        <v>0</v>
      </c>
      <c r="S1566">
        <f t="shared" ca="1" si="664"/>
        <v>8.8821504380121041E-4</v>
      </c>
      <c r="T1566">
        <f t="shared" ca="1" si="665"/>
        <v>1</v>
      </c>
      <c r="U1566">
        <f t="shared" ca="1" si="647"/>
        <v>4.3193880139681289</v>
      </c>
      <c r="V1566">
        <f t="shared" ca="1" si="648"/>
        <v>64.790820209521939</v>
      </c>
      <c r="W1566">
        <f t="shared" ca="1" si="649"/>
        <v>2.7408703451038359</v>
      </c>
      <c r="X1566">
        <f t="shared" ca="1" si="650"/>
        <v>0</v>
      </c>
      <c r="Y1566">
        <f t="shared" ca="1" si="651"/>
        <v>635.52588801396814</v>
      </c>
      <c r="Z1566">
        <f t="shared" ca="1" si="652"/>
        <v>635.52588801396814</v>
      </c>
      <c r="AA1566">
        <f t="shared" ca="1" si="653"/>
        <v>0</v>
      </c>
      <c r="AB1566">
        <f t="shared" ca="1" si="654"/>
        <v>-8.8861304561760335E-4</v>
      </c>
      <c r="AC1566">
        <f t="shared" ca="1" si="655"/>
        <v>1</v>
      </c>
      <c r="AD1566">
        <f ca="1">IF(V34="Supercritical",L1566,U1566)</f>
        <v>4.3193880139681289</v>
      </c>
      <c r="AE1566">
        <f t="shared" ca="1" si="656"/>
        <v>635.52588801396814</v>
      </c>
      <c r="AF1566">
        <f t="shared" ca="1" si="657"/>
        <v>635.52588801396814</v>
      </c>
      <c r="AI1566">
        <v>0</v>
      </c>
      <c r="AJ1566">
        <v>0</v>
      </c>
      <c r="AK1566">
        <f t="shared" si="658"/>
        <v>0</v>
      </c>
      <c r="AL1566">
        <f t="shared" si="666"/>
        <v>0</v>
      </c>
      <c r="AM1566">
        <f t="shared" ca="1" si="659"/>
        <v>0</v>
      </c>
      <c r="AN1566" t="str">
        <f t="shared" ca="1" si="660"/>
        <v>Subcritical</v>
      </c>
      <c r="AO1566">
        <f ca="1">IF(V34="Supercritical",R1566,AA1566)</f>
        <v>0</v>
      </c>
    </row>
    <row r="1567" spans="1:41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175</v>
      </c>
      <c r="I1567">
        <v>0</v>
      </c>
      <c r="J1567">
        <f t="shared" si="661"/>
        <v>1</v>
      </c>
      <c r="K1567">
        <f t="shared" si="662"/>
        <v>0</v>
      </c>
      <c r="L1567">
        <f t="shared" ca="1" si="663"/>
        <v>0.93784707929672784</v>
      </c>
      <c r="M1567">
        <f t="shared" ca="1" si="641"/>
        <v>15.943400348044372</v>
      </c>
      <c r="N1567">
        <f t="shared" ca="1" si="642"/>
        <v>0.8446523986926272</v>
      </c>
      <c r="O1567">
        <f t="shared" ca="1" si="643"/>
        <v>0</v>
      </c>
      <c r="P1567">
        <f t="shared" ca="1" si="644"/>
        <v>631.92144707929674</v>
      </c>
      <c r="Q1567">
        <f t="shared" ca="1" si="645"/>
        <v>631.92144707929674</v>
      </c>
      <c r="R1567">
        <f t="shared" ca="1" si="646"/>
        <v>0</v>
      </c>
      <c r="S1567">
        <f t="shared" ca="1" si="664"/>
        <v>8.8861304561760335E-4</v>
      </c>
      <c r="T1567">
        <f t="shared" ca="1" si="665"/>
        <v>1</v>
      </c>
      <c r="U1567">
        <f t="shared" ca="1" si="647"/>
        <v>4.5413994009225531</v>
      </c>
      <c r="V1567">
        <f t="shared" ca="1" si="648"/>
        <v>77.203789815683407</v>
      </c>
      <c r="W1567">
        <f t="shared" ca="1" si="649"/>
        <v>2.9599503643076055</v>
      </c>
      <c r="X1567">
        <f t="shared" ca="1" si="650"/>
        <v>0</v>
      </c>
      <c r="Y1567">
        <f t="shared" ca="1" si="651"/>
        <v>635.52499940092252</v>
      </c>
      <c r="Z1567">
        <f t="shared" ca="1" si="652"/>
        <v>635.52499940092252</v>
      </c>
      <c r="AA1567">
        <f t="shared" ca="1" si="653"/>
        <v>0</v>
      </c>
      <c r="AB1567">
        <f t="shared" ca="1" si="654"/>
        <v>-8.8821504425595776E-4</v>
      </c>
      <c r="AC1567">
        <f t="shared" ca="1" si="655"/>
        <v>1</v>
      </c>
      <c r="AD1567">
        <f ca="1">IF(V34="Supercritical",L1567,U1567)</f>
        <v>4.5413994009225531</v>
      </c>
      <c r="AE1567">
        <f t="shared" ca="1" si="656"/>
        <v>635.52499940092252</v>
      </c>
      <c r="AF1567">
        <f t="shared" ca="1" si="657"/>
        <v>635.52499940092252</v>
      </c>
      <c r="AI1567">
        <v>0</v>
      </c>
      <c r="AJ1567">
        <v>0</v>
      </c>
      <c r="AK1567">
        <f t="shared" si="658"/>
        <v>0</v>
      </c>
      <c r="AL1567">
        <f t="shared" si="666"/>
        <v>0</v>
      </c>
      <c r="AM1567">
        <f t="shared" ca="1" si="659"/>
        <v>0</v>
      </c>
      <c r="AN1567" t="str">
        <f t="shared" ca="1" si="660"/>
        <v>Subcritical</v>
      </c>
      <c r="AO1567">
        <f ca="1">IF(V34="Supercritical",R1567,AA1567)</f>
        <v>0</v>
      </c>
    </row>
    <row r="1568" spans="1:41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175</v>
      </c>
      <c r="I1568">
        <v>0</v>
      </c>
      <c r="J1568">
        <f t="shared" si="661"/>
        <v>1</v>
      </c>
      <c r="K1568">
        <f t="shared" si="662"/>
        <v>0</v>
      </c>
      <c r="L1568">
        <f t="shared" ca="1" si="663"/>
        <v>1.1597588642524157</v>
      </c>
      <c r="M1568">
        <f t="shared" ca="1" si="641"/>
        <v>22.035418420795899</v>
      </c>
      <c r="N1568">
        <f t="shared" ca="1" si="642"/>
        <v>1.0335795913119501</v>
      </c>
      <c r="O1568">
        <f t="shared" ca="1" si="643"/>
        <v>0</v>
      </c>
      <c r="P1568">
        <f t="shared" ca="1" si="644"/>
        <v>631.92055886425248</v>
      </c>
      <c r="Q1568">
        <f t="shared" ca="1" si="645"/>
        <v>631.92055886425248</v>
      </c>
      <c r="R1568">
        <f t="shared" ca="1" si="646"/>
        <v>0</v>
      </c>
      <c r="S1568">
        <f t="shared" ca="1" si="664"/>
        <v>8.8821504425595776E-4</v>
      </c>
      <c r="T1568">
        <f t="shared" ca="1" si="665"/>
        <v>1</v>
      </c>
      <c r="U1568">
        <f t="shared" ca="1" si="647"/>
        <v>4.7633111858782424</v>
      </c>
      <c r="V1568">
        <f t="shared" ca="1" si="648"/>
        <v>90.502912531686604</v>
      </c>
      <c r="W1568">
        <f t="shared" ca="1" si="649"/>
        <v>3.1725772281155633</v>
      </c>
      <c r="X1568">
        <f t="shared" ca="1" si="650"/>
        <v>0</v>
      </c>
      <c r="Y1568">
        <f t="shared" ca="1" si="651"/>
        <v>635.52411118587827</v>
      </c>
      <c r="Z1568">
        <f t="shared" ca="1" si="652"/>
        <v>635.52411118587827</v>
      </c>
      <c r="AA1568">
        <f t="shared" ca="1" si="653"/>
        <v>0</v>
      </c>
      <c r="AB1568">
        <f t="shared" ca="1" si="654"/>
        <v>-8.8861304561760335E-4</v>
      </c>
      <c r="AC1568">
        <f t="shared" ca="1" si="655"/>
        <v>1</v>
      </c>
      <c r="AD1568">
        <f ca="1">IF(V34="Supercritical",L1568,U1568)</f>
        <v>4.7633111858782424</v>
      </c>
      <c r="AE1568">
        <f t="shared" ca="1" si="656"/>
        <v>635.52411118587827</v>
      </c>
      <c r="AF1568">
        <f t="shared" ca="1" si="657"/>
        <v>635.52411118587827</v>
      </c>
      <c r="AI1568">
        <v>0</v>
      </c>
      <c r="AJ1568">
        <v>0</v>
      </c>
      <c r="AK1568">
        <f t="shared" si="658"/>
        <v>0</v>
      </c>
      <c r="AL1568">
        <f t="shared" si="666"/>
        <v>0</v>
      </c>
      <c r="AM1568">
        <f t="shared" ca="1" si="659"/>
        <v>0</v>
      </c>
      <c r="AN1568" t="str">
        <f t="shared" ca="1" si="660"/>
        <v>Subcritical</v>
      </c>
      <c r="AO1568">
        <f ca="1">IF(V34="Supercritical",R1568,AA1568)</f>
        <v>0</v>
      </c>
    </row>
    <row r="1569" spans="1:41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174</v>
      </c>
      <c r="I1569">
        <v>0</v>
      </c>
      <c r="J1569">
        <f t="shared" si="661"/>
        <v>1</v>
      </c>
      <c r="K1569">
        <f t="shared" si="662"/>
        <v>0</v>
      </c>
      <c r="L1569">
        <f t="shared" ca="1" si="663"/>
        <v>1.3817702512068424</v>
      </c>
      <c r="M1569">
        <f t="shared" ca="1" si="641"/>
        <v>16.416812354588494</v>
      </c>
      <c r="N1569">
        <f t="shared" ca="1" si="642"/>
        <v>1.1210192871454523</v>
      </c>
      <c r="O1569">
        <f t="shared" ca="1" si="643"/>
        <v>0</v>
      </c>
      <c r="P1569">
        <f t="shared" ca="1" si="644"/>
        <v>631.91967025120687</v>
      </c>
      <c r="Q1569">
        <f t="shared" ca="1" si="645"/>
        <v>631.91967025120687</v>
      </c>
      <c r="R1569">
        <f t="shared" ca="1" si="646"/>
        <v>0</v>
      </c>
      <c r="S1569">
        <f t="shared" ca="1" si="664"/>
        <v>8.8861304561760335E-4</v>
      </c>
      <c r="T1569">
        <f t="shared" ca="1" si="665"/>
        <v>1</v>
      </c>
      <c r="U1569">
        <f t="shared" ca="1" si="647"/>
        <v>4.9853225728326667</v>
      </c>
      <c r="V1569">
        <f t="shared" ca="1" si="648"/>
        <v>59.230617487824915</v>
      </c>
      <c r="W1569">
        <f t="shared" ca="1" si="649"/>
        <v>2.7105793221969088</v>
      </c>
      <c r="X1569">
        <f t="shared" ca="1" si="650"/>
        <v>0</v>
      </c>
      <c r="Y1569">
        <f t="shared" ca="1" si="651"/>
        <v>635.52322257283265</v>
      </c>
      <c r="Z1569">
        <f t="shared" ca="1" si="652"/>
        <v>635.52322257283265</v>
      </c>
      <c r="AA1569">
        <f t="shared" ca="1" si="653"/>
        <v>0</v>
      </c>
      <c r="AB1569">
        <f t="shared" ca="1" si="654"/>
        <v>-8.8821504425595776E-4</v>
      </c>
      <c r="AC1569">
        <f t="shared" ca="1" si="655"/>
        <v>1</v>
      </c>
      <c r="AD1569">
        <f ca="1">IF(V34="Supercritical",L1569,U1569)</f>
        <v>4.9853225728326667</v>
      </c>
      <c r="AE1569">
        <f t="shared" ca="1" si="656"/>
        <v>635.52322257283265</v>
      </c>
      <c r="AF1569">
        <f t="shared" ca="1" si="657"/>
        <v>635.52322257283265</v>
      </c>
      <c r="AI1569">
        <v>0</v>
      </c>
      <c r="AJ1569">
        <v>0</v>
      </c>
      <c r="AK1569">
        <f t="shared" si="658"/>
        <v>0</v>
      </c>
      <c r="AL1569">
        <f t="shared" si="666"/>
        <v>0</v>
      </c>
      <c r="AM1569">
        <f t="shared" ca="1" si="659"/>
        <v>0</v>
      </c>
      <c r="AN1569" t="str">
        <f t="shared" ca="1" si="660"/>
        <v>Subcritical</v>
      </c>
      <c r="AO1569">
        <f ca="1">IF(V34="Supercritical",R1569,AA1569)</f>
        <v>0</v>
      </c>
    </row>
    <row r="1570" spans="1:41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174</v>
      </c>
      <c r="I1570">
        <v>0</v>
      </c>
      <c r="J1570">
        <f t="shared" si="661"/>
        <v>1</v>
      </c>
      <c r="K1570">
        <f t="shared" si="662"/>
        <v>0</v>
      </c>
      <c r="L1570">
        <f t="shared" ca="1" si="663"/>
        <v>1.6036820361625301</v>
      </c>
      <c r="M1570">
        <f t="shared" ca="1" si="641"/>
        <v>19.244184433950362</v>
      </c>
      <c r="N1570">
        <f t="shared" ca="1" si="642"/>
        <v>1.2654516813319188</v>
      </c>
      <c r="O1570">
        <f t="shared" ca="1" si="643"/>
        <v>0</v>
      </c>
      <c r="P1570">
        <f t="shared" ca="1" si="644"/>
        <v>631.91878203616261</v>
      </c>
      <c r="Q1570">
        <f t="shared" ca="1" si="645"/>
        <v>631.91878203616261</v>
      </c>
      <c r="R1570">
        <f t="shared" ca="1" si="646"/>
        <v>0</v>
      </c>
      <c r="S1570">
        <f t="shared" ca="1" si="664"/>
        <v>8.8821504425595776E-4</v>
      </c>
      <c r="T1570">
        <f t="shared" ca="1" si="665"/>
        <v>1</v>
      </c>
      <c r="U1570">
        <f t="shared" ca="1" si="647"/>
        <v>5.207234357788356</v>
      </c>
      <c r="V1570">
        <f t="shared" ca="1" si="648"/>
        <v>62.486812293460275</v>
      </c>
      <c r="W1570">
        <f t="shared" ca="1" si="649"/>
        <v>2.7877891323846411</v>
      </c>
      <c r="X1570">
        <f t="shared" ca="1" si="650"/>
        <v>0</v>
      </c>
      <c r="Y1570">
        <f t="shared" ca="1" si="651"/>
        <v>635.5223343577884</v>
      </c>
      <c r="Z1570">
        <f t="shared" ca="1" si="652"/>
        <v>635.5223343577884</v>
      </c>
      <c r="AA1570">
        <f t="shared" ca="1" si="653"/>
        <v>0</v>
      </c>
      <c r="AB1570">
        <f t="shared" ca="1" si="654"/>
        <v>-8.8861304561760335E-4</v>
      </c>
      <c r="AC1570">
        <f t="shared" ca="1" si="655"/>
        <v>1</v>
      </c>
      <c r="AD1570">
        <f ca="1">IF(V34="Supercritical",L1570,U1570)</f>
        <v>5.207234357788356</v>
      </c>
      <c r="AE1570">
        <f t="shared" ca="1" si="656"/>
        <v>635.5223343577884</v>
      </c>
      <c r="AF1570">
        <f t="shared" ca="1" si="657"/>
        <v>635.5223343577884</v>
      </c>
      <c r="AG1570">
        <v>635.5</v>
      </c>
      <c r="AI1570">
        <f t="shared" ref="AI1570:AI1595" ca="1" si="667">$D$12*MAX(J1570,0.1)*POWER(MAX(0,AE1570-AG1570),1.5)</f>
        <v>5.6742586062387195E-3</v>
      </c>
      <c r="AJ1570">
        <v>0</v>
      </c>
      <c r="AK1570">
        <f t="shared" ca="1" si="658"/>
        <v>5.6742586062387195E-3</v>
      </c>
      <c r="AL1570">
        <f t="shared" ca="1" si="666"/>
        <v>5.6742586062387195E-3</v>
      </c>
      <c r="AM1570">
        <f t="shared" ca="1" si="659"/>
        <v>0</v>
      </c>
      <c r="AN1570" t="str">
        <f t="shared" ca="1" si="660"/>
        <v>Subcritical</v>
      </c>
      <c r="AO1570">
        <f ca="1">IF(V34="Supercritical",R1570,AA1570)</f>
        <v>0</v>
      </c>
    </row>
    <row r="1571" spans="1:41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174</v>
      </c>
      <c r="I1571">
        <v>0</v>
      </c>
      <c r="J1571">
        <f t="shared" si="661"/>
        <v>1</v>
      </c>
      <c r="K1571">
        <f t="shared" ca="1" si="662"/>
        <v>0</v>
      </c>
      <c r="L1571">
        <f t="shared" ca="1" si="663"/>
        <v>1.8256934231169568</v>
      </c>
      <c r="M1571">
        <f t="shared" ca="1" si="641"/>
        <v>22.26798268175752</v>
      </c>
      <c r="N1571">
        <f t="shared" ca="1" si="642"/>
        <v>1.4050630450788819</v>
      </c>
      <c r="O1571">
        <f t="shared" ca="1" si="643"/>
        <v>0</v>
      </c>
      <c r="P1571">
        <f t="shared" ca="1" si="644"/>
        <v>631.91789342311699</v>
      </c>
      <c r="Q1571">
        <f t="shared" ca="1" si="645"/>
        <v>631.91789342311699</v>
      </c>
      <c r="R1571">
        <f t="shared" ca="1" si="646"/>
        <v>0</v>
      </c>
      <c r="S1571">
        <f t="shared" ca="1" si="664"/>
        <v>8.8861304561760335E-4</v>
      </c>
      <c r="T1571">
        <f t="shared" ca="1" si="665"/>
        <v>1</v>
      </c>
      <c r="U1571">
        <f t="shared" ca="1" si="647"/>
        <v>5.4292457447427802</v>
      </c>
      <c r="V1571">
        <f t="shared" ca="1" si="648"/>
        <v>66.220510348627684</v>
      </c>
      <c r="W1571">
        <f t="shared" ca="1" si="649"/>
        <v>2.8722228879322524</v>
      </c>
      <c r="X1571">
        <f t="shared" ca="1" si="650"/>
        <v>0</v>
      </c>
      <c r="Y1571">
        <f t="shared" ca="1" si="651"/>
        <v>635.52144574474278</v>
      </c>
      <c r="Z1571">
        <f t="shared" ca="1" si="652"/>
        <v>635.52144574474278</v>
      </c>
      <c r="AA1571">
        <f t="shared" ca="1" si="653"/>
        <v>0</v>
      </c>
      <c r="AB1571">
        <f t="shared" ca="1" si="654"/>
        <v>-8.8821504425595776E-4</v>
      </c>
      <c r="AC1571">
        <f t="shared" ca="1" si="655"/>
        <v>1</v>
      </c>
      <c r="AD1571">
        <f ca="1">IF(V34="Supercritical",L1571,U1571)</f>
        <v>5.4292457447427802</v>
      </c>
      <c r="AE1571">
        <f t="shared" ca="1" si="656"/>
        <v>635.52144574474278</v>
      </c>
      <c r="AF1571">
        <f t="shared" ca="1" si="657"/>
        <v>635.52144574474278</v>
      </c>
      <c r="AG1571">
        <v>635.5</v>
      </c>
      <c r="AI1571">
        <f t="shared" ca="1" si="667"/>
        <v>5.3390085966458214E-3</v>
      </c>
      <c r="AJ1571">
        <v>0</v>
      </c>
      <c r="AK1571">
        <f t="shared" ca="1" si="658"/>
        <v>5.3390085966458214E-3</v>
      </c>
      <c r="AL1571">
        <f t="shared" ca="1" si="666"/>
        <v>1.1013267202884541E-2</v>
      </c>
      <c r="AM1571">
        <f t="shared" ca="1" si="659"/>
        <v>0</v>
      </c>
      <c r="AN1571" t="str">
        <f t="shared" ca="1" si="660"/>
        <v>Subcritical</v>
      </c>
      <c r="AO1571">
        <f ca="1">IF(V34="Supercritical",R1571,AA1571)</f>
        <v>0</v>
      </c>
    </row>
    <row r="1572" spans="1:41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174</v>
      </c>
      <c r="I1572">
        <v>0</v>
      </c>
      <c r="J1572">
        <f t="shared" si="661"/>
        <v>1</v>
      </c>
      <c r="K1572">
        <f t="shared" ca="1" si="662"/>
        <v>0</v>
      </c>
      <c r="L1572">
        <f t="shared" ca="1" si="663"/>
        <v>2.0476052080726448</v>
      </c>
      <c r="M1572">
        <f t="shared" ca="1" si="641"/>
        <v>26.229822715410581</v>
      </c>
      <c r="N1572">
        <f t="shared" ca="1" si="642"/>
        <v>1.5515821495105342</v>
      </c>
      <c r="O1572">
        <f t="shared" ca="1" si="643"/>
        <v>0</v>
      </c>
      <c r="P1572">
        <f t="shared" ca="1" si="644"/>
        <v>631.91700520807274</v>
      </c>
      <c r="Q1572">
        <f t="shared" ca="1" si="645"/>
        <v>631.91700520807274</v>
      </c>
      <c r="R1572">
        <f t="shared" ca="1" si="646"/>
        <v>0</v>
      </c>
      <c r="S1572">
        <f t="shared" ca="1" si="664"/>
        <v>8.8821504425595776E-4</v>
      </c>
      <c r="T1572">
        <f t="shared" ca="1" si="665"/>
        <v>1</v>
      </c>
      <c r="U1572">
        <f t="shared" ca="1" si="647"/>
        <v>5.6511575296984864</v>
      </c>
      <c r="V1572">
        <f t="shared" ca="1" si="648"/>
        <v>72.391327955437617</v>
      </c>
      <c r="W1572">
        <f t="shared" ca="1" si="649"/>
        <v>3.002255394271049</v>
      </c>
      <c r="X1572">
        <f t="shared" ca="1" si="650"/>
        <v>0</v>
      </c>
      <c r="Y1572">
        <f t="shared" ca="1" si="651"/>
        <v>635.52055752969852</v>
      </c>
      <c r="Z1572">
        <f t="shared" ca="1" si="652"/>
        <v>635.52055752969852</v>
      </c>
      <c r="AA1572">
        <f t="shared" ca="1" si="653"/>
        <v>0</v>
      </c>
      <c r="AB1572">
        <f t="shared" ca="1" si="654"/>
        <v>-8.8861304561760335E-4</v>
      </c>
      <c r="AC1572">
        <f t="shared" ca="1" si="655"/>
        <v>1</v>
      </c>
      <c r="AD1572">
        <f ca="1">IF(V34="Supercritical",L1572,U1572)</f>
        <v>5.6511575296984864</v>
      </c>
      <c r="AE1572">
        <f t="shared" ca="1" si="656"/>
        <v>635.52055752969852</v>
      </c>
      <c r="AF1572">
        <f t="shared" ca="1" si="657"/>
        <v>635.52055752969852</v>
      </c>
      <c r="AG1572">
        <v>635.5</v>
      </c>
      <c r="AI1572">
        <f t="shared" ca="1" si="667"/>
        <v>5.0107797181287361E-3</v>
      </c>
      <c r="AJ1572">
        <v>0</v>
      </c>
      <c r="AK1572">
        <f t="shared" ca="1" si="658"/>
        <v>5.0107797181287361E-3</v>
      </c>
      <c r="AL1572">
        <f t="shared" ca="1" si="666"/>
        <v>1.6024046921013276E-2</v>
      </c>
      <c r="AM1572">
        <f t="shared" ca="1" si="659"/>
        <v>0</v>
      </c>
      <c r="AN1572" t="str">
        <f t="shared" ca="1" si="660"/>
        <v>Subcritical</v>
      </c>
      <c r="AO1572">
        <f ca="1">IF(V34="Supercritical",R1572,AA1572)</f>
        <v>0</v>
      </c>
    </row>
    <row r="1573" spans="1:41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174</v>
      </c>
      <c r="I1573">
        <v>0</v>
      </c>
      <c r="J1573">
        <f t="shared" si="661"/>
        <v>1</v>
      </c>
      <c r="K1573">
        <f t="shared" ca="1" si="662"/>
        <v>0</v>
      </c>
      <c r="L1573">
        <f t="shared" ca="1" si="663"/>
        <v>2.2696165950271916</v>
      </c>
      <c r="M1573">
        <f t="shared" ca="1" si="641"/>
        <v>30.462793938454968</v>
      </c>
      <c r="N1573">
        <f t="shared" ca="1" si="642"/>
        <v>1.6960302010511747</v>
      </c>
      <c r="O1573">
        <f t="shared" ca="1" si="643"/>
        <v>0</v>
      </c>
      <c r="P1573">
        <f t="shared" ca="1" si="644"/>
        <v>631.91611659502712</v>
      </c>
      <c r="Q1573">
        <f t="shared" ca="1" si="645"/>
        <v>631.91611659502712</v>
      </c>
      <c r="R1573">
        <f t="shared" ca="1" si="646"/>
        <v>0</v>
      </c>
      <c r="S1573">
        <f t="shared" ca="1" si="664"/>
        <v>8.8861304561760335E-4</v>
      </c>
      <c r="T1573">
        <f t="shared" ca="1" si="665"/>
        <v>1</v>
      </c>
      <c r="U1573">
        <f t="shared" ca="1" si="647"/>
        <v>5.8731689166529142</v>
      </c>
      <c r="V1573">
        <f t="shared" ca="1" si="648"/>
        <v>78.829673199315422</v>
      </c>
      <c r="W1573">
        <f t="shared" ca="1" si="649"/>
        <v>3.1320969116601076</v>
      </c>
      <c r="X1573">
        <f t="shared" ca="1" si="650"/>
        <v>0</v>
      </c>
      <c r="Y1573">
        <f t="shared" ca="1" si="651"/>
        <v>635.5196689166529</v>
      </c>
      <c r="Z1573">
        <f t="shared" ca="1" si="652"/>
        <v>635.5196689166529</v>
      </c>
      <c r="AA1573">
        <f t="shared" ca="1" si="653"/>
        <v>0</v>
      </c>
      <c r="AB1573">
        <f t="shared" ca="1" si="654"/>
        <v>-8.8821508086311951E-4</v>
      </c>
      <c r="AC1573">
        <f t="shared" ca="1" si="655"/>
        <v>1</v>
      </c>
      <c r="AD1573">
        <f ca="1">IF(V34="Supercritical",L1573,U1573)</f>
        <v>5.8731689166529142</v>
      </c>
      <c r="AE1573">
        <f t="shared" ca="1" si="656"/>
        <v>635.5196689166529</v>
      </c>
      <c r="AF1573">
        <f t="shared" ca="1" si="657"/>
        <v>635.5196689166529</v>
      </c>
      <c r="AG1573">
        <v>635.5</v>
      </c>
      <c r="AI1573">
        <f t="shared" ca="1" si="667"/>
        <v>4.6894248596398031E-3</v>
      </c>
      <c r="AJ1573">
        <v>0</v>
      </c>
      <c r="AK1573">
        <f t="shared" ca="1" si="658"/>
        <v>4.6894248596398031E-3</v>
      </c>
      <c r="AL1573">
        <f t="shared" ca="1" si="666"/>
        <v>2.0713471780653081E-2</v>
      </c>
      <c r="AM1573">
        <f t="shared" ca="1" si="659"/>
        <v>0</v>
      </c>
      <c r="AN1573" t="str">
        <f t="shared" ca="1" si="660"/>
        <v>Subcritical</v>
      </c>
      <c r="AO1573">
        <f ca="1">IF(V34="Supercritical",R1573,AA1573)</f>
        <v>0</v>
      </c>
    </row>
    <row r="1574" spans="1:41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174</v>
      </c>
      <c r="I1574">
        <v>0</v>
      </c>
      <c r="J1574">
        <f t="shared" si="661"/>
        <v>1</v>
      </c>
      <c r="K1574">
        <f t="shared" ca="1" si="662"/>
        <v>0</v>
      </c>
      <c r="L1574">
        <f t="shared" ca="1" si="663"/>
        <v>2.491528379982761</v>
      </c>
      <c r="M1574">
        <f t="shared" ca="1" si="641"/>
        <v>34.968600813058053</v>
      </c>
      <c r="N1574">
        <f t="shared" ca="1" si="642"/>
        <v>1.8387052501951544</v>
      </c>
      <c r="O1574">
        <f t="shared" ca="1" si="643"/>
        <v>0</v>
      </c>
      <c r="P1574">
        <f t="shared" ca="1" si="644"/>
        <v>631.91522837998286</v>
      </c>
      <c r="Q1574">
        <f t="shared" ca="1" si="645"/>
        <v>631.91522837998286</v>
      </c>
      <c r="R1574">
        <f t="shared" ca="1" si="646"/>
        <v>0</v>
      </c>
      <c r="S1574">
        <f t="shared" ca="1" si="664"/>
        <v>8.8821504425595776E-4</v>
      </c>
      <c r="T1574">
        <f t="shared" ca="1" si="665"/>
        <v>1</v>
      </c>
      <c r="U1574">
        <f t="shared" ca="1" si="647"/>
        <v>6.0950807015719537</v>
      </c>
      <c r="V1574">
        <f t="shared" ca="1" si="648"/>
        <v>85.544457646562364</v>
      </c>
      <c r="W1574">
        <f t="shared" ca="1" si="649"/>
        <v>3.2619230185674732</v>
      </c>
      <c r="X1574">
        <f t="shared" ca="1" si="650"/>
        <v>0</v>
      </c>
      <c r="Y1574">
        <f t="shared" ca="1" si="651"/>
        <v>635.51878070157204</v>
      </c>
      <c r="Z1574">
        <f t="shared" ca="1" si="652"/>
        <v>635.51878070157204</v>
      </c>
      <c r="AA1574">
        <f t="shared" ca="1" si="653"/>
        <v>0</v>
      </c>
      <c r="AB1574">
        <f t="shared" ca="1" si="654"/>
        <v>-8.886571707762414E-4</v>
      </c>
      <c r="AC1574">
        <f t="shared" ca="1" si="655"/>
        <v>1</v>
      </c>
      <c r="AD1574">
        <f ca="1">IF(V34="Supercritical",L1574,U1574)</f>
        <v>6.0950807015719537</v>
      </c>
      <c r="AE1574">
        <f t="shared" ca="1" si="656"/>
        <v>635.51878070157204</v>
      </c>
      <c r="AF1574">
        <f t="shared" ca="1" si="657"/>
        <v>635.51878070157204</v>
      </c>
      <c r="AG1574">
        <v>635.5</v>
      </c>
      <c r="AI1574">
        <f t="shared" ca="1" si="667"/>
        <v>4.3753886812856321E-3</v>
      </c>
      <c r="AJ1574">
        <v>0</v>
      </c>
      <c r="AK1574">
        <f t="shared" ca="1" si="658"/>
        <v>4.3753886812856321E-3</v>
      </c>
      <c r="AL1574">
        <f t="shared" ca="1" si="666"/>
        <v>2.5088860461938714E-2</v>
      </c>
      <c r="AM1574">
        <f t="shared" ca="1" si="659"/>
        <v>0</v>
      </c>
      <c r="AN1574" t="str">
        <f t="shared" ca="1" si="660"/>
        <v>Subcritical</v>
      </c>
      <c r="AO1574">
        <f ca="1">IF(V34="Supercritical",R1574,AA1574)</f>
        <v>0</v>
      </c>
    </row>
    <row r="1575" spans="1:41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174</v>
      </c>
      <c r="I1575">
        <v>0</v>
      </c>
      <c r="J1575">
        <f t="shared" si="661"/>
        <v>1</v>
      </c>
      <c r="K1575">
        <f t="shared" ca="1" si="662"/>
        <v>0</v>
      </c>
      <c r="L1575">
        <f t="shared" ca="1" si="663"/>
        <v>2.7135397669373078</v>
      </c>
      <c r="M1575">
        <f t="shared" ca="1" si="641"/>
        <v>39.745216966330752</v>
      </c>
      <c r="N1575">
        <f t="shared" ca="1" si="642"/>
        <v>1.9799272439496653</v>
      </c>
      <c r="O1575">
        <f t="shared" ca="1" si="643"/>
        <v>0</v>
      </c>
      <c r="P1575">
        <f t="shared" ca="1" si="644"/>
        <v>631.91433976693725</v>
      </c>
      <c r="Q1575">
        <f t="shared" ca="1" si="645"/>
        <v>631.91433976693725</v>
      </c>
      <c r="R1575">
        <f t="shared" ca="1" si="646"/>
        <v>0</v>
      </c>
      <c r="S1575">
        <f t="shared" ca="1" si="664"/>
        <v>8.8861304561760335E-4</v>
      </c>
      <c r="T1575">
        <f t="shared" ca="1" si="665"/>
        <v>1</v>
      </c>
      <c r="U1575">
        <f t="shared" ca="1" si="647"/>
        <v>6.3170920444013179</v>
      </c>
      <c r="V1575">
        <f t="shared" ca="1" si="648"/>
        <v>92.526447174346103</v>
      </c>
      <c r="W1575">
        <f t="shared" ca="1" si="649"/>
        <v>3.3915847227585298</v>
      </c>
      <c r="X1575">
        <f t="shared" ca="1" si="650"/>
        <v>0</v>
      </c>
      <c r="Y1575">
        <f t="shared" ca="1" si="651"/>
        <v>635.51789204440126</v>
      </c>
      <c r="Z1575">
        <f t="shared" ca="1" si="652"/>
        <v>635.51789204440126</v>
      </c>
      <c r="AA1575">
        <f t="shared" ca="1" si="653"/>
        <v>0</v>
      </c>
      <c r="AB1575">
        <f t="shared" ca="1" si="654"/>
        <v>-9.4157176488351979E-4</v>
      </c>
      <c r="AC1575">
        <f t="shared" ca="1" si="655"/>
        <v>1</v>
      </c>
      <c r="AD1575">
        <f ca="1">IF(V34="Supercritical",L1575,U1575)</f>
        <v>6.3170920444013179</v>
      </c>
      <c r="AE1575">
        <f t="shared" ca="1" si="656"/>
        <v>635.51789204440126</v>
      </c>
      <c r="AF1575">
        <f t="shared" ca="1" si="657"/>
        <v>635.51789204440126</v>
      </c>
      <c r="AG1575">
        <v>635.5</v>
      </c>
      <c r="AI1575">
        <f t="shared" ca="1" si="667"/>
        <v>4.0685426430175755E-3</v>
      </c>
      <c r="AJ1575">
        <v>0</v>
      </c>
      <c r="AK1575">
        <f t="shared" ca="1" si="658"/>
        <v>4.0685426430175755E-3</v>
      </c>
      <c r="AL1575">
        <f t="shared" ca="1" si="666"/>
        <v>2.9157403104956289E-2</v>
      </c>
      <c r="AM1575">
        <f t="shared" ca="1" si="659"/>
        <v>0</v>
      </c>
      <c r="AN1575" t="str">
        <f t="shared" ca="1" si="660"/>
        <v>Subcritical</v>
      </c>
      <c r="AO1575">
        <f ca="1">IF(V34="Supercritical",R1575,AA1575)</f>
        <v>0</v>
      </c>
    </row>
    <row r="1576" spans="1:41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174</v>
      </c>
      <c r="I1576">
        <v>0</v>
      </c>
      <c r="J1576">
        <f t="shared" si="661"/>
        <v>1</v>
      </c>
      <c r="K1576">
        <f t="shared" ca="1" si="662"/>
        <v>0</v>
      </c>
      <c r="L1576">
        <f t="shared" ca="1" si="663"/>
        <v>2.9354515518929953</v>
      </c>
      <c r="M1576">
        <f t="shared" ca="1" si="641"/>
        <v>44.03177327839493</v>
      </c>
      <c r="N1576">
        <f t="shared" ca="1" si="642"/>
        <v>2.1097205549484603</v>
      </c>
      <c r="O1576">
        <f t="shared" ca="1" si="643"/>
        <v>0</v>
      </c>
      <c r="P1576">
        <f t="shared" ca="1" si="644"/>
        <v>631.91345155189299</v>
      </c>
      <c r="Q1576">
        <f t="shared" ca="1" si="645"/>
        <v>631.91345155189299</v>
      </c>
      <c r="R1576">
        <f t="shared" ca="1" si="646"/>
        <v>0</v>
      </c>
      <c r="S1576">
        <f t="shared" ca="1" si="664"/>
        <v>8.8821504425595776E-4</v>
      </c>
      <c r="T1576">
        <f t="shared" ca="1" si="665"/>
        <v>1</v>
      </c>
      <c r="U1576">
        <f t="shared" ca="1" si="647"/>
        <v>6.5389504726364782</v>
      </c>
      <c r="V1576">
        <f t="shared" ca="1" si="648"/>
        <v>98.084257089547179</v>
      </c>
      <c r="W1576">
        <f t="shared" ca="1" si="649"/>
        <v>3.4932902313718044</v>
      </c>
      <c r="X1576">
        <f t="shared" ca="1" si="650"/>
        <v>0</v>
      </c>
      <c r="Y1576">
        <f t="shared" ca="1" si="651"/>
        <v>635.51695047263638</v>
      </c>
      <c r="Z1576">
        <f t="shared" ca="1" si="652"/>
        <v>635.51695047263638</v>
      </c>
      <c r="AA1576">
        <f t="shared" ca="1" si="653"/>
        <v>0</v>
      </c>
      <c r="AB1576">
        <f t="shared" ca="1" si="654"/>
        <v>-1.5108911043171247E-4</v>
      </c>
      <c r="AC1576">
        <f t="shared" ca="1" si="655"/>
        <v>1</v>
      </c>
      <c r="AD1576">
        <f ca="1">IF(V34="Supercritical",L1576,U1576)</f>
        <v>6.5389504726364782</v>
      </c>
      <c r="AE1576">
        <f t="shared" ca="1" si="656"/>
        <v>635.51695047263638</v>
      </c>
      <c r="AF1576">
        <f t="shared" ca="1" si="657"/>
        <v>635.51695047263638</v>
      </c>
      <c r="AG1576">
        <v>635.5</v>
      </c>
      <c r="AI1576">
        <f t="shared" ca="1" si="667"/>
        <v>3.7516441652335215E-3</v>
      </c>
      <c r="AJ1576">
        <v>0</v>
      </c>
      <c r="AK1576">
        <f t="shared" ca="1" si="658"/>
        <v>3.7516441652335215E-3</v>
      </c>
      <c r="AL1576">
        <f t="shared" ca="1" si="666"/>
        <v>3.2909047270189812E-2</v>
      </c>
      <c r="AM1576">
        <f t="shared" ca="1" si="659"/>
        <v>0</v>
      </c>
      <c r="AN1576" t="str">
        <f t="shared" ca="1" si="660"/>
        <v>Subcritical</v>
      </c>
      <c r="AO1576">
        <f ca="1">IF(V34="Supercritical",R1576,AA1576)</f>
        <v>0</v>
      </c>
    </row>
    <row r="1577" spans="1:41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174</v>
      </c>
      <c r="I1577">
        <v>0</v>
      </c>
      <c r="J1577">
        <f t="shared" si="661"/>
        <v>1</v>
      </c>
      <c r="K1577">
        <f t="shared" ca="1" si="662"/>
        <v>0</v>
      </c>
      <c r="L1577">
        <f t="shared" ca="1" si="663"/>
        <v>2.935294808061641</v>
      </c>
      <c r="M1577">
        <f t="shared" ca="1" si="641"/>
        <v>44.029422120924615</v>
      </c>
      <c r="N1577">
        <f t="shared" ca="1" si="642"/>
        <v>2.1096395900051763</v>
      </c>
      <c r="O1577">
        <f t="shared" ca="1" si="643"/>
        <v>0</v>
      </c>
      <c r="P1577">
        <f t="shared" ca="1" si="644"/>
        <v>631.91329480806155</v>
      </c>
      <c r="Q1577">
        <f t="shared" ca="1" si="645"/>
        <v>631.91329480806155</v>
      </c>
      <c r="R1577">
        <f t="shared" ca="1" si="646"/>
        <v>0</v>
      </c>
      <c r="S1577">
        <f t="shared" ca="1" si="664"/>
        <v>1.5674383143959858E-4</v>
      </c>
      <c r="T1577">
        <f t="shared" ca="1" si="665"/>
        <v>1</v>
      </c>
      <c r="U1577">
        <f t="shared" ca="1" si="647"/>
        <v>6.5387993835259497</v>
      </c>
      <c r="V1577">
        <f t="shared" ca="1" si="648"/>
        <v>98.08199075288924</v>
      </c>
      <c r="W1577">
        <f t="shared" ca="1" si="649"/>
        <v>3.493247110147649</v>
      </c>
      <c r="X1577">
        <f t="shared" ca="1" si="650"/>
        <v>0</v>
      </c>
      <c r="Y1577">
        <f t="shared" ca="1" si="651"/>
        <v>635.51679938352595</v>
      </c>
      <c r="Z1577">
        <f t="shared" ca="1" si="652"/>
        <v>635.51679938352595</v>
      </c>
      <c r="AA1577">
        <f t="shared" ca="1" si="653"/>
        <v>0</v>
      </c>
      <c r="AB1577">
        <f t="shared" ca="1" si="654"/>
        <v>-8.5617162642392941E-4</v>
      </c>
      <c r="AC1577">
        <f t="shared" ca="1" si="655"/>
        <v>1</v>
      </c>
      <c r="AD1577">
        <f ca="1">IF(V34="Supercritical",L1577,U1577)</f>
        <v>6.5387993835259497</v>
      </c>
      <c r="AE1577">
        <f t="shared" ca="1" si="656"/>
        <v>635.51679938352595</v>
      </c>
      <c r="AF1577">
        <f t="shared" ca="1" si="657"/>
        <v>635.51679938352595</v>
      </c>
      <c r="AG1577">
        <v>635.5</v>
      </c>
      <c r="AI1577">
        <f t="shared" ca="1" si="667"/>
        <v>3.7015953331678638E-3</v>
      </c>
      <c r="AJ1577">
        <v>0</v>
      </c>
      <c r="AK1577">
        <f t="shared" ca="1" si="658"/>
        <v>3.7015953331678638E-3</v>
      </c>
      <c r="AL1577">
        <f t="shared" ca="1" si="666"/>
        <v>3.6610642603357675E-2</v>
      </c>
      <c r="AM1577">
        <f t="shared" ca="1" si="659"/>
        <v>0</v>
      </c>
      <c r="AN1577" t="str">
        <f t="shared" ca="1" si="660"/>
        <v>Subcritical</v>
      </c>
      <c r="AO1577">
        <f ca="1">IF(V34="Supercritical",R1577,AA1577)</f>
        <v>0</v>
      </c>
    </row>
    <row r="1578" spans="1:41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174</v>
      </c>
      <c r="I1578">
        <v>0</v>
      </c>
      <c r="J1578">
        <f t="shared" si="661"/>
        <v>1</v>
      </c>
      <c r="K1578">
        <f t="shared" ca="1" si="662"/>
        <v>0</v>
      </c>
      <c r="L1578">
        <f t="shared" ca="1" si="663"/>
        <v>2.9344251618845472</v>
      </c>
      <c r="M1578">
        <f t="shared" ca="1" si="641"/>
        <v>44.016377428268207</v>
      </c>
      <c r="N1578">
        <f t="shared" ca="1" si="642"/>
        <v>2.1091903360931514</v>
      </c>
      <c r="O1578">
        <f t="shared" ca="1" si="643"/>
        <v>0</v>
      </c>
      <c r="P1578">
        <f t="shared" ca="1" si="644"/>
        <v>631.91242516188447</v>
      </c>
      <c r="Q1578">
        <f t="shared" ca="1" si="645"/>
        <v>631.91242516188447</v>
      </c>
      <c r="R1578">
        <f t="shared" ca="1" si="646"/>
        <v>0</v>
      </c>
      <c r="S1578">
        <f t="shared" ca="1" si="664"/>
        <v>8.6964617707963043E-4</v>
      </c>
      <c r="T1578">
        <f t="shared" ca="1" si="665"/>
        <v>1</v>
      </c>
      <c r="U1578">
        <f t="shared" ca="1" si="647"/>
        <v>6.5379432118995231</v>
      </c>
      <c r="V1578">
        <f t="shared" ca="1" si="648"/>
        <v>98.069148178492853</v>
      </c>
      <c r="W1578">
        <f t="shared" ca="1" si="649"/>
        <v>3.4930027390110365</v>
      </c>
      <c r="X1578">
        <f t="shared" ca="1" si="650"/>
        <v>0</v>
      </c>
      <c r="Y1578">
        <f t="shared" ca="1" si="651"/>
        <v>635.51594321189953</v>
      </c>
      <c r="Z1578">
        <f t="shared" ca="1" si="652"/>
        <v>635.51594321189953</v>
      </c>
      <c r="AA1578">
        <f t="shared" ca="1" si="653"/>
        <v>0</v>
      </c>
      <c r="AB1578">
        <f t="shared" ca="1" si="654"/>
        <v>-1.588193941870486E-4</v>
      </c>
      <c r="AC1578">
        <f t="shared" ca="1" si="655"/>
        <v>1</v>
      </c>
      <c r="AD1578">
        <f ca="1">IF(V34="Supercritical",L1578,U1578)</f>
        <v>6.5379432118995231</v>
      </c>
      <c r="AE1578">
        <f t="shared" ca="1" si="656"/>
        <v>635.51594321189953</v>
      </c>
      <c r="AF1578">
        <f t="shared" ca="1" si="657"/>
        <v>635.51594321189953</v>
      </c>
      <c r="AG1578">
        <v>635.5</v>
      </c>
      <c r="AI1578">
        <f t="shared" ca="1" si="667"/>
        <v>3.4222572233084106E-3</v>
      </c>
      <c r="AJ1578">
        <v>0</v>
      </c>
      <c r="AK1578">
        <f t="shared" ca="1" si="658"/>
        <v>3.4222572233084106E-3</v>
      </c>
      <c r="AL1578">
        <f t="shared" ca="1" si="666"/>
        <v>4.0032899826666087E-2</v>
      </c>
      <c r="AM1578">
        <f t="shared" ca="1" si="659"/>
        <v>0</v>
      </c>
      <c r="AN1578" t="str">
        <f t="shared" ca="1" si="660"/>
        <v>Subcritical</v>
      </c>
      <c r="AO1578">
        <f ca="1">IF(V34="Supercritical",R1578,AA1578)</f>
        <v>0</v>
      </c>
    </row>
    <row r="1579" spans="1:41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174</v>
      </c>
      <c r="I1579">
        <v>0</v>
      </c>
      <c r="J1579">
        <f t="shared" si="661"/>
        <v>1</v>
      </c>
      <c r="K1579">
        <f t="shared" ca="1" si="662"/>
        <v>0</v>
      </c>
      <c r="L1579">
        <f t="shared" ca="1" si="663"/>
        <v>2.9342716949121264</v>
      </c>
      <c r="M1579">
        <f t="shared" ca="1" si="641"/>
        <v>44.014075423681895</v>
      </c>
      <c r="N1579">
        <f t="shared" ca="1" si="642"/>
        <v>2.1091110482173696</v>
      </c>
      <c r="O1579">
        <f t="shared" ca="1" si="643"/>
        <v>0</v>
      </c>
      <c r="P1579">
        <f t="shared" ca="1" si="644"/>
        <v>631.91227169491208</v>
      </c>
      <c r="Q1579">
        <f t="shared" ca="1" si="645"/>
        <v>631.91227169491208</v>
      </c>
      <c r="R1579">
        <f t="shared" ca="1" si="646"/>
        <v>0</v>
      </c>
      <c r="S1579">
        <f t="shared" ca="1" si="664"/>
        <v>1.5346697239237983E-4</v>
      </c>
      <c r="T1579">
        <f t="shared" ca="1" si="665"/>
        <v>1</v>
      </c>
      <c r="U1579">
        <f t="shared" ca="1" si="647"/>
        <v>6.5377843925053982</v>
      </c>
      <c r="V1579">
        <f t="shared" ca="1" si="648"/>
        <v>98.066765887580971</v>
      </c>
      <c r="W1579">
        <f t="shared" ca="1" si="649"/>
        <v>3.4929574050139145</v>
      </c>
      <c r="X1579">
        <f t="shared" ca="1" si="650"/>
        <v>0</v>
      </c>
      <c r="Y1579">
        <f t="shared" ca="1" si="651"/>
        <v>635.51578439250534</v>
      </c>
      <c r="Z1579">
        <f t="shared" ca="1" si="652"/>
        <v>635.51578439250534</v>
      </c>
      <c r="AA1579">
        <f t="shared" ca="1" si="653"/>
        <v>0</v>
      </c>
      <c r="AB1579">
        <f t="shared" ca="1" si="654"/>
        <v>-8.9997656664309034E-4</v>
      </c>
      <c r="AC1579">
        <f t="shared" ca="1" si="655"/>
        <v>1</v>
      </c>
      <c r="AD1579">
        <f ca="1">IF(V34="Supercritical",L1579,U1579)</f>
        <v>6.5377843925053982</v>
      </c>
      <c r="AE1579">
        <f t="shared" ca="1" si="656"/>
        <v>635.51578439250534</v>
      </c>
      <c r="AF1579">
        <f t="shared" ca="1" si="657"/>
        <v>635.51578439250534</v>
      </c>
      <c r="AG1579">
        <v>635.5</v>
      </c>
      <c r="AI1579">
        <f t="shared" ca="1" si="667"/>
        <v>3.3712482120719874E-3</v>
      </c>
      <c r="AJ1579">
        <v>0</v>
      </c>
      <c r="AK1579">
        <f t="shared" ca="1" si="658"/>
        <v>3.3712482120719874E-3</v>
      </c>
      <c r="AL1579">
        <f t="shared" ca="1" si="666"/>
        <v>4.3404148038738072E-2</v>
      </c>
      <c r="AM1579">
        <f t="shared" ca="1" si="659"/>
        <v>0</v>
      </c>
      <c r="AN1579" t="str">
        <f t="shared" ca="1" si="660"/>
        <v>Subcritical</v>
      </c>
      <c r="AO1579">
        <f ca="1">IF(V34="Supercritical",R1579,AA1579)</f>
        <v>0</v>
      </c>
    </row>
    <row r="1580" spans="1:41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174</v>
      </c>
      <c r="I1580">
        <v>0</v>
      </c>
      <c r="J1580">
        <f t="shared" si="661"/>
        <v>1</v>
      </c>
      <c r="K1580">
        <f t="shared" ca="1" si="662"/>
        <v>0</v>
      </c>
      <c r="L1580">
        <f t="shared" ca="1" si="663"/>
        <v>2.9333064539839238</v>
      </c>
      <c r="M1580">
        <f t="shared" ca="1" si="641"/>
        <v>43.999596809758856</v>
      </c>
      <c r="N1580">
        <f t="shared" ca="1" si="642"/>
        <v>2.1086123082753767</v>
      </c>
      <c r="O1580">
        <f t="shared" ca="1" si="643"/>
        <v>0</v>
      </c>
      <c r="P1580">
        <f t="shared" ca="1" si="644"/>
        <v>631.91130645398391</v>
      </c>
      <c r="Q1580">
        <f t="shared" ca="1" si="645"/>
        <v>631.91130645398391</v>
      </c>
      <c r="R1580">
        <f t="shared" ca="1" si="646"/>
        <v>0</v>
      </c>
      <c r="S1580">
        <f t="shared" ca="1" si="664"/>
        <v>9.6524092816707707E-4</v>
      </c>
      <c r="T1580">
        <f t="shared" ca="1" si="665"/>
        <v>1</v>
      </c>
      <c r="U1580">
        <f t="shared" ca="1" si="647"/>
        <v>6.5368844159386876</v>
      </c>
      <c r="V1580">
        <f t="shared" ca="1" si="648"/>
        <v>98.053266239080315</v>
      </c>
      <c r="W1580">
        <f t="shared" ca="1" si="649"/>
        <v>3.4927004929862568</v>
      </c>
      <c r="X1580">
        <f t="shared" ca="1" si="650"/>
        <v>0</v>
      </c>
      <c r="Y1580">
        <f t="shared" ca="1" si="651"/>
        <v>635.5148844159387</v>
      </c>
      <c r="Z1580">
        <f t="shared" ca="1" si="652"/>
        <v>635.5148844159387</v>
      </c>
      <c r="AA1580">
        <f t="shared" ca="1" si="653"/>
        <v>0</v>
      </c>
      <c r="AB1580">
        <f t="shared" ca="1" si="654"/>
        <v>-1.6188018071261467E-4</v>
      </c>
      <c r="AC1580">
        <f t="shared" ca="1" si="655"/>
        <v>1</v>
      </c>
      <c r="AD1580">
        <f ca="1">IF(V34="Supercritical",L1580,U1580)</f>
        <v>6.5368844159386876</v>
      </c>
      <c r="AE1580">
        <f t="shared" ca="1" si="656"/>
        <v>635.5148844159387</v>
      </c>
      <c r="AF1580">
        <f t="shared" ca="1" si="657"/>
        <v>635.5148844159387</v>
      </c>
      <c r="AG1580">
        <v>635.5</v>
      </c>
      <c r="AI1580">
        <f t="shared" ca="1" si="667"/>
        <v>3.0870709994321507E-3</v>
      </c>
      <c r="AJ1580">
        <v>0</v>
      </c>
      <c r="AK1580">
        <f t="shared" ca="1" si="658"/>
        <v>3.0870709994321507E-3</v>
      </c>
      <c r="AL1580">
        <f t="shared" ca="1" si="666"/>
        <v>4.6491219038170224E-2</v>
      </c>
      <c r="AM1580">
        <f t="shared" ca="1" si="659"/>
        <v>0</v>
      </c>
      <c r="AN1580" t="str">
        <f t="shared" ca="1" si="660"/>
        <v>Subcritical</v>
      </c>
      <c r="AO1580">
        <f ca="1">IF(V34="Supercritical",R1580,AA1580)</f>
        <v>0</v>
      </c>
    </row>
    <row r="1581" spans="1:41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174</v>
      </c>
      <c r="I1581">
        <v>0</v>
      </c>
      <c r="J1581">
        <f t="shared" si="661"/>
        <v>1</v>
      </c>
      <c r="K1581">
        <f t="shared" ca="1" si="662"/>
        <v>0</v>
      </c>
      <c r="L1581">
        <f t="shared" ca="1" si="663"/>
        <v>2.9331361173495432</v>
      </c>
      <c r="M1581">
        <f t="shared" ca="1" si="641"/>
        <v>43.99704176024315</v>
      </c>
      <c r="N1581">
        <f t="shared" ca="1" si="642"/>
        <v>2.1085242857648185</v>
      </c>
      <c r="O1581">
        <f t="shared" ca="1" si="643"/>
        <v>0</v>
      </c>
      <c r="P1581">
        <f t="shared" ca="1" si="644"/>
        <v>631.91113611734954</v>
      </c>
      <c r="Q1581">
        <f t="shared" ca="1" si="645"/>
        <v>631.91113611734954</v>
      </c>
      <c r="R1581">
        <f t="shared" ca="1" si="646"/>
        <v>0</v>
      </c>
      <c r="S1581">
        <f t="shared" ca="1" si="664"/>
        <v>1.7033663436905044E-4</v>
      </c>
      <c r="T1581">
        <f t="shared" ca="1" si="665"/>
        <v>1</v>
      </c>
      <c r="U1581">
        <f t="shared" ca="1" si="647"/>
        <v>6.5367225357580034</v>
      </c>
      <c r="V1581">
        <f t="shared" ca="1" si="648"/>
        <v>98.050838036370052</v>
      </c>
      <c r="W1581">
        <f t="shared" ca="1" si="649"/>
        <v>3.4926542783256336</v>
      </c>
      <c r="X1581">
        <f t="shared" ca="1" si="650"/>
        <v>0</v>
      </c>
      <c r="Y1581">
        <f t="shared" ca="1" si="651"/>
        <v>635.51472253575798</v>
      </c>
      <c r="Z1581">
        <f t="shared" ca="1" si="652"/>
        <v>635.51472253575798</v>
      </c>
      <c r="AA1581">
        <f t="shared" ca="1" si="653"/>
        <v>0</v>
      </c>
      <c r="AB1581">
        <f t="shared" ca="1" si="654"/>
        <v>-9.1732102384867176E-4</v>
      </c>
      <c r="AC1581">
        <f t="shared" ca="1" si="655"/>
        <v>1</v>
      </c>
      <c r="AD1581">
        <f ca="1">IF(V34="Supercritical",L1581,U1581)</f>
        <v>6.5367225357580034</v>
      </c>
      <c r="AE1581">
        <f t="shared" ca="1" si="656"/>
        <v>635.51472253575798</v>
      </c>
      <c r="AF1581">
        <f t="shared" ca="1" si="657"/>
        <v>635.51472253575798</v>
      </c>
      <c r="AG1581">
        <v>635.5</v>
      </c>
      <c r="AI1581">
        <f t="shared" ca="1" si="667"/>
        <v>3.036846551723699E-3</v>
      </c>
      <c r="AJ1581">
        <v>0</v>
      </c>
      <c r="AK1581">
        <f t="shared" ca="1" si="658"/>
        <v>3.036846551723699E-3</v>
      </c>
      <c r="AL1581">
        <f t="shared" ca="1" si="666"/>
        <v>4.9528065589893921E-2</v>
      </c>
      <c r="AM1581">
        <f t="shared" ca="1" si="659"/>
        <v>0</v>
      </c>
      <c r="AN1581" t="str">
        <f t="shared" ca="1" si="660"/>
        <v>Subcritical</v>
      </c>
      <c r="AO1581">
        <f ca="1">IF(V34="Supercritical",R1581,AA1581)</f>
        <v>0</v>
      </c>
    </row>
    <row r="1582" spans="1:41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174</v>
      </c>
      <c r="I1582">
        <v>0</v>
      </c>
      <c r="J1582">
        <f t="shared" si="661"/>
        <v>1</v>
      </c>
      <c r="K1582">
        <f t="shared" ca="1" si="662"/>
        <v>0</v>
      </c>
      <c r="L1582">
        <f t="shared" ca="1" si="663"/>
        <v>2.9321954917451003</v>
      </c>
      <c r="M1582">
        <f t="shared" ca="1" si="641"/>
        <v>43.982932376176507</v>
      </c>
      <c r="N1582">
        <f t="shared" ca="1" si="642"/>
        <v>2.1080381598954792</v>
      </c>
      <c r="O1582">
        <f t="shared" ca="1" si="643"/>
        <v>0</v>
      </c>
      <c r="P1582">
        <f t="shared" ca="1" si="644"/>
        <v>631.91019549174507</v>
      </c>
      <c r="Q1582">
        <f t="shared" ca="1" si="645"/>
        <v>631.91019549174507</v>
      </c>
      <c r="R1582">
        <f t="shared" ca="1" si="646"/>
        <v>0</v>
      </c>
      <c r="S1582">
        <f t="shared" ca="1" si="664"/>
        <v>9.4062560447127908E-4</v>
      </c>
      <c r="T1582">
        <f t="shared" ca="1" si="665"/>
        <v>1</v>
      </c>
      <c r="U1582">
        <f t="shared" ca="1" si="647"/>
        <v>6.5358052147342383</v>
      </c>
      <c r="V1582">
        <f t="shared" ca="1" si="648"/>
        <v>98.037078221013573</v>
      </c>
      <c r="W1582">
        <f t="shared" ca="1" si="649"/>
        <v>3.4923923751128321</v>
      </c>
      <c r="X1582">
        <f t="shared" ca="1" si="650"/>
        <v>0</v>
      </c>
      <c r="Y1582">
        <f t="shared" ca="1" si="651"/>
        <v>635.51380521473413</v>
      </c>
      <c r="Z1582">
        <f t="shared" ca="1" si="652"/>
        <v>635.51380521473413</v>
      </c>
      <c r="AA1582">
        <f t="shared" ca="1" si="653"/>
        <v>0</v>
      </c>
      <c r="AB1582">
        <f t="shared" ca="1" si="654"/>
        <v>-1.5426446157107421E-4</v>
      </c>
      <c r="AC1582">
        <f t="shared" ca="1" si="655"/>
        <v>1</v>
      </c>
      <c r="AD1582">
        <f ca="1">IF(V34="Supercritical",L1582,U1582)</f>
        <v>6.5358052147342383</v>
      </c>
      <c r="AE1582">
        <f t="shared" ca="1" si="656"/>
        <v>635.51380521473413</v>
      </c>
      <c r="AF1582">
        <f t="shared" ca="1" si="657"/>
        <v>635.51380521473413</v>
      </c>
      <c r="AG1582">
        <v>635.5</v>
      </c>
      <c r="AI1582">
        <f t="shared" ca="1" si="667"/>
        <v>2.7574882517799547E-3</v>
      </c>
      <c r="AJ1582">
        <v>0</v>
      </c>
      <c r="AK1582">
        <f t="shared" ca="1" si="658"/>
        <v>2.7574882517799547E-3</v>
      </c>
      <c r="AL1582">
        <f t="shared" ca="1" si="666"/>
        <v>5.2285553841673875E-2</v>
      </c>
      <c r="AM1582">
        <f t="shared" ca="1" si="659"/>
        <v>0</v>
      </c>
      <c r="AN1582" t="str">
        <f t="shared" ca="1" si="660"/>
        <v>Subcritical</v>
      </c>
      <c r="AO1582">
        <f ca="1">IF(V34="Supercritical",R1582,AA1582)</f>
        <v>0</v>
      </c>
    </row>
    <row r="1583" spans="1:41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174</v>
      </c>
      <c r="I1583">
        <v>0</v>
      </c>
      <c r="J1583">
        <f t="shared" si="661"/>
        <v>1</v>
      </c>
      <c r="K1583">
        <f t="shared" ca="1" si="662"/>
        <v>0</v>
      </c>
      <c r="L1583">
        <f t="shared" ca="1" si="663"/>
        <v>2.9320294989913669</v>
      </c>
      <c r="M1583">
        <f t="shared" ca="1" si="641"/>
        <v>43.980442484870501</v>
      </c>
      <c r="N1583">
        <f t="shared" ca="1" si="642"/>
        <v>2.1079523638771729</v>
      </c>
      <c r="O1583">
        <f t="shared" ca="1" si="643"/>
        <v>0</v>
      </c>
      <c r="P1583">
        <f t="shared" ca="1" si="644"/>
        <v>631.91002949899132</v>
      </c>
      <c r="Q1583">
        <f t="shared" ca="1" si="645"/>
        <v>631.91002949899132</v>
      </c>
      <c r="R1583">
        <f t="shared" ca="1" si="646"/>
        <v>0</v>
      </c>
      <c r="S1583">
        <f t="shared" ca="1" si="664"/>
        <v>1.659927537502881E-4</v>
      </c>
      <c r="T1583">
        <f t="shared" ca="1" si="665"/>
        <v>1</v>
      </c>
      <c r="U1583">
        <f t="shared" ca="1" si="647"/>
        <v>6.5356509502726388</v>
      </c>
      <c r="V1583">
        <f t="shared" ca="1" si="648"/>
        <v>98.034764254089581</v>
      </c>
      <c r="W1583">
        <f t="shared" ca="1" si="649"/>
        <v>3.4923483278908867</v>
      </c>
      <c r="X1583">
        <f t="shared" ca="1" si="650"/>
        <v>0</v>
      </c>
      <c r="Y1583">
        <f t="shared" ca="1" si="651"/>
        <v>635.51365095027256</v>
      </c>
      <c r="Z1583">
        <f t="shared" ca="1" si="652"/>
        <v>635.51365095027256</v>
      </c>
      <c r="AA1583">
        <f t="shared" ca="1" si="653"/>
        <v>0</v>
      </c>
      <c r="AB1583">
        <f t="shared" ca="1" si="654"/>
        <v>-8.7416528242556524E-4</v>
      </c>
      <c r="AC1583">
        <f t="shared" ca="1" si="655"/>
        <v>1</v>
      </c>
      <c r="AD1583">
        <f ca="1">IF(V34="Supercritical",L1583,U1583)</f>
        <v>6.5356509502726388</v>
      </c>
      <c r="AE1583">
        <f t="shared" ca="1" si="656"/>
        <v>635.51365095027256</v>
      </c>
      <c r="AF1583">
        <f t="shared" ca="1" si="657"/>
        <v>635.51365095027256</v>
      </c>
      <c r="AG1583">
        <v>635.5</v>
      </c>
      <c r="AI1583">
        <f t="shared" ca="1" si="667"/>
        <v>2.7113978560319254E-3</v>
      </c>
      <c r="AJ1583">
        <v>0</v>
      </c>
      <c r="AK1583">
        <f t="shared" ca="1" si="658"/>
        <v>2.7113978560319254E-3</v>
      </c>
      <c r="AL1583">
        <f t="shared" ca="1" si="666"/>
        <v>5.4996951697705798E-2</v>
      </c>
      <c r="AM1583">
        <f t="shared" ca="1" si="659"/>
        <v>0</v>
      </c>
      <c r="AN1583" t="str">
        <f t="shared" ca="1" si="660"/>
        <v>Subcritical</v>
      </c>
      <c r="AO1583">
        <f ca="1">IF(V34="Supercritical",R1583,AA1583)</f>
        <v>0</v>
      </c>
    </row>
    <row r="1584" spans="1:41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174</v>
      </c>
      <c r="I1584">
        <v>0</v>
      </c>
      <c r="J1584">
        <f t="shared" si="661"/>
        <v>1</v>
      </c>
      <c r="K1584">
        <f t="shared" ca="1" si="662"/>
        <v>0</v>
      </c>
      <c r="L1584">
        <f t="shared" ca="1" si="663"/>
        <v>2.9311570863147272</v>
      </c>
      <c r="M1584">
        <f t="shared" ca="1" si="641"/>
        <v>43.967356294720908</v>
      </c>
      <c r="N1584">
        <f t="shared" ca="1" si="642"/>
        <v>2.1075013984979849</v>
      </c>
      <c r="O1584">
        <f t="shared" ca="1" si="643"/>
        <v>0</v>
      </c>
      <c r="P1584">
        <f t="shared" ca="1" si="644"/>
        <v>631.90915708631474</v>
      </c>
      <c r="Q1584">
        <f t="shared" ca="1" si="645"/>
        <v>631.90915708631474</v>
      </c>
      <c r="R1584">
        <f t="shared" ca="1" si="646"/>
        <v>0</v>
      </c>
      <c r="S1584">
        <f t="shared" ca="1" si="664"/>
        <v>8.7241267658555444E-4</v>
      </c>
      <c r="T1584">
        <f t="shared" ca="1" si="665"/>
        <v>1</v>
      </c>
      <c r="U1584">
        <f t="shared" ca="1" si="647"/>
        <v>6.534776784990159</v>
      </c>
      <c r="V1584">
        <f t="shared" ca="1" si="648"/>
        <v>98.021651774852387</v>
      </c>
      <c r="W1584">
        <f t="shared" ca="1" si="649"/>
        <v>3.4920987086764388</v>
      </c>
      <c r="X1584">
        <f t="shared" ca="1" si="650"/>
        <v>0</v>
      </c>
      <c r="Y1584">
        <f t="shared" ca="1" si="651"/>
        <v>635.51277678499014</v>
      </c>
      <c r="Z1584">
        <f t="shared" ca="1" si="652"/>
        <v>635.51277678499014</v>
      </c>
      <c r="AA1584">
        <f t="shared" ca="1" si="653"/>
        <v>0</v>
      </c>
      <c r="AB1584">
        <f t="shared" ca="1" si="654"/>
        <v>-1.6374702624943893E-4</v>
      </c>
      <c r="AC1584">
        <f t="shared" ca="1" si="655"/>
        <v>1</v>
      </c>
      <c r="AD1584">
        <f ca="1">IF(V34="Supercritical",L1584,U1584)</f>
        <v>6.534776784990159</v>
      </c>
      <c r="AE1584">
        <f t="shared" ca="1" si="656"/>
        <v>635.51277678499014</v>
      </c>
      <c r="AF1584">
        <f t="shared" ca="1" si="657"/>
        <v>635.51277678499014</v>
      </c>
      <c r="AG1584">
        <v>635.5</v>
      </c>
      <c r="AI1584">
        <f t="shared" ca="1" si="667"/>
        <v>2.4551684867881564E-3</v>
      </c>
      <c r="AJ1584">
        <v>0</v>
      </c>
      <c r="AK1584">
        <f t="shared" ca="1" si="658"/>
        <v>2.4551684867881564E-3</v>
      </c>
      <c r="AL1584">
        <f t="shared" ca="1" si="666"/>
        <v>5.7452120184493957E-2</v>
      </c>
      <c r="AM1584">
        <f t="shared" ca="1" si="659"/>
        <v>0</v>
      </c>
      <c r="AN1584" t="str">
        <f t="shared" ca="1" si="660"/>
        <v>Subcritical</v>
      </c>
      <c r="AO1584">
        <f ca="1">IF(V34="Supercritical",R1584,AA1584)</f>
        <v>0</v>
      </c>
    </row>
    <row r="1585" spans="1:41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174</v>
      </c>
      <c r="I1585">
        <v>0</v>
      </c>
      <c r="J1585">
        <f t="shared" si="661"/>
        <v>1</v>
      </c>
      <c r="K1585">
        <f t="shared" ca="1" si="662"/>
        <v>0</v>
      </c>
      <c r="L1585">
        <f t="shared" ca="1" si="663"/>
        <v>2.9310031311365043</v>
      </c>
      <c r="M1585">
        <f t="shared" ca="1" si="641"/>
        <v>43.965046967047563</v>
      </c>
      <c r="N1585">
        <f t="shared" ca="1" si="642"/>
        <v>2.1074218085416954</v>
      </c>
      <c r="O1585">
        <f t="shared" ca="1" si="643"/>
        <v>0</v>
      </c>
      <c r="P1585">
        <f t="shared" ca="1" si="644"/>
        <v>631.9090031311365</v>
      </c>
      <c r="Q1585">
        <f t="shared" ca="1" si="645"/>
        <v>631.9090031311365</v>
      </c>
      <c r="R1585">
        <f t="shared" ca="1" si="646"/>
        <v>0</v>
      </c>
      <c r="S1585">
        <f t="shared" ca="1" si="664"/>
        <v>1.5395517823435512E-4</v>
      </c>
      <c r="T1585">
        <f t="shared" ca="1" si="665"/>
        <v>1</v>
      </c>
      <c r="U1585">
        <f t="shared" ca="1" si="647"/>
        <v>6.5346130379638865</v>
      </c>
      <c r="V1585">
        <f t="shared" ca="1" si="648"/>
        <v>98.019195569458304</v>
      </c>
      <c r="W1585">
        <f t="shared" ca="1" si="649"/>
        <v>3.4920519470082496</v>
      </c>
      <c r="X1585">
        <f t="shared" ca="1" si="650"/>
        <v>0</v>
      </c>
      <c r="Y1585">
        <f t="shared" ca="1" si="651"/>
        <v>635.51261303796389</v>
      </c>
      <c r="Z1585">
        <f t="shared" ca="1" si="652"/>
        <v>635.51261303796389</v>
      </c>
      <c r="AA1585">
        <f t="shared" ca="1" si="653"/>
        <v>0</v>
      </c>
      <c r="AB1585">
        <f t="shared" ca="1" si="654"/>
        <v>-9.2789981556506973E-4</v>
      </c>
      <c r="AC1585">
        <f t="shared" ca="1" si="655"/>
        <v>1</v>
      </c>
      <c r="AD1585">
        <f ca="1">IF(V34="Supercritical",L1585,U1585)</f>
        <v>6.5346130379638865</v>
      </c>
      <c r="AE1585">
        <f t="shared" ca="1" si="656"/>
        <v>635.51261303796389</v>
      </c>
      <c r="AF1585">
        <f t="shared" ca="1" si="657"/>
        <v>635.51261303796389</v>
      </c>
      <c r="AG1585">
        <v>635.5</v>
      </c>
      <c r="AI1585">
        <f t="shared" ca="1" si="667"/>
        <v>2.4081219469230322E-3</v>
      </c>
      <c r="AJ1585">
        <v>0</v>
      </c>
      <c r="AK1585">
        <f t="shared" ca="1" si="658"/>
        <v>2.4081219469230322E-3</v>
      </c>
      <c r="AL1585">
        <f t="shared" ca="1" si="666"/>
        <v>5.9860242131416989E-2</v>
      </c>
      <c r="AM1585">
        <f t="shared" ca="1" si="659"/>
        <v>0</v>
      </c>
      <c r="AN1585" t="str">
        <f t="shared" ca="1" si="660"/>
        <v>Subcritical</v>
      </c>
      <c r="AO1585">
        <f ca="1">IF(V34="Supercritical",R1585,AA1585)</f>
        <v>0</v>
      </c>
    </row>
    <row r="1586" spans="1:41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174</v>
      </c>
      <c r="I1586">
        <v>0</v>
      </c>
      <c r="J1586">
        <f t="shared" si="661"/>
        <v>1</v>
      </c>
      <c r="K1586">
        <f t="shared" ca="1" si="662"/>
        <v>0</v>
      </c>
      <c r="L1586">
        <f t="shared" ca="1" si="663"/>
        <v>2.9300725656411144</v>
      </c>
      <c r="M1586">
        <f t="shared" ca="1" si="641"/>
        <v>43.951088484616719</v>
      </c>
      <c r="N1586">
        <f t="shared" ca="1" si="642"/>
        <v>2.1069406855998771</v>
      </c>
      <c r="O1586">
        <f t="shared" ca="1" si="643"/>
        <v>0</v>
      </c>
      <c r="P1586">
        <f t="shared" ca="1" si="644"/>
        <v>631.90807256564108</v>
      </c>
      <c r="Q1586">
        <f t="shared" ca="1" si="645"/>
        <v>631.90807256564108</v>
      </c>
      <c r="R1586">
        <f t="shared" ca="1" si="646"/>
        <v>0</v>
      </c>
      <c r="S1586">
        <f t="shared" ca="1" si="664"/>
        <v>9.3056549542325229E-4</v>
      </c>
      <c r="T1586">
        <f t="shared" ca="1" si="665"/>
        <v>1</v>
      </c>
      <c r="U1586">
        <f t="shared" ca="1" si="647"/>
        <v>6.5336851381483454</v>
      </c>
      <c r="V1586">
        <f t="shared" ca="1" si="648"/>
        <v>98.005277072225184</v>
      </c>
      <c r="W1586">
        <f t="shared" ca="1" si="649"/>
        <v>3.4917869436094655</v>
      </c>
      <c r="X1586">
        <f t="shared" ca="1" si="650"/>
        <v>0</v>
      </c>
      <c r="Y1586">
        <f t="shared" ca="1" si="651"/>
        <v>635.51168513814832</v>
      </c>
      <c r="Z1586">
        <f t="shared" ca="1" si="652"/>
        <v>635.51168513814832</v>
      </c>
      <c r="AA1586">
        <f t="shared" ca="1" si="653"/>
        <v>0</v>
      </c>
      <c r="AB1586">
        <f t="shared" ca="1" si="654"/>
        <v>-1.5170007691267529E-4</v>
      </c>
      <c r="AC1586">
        <f t="shared" ca="1" si="655"/>
        <v>1</v>
      </c>
      <c r="AD1586">
        <f ca="1">IF(V34="Supercritical",L1586,U1586)</f>
        <v>6.5336851381483454</v>
      </c>
      <c r="AE1586">
        <f t="shared" ca="1" si="656"/>
        <v>635.51168513814832</v>
      </c>
      <c r="AF1586">
        <f t="shared" ca="1" si="657"/>
        <v>635.51168513814832</v>
      </c>
      <c r="AG1586">
        <v>635.5</v>
      </c>
      <c r="AI1586">
        <f t="shared" ca="1" si="667"/>
        <v>2.1473344827389719E-3</v>
      </c>
      <c r="AJ1586">
        <v>0</v>
      </c>
      <c r="AK1586">
        <f t="shared" ca="1" si="658"/>
        <v>2.1473344827389719E-3</v>
      </c>
      <c r="AL1586">
        <f t="shared" ca="1" si="666"/>
        <v>6.2007576614155964E-2</v>
      </c>
      <c r="AM1586">
        <f t="shared" ca="1" si="659"/>
        <v>0</v>
      </c>
      <c r="AN1586" t="str">
        <f t="shared" ca="1" si="660"/>
        <v>Subcritical</v>
      </c>
      <c r="AO1586">
        <f ca="1">IF(V34="Supercritical",R1586,AA1586)</f>
        <v>0</v>
      </c>
    </row>
    <row r="1587" spans="1:41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174</v>
      </c>
      <c r="I1587">
        <v>0</v>
      </c>
      <c r="J1587">
        <f t="shared" si="661"/>
        <v>1</v>
      </c>
      <c r="K1587">
        <f t="shared" ca="1" si="662"/>
        <v>0</v>
      </c>
      <c r="L1587">
        <f t="shared" ca="1" si="663"/>
        <v>2.9299083482007346</v>
      </c>
      <c r="M1587">
        <f t="shared" ca="1" si="641"/>
        <v>43.948625223011021</v>
      </c>
      <c r="N1587">
        <f t="shared" ca="1" si="642"/>
        <v>2.1068557726392969</v>
      </c>
      <c r="O1587">
        <f t="shared" ca="1" si="643"/>
        <v>0</v>
      </c>
      <c r="P1587">
        <f t="shared" ca="1" si="644"/>
        <v>631.90790834820064</v>
      </c>
      <c r="Q1587">
        <f t="shared" ca="1" si="645"/>
        <v>631.90790834820064</v>
      </c>
      <c r="R1587">
        <f t="shared" ca="1" si="646"/>
        <v>0</v>
      </c>
      <c r="S1587">
        <f t="shared" ca="1" si="664"/>
        <v>1.642174404423713E-4</v>
      </c>
      <c r="T1587">
        <f t="shared" ca="1" si="665"/>
        <v>1</v>
      </c>
      <c r="U1587">
        <f t="shared" ca="1" si="647"/>
        <v>6.5335334380714443</v>
      </c>
      <c r="V1587">
        <f t="shared" ca="1" si="648"/>
        <v>98.003001571071664</v>
      </c>
      <c r="W1587">
        <f t="shared" ca="1" si="649"/>
        <v>3.491743615517394</v>
      </c>
      <c r="X1587">
        <f t="shared" ca="1" si="650"/>
        <v>0</v>
      </c>
      <c r="Y1587">
        <f t="shared" ca="1" si="651"/>
        <v>635.51153343807141</v>
      </c>
      <c r="Z1587">
        <f t="shared" ca="1" si="652"/>
        <v>635.51153343807141</v>
      </c>
      <c r="AA1587">
        <f t="shared" ca="1" si="653"/>
        <v>0</v>
      </c>
      <c r="AB1587">
        <f t="shared" ca="1" si="654"/>
        <v>-8.5963376909603539E-4</v>
      </c>
      <c r="AC1587">
        <f t="shared" ca="1" si="655"/>
        <v>1</v>
      </c>
      <c r="AD1587">
        <f ca="1">IF(V34="Supercritical",L1587,U1587)</f>
        <v>6.5335334380714443</v>
      </c>
      <c r="AE1587">
        <f t="shared" ca="1" si="656"/>
        <v>635.51153343807141</v>
      </c>
      <c r="AF1587">
        <f t="shared" ca="1" si="657"/>
        <v>635.51153343807141</v>
      </c>
      <c r="AG1587">
        <v>635.5</v>
      </c>
      <c r="AI1587">
        <f t="shared" ca="1" si="667"/>
        <v>2.1056544545900321E-3</v>
      </c>
      <c r="AJ1587">
        <v>0</v>
      </c>
      <c r="AK1587">
        <f t="shared" ca="1" si="658"/>
        <v>2.1056544545900321E-3</v>
      </c>
      <c r="AL1587">
        <f t="shared" ca="1" si="666"/>
        <v>6.4113231068746002E-2</v>
      </c>
      <c r="AM1587">
        <f t="shared" ca="1" si="659"/>
        <v>0</v>
      </c>
      <c r="AN1587" t="str">
        <f t="shared" ca="1" si="660"/>
        <v>Subcritical</v>
      </c>
      <c r="AO1587">
        <f ca="1">IF(V34="Supercritical",R1587,AA1587)</f>
        <v>0</v>
      </c>
    </row>
    <row r="1588" spans="1:41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174</v>
      </c>
      <c r="I1588">
        <v>0</v>
      </c>
      <c r="J1588">
        <f t="shared" si="661"/>
        <v>1</v>
      </c>
      <c r="K1588">
        <f t="shared" ca="1" si="662"/>
        <v>0</v>
      </c>
      <c r="L1588">
        <f t="shared" ca="1" si="663"/>
        <v>2.9289713406421489</v>
      </c>
      <c r="M1588">
        <f t="shared" ca="1" si="641"/>
        <v>43.934570109632233</v>
      </c>
      <c r="N1588">
        <f t="shared" ca="1" si="642"/>
        <v>2.1063712169970841</v>
      </c>
      <c r="O1588">
        <f t="shared" ca="1" si="643"/>
        <v>0</v>
      </c>
      <c r="P1588">
        <f t="shared" ca="1" si="644"/>
        <v>631.90697134064214</v>
      </c>
      <c r="Q1588">
        <f t="shared" ca="1" si="645"/>
        <v>631.90697134064214</v>
      </c>
      <c r="R1588">
        <f t="shared" ca="1" si="646"/>
        <v>0</v>
      </c>
      <c r="S1588">
        <f t="shared" ca="1" si="664"/>
        <v>9.3700755849113193E-4</v>
      </c>
      <c r="T1588">
        <f t="shared" ca="1" si="665"/>
        <v>1</v>
      </c>
      <c r="U1588">
        <f t="shared" ca="1" si="647"/>
        <v>6.5326738043023083</v>
      </c>
      <c r="V1588">
        <f t="shared" ca="1" si="648"/>
        <v>97.990107064534627</v>
      </c>
      <c r="W1588">
        <f t="shared" ca="1" si="649"/>
        <v>3.4914980719672832</v>
      </c>
      <c r="X1588">
        <f t="shared" ca="1" si="650"/>
        <v>0</v>
      </c>
      <c r="Y1588">
        <f t="shared" ca="1" si="651"/>
        <v>635.51067380430231</v>
      </c>
      <c r="Z1588">
        <f t="shared" ca="1" si="652"/>
        <v>635.51067380430231</v>
      </c>
      <c r="AA1588">
        <f t="shared" ca="1" si="653"/>
        <v>0</v>
      </c>
      <c r="AB1588">
        <f t="shared" ca="1" si="654"/>
        <v>-1.5468807600882428E-4</v>
      </c>
      <c r="AC1588">
        <f t="shared" ca="1" si="655"/>
        <v>1</v>
      </c>
      <c r="AD1588">
        <f ca="1">IF(V34="Supercritical",L1588,U1588)</f>
        <v>6.5326738043023083</v>
      </c>
      <c r="AE1588">
        <f t="shared" ca="1" si="656"/>
        <v>635.51067380430231</v>
      </c>
      <c r="AF1588">
        <f t="shared" ca="1" si="657"/>
        <v>635.51067380430231</v>
      </c>
      <c r="AG1588">
        <v>635.5</v>
      </c>
      <c r="AI1588">
        <f t="shared" ca="1" si="667"/>
        <v>1.8746827162559345E-3</v>
      </c>
      <c r="AJ1588">
        <v>0</v>
      </c>
      <c r="AK1588">
        <f t="shared" ca="1" si="658"/>
        <v>1.8746827162559345E-3</v>
      </c>
      <c r="AL1588">
        <f t="shared" ca="1" si="666"/>
        <v>6.5987913785001934E-2</v>
      </c>
      <c r="AM1588">
        <f t="shared" ca="1" si="659"/>
        <v>0</v>
      </c>
      <c r="AN1588" t="str">
        <f t="shared" ca="1" si="660"/>
        <v>Subcritical</v>
      </c>
      <c r="AO1588">
        <f ca="1">IF(V34="Supercritical",R1588,AA1588)</f>
        <v>0</v>
      </c>
    </row>
    <row r="1589" spans="1:41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174</v>
      </c>
      <c r="I1589">
        <v>0</v>
      </c>
      <c r="J1589">
        <f t="shared" si="661"/>
        <v>1</v>
      </c>
      <c r="K1589">
        <f t="shared" ca="1" si="662"/>
        <v>0</v>
      </c>
      <c r="L1589">
        <f t="shared" ca="1" si="663"/>
        <v>2.928805986367117</v>
      </c>
      <c r="M1589">
        <f t="shared" ca="1" si="641"/>
        <v>43.932089795506755</v>
      </c>
      <c r="N1589">
        <f t="shared" ca="1" si="642"/>
        <v>2.1062856981391853</v>
      </c>
      <c r="O1589">
        <f t="shared" ca="1" si="643"/>
        <v>0</v>
      </c>
      <c r="P1589">
        <f t="shared" ca="1" si="644"/>
        <v>631.90680598636709</v>
      </c>
      <c r="Q1589">
        <f t="shared" ca="1" si="645"/>
        <v>631.90680598636709</v>
      </c>
      <c r="R1589">
        <f t="shared" ca="1" si="646"/>
        <v>0</v>
      </c>
      <c r="S1589">
        <f t="shared" ca="1" si="664"/>
        <v>1.6535427505459666E-4</v>
      </c>
      <c r="T1589">
        <f t="shared" ca="1" si="665"/>
        <v>1</v>
      </c>
      <c r="U1589">
        <f t="shared" ca="1" si="647"/>
        <v>6.5325191162263616</v>
      </c>
      <c r="V1589">
        <f t="shared" ca="1" si="648"/>
        <v>97.987786743395418</v>
      </c>
      <c r="W1589">
        <f t="shared" ca="1" si="649"/>
        <v>3.4914538840744651</v>
      </c>
      <c r="X1589">
        <f t="shared" ca="1" si="650"/>
        <v>0</v>
      </c>
      <c r="Y1589">
        <f t="shared" ca="1" si="651"/>
        <v>635.51051911622631</v>
      </c>
      <c r="Z1589">
        <f t="shared" ca="1" si="652"/>
        <v>635.51051911622631</v>
      </c>
      <c r="AA1589">
        <f t="shared" ca="1" si="653"/>
        <v>0</v>
      </c>
      <c r="AB1589">
        <f t="shared" ca="1" si="654"/>
        <v>-8.7656576363315253E-4</v>
      </c>
      <c r="AC1589">
        <f t="shared" ca="1" si="655"/>
        <v>1</v>
      </c>
      <c r="AD1589">
        <f ca="1">IF(V34="Supercritical",L1589,U1589)</f>
        <v>6.5325191162263616</v>
      </c>
      <c r="AE1589">
        <f t="shared" ca="1" si="656"/>
        <v>635.51051911622631</v>
      </c>
      <c r="AF1589">
        <f t="shared" ca="1" si="657"/>
        <v>635.51051911622631</v>
      </c>
      <c r="AG1589">
        <v>635.5</v>
      </c>
      <c r="AI1589">
        <f t="shared" ca="1" si="667"/>
        <v>1.8340780017672108E-3</v>
      </c>
      <c r="AJ1589">
        <v>0</v>
      </c>
      <c r="AK1589">
        <f t="shared" ca="1" si="658"/>
        <v>1.8340780017672108E-3</v>
      </c>
      <c r="AL1589">
        <f t="shared" ca="1" si="666"/>
        <v>6.7821991786769148E-2</v>
      </c>
      <c r="AM1589">
        <f t="shared" ca="1" si="659"/>
        <v>0</v>
      </c>
      <c r="AN1589" t="str">
        <f t="shared" ca="1" si="660"/>
        <v>Subcritical</v>
      </c>
      <c r="AO1589">
        <f ca="1">IF(V34="Supercritical",R1589,AA1589)</f>
        <v>0</v>
      </c>
    </row>
    <row r="1590" spans="1:41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174</v>
      </c>
      <c r="I1590">
        <v>0</v>
      </c>
      <c r="J1590">
        <f t="shared" si="661"/>
        <v>1</v>
      </c>
      <c r="K1590">
        <f t="shared" ca="1" si="662"/>
        <v>0</v>
      </c>
      <c r="L1590">
        <f t="shared" ca="1" si="663"/>
        <v>3.5111850523488979</v>
      </c>
      <c r="M1590">
        <f t="shared" ca="1" si="641"/>
        <v>51.179033323037537</v>
      </c>
      <c r="N1590">
        <f t="shared" ca="1" si="642"/>
        <v>2.3695784948099274</v>
      </c>
      <c r="O1590">
        <f t="shared" ca="1" si="643"/>
        <v>0</v>
      </c>
      <c r="P1590">
        <f t="shared" ca="1" si="644"/>
        <v>631.90588505234882</v>
      </c>
      <c r="Q1590">
        <f t="shared" ca="1" si="645"/>
        <v>631.90588505234882</v>
      </c>
      <c r="R1590">
        <f t="shared" ca="1" si="646"/>
        <v>0</v>
      </c>
      <c r="S1590">
        <f t="shared" ca="1" si="664"/>
        <v>9.2093401826787158E-4</v>
      </c>
      <c r="T1590">
        <f t="shared" ca="1" si="665"/>
        <v>1</v>
      </c>
      <c r="U1590">
        <f t="shared" ca="1" si="647"/>
        <v>7.1149425504627404</v>
      </c>
      <c r="V1590">
        <f t="shared" ca="1" si="648"/>
        <v>103.70740261554491</v>
      </c>
      <c r="W1590">
        <f t="shared" ca="1" si="649"/>
        <v>3.6002157979937572</v>
      </c>
      <c r="X1590">
        <f t="shared" ca="1" si="650"/>
        <v>0</v>
      </c>
      <c r="Y1590">
        <f t="shared" ca="1" si="651"/>
        <v>635.50964255046267</v>
      </c>
      <c r="Z1590">
        <f t="shared" ca="1" si="652"/>
        <v>635.50964255046267</v>
      </c>
      <c r="AA1590">
        <f t="shared" ca="1" si="653"/>
        <v>0</v>
      </c>
      <c r="AB1590">
        <f t="shared" ca="1" si="654"/>
        <v>-8.7671594690164056E-4</v>
      </c>
      <c r="AC1590">
        <f t="shared" ca="1" si="655"/>
        <v>1</v>
      </c>
      <c r="AD1590">
        <f ca="1">IF(V34="Supercritical",L1590,U1590)</f>
        <v>7.1149425504627404</v>
      </c>
      <c r="AE1590">
        <f t="shared" ca="1" si="656"/>
        <v>635.50964255046267</v>
      </c>
      <c r="AF1590">
        <f t="shared" ca="1" si="657"/>
        <v>635.50964255046267</v>
      </c>
      <c r="AG1590">
        <v>635.5</v>
      </c>
      <c r="AI1590">
        <f t="shared" ca="1" si="667"/>
        <v>1.609669821644427E-3</v>
      </c>
      <c r="AJ1590">
        <v>0</v>
      </c>
      <c r="AK1590">
        <f t="shared" ca="1" si="658"/>
        <v>1.609669821644427E-3</v>
      </c>
      <c r="AL1590">
        <f t="shared" ca="1" si="666"/>
        <v>6.9431661608413575E-2</v>
      </c>
      <c r="AM1590">
        <f t="shared" ca="1" si="659"/>
        <v>0</v>
      </c>
      <c r="AN1590" t="str">
        <f t="shared" ca="1" si="660"/>
        <v>Subcritical</v>
      </c>
      <c r="AO1590">
        <f ca="1">IF(V34="Supercritical",R1590,AA1590)</f>
        <v>0</v>
      </c>
    </row>
    <row r="1591" spans="1:41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174</v>
      </c>
      <c r="I1591">
        <v>0</v>
      </c>
      <c r="J1591">
        <f t="shared" si="661"/>
        <v>1</v>
      </c>
      <c r="K1591">
        <f t="shared" ca="1" si="662"/>
        <v>0</v>
      </c>
      <c r="L1591">
        <f t="shared" ca="1" si="663"/>
        <v>4.0937083225636313</v>
      </c>
      <c r="M1591">
        <f t="shared" ca="1" si="641"/>
        <v>55.576184187123857</v>
      </c>
      <c r="N1591">
        <f t="shared" ca="1" si="642"/>
        <v>2.5536516206689965</v>
      </c>
      <c r="O1591">
        <f t="shared" ca="1" si="643"/>
        <v>0</v>
      </c>
      <c r="P1591">
        <f t="shared" ca="1" si="644"/>
        <v>631.90500832256362</v>
      </c>
      <c r="Q1591">
        <f t="shared" ca="1" si="645"/>
        <v>631.90500832256362</v>
      </c>
      <c r="R1591">
        <f t="shared" ca="1" si="646"/>
        <v>0</v>
      </c>
      <c r="S1591">
        <f t="shared" ca="1" si="664"/>
        <v>8.7672978520458855E-4</v>
      </c>
      <c r="T1591">
        <f t="shared" ca="1" si="665"/>
        <v>1</v>
      </c>
      <c r="U1591">
        <f t="shared" ca="1" si="647"/>
        <v>7.6974658345158185</v>
      </c>
      <c r="V1591">
        <f t="shared" ca="1" si="648"/>
        <v>104.50079616938676</v>
      </c>
      <c r="W1591">
        <f t="shared" ca="1" si="649"/>
        <v>3.6070913204732205</v>
      </c>
      <c r="X1591">
        <f t="shared" ca="1" si="650"/>
        <v>0</v>
      </c>
      <c r="Y1591">
        <f t="shared" ca="1" si="651"/>
        <v>635.50876583451577</v>
      </c>
      <c r="Z1591">
        <f t="shared" ca="1" si="652"/>
        <v>635.50876583451577</v>
      </c>
      <c r="AA1591">
        <f t="shared" ca="1" si="653"/>
        <v>0</v>
      </c>
      <c r="AB1591">
        <f t="shared" ca="1" si="654"/>
        <v>-8.7656571679417539E-4</v>
      </c>
      <c r="AC1591">
        <f t="shared" ca="1" si="655"/>
        <v>1</v>
      </c>
      <c r="AD1591">
        <f ca="1">IF(V34="Supercritical",L1591,U1591)</f>
        <v>7.6974658345158185</v>
      </c>
      <c r="AE1591">
        <f t="shared" ca="1" si="656"/>
        <v>635.50876583451577</v>
      </c>
      <c r="AF1591">
        <f t="shared" ca="1" si="657"/>
        <v>635.50876583451577</v>
      </c>
      <c r="AG1591">
        <v>635.5</v>
      </c>
      <c r="AI1591">
        <f t="shared" ca="1" si="667"/>
        <v>1.3952075664422085E-3</v>
      </c>
      <c r="AJ1591">
        <v>0</v>
      </c>
      <c r="AK1591">
        <f t="shared" ca="1" si="658"/>
        <v>1.3952075664422085E-3</v>
      </c>
      <c r="AL1591">
        <f t="shared" ca="1" si="666"/>
        <v>7.0826869174855783E-2</v>
      </c>
      <c r="AM1591">
        <f t="shared" ca="1" si="659"/>
        <v>0</v>
      </c>
      <c r="AN1591" t="str">
        <f t="shared" ca="1" si="660"/>
        <v>Subcritical</v>
      </c>
      <c r="AO1591">
        <f ca="1">IF(V34="Supercritical",R1591,AA1591)</f>
        <v>0</v>
      </c>
    </row>
    <row r="1592" spans="1:41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174</v>
      </c>
      <c r="I1592">
        <v>0</v>
      </c>
      <c r="J1592">
        <f t="shared" si="661"/>
        <v>1</v>
      </c>
      <c r="K1592">
        <f t="shared" ca="1" si="662"/>
        <v>0</v>
      </c>
      <c r="L1592">
        <f t="shared" ca="1" si="663"/>
        <v>4.6761317567956908</v>
      </c>
      <c r="M1592">
        <f t="shared" ca="1" si="641"/>
        <v>58.807032973462611</v>
      </c>
      <c r="N1592">
        <f t="shared" ca="1" si="642"/>
        <v>2.6817916036540401</v>
      </c>
      <c r="O1592">
        <f t="shared" ca="1" si="643"/>
        <v>0</v>
      </c>
      <c r="P1592">
        <f t="shared" ca="1" si="644"/>
        <v>631.90413175679566</v>
      </c>
      <c r="Q1592">
        <f t="shared" ca="1" si="645"/>
        <v>631.90413175679566</v>
      </c>
      <c r="R1592">
        <f t="shared" ca="1" si="646"/>
        <v>0</v>
      </c>
      <c r="S1592">
        <f t="shared" ca="1" si="664"/>
        <v>8.7656576795325236E-4</v>
      </c>
      <c r="T1592">
        <f t="shared" ca="1" si="665"/>
        <v>1</v>
      </c>
      <c r="U1592">
        <f t="shared" ca="1" si="647"/>
        <v>8.2798892687990389</v>
      </c>
      <c r="V1592">
        <f t="shared" ca="1" si="648"/>
        <v>104.12788744441671</v>
      </c>
      <c r="W1592">
        <f t="shared" ca="1" si="649"/>
        <v>3.5738838181394588</v>
      </c>
      <c r="X1592">
        <f t="shared" ca="1" si="650"/>
        <v>0</v>
      </c>
      <c r="Y1592">
        <f t="shared" ca="1" si="651"/>
        <v>635.50788926879898</v>
      </c>
      <c r="Z1592">
        <f t="shared" ca="1" si="652"/>
        <v>635.50788926879898</v>
      </c>
      <c r="AA1592">
        <f t="shared" ca="1" si="653"/>
        <v>0</v>
      </c>
      <c r="AB1592">
        <f t="shared" ca="1" si="654"/>
        <v>-8.7656576363315253E-4</v>
      </c>
      <c r="AC1592">
        <f t="shared" ca="1" si="655"/>
        <v>1</v>
      </c>
      <c r="AD1592">
        <f ca="1">IF(V34="Supercritical",L1592,U1592)</f>
        <v>8.2798892687990389</v>
      </c>
      <c r="AE1592">
        <f t="shared" ca="1" si="656"/>
        <v>635.50788926879898</v>
      </c>
      <c r="AF1592">
        <f t="shared" ca="1" si="657"/>
        <v>635.50788926879898</v>
      </c>
      <c r="AG1592">
        <v>635.5</v>
      </c>
      <c r="AI1592">
        <f t="shared" ca="1" si="667"/>
        <v>1.1912531208745011E-3</v>
      </c>
      <c r="AJ1592">
        <v>0</v>
      </c>
      <c r="AK1592">
        <f t="shared" ca="1" si="658"/>
        <v>1.1912531208745011E-3</v>
      </c>
      <c r="AL1592">
        <f t="shared" ca="1" si="666"/>
        <v>7.2018122295730291E-2</v>
      </c>
      <c r="AM1592">
        <f t="shared" ca="1" si="659"/>
        <v>0</v>
      </c>
      <c r="AN1592" t="str">
        <f t="shared" ca="1" si="660"/>
        <v>Subcritical</v>
      </c>
      <c r="AO1592">
        <f ca="1">IF(V34="Supercritical",R1592,AA1592)</f>
        <v>0</v>
      </c>
    </row>
    <row r="1593" spans="1:41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174</v>
      </c>
      <c r="I1593">
        <v>0</v>
      </c>
      <c r="J1593">
        <f t="shared" si="661"/>
        <v>1</v>
      </c>
      <c r="K1593">
        <f t="shared" ca="1" si="662"/>
        <v>0</v>
      </c>
      <c r="L1593">
        <f t="shared" ca="1" si="663"/>
        <v>5.258555191078913</v>
      </c>
      <c r="M1593">
        <f t="shared" ca="1" si="641"/>
        <v>60.8730348919295</v>
      </c>
      <c r="N1593">
        <f t="shared" ca="1" si="642"/>
        <v>2.755294924027083</v>
      </c>
      <c r="O1593">
        <f t="shared" ca="1" si="643"/>
        <v>0</v>
      </c>
      <c r="P1593">
        <f t="shared" ca="1" si="644"/>
        <v>631.90325519107887</v>
      </c>
      <c r="Q1593">
        <f t="shared" ca="1" si="645"/>
        <v>631.90325519107887</v>
      </c>
      <c r="R1593">
        <f t="shared" ca="1" si="646"/>
        <v>0</v>
      </c>
      <c r="S1593">
        <f t="shared" ca="1" si="664"/>
        <v>8.7656571679417539E-4</v>
      </c>
      <c r="T1593">
        <f t="shared" ca="1" si="665"/>
        <v>1</v>
      </c>
      <c r="U1593">
        <f t="shared" ca="1" si="647"/>
        <v>8.8623127030354034</v>
      </c>
      <c r="V1593">
        <f t="shared" ca="1" si="648"/>
        <v>102.59013185033784</v>
      </c>
      <c r="W1593">
        <f t="shared" ca="1" si="649"/>
        <v>3.501294952874356</v>
      </c>
      <c r="X1593">
        <f t="shared" ca="1" si="650"/>
        <v>0</v>
      </c>
      <c r="Y1593">
        <f t="shared" ca="1" si="651"/>
        <v>635.50701270303534</v>
      </c>
      <c r="Z1593">
        <f t="shared" ca="1" si="652"/>
        <v>635.50701270303534</v>
      </c>
      <c r="AA1593">
        <f t="shared" ca="1" si="653"/>
        <v>0</v>
      </c>
      <c r="AB1593">
        <f t="shared" ca="1" si="654"/>
        <v>-8.7671594690164056E-4</v>
      </c>
      <c r="AC1593">
        <f t="shared" ca="1" si="655"/>
        <v>1</v>
      </c>
      <c r="AD1593">
        <f ca="1">IF(V34="Supercritical",L1593,U1593)</f>
        <v>8.8623127030354034</v>
      </c>
      <c r="AE1593">
        <f t="shared" ca="1" si="656"/>
        <v>635.50701270303534</v>
      </c>
      <c r="AF1593">
        <f t="shared" ca="1" si="657"/>
        <v>635.50701270303534</v>
      </c>
      <c r="AG1593">
        <v>635.5</v>
      </c>
      <c r="AI1593">
        <f t="shared" ca="1" si="667"/>
        <v>9.9833683183516873E-4</v>
      </c>
      <c r="AJ1593">
        <v>0</v>
      </c>
      <c r="AK1593">
        <f t="shared" ca="1" si="658"/>
        <v>9.9833683183516873E-4</v>
      </c>
      <c r="AL1593">
        <f t="shared" ca="1" si="666"/>
        <v>7.3016459127565464E-2</v>
      </c>
      <c r="AM1593">
        <f t="shared" ca="1" si="659"/>
        <v>0</v>
      </c>
      <c r="AN1593" t="str">
        <f t="shared" ca="1" si="660"/>
        <v>Subcritical</v>
      </c>
      <c r="AO1593">
        <f ca="1">IF(V34="Supercritical",R1593,AA1593)</f>
        <v>0</v>
      </c>
    </row>
    <row r="1594" spans="1:41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174</v>
      </c>
      <c r="I1594">
        <v>0</v>
      </c>
      <c r="J1594">
        <f t="shared" si="661"/>
        <v>1</v>
      </c>
      <c r="K1594">
        <f t="shared" ca="1" si="662"/>
        <v>0</v>
      </c>
      <c r="L1594">
        <f t="shared" ca="1" si="663"/>
        <v>5.841078475132008</v>
      </c>
      <c r="M1594">
        <f t="shared" ca="1" si="641"/>
        <v>61.775245952996116</v>
      </c>
      <c r="N1594">
        <f t="shared" ca="1" si="642"/>
        <v>2.7753980750083338</v>
      </c>
      <c r="O1594">
        <f t="shared" ca="1" si="643"/>
        <v>0</v>
      </c>
      <c r="P1594">
        <f t="shared" ca="1" si="644"/>
        <v>631.90237847513197</v>
      </c>
      <c r="Q1594">
        <f t="shared" ca="1" si="645"/>
        <v>631.90237847513197</v>
      </c>
      <c r="R1594">
        <f t="shared" ca="1" si="646"/>
        <v>0</v>
      </c>
      <c r="S1594">
        <f t="shared" ca="1" si="664"/>
        <v>8.7671594690164056E-4</v>
      </c>
      <c r="T1594">
        <f t="shared" ca="1" si="665"/>
        <v>1</v>
      </c>
      <c r="U1594">
        <f t="shared" ca="1" si="647"/>
        <v>9.444835987088501</v>
      </c>
      <c r="V1594">
        <f t="shared" ca="1" si="648"/>
        <v>99.88858539944799</v>
      </c>
      <c r="W1594">
        <f t="shared" ca="1" si="649"/>
        <v>3.3899985544869948</v>
      </c>
      <c r="X1594">
        <f t="shared" ca="1" si="650"/>
        <v>0</v>
      </c>
      <c r="Y1594">
        <f t="shared" ca="1" si="651"/>
        <v>635.50613598708844</v>
      </c>
      <c r="Z1594">
        <f t="shared" ca="1" si="652"/>
        <v>635.50613598708844</v>
      </c>
      <c r="AA1594">
        <f t="shared" ca="1" si="653"/>
        <v>0</v>
      </c>
      <c r="AB1594">
        <f t="shared" ca="1" si="654"/>
        <v>-8.7656571679417539E-4</v>
      </c>
      <c r="AC1594">
        <f t="shared" ca="1" si="655"/>
        <v>1</v>
      </c>
      <c r="AD1594">
        <f ca="1">IF(V34="Supercritical",L1594,U1594)</f>
        <v>9.444835987088501</v>
      </c>
      <c r="AE1594">
        <f t="shared" ca="1" si="656"/>
        <v>635.50613598708844</v>
      </c>
      <c r="AF1594">
        <f t="shared" ca="1" si="657"/>
        <v>635.50613598708844</v>
      </c>
      <c r="AG1594">
        <v>635.5</v>
      </c>
      <c r="AI1594">
        <f t="shared" ca="1" si="667"/>
        <v>8.1710068955991933E-4</v>
      </c>
      <c r="AJ1594">
        <v>0</v>
      </c>
      <c r="AK1594">
        <f t="shared" ca="1" si="658"/>
        <v>8.1710068955991933E-4</v>
      </c>
      <c r="AL1594">
        <f t="shared" ca="1" si="666"/>
        <v>7.3833559817125388E-2</v>
      </c>
      <c r="AM1594">
        <f t="shared" ca="1" si="659"/>
        <v>0</v>
      </c>
      <c r="AN1594" t="str">
        <f t="shared" ca="1" si="660"/>
        <v>Subcritical</v>
      </c>
      <c r="AO1594">
        <f ca="1">IF(V34="Supercritical",R1594,AA1594)</f>
        <v>0</v>
      </c>
    </row>
    <row r="1595" spans="1:41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174</v>
      </c>
      <c r="I1595">
        <v>0</v>
      </c>
      <c r="J1595">
        <f t="shared" si="661"/>
        <v>1</v>
      </c>
      <c r="K1595">
        <f t="shared" ca="1" si="662"/>
        <v>0</v>
      </c>
      <c r="L1595">
        <f t="shared" ca="1" si="663"/>
        <v>6.423501909368369</v>
      </c>
      <c r="M1595">
        <f t="shared" ca="1" si="641"/>
        <v>65.211391383907682</v>
      </c>
      <c r="N1595">
        <f t="shared" ca="1" si="642"/>
        <v>2.8354006937805507</v>
      </c>
      <c r="O1595">
        <f t="shared" ca="1" si="643"/>
        <v>0</v>
      </c>
      <c r="P1595">
        <f t="shared" ca="1" si="644"/>
        <v>631.90150190936833</v>
      </c>
      <c r="Q1595">
        <f t="shared" ca="1" si="645"/>
        <v>631.90150190936833</v>
      </c>
      <c r="R1595">
        <f t="shared" ca="1" si="646"/>
        <v>0</v>
      </c>
      <c r="S1595">
        <f t="shared" ca="1" si="664"/>
        <v>8.7656576363315253E-4</v>
      </c>
      <c r="T1595">
        <f t="shared" ca="1" si="665"/>
        <v>1</v>
      </c>
      <c r="U1595">
        <f t="shared" ca="1" si="647"/>
        <v>10.027259421371705</v>
      </c>
      <c r="V1595">
        <f t="shared" ca="1" si="648"/>
        <v>101.79673764576553</v>
      </c>
      <c r="W1595">
        <f t="shared" ca="1" si="649"/>
        <v>3.3700254629050193</v>
      </c>
      <c r="X1595">
        <f t="shared" ca="1" si="650"/>
        <v>0</v>
      </c>
      <c r="Y1595">
        <f t="shared" ca="1" si="651"/>
        <v>635.50525942137165</v>
      </c>
      <c r="Z1595">
        <f t="shared" ca="1" si="652"/>
        <v>635.50525942137165</v>
      </c>
      <c r="AA1595">
        <f t="shared" ca="1" si="653"/>
        <v>0</v>
      </c>
      <c r="AB1595">
        <f t="shared" ca="1" si="654"/>
        <v>-8.7656576363315253E-4</v>
      </c>
      <c r="AC1595">
        <f t="shared" ca="1" si="655"/>
        <v>1</v>
      </c>
      <c r="AD1595">
        <f ca="1">IF(V34="Supercritical",L1595,U1595)</f>
        <v>10.027259421371705</v>
      </c>
      <c r="AE1595">
        <f t="shared" ca="1" si="656"/>
        <v>635.50525942137165</v>
      </c>
      <c r="AF1595">
        <f t="shared" ca="1" si="657"/>
        <v>635.50525942137165</v>
      </c>
      <c r="AG1595">
        <v>635.5</v>
      </c>
      <c r="AI1595">
        <f t="shared" ca="1" si="667"/>
        <v>6.4841920826193711E-4</v>
      </c>
      <c r="AJ1595">
        <v>0</v>
      </c>
      <c r="AK1595">
        <f t="shared" ca="1" si="658"/>
        <v>6.4841920826193711E-4</v>
      </c>
      <c r="AL1595">
        <f t="shared" ca="1" si="666"/>
        <v>7.4481979025387321E-2</v>
      </c>
      <c r="AM1595">
        <f t="shared" ca="1" si="659"/>
        <v>0</v>
      </c>
      <c r="AN1595" t="str">
        <f t="shared" ca="1" si="660"/>
        <v>Subcritical</v>
      </c>
      <c r="AO1595">
        <f ca="1">IF(V34="Supercritical",R1595,AA1595)</f>
        <v>0</v>
      </c>
    </row>
    <row r="1596" spans="1:41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174</v>
      </c>
      <c r="I1596">
        <v>0</v>
      </c>
      <c r="J1596">
        <f t="shared" si="661"/>
        <v>1</v>
      </c>
      <c r="K1596">
        <f t="shared" ca="1" si="662"/>
        <v>0</v>
      </c>
      <c r="L1596">
        <f t="shared" ca="1" si="663"/>
        <v>7.0059253436515903</v>
      </c>
      <c r="M1596">
        <f t="shared" ca="1" si="641"/>
        <v>63.697873224480261</v>
      </c>
      <c r="N1596">
        <f t="shared" ca="1" si="642"/>
        <v>2.7570241033234213</v>
      </c>
      <c r="O1596">
        <f t="shared" ca="1" si="643"/>
        <v>0</v>
      </c>
      <c r="P1596">
        <f t="shared" ca="1" si="644"/>
        <v>631.90062534365154</v>
      </c>
      <c r="Q1596">
        <f t="shared" ca="1" si="645"/>
        <v>631.90062534365154</v>
      </c>
      <c r="R1596">
        <f t="shared" ca="1" si="646"/>
        <v>0</v>
      </c>
      <c r="S1596">
        <f t="shared" ca="1" si="664"/>
        <v>8.7656571679417539E-4</v>
      </c>
      <c r="T1596">
        <f t="shared" ca="1" si="665"/>
        <v>1</v>
      </c>
      <c r="U1596">
        <f t="shared" ca="1" si="647"/>
        <v>10.609682855608083</v>
      </c>
      <c r="V1596">
        <f t="shared" ca="1" si="648"/>
        <v>96.463236523188698</v>
      </c>
      <c r="W1596">
        <f t="shared" ca="1" si="649"/>
        <v>3.1824114242234303</v>
      </c>
      <c r="X1596">
        <f t="shared" ca="1" si="650"/>
        <v>0</v>
      </c>
      <c r="Y1596">
        <f t="shared" ca="1" si="651"/>
        <v>635.50438285560801</v>
      </c>
      <c r="Z1596">
        <f t="shared" ca="1" si="652"/>
        <v>635.50438285560801</v>
      </c>
      <c r="AA1596">
        <f t="shared" ca="1" si="653"/>
        <v>0</v>
      </c>
      <c r="AB1596">
        <f t="shared" ca="1" si="654"/>
        <v>-8.7671594690164056E-4</v>
      </c>
      <c r="AC1596">
        <f t="shared" ca="1" si="655"/>
        <v>1</v>
      </c>
      <c r="AD1596">
        <f ca="1">IF(V34="Supercritical",L1596,U1596)</f>
        <v>10.609682855608083</v>
      </c>
      <c r="AE1596">
        <f t="shared" ca="1" si="656"/>
        <v>635.50438285560801</v>
      </c>
      <c r="AF1596">
        <f t="shared" ca="1" si="657"/>
        <v>635.50438285560801</v>
      </c>
      <c r="AI1596">
        <v>0</v>
      </c>
      <c r="AJ1596">
        <v>0</v>
      </c>
      <c r="AK1596">
        <f t="shared" si="658"/>
        <v>0</v>
      </c>
      <c r="AL1596">
        <f t="shared" ca="1" si="666"/>
        <v>7.4481979025387321E-2</v>
      </c>
      <c r="AM1596">
        <f t="shared" ca="1" si="659"/>
        <v>0</v>
      </c>
      <c r="AN1596" t="str">
        <f t="shared" ca="1" si="660"/>
        <v>Subcritical</v>
      </c>
      <c r="AO1596">
        <f ca="1">IF(V34="Supercritical",R1596,AA1596)</f>
        <v>0</v>
      </c>
    </row>
    <row r="1597" spans="1:41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174</v>
      </c>
      <c r="I1597">
        <v>0</v>
      </c>
      <c r="J1597">
        <f t="shared" si="661"/>
        <v>1</v>
      </c>
      <c r="K1597">
        <f t="shared" ca="1" si="662"/>
        <v>0</v>
      </c>
      <c r="L1597">
        <f t="shared" ca="1" si="663"/>
        <v>7.5884486277046683</v>
      </c>
      <c r="M1597">
        <f t="shared" ca="1" si="641"/>
        <v>59.630029316503283</v>
      </c>
      <c r="N1597">
        <f t="shared" ca="1" si="642"/>
        <v>2.5886822352767487</v>
      </c>
      <c r="O1597">
        <f t="shared" ca="1" si="643"/>
        <v>0</v>
      </c>
      <c r="P1597">
        <f t="shared" ca="1" si="644"/>
        <v>631.89974862770464</v>
      </c>
      <c r="Q1597">
        <f t="shared" ca="1" si="645"/>
        <v>631.89974862770464</v>
      </c>
      <c r="R1597">
        <f t="shared" ca="1" si="646"/>
        <v>0</v>
      </c>
      <c r="S1597">
        <f t="shared" ca="1" si="664"/>
        <v>8.7671594690164056E-4</v>
      </c>
      <c r="T1597">
        <f t="shared" ca="1" si="665"/>
        <v>1</v>
      </c>
      <c r="U1597">
        <f t="shared" ca="1" si="647"/>
        <v>11.192206139661165</v>
      </c>
      <c r="V1597">
        <f t="shared" ca="1" si="648"/>
        <v>87.948355845457428</v>
      </c>
      <c r="W1597">
        <f t="shared" ca="1" si="649"/>
        <v>2.9081131172062764</v>
      </c>
      <c r="X1597">
        <f t="shared" ca="1" si="650"/>
        <v>0</v>
      </c>
      <c r="Y1597">
        <f t="shared" ca="1" si="651"/>
        <v>635.50350613966111</v>
      </c>
      <c r="Z1597">
        <f t="shared" ca="1" si="652"/>
        <v>635.50350613966111</v>
      </c>
      <c r="AA1597">
        <f t="shared" ca="1" si="653"/>
        <v>0</v>
      </c>
      <c r="AB1597">
        <f t="shared" ca="1" si="654"/>
        <v>-8.7656571679417539E-4</v>
      </c>
      <c r="AC1597">
        <f t="shared" ca="1" si="655"/>
        <v>1</v>
      </c>
      <c r="AD1597">
        <f ca="1">IF(V34="Supercritical",L1597,U1597)</f>
        <v>11.192206139661165</v>
      </c>
      <c r="AE1597">
        <f t="shared" ca="1" si="656"/>
        <v>635.50350613966111</v>
      </c>
      <c r="AF1597">
        <f t="shared" ca="1" si="657"/>
        <v>635.50350613966111</v>
      </c>
      <c r="AI1597">
        <v>0</v>
      </c>
      <c r="AJ1597">
        <v>0</v>
      </c>
      <c r="AK1597">
        <f t="shared" si="658"/>
        <v>0</v>
      </c>
      <c r="AL1597">
        <f t="shared" ca="1" si="666"/>
        <v>7.4481979025387321E-2</v>
      </c>
      <c r="AM1597">
        <f t="shared" ca="1" si="659"/>
        <v>0</v>
      </c>
      <c r="AN1597" t="str">
        <f t="shared" ca="1" si="660"/>
        <v>Subcritical</v>
      </c>
      <c r="AO1597">
        <f ca="1">IF(V34="Supercritical",R1597,AA1597)</f>
        <v>0</v>
      </c>
    </row>
    <row r="1598" spans="1:41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174</v>
      </c>
      <c r="I1598">
        <v>0</v>
      </c>
      <c r="J1598">
        <f t="shared" si="661"/>
        <v>1</v>
      </c>
      <c r="K1598">
        <f t="shared" ca="1" si="662"/>
        <v>0</v>
      </c>
      <c r="L1598">
        <f t="shared" ca="1" si="663"/>
        <v>8.1708720619410347</v>
      </c>
      <c r="M1598">
        <f t="shared" ca="1" si="641"/>
        <v>55.733518334499799</v>
      </c>
      <c r="N1598">
        <f t="shared" ca="1" si="642"/>
        <v>2.4061707903182099</v>
      </c>
      <c r="O1598">
        <f t="shared" ca="1" si="643"/>
        <v>0</v>
      </c>
      <c r="P1598">
        <f t="shared" ca="1" si="644"/>
        <v>631.89887206194101</v>
      </c>
      <c r="Q1598">
        <f t="shared" ca="1" si="645"/>
        <v>631.89887206194101</v>
      </c>
      <c r="R1598">
        <f t="shared" ca="1" si="646"/>
        <v>0</v>
      </c>
      <c r="S1598">
        <f t="shared" ca="1" si="664"/>
        <v>8.7656576363315253E-4</v>
      </c>
      <c r="T1598">
        <f t="shared" ca="1" si="665"/>
        <v>1</v>
      </c>
      <c r="U1598">
        <f t="shared" ca="1" si="647"/>
        <v>11.774629573944368</v>
      </c>
      <c r="V1598">
        <f t="shared" ca="1" si="648"/>
        <v>80.314748323874539</v>
      </c>
      <c r="W1598">
        <f t="shared" ca="1" si="649"/>
        <v>2.6445196905558119</v>
      </c>
      <c r="X1598">
        <f t="shared" ca="1" si="650"/>
        <v>0</v>
      </c>
      <c r="Y1598">
        <f t="shared" ca="1" si="651"/>
        <v>635.50262957394432</v>
      </c>
      <c r="Z1598">
        <f t="shared" ca="1" si="652"/>
        <v>635.50262957394432</v>
      </c>
      <c r="AA1598">
        <f t="shared" ca="1" si="653"/>
        <v>0</v>
      </c>
      <c r="AB1598">
        <f t="shared" ca="1" si="654"/>
        <v>-8.7656576363315253E-4</v>
      </c>
      <c r="AC1598">
        <f t="shared" ca="1" si="655"/>
        <v>1</v>
      </c>
      <c r="AD1598">
        <f ca="1">IF(V34="Supercritical",L1598,U1598)</f>
        <v>11.774629573944368</v>
      </c>
      <c r="AE1598">
        <f t="shared" ca="1" si="656"/>
        <v>635.50262957394432</v>
      </c>
      <c r="AF1598">
        <f t="shared" ca="1" si="657"/>
        <v>635.50262957394432</v>
      </c>
      <c r="AI1598">
        <v>0</v>
      </c>
      <c r="AJ1598">
        <v>0</v>
      </c>
      <c r="AK1598">
        <f t="shared" si="658"/>
        <v>0</v>
      </c>
      <c r="AL1598">
        <f t="shared" ca="1" si="666"/>
        <v>7.4481979025387321E-2</v>
      </c>
      <c r="AM1598">
        <f t="shared" ca="1" si="659"/>
        <v>0</v>
      </c>
      <c r="AN1598" t="str">
        <f t="shared" ca="1" si="660"/>
        <v>Subcritical</v>
      </c>
      <c r="AO1598">
        <f ca="1">IF(V34="Supercritical",R1598,AA1598)</f>
        <v>0</v>
      </c>
    </row>
    <row r="1599" spans="1:41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174</v>
      </c>
      <c r="I1599">
        <v>0</v>
      </c>
      <c r="J1599">
        <f t="shared" si="661"/>
        <v>1</v>
      </c>
      <c r="K1599">
        <f t="shared" ca="1" si="662"/>
        <v>0</v>
      </c>
      <c r="L1599">
        <f t="shared" ca="1" si="663"/>
        <v>8.7532954962242542</v>
      </c>
      <c r="M1599">
        <f t="shared" ca="1" si="641"/>
        <v>50.620307854664865</v>
      </c>
      <c r="N1599">
        <f t="shared" ca="1" si="642"/>
        <v>2.1735163949885661</v>
      </c>
      <c r="O1599">
        <f t="shared" ca="1" si="643"/>
        <v>0</v>
      </c>
      <c r="P1599">
        <f t="shared" ca="1" si="644"/>
        <v>631.89799549622421</v>
      </c>
      <c r="Q1599">
        <f t="shared" ca="1" si="645"/>
        <v>631.89799549622421</v>
      </c>
      <c r="R1599">
        <f t="shared" ca="1" si="646"/>
        <v>0</v>
      </c>
      <c r="S1599">
        <f t="shared" ca="1" si="664"/>
        <v>8.7656571679417539E-4</v>
      </c>
      <c r="T1599">
        <f t="shared" ca="1" si="665"/>
        <v>1</v>
      </c>
      <c r="U1599">
        <f t="shared" ca="1" si="647"/>
        <v>12.357053008180744</v>
      </c>
      <c r="V1599">
        <f t="shared" ca="1" si="648"/>
        <v>71.46083754630925</v>
      </c>
      <c r="W1599">
        <f t="shared" ca="1" si="649"/>
        <v>2.343200614116336</v>
      </c>
      <c r="X1599">
        <f t="shared" ca="1" si="650"/>
        <v>0</v>
      </c>
      <c r="Y1599">
        <f t="shared" ca="1" si="651"/>
        <v>635.50175300818069</v>
      </c>
      <c r="Z1599">
        <f t="shared" ca="1" si="652"/>
        <v>635.50175300818069</v>
      </c>
      <c r="AA1599">
        <f t="shared" ca="1" si="653"/>
        <v>0</v>
      </c>
      <c r="AB1599">
        <f t="shared" ca="1" si="654"/>
        <v>-8.7671586163651227E-4</v>
      </c>
      <c r="AC1599">
        <f t="shared" ca="1" si="655"/>
        <v>1</v>
      </c>
      <c r="AD1599">
        <f ca="1">IF(V34="Supercritical",L1599,U1599)</f>
        <v>12.357053008180744</v>
      </c>
      <c r="AE1599">
        <f t="shared" ca="1" si="656"/>
        <v>635.50175300818069</v>
      </c>
      <c r="AF1599">
        <f t="shared" ca="1" si="657"/>
        <v>635.50175300818069</v>
      </c>
      <c r="AI1599">
        <v>0</v>
      </c>
      <c r="AJ1599">
        <v>0</v>
      </c>
      <c r="AK1599">
        <f t="shared" si="658"/>
        <v>0</v>
      </c>
      <c r="AL1599">
        <f t="shared" ca="1" si="666"/>
        <v>7.4481979025387321E-2</v>
      </c>
      <c r="AM1599">
        <f t="shared" ca="1" si="659"/>
        <v>0</v>
      </c>
      <c r="AN1599" t="str">
        <f t="shared" ca="1" si="660"/>
        <v>Subcritical</v>
      </c>
      <c r="AO1599">
        <f ca="1">IF(V34="Supercritical",R1599,AA1599)</f>
        <v>0</v>
      </c>
    </row>
    <row r="1600" spans="1:41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174</v>
      </c>
      <c r="I1600">
        <v>0</v>
      </c>
      <c r="J1600">
        <f t="shared" si="661"/>
        <v>1</v>
      </c>
      <c r="K1600">
        <f t="shared" ca="1" si="662"/>
        <v>0</v>
      </c>
      <c r="L1600">
        <f t="shared" ca="1" si="663"/>
        <v>9.3358187802773518</v>
      </c>
      <c r="M1600">
        <f t="shared" ca="1" si="641"/>
        <v>46.725772995288146</v>
      </c>
      <c r="N1600">
        <f t="shared" ca="1" si="642"/>
        <v>1.9734969915294611</v>
      </c>
      <c r="O1600">
        <f t="shared" ca="1" si="643"/>
        <v>0</v>
      </c>
      <c r="P1600">
        <f t="shared" ca="1" si="644"/>
        <v>631.89711878027731</v>
      </c>
      <c r="Q1600">
        <f t="shared" ca="1" si="645"/>
        <v>631.89711878027731</v>
      </c>
      <c r="R1600">
        <f t="shared" ca="1" si="646"/>
        <v>0</v>
      </c>
      <c r="S1600">
        <f t="shared" ca="1" si="664"/>
        <v>8.7671594690164056E-4</v>
      </c>
      <c r="T1600">
        <f t="shared" ca="1" si="665"/>
        <v>1</v>
      </c>
      <c r="U1600">
        <f t="shared" ca="1" si="647"/>
        <v>12.939576292319089</v>
      </c>
      <c r="V1600">
        <f t="shared" ca="1" si="648"/>
        <v>64.762579343057041</v>
      </c>
      <c r="W1600">
        <f t="shared" ca="1" si="649"/>
        <v>2.0969517996511273</v>
      </c>
      <c r="X1600">
        <f t="shared" ca="1" si="650"/>
        <v>0</v>
      </c>
      <c r="Y1600">
        <f t="shared" ca="1" si="651"/>
        <v>635.50087629231905</v>
      </c>
      <c r="Z1600">
        <f t="shared" ca="1" si="652"/>
        <v>635.50087629231905</v>
      </c>
      <c r="AA1600">
        <f t="shared" ca="1" si="653"/>
        <v>0</v>
      </c>
      <c r="AB1600">
        <f t="shared" ca="1" si="654"/>
        <v>-8.7629231904884364E-4</v>
      </c>
      <c r="AC1600">
        <f t="shared" ca="1" si="655"/>
        <v>1</v>
      </c>
      <c r="AD1600">
        <f ca="1">IF(V34="Supercritical",L1600,U1600)</f>
        <v>12.939576292319089</v>
      </c>
      <c r="AE1600">
        <f t="shared" ca="1" si="656"/>
        <v>635.50087629231905</v>
      </c>
      <c r="AF1600">
        <f t="shared" ca="1" si="657"/>
        <v>635.50087629231905</v>
      </c>
      <c r="AI1600">
        <v>0</v>
      </c>
      <c r="AJ1600">
        <v>0</v>
      </c>
      <c r="AK1600">
        <f t="shared" si="658"/>
        <v>0</v>
      </c>
      <c r="AL1600">
        <f t="shared" ca="1" si="666"/>
        <v>7.4481979025387321E-2</v>
      </c>
      <c r="AM1600">
        <f t="shared" ca="1" si="659"/>
        <v>0</v>
      </c>
      <c r="AN1600" t="str">
        <f t="shared" ca="1" si="660"/>
        <v>Subcritical</v>
      </c>
      <c r="AO1600">
        <f ca="1">IF(V34="Supercritical",R1600,AA1600)</f>
        <v>0</v>
      </c>
    </row>
    <row r="1601" spans="1:41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174</v>
      </c>
      <c r="I1601">
        <v>0</v>
      </c>
      <c r="J1601">
        <f t="shared" si="661"/>
        <v>1</v>
      </c>
      <c r="K1601">
        <f t="shared" ca="1" si="662"/>
        <v>0</v>
      </c>
      <c r="L1601">
        <f t="shared" ca="1" si="663"/>
        <v>9.9182422145137128</v>
      </c>
      <c r="M1601">
        <f t="shared" ca="1" si="641"/>
        <v>49.640802283641129</v>
      </c>
      <c r="N1601">
        <f t="shared" ca="1" si="642"/>
        <v>1.9983025742872094</v>
      </c>
      <c r="O1601">
        <f t="shared" ca="1" si="643"/>
        <v>0</v>
      </c>
      <c r="P1601">
        <f t="shared" ca="1" si="644"/>
        <v>631.89624221451368</v>
      </c>
      <c r="Q1601">
        <f t="shared" ca="1" si="645"/>
        <v>631.89624221451368</v>
      </c>
      <c r="R1601">
        <f t="shared" ca="1" si="646"/>
        <v>0</v>
      </c>
      <c r="S1601">
        <f t="shared" ca="1" si="664"/>
        <v>8.7656576363315253E-4</v>
      </c>
      <c r="T1601">
        <f t="shared" ca="1" si="665"/>
        <v>1</v>
      </c>
      <c r="U1601">
        <f>MAX($D$16,(P7)-E1601)</f>
        <v>13.522000000000048</v>
      </c>
      <c r="V1601">
        <f t="shared" si="648"/>
        <v>67.677610000000243</v>
      </c>
      <c r="W1601">
        <f t="shared" si="649"/>
        <v>2.1116917844550542</v>
      </c>
      <c r="X1601">
        <f t="shared" ca="1" si="650"/>
        <v>0</v>
      </c>
      <c r="Y1601">
        <f t="shared" si="651"/>
        <v>635.5</v>
      </c>
      <c r="Z1601">
        <f t="shared" ca="1" si="652"/>
        <v>635.5</v>
      </c>
      <c r="AA1601">
        <f t="shared" ca="1" si="653"/>
        <v>0</v>
      </c>
      <c r="AB1601">
        <v>0</v>
      </c>
      <c r="AC1601">
        <v>1</v>
      </c>
      <c r="AD1601">
        <f>IF(V34="Supercritical",L1601,U1601)</f>
        <v>13.522000000000048</v>
      </c>
      <c r="AE1601">
        <f t="shared" si="656"/>
        <v>635.5</v>
      </c>
      <c r="AF1601">
        <f t="shared" ca="1" si="657"/>
        <v>635.5</v>
      </c>
      <c r="AI1601">
        <v>0</v>
      </c>
      <c r="AJ1601">
        <v>0</v>
      </c>
      <c r="AK1601">
        <f t="shared" si="658"/>
        <v>0</v>
      </c>
      <c r="AL1601">
        <f t="shared" ca="1" si="666"/>
        <v>7.4481979025387321E-2</v>
      </c>
      <c r="AM1601">
        <f t="shared" ca="1" si="659"/>
        <v>0</v>
      </c>
      <c r="AN1601" t="str">
        <f t="shared" ca="1" si="660"/>
        <v>Subcritical</v>
      </c>
      <c r="AO1601">
        <f ca="1">IF(V34="Supercritical",R1601,AA1601)</f>
        <v>0</v>
      </c>
    </row>
    <row r="1603" spans="1:41" x14ac:dyDescent="0.35">
      <c r="N1603">
        <v>1</v>
      </c>
      <c r="O1603">
        <v>1</v>
      </c>
    </row>
    <row r="1604" spans="1:41" x14ac:dyDescent="0.35">
      <c r="A1604" t="s">
        <v>179</v>
      </c>
      <c r="E1604">
        <f>E35</f>
        <v>34.930999999999997</v>
      </c>
      <c r="F1604" t="s">
        <v>129</v>
      </c>
      <c r="H1604">
        <f>N35</f>
        <v>51</v>
      </c>
      <c r="I1604" t="s">
        <v>13</v>
      </c>
      <c r="K1604" t="str">
        <f>V35</f>
        <v>Subcritical</v>
      </c>
      <c r="L1604" t="s">
        <v>130</v>
      </c>
    </row>
    <row r="1605" spans="1:41" x14ac:dyDescent="0.35">
      <c r="A1605" t="s">
        <v>131</v>
      </c>
      <c r="B1605" t="s">
        <v>132</v>
      </c>
      <c r="C1605" t="s">
        <v>133</v>
      </c>
      <c r="D1605" t="s">
        <v>134</v>
      </c>
      <c r="E1605" t="s">
        <v>135</v>
      </c>
      <c r="F1605" t="s">
        <v>136</v>
      </c>
      <c r="G1605" t="s">
        <v>137</v>
      </c>
      <c r="H1605" t="s">
        <v>9</v>
      </c>
      <c r="I1605" t="s">
        <v>138</v>
      </c>
      <c r="J1605" t="s">
        <v>139</v>
      </c>
      <c r="K1605" t="s">
        <v>140</v>
      </c>
      <c r="L1605" t="s">
        <v>141</v>
      </c>
      <c r="M1605" t="s">
        <v>142</v>
      </c>
      <c r="N1605" t="s">
        <v>143</v>
      </c>
      <c r="O1605" t="s">
        <v>144</v>
      </c>
      <c r="P1605" t="s">
        <v>145</v>
      </c>
      <c r="Q1605" t="s">
        <v>146</v>
      </c>
      <c r="R1605" t="s">
        <v>147</v>
      </c>
      <c r="S1605" t="s">
        <v>148</v>
      </c>
      <c r="T1605" t="s">
        <v>149</v>
      </c>
      <c r="U1605" t="s">
        <v>150</v>
      </c>
      <c r="V1605" t="s">
        <v>151</v>
      </c>
      <c r="W1605" t="s">
        <v>152</v>
      </c>
      <c r="X1605" t="s">
        <v>153</v>
      </c>
      <c r="Y1605" t="s">
        <v>154</v>
      </c>
      <c r="Z1605" t="s">
        <v>155</v>
      </c>
      <c r="AA1605" t="s">
        <v>156</v>
      </c>
      <c r="AB1605" t="s">
        <v>157</v>
      </c>
      <c r="AC1605" t="s">
        <v>158</v>
      </c>
      <c r="AD1605" t="s">
        <v>159</v>
      </c>
      <c r="AE1605" t="s">
        <v>160</v>
      </c>
      <c r="AF1605" t="s">
        <v>161</v>
      </c>
      <c r="AG1605" t="s">
        <v>162</v>
      </c>
      <c r="AH1605" t="s">
        <v>163</v>
      </c>
      <c r="AI1605" t="s">
        <v>164</v>
      </c>
      <c r="AJ1605" t="s">
        <v>165</v>
      </c>
      <c r="AK1605" t="s">
        <v>166</v>
      </c>
      <c r="AL1605" t="s">
        <v>167</v>
      </c>
      <c r="AM1605" t="s">
        <v>168</v>
      </c>
      <c r="AN1605" t="s">
        <v>169</v>
      </c>
      <c r="AO1605" t="s">
        <v>170</v>
      </c>
    </row>
    <row r="1606" spans="1:41" x14ac:dyDescent="0.35">
      <c r="A1606" t="s">
        <v>22</v>
      </c>
      <c r="B1606" t="s">
        <v>52</v>
      </c>
      <c r="C1606" t="s">
        <v>52</v>
      </c>
      <c r="D1606" t="s">
        <v>52</v>
      </c>
      <c r="E1606" t="s">
        <v>52</v>
      </c>
      <c r="F1606" t="s">
        <v>52</v>
      </c>
      <c r="G1606" t="s">
        <v>22</v>
      </c>
      <c r="H1606" t="s">
        <v>22</v>
      </c>
      <c r="I1606" t="s">
        <v>171</v>
      </c>
      <c r="J1606" t="s">
        <v>52</v>
      </c>
      <c r="K1606" t="s">
        <v>13</v>
      </c>
      <c r="L1606" t="s">
        <v>52</v>
      </c>
      <c r="M1606" t="s">
        <v>172</v>
      </c>
      <c r="N1606" t="s">
        <v>52</v>
      </c>
      <c r="O1606" t="s">
        <v>173</v>
      </c>
      <c r="P1606" t="s">
        <v>52</v>
      </c>
      <c r="Q1606" t="s">
        <v>52</v>
      </c>
      <c r="R1606" t="s">
        <v>22</v>
      </c>
      <c r="S1606" t="s">
        <v>52</v>
      </c>
      <c r="T1606" t="s">
        <v>22</v>
      </c>
      <c r="U1606" t="s">
        <v>52</v>
      </c>
      <c r="V1606" t="s">
        <v>172</v>
      </c>
      <c r="W1606" t="s">
        <v>52</v>
      </c>
      <c r="X1606" t="s">
        <v>173</v>
      </c>
      <c r="Y1606" t="s">
        <v>52</v>
      </c>
      <c r="Z1606" t="s">
        <v>52</v>
      </c>
      <c r="AA1606" t="s">
        <v>22</v>
      </c>
      <c r="AB1606" t="s">
        <v>52</v>
      </c>
      <c r="AC1606" t="s">
        <v>22</v>
      </c>
      <c r="AD1606" t="s">
        <v>52</v>
      </c>
      <c r="AE1606" t="s">
        <v>52</v>
      </c>
      <c r="AF1606" t="s">
        <v>52</v>
      </c>
      <c r="AG1606" t="s">
        <v>52</v>
      </c>
      <c r="AH1606" t="s">
        <v>52</v>
      </c>
      <c r="AI1606" t="s">
        <v>13</v>
      </c>
      <c r="AJ1606" t="s">
        <v>13</v>
      </c>
      <c r="AK1606" t="s">
        <v>13</v>
      </c>
      <c r="AL1606" t="s">
        <v>13</v>
      </c>
      <c r="AM1606" t="s">
        <v>22</v>
      </c>
      <c r="AN1606" t="s">
        <v>22</v>
      </c>
      <c r="AO1606" t="s">
        <v>22</v>
      </c>
    </row>
    <row r="1607" spans="1:41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175</v>
      </c>
      <c r="I1607">
        <v>0</v>
      </c>
      <c r="J1607">
        <v>0</v>
      </c>
      <c r="K1607">
        <f>N35</f>
        <v>51</v>
      </c>
      <c r="L1607">
        <f>MAX($D$16,($I$14)-E1607)</f>
        <v>0.05</v>
      </c>
      <c r="M1607">
        <f t="shared" ref="M1607:M1642" si="668">((F1607)+(G1607)*(L1607))*(L1607)</f>
        <v>0.51029999999999998</v>
      </c>
      <c r="N1607">
        <f t="shared" ref="N1607:N1642" si="669">(((F1607)+(G1607)*(L1607))*(L1607))/MAX((F1607)+2*(L1607)*SQRT(1+(G1607)^2),0.000001)</f>
        <v>4.9514845720939261E-2</v>
      </c>
      <c r="O1607">
        <f t="shared" ref="O1607:O1642" si="670">ABS(K1607)/MAX(((F1607)+(G1607)*(L1607))*(L1607),0.000001)</f>
        <v>99.941211052322174</v>
      </c>
      <c r="P1607">
        <f t="shared" ref="P1607:P1642" si="671">E1607+L1607</f>
        <v>631.54999999999995</v>
      </c>
      <c r="Q1607">
        <f t="shared" ref="Q1607:Q1642" si="672">P1607+((ABS(K1607)/MAX(((F1607)+(G1607)*(L1607))*(L1607),0.000001))^2)/(2*$I$5)</f>
        <v>1140.634896361101</v>
      </c>
      <c r="R1607">
        <f t="shared" ref="R1607:R1642" si="673">((ABS(K1607)*$D$6)/(MAX(((F1607)+(G1607)*(L1607))*(L1607),0.000001)*MAX(((((F1607)+(G1607)*(L1607))*(L1607))/MAX((F1607)+2*(L1607)*SQRT(1+(G1607)^2),0.000001))^(2/3),0.000001)))^2</f>
        <v>123.60171404484957</v>
      </c>
      <c r="S1607">
        <v>0</v>
      </c>
      <c r="T1607">
        <v>1</v>
      </c>
      <c r="U1607">
        <f t="shared" ref="U1607:U1641" ca="1" si="674">IF($D$20=0,U1608,IF(AC1608=0,U1608,IF(U1607=0,U1608,IF(ABS(AB1607)&gt;$D$19,MAX($D$16,U1607+((AB1607)*$D$18*IF((ABS(ABS(K1607)/MAX(((F1607)+(G1607)*(U1607))*(U1607),0.000001))/SQRT($I$5*MAX((((F1607)+(G1607)*(U1607))*(U1607))/MAX((F1607)+2*(G1607)*(U1607),0.000001),0.000001)))&lt;1,1,-1))),U1607))))</f>
        <v>0.05</v>
      </c>
      <c r="V1607">
        <f t="shared" ref="V1607:V1642" ca="1" si="675">((F1607)+(G1607)*(U1607))*(U1607)</f>
        <v>0.51029999999999998</v>
      </c>
      <c r="W1607">
        <f t="shared" ref="W1607:W1642" ca="1" si="676">(((F1607)+(G1607)*(U1607))*(U1607))/MAX((F1607)+2*(U1607)*SQRT(1+(G1607)^2),0.000001)</f>
        <v>4.9514845720939261E-2</v>
      </c>
      <c r="X1607">
        <f t="shared" ref="X1607:X1642" ca="1" si="677">ABS(K1607)/MAX(((F1607)+(G1607)*(U1607))*(U1607),0.000001)</f>
        <v>99.941211052322174</v>
      </c>
      <c r="Y1607">
        <f t="shared" ref="Y1607:Y1642" ca="1" si="678">E1607+U1607</f>
        <v>631.54999999999995</v>
      </c>
      <c r="Z1607">
        <f t="shared" ref="Z1607:Z1642" ca="1" si="679">Y1607+((ABS(K1607)/MAX(((F1607)+(G1607)*(U1607))*(U1607),0.000001))^2)/(2*$I$5)</f>
        <v>1140.634896361101</v>
      </c>
      <c r="AA1607">
        <f t="shared" ref="AA1607:AA1642" ca="1" si="680">((ABS(K1607)*$D$6)/(MAX(((F1607)+(G1607)*(U1607))*(U1607),0.000001)*MAX(((((F1607)+(G1607)*(U1607))*(U1607))/MAX((F1607)+2*(U1607)*SQRT(1+(G1607)^2),0.000001))^(2/3),0.000001)))^2</f>
        <v>123.60171404484957</v>
      </c>
      <c r="AB1607">
        <f t="shared" ref="AB1607:AB1641" ca="1" si="681">Z1608+(((AA1607+AA1608)/2)*J1608)+(IF(X1607&gt;X1608,$D$8*((X1607^2-X1608^2)/(2*$I$5)),$D$9*((X1608^2-X1607^2)/(2*$I$5)))+($D$10*(ABS(I1608)/90)*(MAX(X1607^2,X1608^2)/(2*$I$5))))-Z1607</f>
        <v>1.6358658817557625</v>
      </c>
      <c r="AC1607">
        <f t="shared" ref="AC1607:AC1641" ca="1" si="682">IF(ABS(AB1607)&lt;$D$19,1,0)</f>
        <v>0</v>
      </c>
      <c r="AD1607">
        <f ca="1">IF(V35="Supercritical",L1607,U1607)</f>
        <v>0.05</v>
      </c>
      <c r="AE1607">
        <f t="shared" ref="AE1607:AE1642" ca="1" si="683">E1607+AD1607</f>
        <v>631.54999999999995</v>
      </c>
      <c r="AF1607">
        <f t="shared" ref="AF1607:AF1642" ca="1" si="684">AE1607+((ABS(K1607)/MAX(((F1607)+(G1607)*(AD1607))*(AD1607),0.000001))^2)/(2*$I$5)</f>
        <v>1140.634896361101</v>
      </c>
      <c r="AI1607">
        <v>0</v>
      </c>
      <c r="AJ1607">
        <v>0</v>
      </c>
      <c r="AK1607">
        <f t="shared" ref="AK1607:AK1641" si="685">AI1607+AJ1607</f>
        <v>0</v>
      </c>
      <c r="AL1607">
        <f>AK1607</f>
        <v>0</v>
      </c>
      <c r="AM1607">
        <f t="shared" ref="AM1607:AM1642" ca="1" si="686">ABS(ABS(K1607)/MAX(((F1607)+(G1607)*(AD1607))*(AD1607),0.000001))/SQRT($I$5*MAX((((F1607)+(G1607)*(AD1607))*(AD1607))/MAX((F1607)+2*(G1607)*(AD1607),0.000001),0.000001))</f>
        <v>142.70037089806053</v>
      </c>
      <c r="AN1607" t="str">
        <f t="shared" ref="AN1607:AN1642" ca="1" si="687">IF(AM1607&lt;1,"Subcritical","Supercritical")</f>
        <v>Supercritical</v>
      </c>
      <c r="AO1607">
        <f ca="1">IF(V35="Supercritical",R1607,AA1607)</f>
        <v>123.60171404484957</v>
      </c>
    </row>
    <row r="1608" spans="1:41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175</v>
      </c>
      <c r="I1608">
        <v>7.1999999999999995E-2</v>
      </c>
      <c r="J1608">
        <f t="shared" ref="J1608:J1642" si="688">B1608-B1607</f>
        <v>1</v>
      </c>
      <c r="K1608">
        <f t="shared" ref="K1608:K1642" si="689">MAX(0,K1607-AK1607)</f>
        <v>51</v>
      </c>
      <c r="L1608">
        <f ca="1">IF($D$20=0,L1607,IF(T1607=0,L1607,IF(ABS(S1608)&gt;$D$19,MAX($D$16,L1608+((S1608)*$D$18*IF((ABS(ABS(K1608)/MAX(((F1608)+(G1608)*(L1608))*(L1608),0.000001))/SQRT($I$5*MAX((((F1608)+(G1608)*(L1608))*(L1608))/MAX((F1608)+2*(G1608)*(L1608),0.000001),0.000001)))&lt;1,1,-1))),L1608)))</f>
        <v>0.29537988226338141</v>
      </c>
      <c r="M1608">
        <f t="shared" ca="1" si="668"/>
        <v>3.5817764523257627</v>
      </c>
      <c r="N1608">
        <f t="shared" ca="1" si="669"/>
        <v>0.28165794735834221</v>
      </c>
      <c r="O1608">
        <f t="shared" ca="1" si="670"/>
        <v>14.238744566787259</v>
      </c>
      <c r="P1608">
        <f t="shared" ca="1" si="671"/>
        <v>631.79537988226343</v>
      </c>
      <c r="Q1608">
        <f t="shared" ca="1" si="672"/>
        <v>642.1288073459848</v>
      </c>
      <c r="R1608">
        <f t="shared" ca="1" si="673"/>
        <v>0.24707562529666804</v>
      </c>
      <c r="S1608">
        <f t="shared" ref="S1608:S1642" ca="1" si="690">Q1607-(((R1607+R1608)/2)*J1608)-(IF(O1607&gt;O1608,$D$8*((O1607^2-O1608^2)/(2*$I$5)),$D$9*((O1608^2-O1607^2)/(2*$I$5)))+($D$10*(ABS(I1608)/90)*(MAX(O1607^2,O1608^2)/(2*$I$5))))-Q1608</f>
        <v>286.89516332326582</v>
      </c>
      <c r="T1608">
        <f t="shared" ref="T1608:T1642" ca="1" si="691">IF(ABS(S1608)&lt;$D$19,1,0)</f>
        <v>0</v>
      </c>
      <c r="U1608">
        <f t="shared" ca="1" si="674"/>
        <v>0.05</v>
      </c>
      <c r="V1608">
        <f t="shared" ca="1" si="675"/>
        <v>0.60630000000000006</v>
      </c>
      <c r="W1608">
        <f t="shared" ca="1" si="676"/>
        <v>4.9591035498118774E-2</v>
      </c>
      <c r="X1608">
        <f t="shared" ca="1" si="677"/>
        <v>84.116773874319634</v>
      </c>
      <c r="Y1608">
        <f t="shared" ca="1" si="678"/>
        <v>631.54999999999995</v>
      </c>
      <c r="Z1608">
        <f t="shared" ca="1" si="679"/>
        <v>992.18362115307957</v>
      </c>
      <c r="AA1608">
        <f t="shared" ca="1" si="680"/>
        <v>87.379622634765497</v>
      </c>
      <c r="AB1608">
        <f t="shared" ca="1" si="681"/>
        <v>25.23058318048129</v>
      </c>
      <c r="AC1608">
        <f t="shared" ca="1" si="682"/>
        <v>0</v>
      </c>
      <c r="AD1608">
        <f ca="1">IF(V35="Supercritical",L1608,U1608)</f>
        <v>0.05</v>
      </c>
      <c r="AE1608">
        <f t="shared" ca="1" si="683"/>
        <v>631.54999999999995</v>
      </c>
      <c r="AF1608">
        <f t="shared" ca="1" si="684"/>
        <v>992.18362115307957</v>
      </c>
      <c r="AI1608">
        <v>0</v>
      </c>
      <c r="AJ1608">
        <v>0</v>
      </c>
      <c r="AK1608">
        <f t="shared" si="685"/>
        <v>0</v>
      </c>
      <c r="AL1608">
        <f t="shared" ref="AL1608:AL1642" si="692">AL1607+AK1608</f>
        <v>0</v>
      </c>
      <c r="AM1608">
        <f t="shared" ca="1" si="686"/>
        <v>120.10555709925825</v>
      </c>
      <c r="AN1608" t="str">
        <f t="shared" ca="1" si="687"/>
        <v>Supercritical</v>
      </c>
      <c r="AO1608">
        <f ca="1">IF(V35="Supercritical",R1608,AA1608)</f>
        <v>87.379622634765497</v>
      </c>
    </row>
    <row r="1609" spans="1:41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175</v>
      </c>
      <c r="I1609">
        <v>7.1999999999999995E-2</v>
      </c>
      <c r="J1609">
        <f t="shared" si="688"/>
        <v>1.0009999999999999</v>
      </c>
      <c r="K1609">
        <f t="shared" si="689"/>
        <v>51</v>
      </c>
      <c r="L1609">
        <f t="shared" ref="L1608:L1642" ca="1" si="693">IF($D$20=0,L1608,IF(T1608=0,L1608,IF(L1609=0,L1608,IF(ABS(S1609)&gt;$D$19,MAX($D$16,L1609+((S1609)*$D$18*IF((ABS(ABS(K1609)/MAX(((F1609)+(G1609)*(L1609))*(L1609),0.000001))/SQRT($I$5*MAX((((F1609)+(G1609)*(L1609))*(L1609))/MAX((F1609)+2*(G1609)*(L1609),0.000001),0.000001)))&lt;1,1,-1))),L1609))))</f>
        <v>0.29537988226338141</v>
      </c>
      <c r="M1609">
        <f t="shared" ca="1" si="668"/>
        <v>4.0301631136015761</v>
      </c>
      <c r="N1609">
        <f t="shared" ca="1" si="669"/>
        <v>0.28312125952731593</v>
      </c>
      <c r="O1609">
        <f t="shared" ca="1" si="670"/>
        <v>12.654574656762115</v>
      </c>
      <c r="P1609">
        <f t="shared" ca="1" si="671"/>
        <v>631.79537988226343</v>
      </c>
      <c r="Q1609">
        <f t="shared" ca="1" si="672"/>
        <v>639.95737069488143</v>
      </c>
      <c r="R1609">
        <f t="shared" ca="1" si="673"/>
        <v>0.19381214160340529</v>
      </c>
      <c r="S1609">
        <f t="shared" ca="1" si="690"/>
        <v>1.2981013171432778</v>
      </c>
      <c r="T1609">
        <f t="shared" ca="1" si="691"/>
        <v>0</v>
      </c>
      <c r="U1609">
        <f t="shared" ca="1" si="674"/>
        <v>0.05</v>
      </c>
      <c r="V1609">
        <f t="shared" ca="1" si="675"/>
        <v>0.68220000000000003</v>
      </c>
      <c r="W1609">
        <f t="shared" ca="1" si="676"/>
        <v>4.9636204889406288E-2</v>
      </c>
      <c r="X1609">
        <f t="shared" ca="1" si="677"/>
        <v>74.758135444151279</v>
      </c>
      <c r="Y1609">
        <f t="shared" ca="1" si="678"/>
        <v>631.54999999999995</v>
      </c>
      <c r="Z1609">
        <f t="shared" ca="1" si="679"/>
        <v>916.40111188002379</v>
      </c>
      <c r="AA1609">
        <f t="shared" ca="1" si="680"/>
        <v>68.934190825937804</v>
      </c>
      <c r="AB1609">
        <f t="shared" ca="1" si="681"/>
        <v>28.564052982731482</v>
      </c>
      <c r="AC1609">
        <f t="shared" ca="1" si="682"/>
        <v>0</v>
      </c>
      <c r="AD1609">
        <f ca="1">IF(V35="Supercritical",L1609,U1609)</f>
        <v>0.05</v>
      </c>
      <c r="AE1609">
        <f t="shared" ca="1" si="683"/>
        <v>631.54999999999995</v>
      </c>
      <c r="AF1609">
        <f t="shared" ca="1" si="684"/>
        <v>916.40111188002379</v>
      </c>
      <c r="AI1609">
        <v>0</v>
      </c>
      <c r="AJ1609">
        <v>0</v>
      </c>
      <c r="AK1609">
        <f t="shared" si="685"/>
        <v>0</v>
      </c>
      <c r="AL1609">
        <f t="shared" si="692"/>
        <v>0</v>
      </c>
      <c r="AM1609">
        <f t="shared" ca="1" si="686"/>
        <v>106.74288957678142</v>
      </c>
      <c r="AN1609" t="str">
        <f t="shared" ca="1" si="687"/>
        <v>Supercritical</v>
      </c>
      <c r="AO1609">
        <f ca="1">IF(V35="Supercritical",R1609,AA1609)</f>
        <v>68.934190825937804</v>
      </c>
    </row>
    <row r="1610" spans="1:41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175</v>
      </c>
      <c r="I1610">
        <v>5.5E-2</v>
      </c>
      <c r="J1610">
        <f t="shared" si="688"/>
        <v>1</v>
      </c>
      <c r="K1610">
        <f t="shared" si="689"/>
        <v>51</v>
      </c>
      <c r="L1610">
        <f t="shared" ca="1" si="693"/>
        <v>0.29537988226338141</v>
      </c>
      <c r="M1610">
        <f t="shared" ca="1" si="668"/>
        <v>4.4306982339507215</v>
      </c>
      <c r="N1610">
        <f t="shared" ca="1" si="669"/>
        <v>0.28418744826225661</v>
      </c>
      <c r="O1610">
        <f t="shared" ca="1" si="670"/>
        <v>11.510601107790819</v>
      </c>
      <c r="P1610">
        <f t="shared" ca="1" si="671"/>
        <v>631.79537988226343</v>
      </c>
      <c r="Q1610">
        <f t="shared" ca="1" si="672"/>
        <v>638.54838385079938</v>
      </c>
      <c r="R1610">
        <f t="shared" ca="1" si="673"/>
        <v>0.15955313287483913</v>
      </c>
      <c r="S1610">
        <f t="shared" ca="1" si="690"/>
        <v>0.80885997112716268</v>
      </c>
      <c r="T1610">
        <f t="shared" ca="1" si="691"/>
        <v>0</v>
      </c>
      <c r="U1610">
        <f t="shared" ca="1" si="674"/>
        <v>0.05</v>
      </c>
      <c r="V1610">
        <f t="shared" ca="1" si="675"/>
        <v>0.75</v>
      </c>
      <c r="W1610">
        <f t="shared" ca="1" si="676"/>
        <v>4.9668874172185434E-2</v>
      </c>
      <c r="X1610">
        <f t="shared" ca="1" si="677"/>
        <v>68</v>
      </c>
      <c r="Y1610">
        <f t="shared" ca="1" si="678"/>
        <v>631.54999999999995</v>
      </c>
      <c r="Z1610">
        <f t="shared" ca="1" si="679"/>
        <v>867.22787971457694</v>
      </c>
      <c r="AA1610">
        <f t="shared" ca="1" si="680"/>
        <v>56.984217467306053</v>
      </c>
      <c r="AB1610">
        <f t="shared" ca="1" si="681"/>
        <v>33.510882950714745</v>
      </c>
      <c r="AC1610">
        <f t="shared" ca="1" si="682"/>
        <v>0</v>
      </c>
      <c r="AD1610">
        <f ca="1">IF(V35="Supercritical",L1610,U1610)</f>
        <v>0.05</v>
      </c>
      <c r="AE1610">
        <f t="shared" ca="1" si="683"/>
        <v>631.54999999999995</v>
      </c>
      <c r="AF1610">
        <f t="shared" ca="1" si="684"/>
        <v>867.22787971457694</v>
      </c>
      <c r="AI1610">
        <v>0</v>
      </c>
      <c r="AJ1610">
        <v>0</v>
      </c>
      <c r="AK1610">
        <f t="shared" si="685"/>
        <v>0</v>
      </c>
      <c r="AL1610">
        <f t="shared" si="692"/>
        <v>0</v>
      </c>
      <c r="AM1610">
        <f t="shared" ca="1" si="686"/>
        <v>97.093332359040375</v>
      </c>
      <c r="AN1610" t="str">
        <f t="shared" ca="1" si="687"/>
        <v>Supercritical</v>
      </c>
      <c r="AO1610">
        <f ca="1">IF(V35="Supercritical",R1610,AA1610)</f>
        <v>56.984217467306053</v>
      </c>
    </row>
    <row r="1611" spans="1:41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175</v>
      </c>
      <c r="I1611">
        <v>5.5E-2</v>
      </c>
      <c r="J1611">
        <f t="shared" si="688"/>
        <v>0.99900000000000011</v>
      </c>
      <c r="K1611">
        <f t="shared" si="689"/>
        <v>51</v>
      </c>
      <c r="L1611">
        <f t="shared" ca="1" si="693"/>
        <v>0.29537988226338141</v>
      </c>
      <c r="M1611">
        <f t="shared" ca="1" si="668"/>
        <v>4.7260781162141026</v>
      </c>
      <c r="N1611">
        <f t="shared" ca="1" si="669"/>
        <v>0.2848620667944986</v>
      </c>
      <c r="O1611">
        <f t="shared" ca="1" si="670"/>
        <v>10.791188538553893</v>
      </c>
      <c r="P1611">
        <f t="shared" ca="1" si="671"/>
        <v>631.79537988226343</v>
      </c>
      <c r="Q1611">
        <f t="shared" ca="1" si="672"/>
        <v>637.73063727648446</v>
      </c>
      <c r="R1611">
        <f t="shared" ca="1" si="673"/>
        <v>0.13978961784734364</v>
      </c>
      <c r="S1611">
        <f t="shared" ca="1" si="690"/>
        <v>0.42228187267085104</v>
      </c>
      <c r="T1611">
        <f t="shared" ca="1" si="691"/>
        <v>0</v>
      </c>
      <c r="U1611">
        <f t="shared" ca="1" si="674"/>
        <v>0.05</v>
      </c>
      <c r="V1611">
        <f t="shared" ca="1" si="675"/>
        <v>0.8</v>
      </c>
      <c r="W1611">
        <f t="shared" ca="1" si="676"/>
        <v>4.9689440993788817E-2</v>
      </c>
      <c r="X1611">
        <f t="shared" ca="1" si="677"/>
        <v>63.75</v>
      </c>
      <c r="Y1611">
        <f t="shared" ca="1" si="678"/>
        <v>631.54999999999995</v>
      </c>
      <c r="Z1611">
        <f t="shared" ca="1" si="679"/>
        <v>838.68876146788989</v>
      </c>
      <c r="AA1611">
        <f t="shared" ca="1" si="680"/>
        <v>50.056146732404102</v>
      </c>
      <c r="AB1611">
        <f t="shared" ca="1" si="681"/>
        <v>30.649691923456317</v>
      </c>
      <c r="AC1611">
        <f t="shared" ca="1" si="682"/>
        <v>0</v>
      </c>
      <c r="AD1611">
        <f ca="1">IF(V35="Supercritical",L1611,U1611)</f>
        <v>0.05</v>
      </c>
      <c r="AE1611">
        <f t="shared" ca="1" si="683"/>
        <v>631.54999999999995</v>
      </c>
      <c r="AF1611">
        <f t="shared" ca="1" si="684"/>
        <v>838.68876146788989</v>
      </c>
      <c r="AI1611">
        <v>0</v>
      </c>
      <c r="AJ1611">
        <v>0</v>
      </c>
      <c r="AK1611">
        <f t="shared" si="685"/>
        <v>0</v>
      </c>
      <c r="AL1611">
        <f t="shared" si="692"/>
        <v>0</v>
      </c>
      <c r="AM1611">
        <f t="shared" ca="1" si="686"/>
        <v>91.02499908660036</v>
      </c>
      <c r="AN1611" t="str">
        <f t="shared" ca="1" si="687"/>
        <v>Supercritical</v>
      </c>
      <c r="AO1611">
        <f ca="1">IF(V35="Supercritical",R1611,AA1611)</f>
        <v>50.056146732404102</v>
      </c>
    </row>
    <row r="1612" spans="1:41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175</v>
      </c>
      <c r="I1612">
        <v>5.5E-2</v>
      </c>
      <c r="J1612">
        <f t="shared" si="688"/>
        <v>1</v>
      </c>
      <c r="K1612">
        <f t="shared" si="689"/>
        <v>51</v>
      </c>
      <c r="L1612">
        <f t="shared" ca="1" si="693"/>
        <v>0.29537988226338141</v>
      </c>
      <c r="M1612">
        <f t="shared" ca="1" si="668"/>
        <v>5.0214579984774836</v>
      </c>
      <c r="N1612">
        <f t="shared" ca="1" si="669"/>
        <v>0.28545998386059901</v>
      </c>
      <c r="O1612">
        <f t="shared" ca="1" si="670"/>
        <v>10.156412742168371</v>
      </c>
      <c r="P1612">
        <f t="shared" ca="1" si="671"/>
        <v>631.79537988226343</v>
      </c>
      <c r="Q1612">
        <f t="shared" ca="1" si="672"/>
        <v>637.05290892351115</v>
      </c>
      <c r="R1612">
        <f t="shared" ca="1" si="673"/>
        <v>0.12348178123305843</v>
      </c>
      <c r="S1612">
        <f t="shared" ca="1" si="690"/>
        <v>0.34223008228002527</v>
      </c>
      <c r="T1612">
        <f t="shared" ca="1" si="691"/>
        <v>0</v>
      </c>
      <c r="U1612">
        <f t="shared" ca="1" si="674"/>
        <v>0.05</v>
      </c>
      <c r="V1612">
        <f t="shared" ca="1" si="675"/>
        <v>0.85000000000000009</v>
      </c>
      <c r="W1612">
        <f t="shared" ca="1" si="676"/>
        <v>4.9707602339181291E-2</v>
      </c>
      <c r="X1612">
        <f t="shared" ca="1" si="677"/>
        <v>59.999999999999993</v>
      </c>
      <c r="Y1612">
        <f t="shared" ca="1" si="678"/>
        <v>631.54999999999995</v>
      </c>
      <c r="Z1612">
        <f t="shared" ca="1" si="679"/>
        <v>815.03623853211002</v>
      </c>
      <c r="AA1612">
        <f t="shared" ca="1" si="680"/>
        <v>44.318793784997908</v>
      </c>
      <c r="AB1612">
        <f t="shared" ca="1" si="681"/>
        <v>28.05305411154427</v>
      </c>
      <c r="AC1612">
        <f t="shared" ca="1" si="682"/>
        <v>0</v>
      </c>
      <c r="AD1612">
        <f ca="1">IF(V35="Supercritical",L1612,U1612)</f>
        <v>0.05</v>
      </c>
      <c r="AE1612">
        <f t="shared" ca="1" si="683"/>
        <v>631.54999999999995</v>
      </c>
      <c r="AF1612">
        <f t="shared" ca="1" si="684"/>
        <v>815.03623853211002</v>
      </c>
      <c r="AI1612">
        <v>0</v>
      </c>
      <c r="AJ1612">
        <v>0</v>
      </c>
      <c r="AK1612">
        <f t="shared" si="685"/>
        <v>0</v>
      </c>
      <c r="AL1612">
        <f t="shared" si="692"/>
        <v>0</v>
      </c>
      <c r="AM1612">
        <f t="shared" ca="1" si="686"/>
        <v>85.670587375623853</v>
      </c>
      <c r="AN1612" t="str">
        <f t="shared" ca="1" si="687"/>
        <v>Supercritical</v>
      </c>
      <c r="AO1612">
        <f ca="1">IF(V35="Supercritical",R1612,AA1612)</f>
        <v>44.318793784997908</v>
      </c>
    </row>
    <row r="1613" spans="1:41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175</v>
      </c>
      <c r="I1613">
        <v>3.6999999999999998E-2</v>
      </c>
      <c r="J1613">
        <f t="shared" si="688"/>
        <v>1</v>
      </c>
      <c r="K1613">
        <f t="shared" si="689"/>
        <v>51</v>
      </c>
      <c r="L1613">
        <f t="shared" ca="1" si="693"/>
        <v>0.29537988226338141</v>
      </c>
      <c r="M1613">
        <f t="shared" ca="1" si="668"/>
        <v>5.3168378807408656</v>
      </c>
      <c r="N1613">
        <f t="shared" ca="1" si="669"/>
        <v>0.28599357681368054</v>
      </c>
      <c r="O1613">
        <f t="shared" ca="1" si="670"/>
        <v>9.5921675898256833</v>
      </c>
      <c r="P1613">
        <f t="shared" ca="1" si="671"/>
        <v>631.79537988226343</v>
      </c>
      <c r="Q1613">
        <f t="shared" ca="1" si="672"/>
        <v>636.4849659715245</v>
      </c>
      <c r="R1613">
        <f t="shared" ca="1" si="673"/>
        <v>0.1098687866169169</v>
      </c>
      <c r="S1613">
        <f t="shared" ca="1" si="690"/>
        <v>0.28056056817479202</v>
      </c>
      <c r="T1613">
        <f t="shared" ca="1" si="691"/>
        <v>0</v>
      </c>
      <c r="U1613">
        <f t="shared" ca="1" si="674"/>
        <v>0.05</v>
      </c>
      <c r="V1613">
        <f t="shared" ca="1" si="675"/>
        <v>0.9</v>
      </c>
      <c r="W1613">
        <f t="shared" ca="1" si="676"/>
        <v>4.9723756906077346E-2</v>
      </c>
      <c r="X1613">
        <f t="shared" ca="1" si="677"/>
        <v>56.666666666666664</v>
      </c>
      <c r="Y1613">
        <f t="shared" ca="1" si="678"/>
        <v>631.54999999999995</v>
      </c>
      <c r="Z1613">
        <f t="shared" ca="1" si="679"/>
        <v>795.21519424623398</v>
      </c>
      <c r="AA1613">
        <f t="shared" ca="1" si="680"/>
        <v>39.51414646889814</v>
      </c>
      <c r="AB1613">
        <f t="shared" ca="1" si="681"/>
        <v>25.787699407366858</v>
      </c>
      <c r="AC1613">
        <f t="shared" ca="1" si="682"/>
        <v>0</v>
      </c>
      <c r="AD1613">
        <f ca="1">IF(V35="Supercritical",L1613,U1613)</f>
        <v>0.05</v>
      </c>
      <c r="AE1613">
        <f t="shared" ca="1" si="683"/>
        <v>631.54999999999995</v>
      </c>
      <c r="AF1613">
        <f t="shared" ca="1" si="684"/>
        <v>795.21519424623398</v>
      </c>
      <c r="AI1613">
        <v>0</v>
      </c>
      <c r="AJ1613">
        <v>0</v>
      </c>
      <c r="AK1613">
        <f t="shared" si="685"/>
        <v>0</v>
      </c>
      <c r="AL1613">
        <f t="shared" si="692"/>
        <v>0</v>
      </c>
      <c r="AM1613">
        <f t="shared" ca="1" si="686"/>
        <v>80.911110299200317</v>
      </c>
      <c r="AN1613" t="str">
        <f t="shared" ca="1" si="687"/>
        <v>Supercritical</v>
      </c>
      <c r="AO1613">
        <f ca="1">IF(V35="Supercritical",R1613,AA1613)</f>
        <v>39.51414646889814</v>
      </c>
    </row>
    <row r="1614" spans="1:41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175</v>
      </c>
      <c r="I1614">
        <v>3.6999999999999998E-2</v>
      </c>
      <c r="J1614">
        <f t="shared" si="688"/>
        <v>1.0010000000000003</v>
      </c>
      <c r="K1614">
        <f t="shared" si="689"/>
        <v>51</v>
      </c>
      <c r="L1614">
        <f t="shared" ca="1" si="693"/>
        <v>0.29537988226338141</v>
      </c>
      <c r="M1614">
        <f t="shared" ca="1" si="668"/>
        <v>5.6122177630042467</v>
      </c>
      <c r="N1614">
        <f t="shared" ca="1" si="669"/>
        <v>0.2864726958250165</v>
      </c>
      <c r="O1614">
        <f t="shared" ca="1" si="670"/>
        <v>9.0873166640453835</v>
      </c>
      <c r="P1614">
        <f t="shared" ca="1" si="671"/>
        <v>631.79537988226343</v>
      </c>
      <c r="Q1614">
        <f t="shared" ca="1" si="672"/>
        <v>636.00431587373316</v>
      </c>
      <c r="R1614">
        <f t="shared" ca="1" si="673"/>
        <v>9.8388165353385792E-2</v>
      </c>
      <c r="S1614">
        <f t="shared" ca="1" si="690"/>
        <v>0.23193327285071064</v>
      </c>
      <c r="T1614">
        <f t="shared" ca="1" si="691"/>
        <v>0</v>
      </c>
      <c r="U1614">
        <f t="shared" ca="1" si="674"/>
        <v>0.05</v>
      </c>
      <c r="V1614">
        <f t="shared" ca="1" si="675"/>
        <v>0.95000000000000007</v>
      </c>
      <c r="W1614">
        <f t="shared" ca="1" si="676"/>
        <v>4.9738219895287955E-2</v>
      </c>
      <c r="X1614">
        <f t="shared" ca="1" si="677"/>
        <v>53.684210526315788</v>
      </c>
      <c r="Y1614">
        <f t="shared" ca="1" si="678"/>
        <v>631.54999999999995</v>
      </c>
      <c r="Z1614">
        <f t="shared" ca="1" si="679"/>
        <v>778.44064525146757</v>
      </c>
      <c r="AA1614">
        <f t="shared" ca="1" si="680"/>
        <v>35.450470947135493</v>
      </c>
      <c r="AB1614">
        <f t="shared" ca="1" si="681"/>
        <v>1289.5723461309203</v>
      </c>
      <c r="AC1614">
        <f t="shared" ca="1" si="682"/>
        <v>0</v>
      </c>
      <c r="AD1614">
        <f ca="1">IF(V35="Supercritical",L1614,U1614)</f>
        <v>0.05</v>
      </c>
      <c r="AE1614">
        <f t="shared" ca="1" si="683"/>
        <v>631.54999999999995</v>
      </c>
      <c r="AF1614">
        <f t="shared" ca="1" si="684"/>
        <v>778.44064525146757</v>
      </c>
      <c r="AI1614">
        <v>0</v>
      </c>
      <c r="AJ1614">
        <v>0</v>
      </c>
      <c r="AK1614">
        <f t="shared" si="685"/>
        <v>0</v>
      </c>
      <c r="AL1614">
        <f t="shared" si="692"/>
        <v>0</v>
      </c>
      <c r="AM1614">
        <f t="shared" ca="1" si="686"/>
        <v>76.652630809768723</v>
      </c>
      <c r="AN1614" t="str">
        <f t="shared" ca="1" si="687"/>
        <v>Supercritical</v>
      </c>
      <c r="AO1614">
        <f ca="1">IF(V35="Supercritical",R1614,AA1614)</f>
        <v>35.450470947135493</v>
      </c>
    </row>
    <row r="1615" spans="1:41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174</v>
      </c>
      <c r="I1615">
        <v>5.5E-2</v>
      </c>
      <c r="J1615">
        <f t="shared" si="688"/>
        <v>0.99899999999999967</v>
      </c>
      <c r="K1615">
        <f t="shared" si="689"/>
        <v>51</v>
      </c>
      <c r="L1615">
        <f t="shared" ca="1" si="693"/>
        <v>0.29537988226338141</v>
      </c>
      <c r="M1615">
        <f t="shared" ca="1" si="668"/>
        <v>1.9861343283389767</v>
      </c>
      <c r="N1615">
        <f t="shared" ca="1" si="669"/>
        <v>0.27152420479628314</v>
      </c>
      <c r="O1615">
        <f t="shared" ca="1" si="670"/>
        <v>25.678021507564289</v>
      </c>
      <c r="P1615">
        <f t="shared" ca="1" si="671"/>
        <v>631.79537988226343</v>
      </c>
      <c r="Q1615">
        <f t="shared" ca="1" si="672"/>
        <v>665.40194402818258</v>
      </c>
      <c r="R1615">
        <f t="shared" ca="1" si="673"/>
        <v>0.84377677529890383</v>
      </c>
      <c r="S1615">
        <f t="shared" ca="1" si="690"/>
        <v>-32.811082959463533</v>
      </c>
      <c r="T1615">
        <f t="shared" ca="1" si="691"/>
        <v>0</v>
      </c>
      <c r="U1615">
        <f t="shared" ca="1" si="674"/>
        <v>0.05</v>
      </c>
      <c r="V1615">
        <f t="shared" ca="1" si="675"/>
        <v>0.33620000000000005</v>
      </c>
      <c r="W1615">
        <f t="shared" ca="1" si="676"/>
        <v>4.9267291910902705E-2</v>
      </c>
      <c r="X1615">
        <f t="shared" ca="1" si="677"/>
        <v>151.69541939321829</v>
      </c>
      <c r="Y1615">
        <f t="shared" ca="1" si="678"/>
        <v>631.54999999999995</v>
      </c>
      <c r="Z1615">
        <f t="shared" ca="1" si="679"/>
        <v>1804.4093407178586</v>
      </c>
      <c r="AA1615">
        <f t="shared" ca="1" si="680"/>
        <v>286.67018773486188</v>
      </c>
      <c r="AB1615">
        <f t="shared" ca="1" si="681"/>
        <v>634.97118766218114</v>
      </c>
      <c r="AC1615">
        <f t="shared" ca="1" si="682"/>
        <v>0</v>
      </c>
      <c r="AD1615">
        <f ca="1">IF(V35="Supercritical",L1615,U1615)</f>
        <v>0.05</v>
      </c>
      <c r="AE1615">
        <f t="shared" ca="1" si="683"/>
        <v>631.54999999999995</v>
      </c>
      <c r="AF1615">
        <f t="shared" ca="1" si="684"/>
        <v>1804.4093407178586</v>
      </c>
      <c r="AI1615">
        <v>0</v>
      </c>
      <c r="AJ1615">
        <v>0</v>
      </c>
      <c r="AK1615">
        <f t="shared" si="685"/>
        <v>0</v>
      </c>
      <c r="AL1615">
        <f t="shared" si="692"/>
        <v>0</v>
      </c>
      <c r="AM1615">
        <f t="shared" ca="1" si="686"/>
        <v>216.59726136014356</v>
      </c>
      <c r="AN1615" t="str">
        <f t="shared" ca="1" si="687"/>
        <v>Supercritical</v>
      </c>
      <c r="AO1615">
        <f ca="1">IF(V35="Supercritical",R1615,AA1615)</f>
        <v>286.67018773486188</v>
      </c>
    </row>
    <row r="1616" spans="1:41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174</v>
      </c>
      <c r="I1616">
        <v>5.5E-2</v>
      </c>
      <c r="J1616">
        <f t="shared" si="688"/>
        <v>1</v>
      </c>
      <c r="K1616">
        <f t="shared" si="689"/>
        <v>51</v>
      </c>
      <c r="L1616">
        <f t="shared" ca="1" si="693"/>
        <v>0.29537988226338141</v>
      </c>
      <c r="M1616">
        <f t="shared" ca="1" si="668"/>
        <v>1.7817314498127166</v>
      </c>
      <c r="N1616">
        <f t="shared" ca="1" si="669"/>
        <v>0.26903156888705781</v>
      </c>
      <c r="O1616">
        <f t="shared" ca="1" si="670"/>
        <v>28.623842277331285</v>
      </c>
      <c r="P1616">
        <f t="shared" ca="1" si="671"/>
        <v>631.79537988226343</v>
      </c>
      <c r="Q1616">
        <f t="shared" ca="1" si="672"/>
        <v>673.55503058142438</v>
      </c>
      <c r="R1616">
        <f t="shared" ca="1" si="673"/>
        <v>1.0614528793093965</v>
      </c>
      <c r="S1616">
        <f t="shared" ca="1" si="690"/>
        <v>-9.9248380038509367</v>
      </c>
      <c r="T1616">
        <f t="shared" ca="1" si="691"/>
        <v>0</v>
      </c>
      <c r="U1616">
        <f t="shared" ca="1" si="674"/>
        <v>0.05</v>
      </c>
      <c r="V1616">
        <f t="shared" ca="1" si="675"/>
        <v>0.30160000000000003</v>
      </c>
      <c r="W1616">
        <f t="shared" ca="1" si="676"/>
        <v>4.918460534898892E-2</v>
      </c>
      <c r="X1616">
        <f t="shared" ca="1" si="677"/>
        <v>169.09814323607426</v>
      </c>
      <c r="Y1616">
        <f t="shared" ca="1" si="678"/>
        <v>631.54999999999995</v>
      </c>
      <c r="Z1616">
        <f t="shared" ca="1" si="679"/>
        <v>2088.9496965284347</v>
      </c>
      <c r="AA1616">
        <f t="shared" ca="1" si="680"/>
        <v>357.01621486187003</v>
      </c>
      <c r="AB1616">
        <f t="shared" ca="1" si="681"/>
        <v>255.49565267320577</v>
      </c>
      <c r="AC1616">
        <f t="shared" ca="1" si="682"/>
        <v>0</v>
      </c>
      <c r="AD1616">
        <f ca="1">IF(V35="Supercritical",L1616,U1616)</f>
        <v>0.05</v>
      </c>
      <c r="AE1616">
        <f t="shared" ca="1" si="683"/>
        <v>631.54999999999995</v>
      </c>
      <c r="AF1616">
        <f t="shared" ca="1" si="684"/>
        <v>2088.9496965284347</v>
      </c>
      <c r="AH1616">
        <v>635.5</v>
      </c>
      <c r="AI1616">
        <v>0</v>
      </c>
      <c r="AJ1616">
        <f t="shared" ref="AJ1616:AJ1642" ca="1" si="694">$D$12*MAX(J1616,0.1)*POWER(MAX(0,AE1616-AH1616),1.5)</f>
        <v>0</v>
      </c>
      <c r="AK1616">
        <f t="shared" ca="1" si="685"/>
        <v>0</v>
      </c>
      <c r="AL1616">
        <f t="shared" ca="1" si="692"/>
        <v>0</v>
      </c>
      <c r="AM1616">
        <f t="shared" ca="1" si="686"/>
        <v>241.44562091936433</v>
      </c>
      <c r="AN1616" t="str">
        <f t="shared" ca="1" si="687"/>
        <v>Supercritical</v>
      </c>
      <c r="AO1616">
        <f ca="1">IF(V35="Supercritical",R1616,AA1616)</f>
        <v>357.01621486187003</v>
      </c>
    </row>
    <row r="1617" spans="1:41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174</v>
      </c>
      <c r="I1617">
        <v>12.169</v>
      </c>
      <c r="J1617">
        <f t="shared" si="688"/>
        <v>1</v>
      </c>
      <c r="K1617">
        <f t="shared" ca="1" si="689"/>
        <v>51</v>
      </c>
      <c r="L1617">
        <f t="shared" ca="1" si="693"/>
        <v>0.29537988226338141</v>
      </c>
      <c r="M1617">
        <f t="shared" ca="1" si="668"/>
        <v>1.8877728275452705</v>
      </c>
      <c r="N1617">
        <f t="shared" ca="1" si="669"/>
        <v>0.27038639128443676</v>
      </c>
      <c r="O1617">
        <f t="shared" ca="1" si="670"/>
        <v>27.015962543711829</v>
      </c>
      <c r="P1617">
        <f t="shared" ca="1" si="671"/>
        <v>631.79537988226343</v>
      </c>
      <c r="Q1617">
        <f t="shared" ca="1" si="672"/>
        <v>668.99528977845307</v>
      </c>
      <c r="R1617">
        <f t="shared" ca="1" si="673"/>
        <v>0.93924084323006352</v>
      </c>
      <c r="S1617">
        <f t="shared" ca="1" si="690"/>
        <v>1.3445163852134101</v>
      </c>
      <c r="T1617">
        <f t="shared" ca="1" si="691"/>
        <v>0</v>
      </c>
      <c r="U1617">
        <f t="shared" ca="1" si="674"/>
        <v>0.05</v>
      </c>
      <c r="V1617">
        <f t="shared" ca="1" si="675"/>
        <v>0.31955</v>
      </c>
      <c r="W1617">
        <f t="shared" ca="1" si="676"/>
        <v>4.9229702665228782E-2</v>
      </c>
      <c r="X1617">
        <f t="shared" ca="1" si="677"/>
        <v>159.59943670787044</v>
      </c>
      <c r="Y1617">
        <f t="shared" ca="1" si="678"/>
        <v>631.54999999999995</v>
      </c>
      <c r="Z1617">
        <f t="shared" ca="1" si="679"/>
        <v>1929.8160651105782</v>
      </c>
      <c r="AA1617">
        <f t="shared" ca="1" si="680"/>
        <v>317.64518477935854</v>
      </c>
      <c r="AB1617">
        <f t="shared" ca="1" si="681"/>
        <v>660.76625168471173</v>
      </c>
      <c r="AC1617">
        <f t="shared" ca="1" si="682"/>
        <v>0</v>
      </c>
      <c r="AD1617">
        <f ca="1">IF(V35="Supercritical",L1617,U1617)</f>
        <v>0.05</v>
      </c>
      <c r="AE1617">
        <f t="shared" ca="1" si="683"/>
        <v>631.54999999999995</v>
      </c>
      <c r="AF1617">
        <f t="shared" ca="1" si="684"/>
        <v>1929.8160651105782</v>
      </c>
      <c r="AH1617">
        <v>635.5</v>
      </c>
      <c r="AI1617">
        <v>0</v>
      </c>
      <c r="AJ1617">
        <f t="shared" ca="1" si="694"/>
        <v>0</v>
      </c>
      <c r="AK1617">
        <f t="shared" ca="1" si="685"/>
        <v>0</v>
      </c>
      <c r="AL1617">
        <f t="shared" ca="1" si="692"/>
        <v>0</v>
      </c>
      <c r="AM1617">
        <f t="shared" ca="1" si="686"/>
        <v>227.88295812636608</v>
      </c>
      <c r="AN1617" t="str">
        <f t="shared" ca="1" si="687"/>
        <v>Supercritical</v>
      </c>
      <c r="AO1617">
        <f ca="1">IF(V35="Supercritical",R1617,AA1617)</f>
        <v>317.64518477935854</v>
      </c>
    </row>
    <row r="1618" spans="1:41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174</v>
      </c>
      <c r="I1618">
        <v>30.655999999999999</v>
      </c>
      <c r="J1618">
        <f t="shared" si="688"/>
        <v>0.94400000000000084</v>
      </c>
      <c r="K1618">
        <f t="shared" ca="1" si="689"/>
        <v>51</v>
      </c>
      <c r="L1618">
        <f t="shared" ca="1" si="693"/>
        <v>0.29537988226338141</v>
      </c>
      <c r="M1618">
        <f t="shared" ca="1" si="668"/>
        <v>1.738605987002263</v>
      </c>
      <c r="N1618">
        <f t="shared" ca="1" si="669"/>
        <v>0.26843762162132589</v>
      </c>
      <c r="O1618">
        <f t="shared" ca="1" si="670"/>
        <v>29.333845840445516</v>
      </c>
      <c r="P1618">
        <f t="shared" ca="1" si="671"/>
        <v>631.79537988226343</v>
      </c>
      <c r="Q1618">
        <f t="shared" ca="1" si="672"/>
        <v>675.65238863817694</v>
      </c>
      <c r="R1618">
        <f t="shared" ca="1" si="673"/>
        <v>1.1180537578613916</v>
      </c>
      <c r="S1618">
        <f t="shared" ca="1" si="690"/>
        <v>-10.534652564780231</v>
      </c>
      <c r="T1618">
        <f t="shared" ca="1" si="691"/>
        <v>0</v>
      </c>
      <c r="U1618">
        <f t="shared" ca="1" si="674"/>
        <v>0.05</v>
      </c>
      <c r="V1618">
        <f t="shared" ca="1" si="675"/>
        <v>0.29430000000000001</v>
      </c>
      <c r="W1618">
        <f t="shared" ca="1" si="676"/>
        <v>4.9164717674574011E-2</v>
      </c>
      <c r="X1618">
        <f t="shared" ca="1" si="677"/>
        <v>173.29255861365954</v>
      </c>
      <c r="Y1618">
        <f t="shared" ca="1" si="678"/>
        <v>631.54999999999995</v>
      </c>
      <c r="Z1618">
        <f t="shared" ca="1" si="679"/>
        <v>2162.1468843460052</v>
      </c>
      <c r="AA1618">
        <f t="shared" ca="1" si="680"/>
        <v>375.14942054879793</v>
      </c>
      <c r="AB1618">
        <f t="shared" ca="1" si="681"/>
        <v>744.39682894874522</v>
      </c>
      <c r="AC1618">
        <f t="shared" ca="1" si="682"/>
        <v>0</v>
      </c>
      <c r="AD1618">
        <f ca="1">IF(V35="Supercritical",L1618,U1618)</f>
        <v>0.05</v>
      </c>
      <c r="AE1618">
        <f t="shared" ca="1" si="683"/>
        <v>631.54999999999995</v>
      </c>
      <c r="AF1618">
        <f t="shared" ca="1" si="684"/>
        <v>2162.1468843460052</v>
      </c>
      <c r="AH1618">
        <v>635.5</v>
      </c>
      <c r="AI1618">
        <v>0</v>
      </c>
      <c r="AJ1618">
        <f t="shared" ca="1" si="694"/>
        <v>0</v>
      </c>
      <c r="AK1618">
        <f t="shared" ca="1" si="685"/>
        <v>0</v>
      </c>
      <c r="AL1618">
        <f t="shared" ca="1" si="692"/>
        <v>0</v>
      </c>
      <c r="AM1618">
        <f t="shared" ca="1" si="686"/>
        <v>247.43458807094899</v>
      </c>
      <c r="AN1618" t="str">
        <f t="shared" ca="1" si="687"/>
        <v>Supercritical</v>
      </c>
      <c r="AO1618">
        <f ca="1">IF(V35="Supercritical",R1618,AA1618)</f>
        <v>375.14942054879793</v>
      </c>
    </row>
    <row r="1619" spans="1:41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174</v>
      </c>
      <c r="I1619">
        <v>7.8E-2</v>
      </c>
      <c r="J1619">
        <f t="shared" si="688"/>
        <v>1</v>
      </c>
      <c r="K1619">
        <f t="shared" ca="1" si="689"/>
        <v>51</v>
      </c>
      <c r="L1619">
        <f t="shared" ca="1" si="693"/>
        <v>0.29537988226338141</v>
      </c>
      <c r="M1619">
        <f t="shared" ca="1" si="668"/>
        <v>1.5891437665769919</v>
      </c>
      <c r="N1619">
        <f t="shared" ca="1" si="669"/>
        <v>0.26615436380782703</v>
      </c>
      <c r="O1619">
        <f t="shared" ca="1" si="670"/>
        <v>32.09275401800415</v>
      </c>
      <c r="P1619">
        <f t="shared" ca="1" si="671"/>
        <v>631.79537988226343</v>
      </c>
      <c r="Q1619">
        <f t="shared" ca="1" si="672"/>
        <v>684.29002108818202</v>
      </c>
      <c r="R1619">
        <f t="shared" ca="1" si="673"/>
        <v>1.3535834571625605</v>
      </c>
      <c r="S1619">
        <f t="shared" ca="1" si="690"/>
        <v>-10.74403860587438</v>
      </c>
      <c r="T1619">
        <f t="shared" ca="1" si="691"/>
        <v>0</v>
      </c>
      <c r="U1619">
        <f t="shared" ca="1" si="674"/>
        <v>0.05</v>
      </c>
      <c r="V1619">
        <f t="shared" ca="1" si="675"/>
        <v>0.26900000000000002</v>
      </c>
      <c r="W1619">
        <f t="shared" ca="1" si="676"/>
        <v>4.9087591240875916E-2</v>
      </c>
      <c r="X1619">
        <f t="shared" ca="1" si="677"/>
        <v>189.59107806691449</v>
      </c>
      <c r="Y1619">
        <f t="shared" ca="1" si="678"/>
        <v>631.54999999999995</v>
      </c>
      <c r="Z1619">
        <f t="shared" ca="1" si="679"/>
        <v>2463.5977514054466</v>
      </c>
      <c r="AA1619">
        <f t="shared" ca="1" si="680"/>
        <v>449.97599740255691</v>
      </c>
      <c r="AB1619">
        <f t="shared" ca="1" si="681"/>
        <v>607.58223362089211</v>
      </c>
      <c r="AC1619">
        <f t="shared" ca="1" si="682"/>
        <v>0</v>
      </c>
      <c r="AD1619">
        <f ca="1">IF(V35="Supercritical",L1619,U1619)</f>
        <v>0.05</v>
      </c>
      <c r="AE1619">
        <f t="shared" ca="1" si="683"/>
        <v>631.54999999999995</v>
      </c>
      <c r="AF1619">
        <f t="shared" ca="1" si="684"/>
        <v>2463.5977514054466</v>
      </c>
      <c r="AH1619">
        <v>635.5</v>
      </c>
      <c r="AI1619">
        <v>0</v>
      </c>
      <c r="AJ1619">
        <f t="shared" ca="1" si="694"/>
        <v>0</v>
      </c>
      <c r="AK1619">
        <f t="shared" ca="1" si="685"/>
        <v>0</v>
      </c>
      <c r="AL1619">
        <f t="shared" ca="1" si="692"/>
        <v>0</v>
      </c>
      <c r="AM1619">
        <f t="shared" ca="1" si="686"/>
        <v>270.70631698617206</v>
      </c>
      <c r="AN1619" t="str">
        <f t="shared" ca="1" si="687"/>
        <v>Supercritical</v>
      </c>
      <c r="AO1619">
        <f ca="1">IF(V35="Supercritical",R1619,AA1619)</f>
        <v>449.97599740255691</v>
      </c>
    </row>
    <row r="1620" spans="1:41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174</v>
      </c>
      <c r="I1620">
        <v>2.8000000000000001E-2</v>
      </c>
      <c r="J1620">
        <f t="shared" si="688"/>
        <v>0.99899999999999878</v>
      </c>
      <c r="K1620">
        <f t="shared" ca="1" si="689"/>
        <v>51</v>
      </c>
      <c r="L1620">
        <f t="shared" ca="1" si="693"/>
        <v>0.29537988226338141</v>
      </c>
      <c r="M1620">
        <f t="shared" ca="1" si="668"/>
        <v>1.5359753877695834</v>
      </c>
      <c r="N1620">
        <f t="shared" ca="1" si="669"/>
        <v>0.26524591767365563</v>
      </c>
      <c r="O1620">
        <f t="shared" ca="1" si="670"/>
        <v>33.20365704170429</v>
      </c>
      <c r="P1620">
        <f t="shared" ca="1" si="671"/>
        <v>631.79537988226343</v>
      </c>
      <c r="Q1620">
        <f t="shared" ca="1" si="672"/>
        <v>687.98716586305443</v>
      </c>
      <c r="R1620">
        <f t="shared" ca="1" si="673"/>
        <v>1.4555353102601578</v>
      </c>
      <c r="S1620">
        <f t="shared" ca="1" si="690"/>
        <v>-5.4726363600331069</v>
      </c>
      <c r="T1620">
        <f t="shared" ca="1" si="691"/>
        <v>0</v>
      </c>
      <c r="U1620">
        <f t="shared" ca="1" si="674"/>
        <v>0.05</v>
      </c>
      <c r="V1620">
        <f t="shared" ca="1" si="675"/>
        <v>0.26</v>
      </c>
      <c r="W1620">
        <f t="shared" ca="1" si="676"/>
        <v>4.9056603773584909E-2</v>
      </c>
      <c r="X1620">
        <f t="shared" ca="1" si="677"/>
        <v>196.15384615384616</v>
      </c>
      <c r="Y1620">
        <f t="shared" ca="1" si="678"/>
        <v>631.54999999999995</v>
      </c>
      <c r="Z1620">
        <f t="shared" ca="1" si="679"/>
        <v>2592.6270316486621</v>
      </c>
      <c r="AA1620">
        <f t="shared" ca="1" si="680"/>
        <v>482.07306851378365</v>
      </c>
      <c r="AB1620">
        <f t="shared" ca="1" si="681"/>
        <v>553.52738050746621</v>
      </c>
      <c r="AC1620">
        <f t="shared" ca="1" si="682"/>
        <v>0</v>
      </c>
      <c r="AD1620">
        <f ca="1">IF(V35="Supercritical",L1620,U1620)</f>
        <v>0.05</v>
      </c>
      <c r="AE1620">
        <f t="shared" ca="1" si="683"/>
        <v>631.54999999999995</v>
      </c>
      <c r="AF1620">
        <f t="shared" ca="1" si="684"/>
        <v>2592.6270316486621</v>
      </c>
      <c r="AH1620">
        <v>635.5</v>
      </c>
      <c r="AI1620">
        <v>0</v>
      </c>
      <c r="AJ1620">
        <f t="shared" ca="1" si="694"/>
        <v>0</v>
      </c>
      <c r="AK1620">
        <f t="shared" ca="1" si="685"/>
        <v>0</v>
      </c>
      <c r="AL1620">
        <f t="shared" ca="1" si="692"/>
        <v>0</v>
      </c>
      <c r="AM1620">
        <f t="shared" ca="1" si="686"/>
        <v>280.07692026646265</v>
      </c>
      <c r="AN1620" t="str">
        <f t="shared" ca="1" si="687"/>
        <v>Supercritical</v>
      </c>
      <c r="AO1620">
        <f ca="1">IF(V35="Supercritical",R1620,AA1620)</f>
        <v>482.07306851378365</v>
      </c>
    </row>
    <row r="1621" spans="1:41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174</v>
      </c>
      <c r="I1621">
        <v>0.05</v>
      </c>
      <c r="J1621">
        <f t="shared" si="688"/>
        <v>1.0010000000000012</v>
      </c>
      <c r="K1621">
        <f t="shared" ca="1" si="689"/>
        <v>51</v>
      </c>
      <c r="L1621">
        <f t="shared" ca="1" si="693"/>
        <v>0.29537988226338141</v>
      </c>
      <c r="M1621">
        <f t="shared" ca="1" si="668"/>
        <v>1.5138218965998298</v>
      </c>
      <c r="N1621">
        <f t="shared" ca="1" si="669"/>
        <v>0.26485051138694365</v>
      </c>
      <c r="O1621">
        <f t="shared" ca="1" si="670"/>
        <v>33.68956421792435</v>
      </c>
      <c r="P1621">
        <f t="shared" ca="1" si="671"/>
        <v>631.79537988226343</v>
      </c>
      <c r="Q1621">
        <f t="shared" ca="1" si="672"/>
        <v>689.64383743545659</v>
      </c>
      <c r="R1621">
        <f t="shared" ca="1" si="673"/>
        <v>1.501431594027326</v>
      </c>
      <c r="S1621">
        <f t="shared" ca="1" si="690"/>
        <v>-3.3071213700343378</v>
      </c>
      <c r="T1621">
        <f t="shared" ca="1" si="691"/>
        <v>0</v>
      </c>
      <c r="U1621">
        <f t="shared" ca="1" si="674"/>
        <v>0.05</v>
      </c>
      <c r="V1621">
        <f t="shared" ca="1" si="675"/>
        <v>0.25625000000000003</v>
      </c>
      <c r="W1621">
        <f t="shared" ca="1" si="676"/>
        <v>4.9043062200956951E-2</v>
      </c>
      <c r="X1621">
        <f t="shared" ca="1" si="677"/>
        <v>199.02439024390242</v>
      </c>
      <c r="Y1621">
        <f t="shared" ca="1" si="678"/>
        <v>631.54999999999995</v>
      </c>
      <c r="Z1621">
        <f t="shared" ca="1" si="679"/>
        <v>2650.444388988642</v>
      </c>
      <c r="AA1621">
        <f t="shared" ca="1" si="680"/>
        <v>496.46848240410895</v>
      </c>
      <c r="AB1621">
        <f t="shared" ca="1" si="681"/>
        <v>569.61220074511129</v>
      </c>
      <c r="AC1621">
        <f t="shared" ca="1" si="682"/>
        <v>0</v>
      </c>
      <c r="AD1621">
        <f ca="1">IF(V35="Supercritical",L1621,U1621)</f>
        <v>0.05</v>
      </c>
      <c r="AE1621">
        <f t="shared" ca="1" si="683"/>
        <v>631.54999999999995</v>
      </c>
      <c r="AF1621">
        <f t="shared" ca="1" si="684"/>
        <v>2650.444388988642</v>
      </c>
      <c r="AH1621">
        <v>635.5</v>
      </c>
      <c r="AI1621">
        <v>0</v>
      </c>
      <c r="AJ1621">
        <f t="shared" ca="1" si="694"/>
        <v>0</v>
      </c>
      <c r="AK1621">
        <f t="shared" ca="1" si="685"/>
        <v>0</v>
      </c>
      <c r="AL1621">
        <f t="shared" ca="1" si="692"/>
        <v>0</v>
      </c>
      <c r="AM1621">
        <f t="shared" ca="1" si="686"/>
        <v>284.17560690450841</v>
      </c>
      <c r="AN1621" t="str">
        <f t="shared" ca="1" si="687"/>
        <v>Supercritical</v>
      </c>
      <c r="AO1621">
        <f ca="1">IF(V35="Supercritical",R1621,AA1621)</f>
        <v>496.46848240410895</v>
      </c>
    </row>
    <row r="1622" spans="1:41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174</v>
      </c>
      <c r="I1622">
        <v>0.05</v>
      </c>
      <c r="J1622">
        <f t="shared" si="688"/>
        <v>1</v>
      </c>
      <c r="K1622">
        <f t="shared" ca="1" si="689"/>
        <v>51</v>
      </c>
      <c r="L1622">
        <f t="shared" ca="1" si="693"/>
        <v>0.29537988226338141</v>
      </c>
      <c r="M1622">
        <f t="shared" ca="1" si="668"/>
        <v>1.4919637853123395</v>
      </c>
      <c r="N1622">
        <f t="shared" ca="1" si="669"/>
        <v>0.26445007366198747</v>
      </c>
      <c r="O1622">
        <f t="shared" ca="1" si="670"/>
        <v>34.183135342875133</v>
      </c>
      <c r="P1622">
        <f t="shared" ca="1" si="671"/>
        <v>631.79537988226343</v>
      </c>
      <c r="Q1622">
        <f t="shared" ca="1" si="672"/>
        <v>691.35127906010848</v>
      </c>
      <c r="R1622">
        <f t="shared" ca="1" si="673"/>
        <v>1.5488691062544215</v>
      </c>
      <c r="S1622">
        <f t="shared" ca="1" si="690"/>
        <v>-3.4082991288561288</v>
      </c>
      <c r="T1622">
        <f t="shared" ca="1" si="691"/>
        <v>0</v>
      </c>
      <c r="U1622">
        <f t="shared" ca="1" si="674"/>
        <v>0.05</v>
      </c>
      <c r="V1622">
        <f t="shared" ca="1" si="675"/>
        <v>0.25255</v>
      </c>
      <c r="W1622">
        <f t="shared" ca="1" si="676"/>
        <v>4.9029314696175504E-2</v>
      </c>
      <c r="X1622">
        <f t="shared" ca="1" si="677"/>
        <v>201.94020985943376</v>
      </c>
      <c r="Y1622">
        <f t="shared" ca="1" si="678"/>
        <v>631.54999999999995</v>
      </c>
      <c r="Z1622">
        <f t="shared" ca="1" si="679"/>
        <v>2710.0336064256953</v>
      </c>
      <c r="AA1622">
        <f t="shared" ca="1" si="680"/>
        <v>511.31322679019189</v>
      </c>
      <c r="AB1622">
        <f t="shared" ca="1" si="681"/>
        <v>588.79941958502968</v>
      </c>
      <c r="AC1622">
        <f t="shared" ca="1" si="682"/>
        <v>0</v>
      </c>
      <c r="AD1622">
        <f ca="1">IF(V35="Supercritical",L1622,U1622)</f>
        <v>0.05</v>
      </c>
      <c r="AE1622">
        <f t="shared" ca="1" si="683"/>
        <v>631.54999999999995</v>
      </c>
      <c r="AF1622">
        <f t="shared" ca="1" si="684"/>
        <v>2710.0336064256953</v>
      </c>
      <c r="AH1622">
        <v>635.5</v>
      </c>
      <c r="AI1622">
        <v>0</v>
      </c>
      <c r="AJ1622">
        <f t="shared" ca="1" si="694"/>
        <v>0</v>
      </c>
      <c r="AK1622">
        <f t="shared" ca="1" si="685"/>
        <v>0</v>
      </c>
      <c r="AL1622">
        <f t="shared" ca="1" si="692"/>
        <v>0</v>
      </c>
      <c r="AM1622">
        <f t="shared" ca="1" si="686"/>
        <v>288.33893989024068</v>
      </c>
      <c r="AN1622" t="str">
        <f t="shared" ca="1" si="687"/>
        <v>Supercritical</v>
      </c>
      <c r="AO1622">
        <f ca="1">IF(V35="Supercritical",R1622,AA1622)</f>
        <v>511.31322679019189</v>
      </c>
    </row>
    <row r="1623" spans="1:41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174</v>
      </c>
      <c r="I1623">
        <v>0.05</v>
      </c>
      <c r="J1623">
        <f t="shared" si="688"/>
        <v>1</v>
      </c>
      <c r="K1623">
        <f t="shared" ca="1" si="689"/>
        <v>51</v>
      </c>
      <c r="L1623">
        <f t="shared" ca="1" si="693"/>
        <v>0.29537988226338141</v>
      </c>
      <c r="M1623">
        <f t="shared" ca="1" si="668"/>
        <v>1.4698102941425859</v>
      </c>
      <c r="N1623">
        <f t="shared" ca="1" si="669"/>
        <v>0.26403336165298597</v>
      </c>
      <c r="O1623">
        <f t="shared" ca="1" si="670"/>
        <v>34.69835542943374</v>
      </c>
      <c r="P1623">
        <f t="shared" ca="1" si="671"/>
        <v>631.79537988226343</v>
      </c>
      <c r="Q1623">
        <f t="shared" ca="1" si="672"/>
        <v>693.16010309874218</v>
      </c>
      <c r="R1623">
        <f t="shared" ca="1" si="673"/>
        <v>1.5992703807352491</v>
      </c>
      <c r="S1623">
        <f t="shared" ca="1" si="690"/>
        <v>-3.5688899129266929</v>
      </c>
      <c r="T1623">
        <f t="shared" ca="1" si="691"/>
        <v>0</v>
      </c>
      <c r="U1623">
        <f t="shared" ca="1" si="674"/>
        <v>0.05</v>
      </c>
      <c r="V1623">
        <f t="shared" ca="1" si="675"/>
        <v>0.24880000000000002</v>
      </c>
      <c r="W1623">
        <f t="shared" ca="1" si="676"/>
        <v>4.9014972419227747E-2</v>
      </c>
      <c r="X1623">
        <f t="shared" ca="1" si="677"/>
        <v>204.98392282958199</v>
      </c>
      <c r="Y1623">
        <f t="shared" ca="1" si="678"/>
        <v>631.54999999999995</v>
      </c>
      <c r="Z1623">
        <f t="shared" ca="1" si="679"/>
        <v>2773.1610407035687</v>
      </c>
      <c r="AA1623">
        <f t="shared" ca="1" si="680"/>
        <v>527.04832179509481</v>
      </c>
      <c r="AB1623">
        <f t="shared" ca="1" si="681"/>
        <v>608.12106554466436</v>
      </c>
      <c r="AC1623">
        <f t="shared" ca="1" si="682"/>
        <v>0</v>
      </c>
      <c r="AD1623">
        <f ca="1">IF(V35="Supercritical",L1623,U1623)</f>
        <v>0.05</v>
      </c>
      <c r="AE1623">
        <f t="shared" ca="1" si="683"/>
        <v>631.54999999999995</v>
      </c>
      <c r="AF1623">
        <f t="shared" ca="1" si="684"/>
        <v>2773.1610407035687</v>
      </c>
      <c r="AH1623">
        <v>635.5</v>
      </c>
      <c r="AI1623">
        <v>0</v>
      </c>
      <c r="AJ1623">
        <f t="shared" ca="1" si="694"/>
        <v>0</v>
      </c>
      <c r="AK1623">
        <f t="shared" ca="1" si="685"/>
        <v>0</v>
      </c>
      <c r="AL1623">
        <f t="shared" ca="1" si="692"/>
        <v>0</v>
      </c>
      <c r="AM1623">
        <f t="shared" ca="1" si="686"/>
        <v>292.68488452283071</v>
      </c>
      <c r="AN1623" t="str">
        <f t="shared" ca="1" si="687"/>
        <v>Supercritical</v>
      </c>
      <c r="AO1623">
        <f ca="1">IF(V35="Supercritical",R1623,AA1623)</f>
        <v>527.04832179509481</v>
      </c>
    </row>
    <row r="1624" spans="1:41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174</v>
      </c>
      <c r="I1624">
        <v>0.05</v>
      </c>
      <c r="J1624">
        <f t="shared" si="688"/>
        <v>0.99999999999999822</v>
      </c>
      <c r="K1624">
        <f t="shared" ca="1" si="689"/>
        <v>51</v>
      </c>
      <c r="L1624">
        <f t="shared" ca="1" si="693"/>
        <v>0.29537988226338141</v>
      </c>
      <c r="M1624">
        <f t="shared" ca="1" si="668"/>
        <v>1.4476568029728323</v>
      </c>
      <c r="N1624">
        <f t="shared" ca="1" si="669"/>
        <v>0.26360526771833037</v>
      </c>
      <c r="O1624">
        <f t="shared" ca="1" si="670"/>
        <v>35.229344341330808</v>
      </c>
      <c r="P1624">
        <f t="shared" ca="1" si="671"/>
        <v>631.79537988226343</v>
      </c>
      <c r="Q1624">
        <f t="shared" ca="1" si="672"/>
        <v>695.05260224312258</v>
      </c>
      <c r="R1624">
        <f t="shared" ca="1" si="673"/>
        <v>1.652162876978815</v>
      </c>
      <c r="S1624">
        <f t="shared" ca="1" si="690"/>
        <v>-3.7127371228722268</v>
      </c>
      <c r="T1624">
        <f t="shared" ca="1" si="691"/>
        <v>0</v>
      </c>
      <c r="U1624">
        <f t="shared" ca="1" si="674"/>
        <v>0.05</v>
      </c>
      <c r="V1624">
        <f t="shared" ca="1" si="675"/>
        <v>0.24504999999999999</v>
      </c>
      <c r="W1624">
        <f t="shared" ca="1" si="676"/>
        <v>4.9000199960008005E-2</v>
      </c>
      <c r="X1624">
        <f t="shared" ca="1" si="677"/>
        <v>208.12079167516833</v>
      </c>
      <c r="Y1624">
        <f t="shared" ca="1" si="678"/>
        <v>631.54999999999995</v>
      </c>
      <c r="Z1624">
        <f t="shared" ca="1" si="679"/>
        <v>2839.2087119010612</v>
      </c>
      <c r="AA1624">
        <f t="shared" ca="1" si="680"/>
        <v>543.52098954110215</v>
      </c>
      <c r="AB1624">
        <f t="shared" ca="1" si="681"/>
        <v>628.40518207978084</v>
      </c>
      <c r="AC1624">
        <f t="shared" ca="1" si="682"/>
        <v>0</v>
      </c>
      <c r="AD1624">
        <f ca="1">IF(V35="Supercritical",L1624,U1624)</f>
        <v>0.05</v>
      </c>
      <c r="AE1624">
        <f t="shared" ca="1" si="683"/>
        <v>631.54999999999995</v>
      </c>
      <c r="AF1624">
        <f t="shared" ca="1" si="684"/>
        <v>2839.2087119010612</v>
      </c>
      <c r="AH1624">
        <v>635.5</v>
      </c>
      <c r="AI1624">
        <v>0</v>
      </c>
      <c r="AJ1624">
        <f t="shared" ca="1" si="694"/>
        <v>0</v>
      </c>
      <c r="AK1624">
        <f t="shared" ca="1" si="685"/>
        <v>0</v>
      </c>
      <c r="AL1624">
        <f t="shared" ca="1" si="692"/>
        <v>0</v>
      </c>
      <c r="AM1624">
        <f t="shared" ca="1" si="686"/>
        <v>297.16384113152532</v>
      </c>
      <c r="AN1624" t="str">
        <f t="shared" ca="1" si="687"/>
        <v>Supercritical</v>
      </c>
      <c r="AO1624">
        <f ca="1">IF(V35="Supercritical",R1624,AA1624)</f>
        <v>543.52098954110215</v>
      </c>
    </row>
    <row r="1625" spans="1:41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174</v>
      </c>
      <c r="I1625">
        <v>0.05</v>
      </c>
      <c r="J1625">
        <f t="shared" si="688"/>
        <v>1</v>
      </c>
      <c r="K1625">
        <f t="shared" ca="1" si="689"/>
        <v>51</v>
      </c>
      <c r="L1625">
        <f t="shared" ca="1" si="693"/>
        <v>0.29537988226338141</v>
      </c>
      <c r="M1625">
        <f t="shared" ca="1" si="668"/>
        <v>1.4255033118030787</v>
      </c>
      <c r="N1625">
        <f t="shared" ca="1" si="669"/>
        <v>0.26316531907846541</v>
      </c>
      <c r="O1625">
        <f t="shared" ca="1" si="670"/>
        <v>35.776837260021196</v>
      </c>
      <c r="P1625">
        <f t="shared" ca="1" si="671"/>
        <v>631.79537988226343</v>
      </c>
      <c r="Q1625">
        <f t="shared" ca="1" si="672"/>
        <v>697.03401822732155</v>
      </c>
      <c r="R1625">
        <f t="shared" ca="1" si="673"/>
        <v>1.7077129353707141</v>
      </c>
      <c r="S1625">
        <f t="shared" ca="1" si="690"/>
        <v>-3.8649320419891637</v>
      </c>
      <c r="T1625">
        <f t="shared" ca="1" si="691"/>
        <v>0</v>
      </c>
      <c r="U1625">
        <f t="shared" ca="1" si="674"/>
        <v>0.05</v>
      </c>
      <c r="V1625">
        <f t="shared" ca="1" si="675"/>
        <v>0.24129999999999999</v>
      </c>
      <c r="W1625">
        <f t="shared" ca="1" si="676"/>
        <v>4.8984977669508732E-2</v>
      </c>
      <c r="X1625">
        <f t="shared" ca="1" si="677"/>
        <v>211.35515955242437</v>
      </c>
      <c r="Y1625">
        <f t="shared" ca="1" si="678"/>
        <v>631.54999999999995</v>
      </c>
      <c r="Z1625">
        <f t="shared" ca="1" si="679"/>
        <v>2908.3595550168584</v>
      </c>
      <c r="AA1625">
        <f t="shared" ca="1" si="680"/>
        <v>560.77805150453639</v>
      </c>
      <c r="AB1625">
        <f t="shared" ca="1" si="681"/>
        <v>648.61502250418789</v>
      </c>
      <c r="AC1625">
        <f t="shared" ca="1" si="682"/>
        <v>0</v>
      </c>
      <c r="AD1625">
        <f ca="1">IF(V35="Supercritical",L1625,U1625)</f>
        <v>0.05</v>
      </c>
      <c r="AE1625">
        <f t="shared" ca="1" si="683"/>
        <v>631.54999999999995</v>
      </c>
      <c r="AF1625">
        <f t="shared" ca="1" si="684"/>
        <v>2908.3595550168584</v>
      </c>
      <c r="AH1625">
        <v>635.5</v>
      </c>
      <c r="AI1625">
        <v>0</v>
      </c>
      <c r="AJ1625">
        <f t="shared" ca="1" si="694"/>
        <v>0</v>
      </c>
      <c r="AK1625">
        <f t="shared" ca="1" si="685"/>
        <v>0</v>
      </c>
      <c r="AL1625">
        <f t="shared" ca="1" si="692"/>
        <v>0</v>
      </c>
      <c r="AM1625">
        <f t="shared" ca="1" si="686"/>
        <v>301.78201106208155</v>
      </c>
      <c r="AN1625" t="str">
        <f t="shared" ca="1" si="687"/>
        <v>Supercritical</v>
      </c>
      <c r="AO1625">
        <f ca="1">IF(V35="Supercritical",R1625,AA1625)</f>
        <v>560.77805150453639</v>
      </c>
    </row>
    <row r="1626" spans="1:41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174</v>
      </c>
      <c r="I1626">
        <v>7.8E-2</v>
      </c>
      <c r="J1626">
        <f t="shared" si="688"/>
        <v>1</v>
      </c>
      <c r="K1626">
        <f t="shared" ca="1" si="689"/>
        <v>51</v>
      </c>
      <c r="L1626">
        <f t="shared" ca="1" si="693"/>
        <v>0.29537988226338141</v>
      </c>
      <c r="M1626">
        <f t="shared" ca="1" si="668"/>
        <v>1.4036452005155884</v>
      </c>
      <c r="N1626">
        <f t="shared" ca="1" si="669"/>
        <v>0.2627191306326529</v>
      </c>
      <c r="O1626">
        <f t="shared" ca="1" si="670"/>
        <v>36.333968143279108</v>
      </c>
      <c r="P1626">
        <f t="shared" ca="1" si="671"/>
        <v>631.79537988226343</v>
      </c>
      <c r="Q1626">
        <f t="shared" ca="1" si="672"/>
        <v>699.08168166803409</v>
      </c>
      <c r="R1626">
        <f t="shared" ca="1" si="673"/>
        <v>1.7653029590189535</v>
      </c>
      <c r="S1626">
        <f t="shared" ca="1" si="690"/>
        <v>-3.9976849512107719</v>
      </c>
      <c r="T1626">
        <f t="shared" ca="1" si="691"/>
        <v>0</v>
      </c>
      <c r="U1626">
        <f t="shared" ca="1" si="674"/>
        <v>0.05</v>
      </c>
      <c r="V1626">
        <f t="shared" ca="1" si="675"/>
        <v>0.23760000000000001</v>
      </c>
      <c r="W1626">
        <f t="shared" ca="1" si="676"/>
        <v>4.8969497114591927E-2</v>
      </c>
      <c r="X1626">
        <f t="shared" ca="1" si="677"/>
        <v>214.64646464646464</v>
      </c>
      <c r="Y1626">
        <f t="shared" ca="1" si="678"/>
        <v>631.54999999999995</v>
      </c>
      <c r="Z1626">
        <f t="shared" ca="1" si="679"/>
        <v>2979.8224151491331</v>
      </c>
      <c r="AA1626">
        <f t="shared" ca="1" si="680"/>
        <v>578.62315038489646</v>
      </c>
      <c r="AB1626">
        <f t="shared" ca="1" si="681"/>
        <v>441.76282707438577</v>
      </c>
      <c r="AC1626">
        <f t="shared" ca="1" si="682"/>
        <v>0</v>
      </c>
      <c r="AD1626">
        <f ca="1">IF(V35="Supercritical",L1626,U1626)</f>
        <v>0.05</v>
      </c>
      <c r="AE1626">
        <f t="shared" ca="1" si="683"/>
        <v>631.54999999999995</v>
      </c>
      <c r="AF1626">
        <f t="shared" ca="1" si="684"/>
        <v>2979.8224151491331</v>
      </c>
      <c r="AH1626">
        <v>635.5</v>
      </c>
      <c r="AI1626">
        <v>0</v>
      </c>
      <c r="AJ1626">
        <f t="shared" ca="1" si="694"/>
        <v>0</v>
      </c>
      <c r="AK1626">
        <f t="shared" ca="1" si="685"/>
        <v>0</v>
      </c>
      <c r="AL1626">
        <f t="shared" ca="1" si="692"/>
        <v>0</v>
      </c>
      <c r="AM1626">
        <f t="shared" ca="1" si="686"/>
        <v>306.4814784060618</v>
      </c>
      <c r="AN1626" t="str">
        <f t="shared" ca="1" si="687"/>
        <v>Supercritical</v>
      </c>
      <c r="AO1626">
        <f ca="1">IF(V35="Supercritical",R1626,AA1626)</f>
        <v>578.62315038489646</v>
      </c>
    </row>
    <row r="1627" spans="1:41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174</v>
      </c>
      <c r="I1627">
        <v>7.8E-2</v>
      </c>
      <c r="J1627">
        <f t="shared" si="688"/>
        <v>0.99900000000000233</v>
      </c>
      <c r="K1627">
        <f t="shared" ca="1" si="689"/>
        <v>51</v>
      </c>
      <c r="L1627">
        <f t="shared" ca="1" si="693"/>
        <v>0.29537988226338141</v>
      </c>
      <c r="M1627">
        <f t="shared" ca="1" si="668"/>
        <v>1.455927439676207</v>
      </c>
      <c r="N1627">
        <f t="shared" ca="1" si="669"/>
        <v>0.26376645031417068</v>
      </c>
      <c r="O1627">
        <f t="shared" ca="1" si="670"/>
        <v>35.029218222126659</v>
      </c>
      <c r="P1627">
        <f t="shared" ca="1" si="671"/>
        <v>631.79537988226343</v>
      </c>
      <c r="Q1627">
        <f t="shared" ca="1" si="672"/>
        <v>694.33595731617629</v>
      </c>
      <c r="R1627">
        <f t="shared" ca="1" si="673"/>
        <v>1.6321146692609618</v>
      </c>
      <c r="S1627">
        <f t="shared" ca="1" si="690"/>
        <v>1.6162497217425198</v>
      </c>
      <c r="T1627">
        <f t="shared" ca="1" si="691"/>
        <v>0</v>
      </c>
      <c r="U1627">
        <f t="shared" ca="1" si="674"/>
        <v>0.05</v>
      </c>
      <c r="V1627">
        <f t="shared" ca="1" si="675"/>
        <v>0.24645000000000003</v>
      </c>
      <c r="W1627">
        <f t="shared" ca="1" si="676"/>
        <v>4.9005766553986883E-2</v>
      </c>
      <c r="X1627">
        <f t="shared" ca="1" si="677"/>
        <v>206.9385270846013</v>
      </c>
      <c r="Y1627">
        <f t="shared" ca="1" si="678"/>
        <v>631.54999999999995</v>
      </c>
      <c r="Z1627">
        <f t="shared" ca="1" si="679"/>
        <v>2814.198011821828</v>
      </c>
      <c r="AA1627">
        <f t="shared" ca="1" si="680"/>
        <v>537.28202276731383</v>
      </c>
      <c r="AB1627">
        <f t="shared" ca="1" si="681"/>
        <v>441.2431336747286</v>
      </c>
      <c r="AC1627">
        <f t="shared" ca="1" si="682"/>
        <v>0</v>
      </c>
      <c r="AD1627">
        <f ca="1">IF(V35="Supercritical",L1627,U1627)</f>
        <v>0.05</v>
      </c>
      <c r="AE1627">
        <f t="shared" ca="1" si="683"/>
        <v>631.54999999999995</v>
      </c>
      <c r="AF1627">
        <f t="shared" ca="1" si="684"/>
        <v>2814.198011821828</v>
      </c>
      <c r="AH1627">
        <v>635.5</v>
      </c>
      <c r="AI1627">
        <v>0</v>
      </c>
      <c r="AJ1627">
        <f t="shared" ca="1" si="694"/>
        <v>0</v>
      </c>
      <c r="AK1627">
        <f t="shared" ca="1" si="685"/>
        <v>0</v>
      </c>
      <c r="AL1627">
        <f t="shared" ca="1" si="692"/>
        <v>0</v>
      </c>
      <c r="AM1627">
        <f t="shared" ca="1" si="686"/>
        <v>295.47575276640401</v>
      </c>
      <c r="AN1627" t="str">
        <f t="shared" ca="1" si="687"/>
        <v>Supercritical</v>
      </c>
      <c r="AO1627">
        <f ca="1">IF(V35="Supercritical",R1627,AA1627)</f>
        <v>537.28202276731383</v>
      </c>
    </row>
    <row r="1628" spans="1:41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174</v>
      </c>
      <c r="I1628">
        <v>4.04</v>
      </c>
      <c r="J1628">
        <f t="shared" si="688"/>
        <v>1</v>
      </c>
      <c r="K1628">
        <f t="shared" ca="1" si="689"/>
        <v>51</v>
      </c>
      <c r="L1628">
        <f t="shared" ca="1" si="693"/>
        <v>0.29537988226338141</v>
      </c>
      <c r="M1628">
        <f t="shared" ca="1" si="668"/>
        <v>1.5028928409560847</v>
      </c>
      <c r="N1628">
        <f t="shared" ca="1" si="669"/>
        <v>0.26465159705190094</v>
      </c>
      <c r="O1628">
        <f t="shared" ca="1" si="670"/>
        <v>33.934555152685199</v>
      </c>
      <c r="P1628">
        <f t="shared" ca="1" si="671"/>
        <v>631.79537988226343</v>
      </c>
      <c r="Q1628">
        <f t="shared" ca="1" si="672"/>
        <v>690.48824600920705</v>
      </c>
      <c r="R1628">
        <f t="shared" ca="1" si="673"/>
        <v>1.5248746575673575</v>
      </c>
      <c r="S1628">
        <f t="shared" ca="1" si="690"/>
        <v>0.69379669674265187</v>
      </c>
      <c r="T1628">
        <f t="shared" ca="1" si="691"/>
        <v>0</v>
      </c>
      <c r="U1628">
        <f t="shared" ca="1" si="674"/>
        <v>0.05</v>
      </c>
      <c r="V1628">
        <f t="shared" ca="1" si="675"/>
        <v>0.25440000000000002</v>
      </c>
      <c r="W1628">
        <f t="shared" ca="1" si="676"/>
        <v>4.9036237471087131E-2</v>
      </c>
      <c r="X1628">
        <f t="shared" ca="1" si="677"/>
        <v>200.47169811320754</v>
      </c>
      <c r="Y1628">
        <f t="shared" ca="1" si="678"/>
        <v>631.54999999999995</v>
      </c>
      <c r="Z1628">
        <f t="shared" ca="1" si="679"/>
        <v>2679.9140032820087</v>
      </c>
      <c r="AA1628">
        <f t="shared" ca="1" si="680"/>
        <v>503.80886331202333</v>
      </c>
      <c r="AB1628">
        <f t="shared" ca="1" si="681"/>
        <v>402.94719439049322</v>
      </c>
      <c r="AC1628">
        <f t="shared" ca="1" si="682"/>
        <v>0</v>
      </c>
      <c r="AD1628">
        <f ca="1">IF(V35="Supercritical",L1628,U1628)</f>
        <v>0.05</v>
      </c>
      <c r="AE1628">
        <f t="shared" ca="1" si="683"/>
        <v>631.54999999999995</v>
      </c>
      <c r="AF1628">
        <f t="shared" ca="1" si="684"/>
        <v>2679.9140032820087</v>
      </c>
      <c r="AH1628">
        <v>635.5</v>
      </c>
      <c r="AI1628">
        <v>0</v>
      </c>
      <c r="AJ1628">
        <f t="shared" ca="1" si="694"/>
        <v>0</v>
      </c>
      <c r="AK1628">
        <f t="shared" ca="1" si="685"/>
        <v>0</v>
      </c>
      <c r="AL1628">
        <f t="shared" ca="1" si="692"/>
        <v>0</v>
      </c>
      <c r="AM1628">
        <f t="shared" ca="1" si="686"/>
        <v>286.24213549245394</v>
      </c>
      <c r="AN1628" t="str">
        <f t="shared" ca="1" si="687"/>
        <v>Supercritical</v>
      </c>
      <c r="AO1628">
        <f ca="1">IF(V35="Supercritical",R1628,AA1628)</f>
        <v>503.80886331202333</v>
      </c>
    </row>
    <row r="1629" spans="1:41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174</v>
      </c>
      <c r="I1629">
        <v>21.068999999999999</v>
      </c>
      <c r="J1629">
        <f t="shared" si="688"/>
        <v>0.98799999999999955</v>
      </c>
      <c r="K1629">
        <f t="shared" ca="1" si="689"/>
        <v>51</v>
      </c>
      <c r="L1629">
        <f t="shared" ca="1" si="693"/>
        <v>0.29537988226338141</v>
      </c>
      <c r="M1629">
        <f t="shared" ca="1" si="668"/>
        <v>1.5832361689317245</v>
      </c>
      <c r="N1629">
        <f t="shared" ca="1" si="669"/>
        <v>0.26605613931343641</v>
      </c>
      <c r="O1629">
        <f t="shared" ca="1" si="670"/>
        <v>32.212503100160873</v>
      </c>
      <c r="P1629">
        <f t="shared" ca="1" si="671"/>
        <v>631.79537988226343</v>
      </c>
      <c r="Q1629">
        <f t="shared" ca="1" si="672"/>
        <v>684.68250302078911</v>
      </c>
      <c r="R1629">
        <f t="shared" ca="1" si="673"/>
        <v>1.3643749957895741</v>
      </c>
      <c r="S1629">
        <f t="shared" ca="1" si="690"/>
        <v>0.57573076908659004</v>
      </c>
      <c r="T1629">
        <f t="shared" ca="1" si="691"/>
        <v>0</v>
      </c>
      <c r="U1629">
        <f t="shared" ca="1" si="674"/>
        <v>0.05</v>
      </c>
      <c r="V1629">
        <f t="shared" ca="1" si="675"/>
        <v>0.26800000000000002</v>
      </c>
      <c r="W1629">
        <f t="shared" ca="1" si="676"/>
        <v>4.908424908424909E-2</v>
      </c>
      <c r="X1629">
        <f t="shared" ca="1" si="677"/>
        <v>190.29850746268656</v>
      </c>
      <c r="Y1629">
        <f t="shared" ca="1" si="678"/>
        <v>631.54999999999995</v>
      </c>
      <c r="Z1629">
        <f t="shared" ca="1" si="679"/>
        <v>2477.295257009489</v>
      </c>
      <c r="AA1629">
        <f t="shared" ca="1" si="680"/>
        <v>453.3814500604658</v>
      </c>
      <c r="AB1629">
        <f t="shared" ca="1" si="681"/>
        <v>660.28928033155398</v>
      </c>
      <c r="AC1629">
        <f t="shared" ca="1" si="682"/>
        <v>0</v>
      </c>
      <c r="AD1629">
        <f ca="1">IF(V35="Supercritical",L1629,U1629)</f>
        <v>0.05</v>
      </c>
      <c r="AE1629">
        <f t="shared" ca="1" si="683"/>
        <v>631.54999999999995</v>
      </c>
      <c r="AF1629">
        <f t="shared" ca="1" si="684"/>
        <v>2477.295257009489</v>
      </c>
      <c r="AH1629">
        <v>635.5</v>
      </c>
      <c r="AI1629">
        <v>0</v>
      </c>
      <c r="AJ1629">
        <f t="shared" ca="1" si="694"/>
        <v>0</v>
      </c>
      <c r="AK1629">
        <f t="shared" ca="1" si="685"/>
        <v>0</v>
      </c>
      <c r="AL1629">
        <f t="shared" ca="1" si="692"/>
        <v>0</v>
      </c>
      <c r="AM1629">
        <f t="shared" ca="1" si="686"/>
        <v>271.71641518388162</v>
      </c>
      <c r="AN1629" t="str">
        <f t="shared" ca="1" si="687"/>
        <v>Supercritical</v>
      </c>
      <c r="AO1629">
        <f ca="1">IF(V35="Supercritical",R1629,AA1629)</f>
        <v>453.3814500604658</v>
      </c>
    </row>
    <row r="1630" spans="1:41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174</v>
      </c>
      <c r="I1630">
        <v>5.7000000000000002E-2</v>
      </c>
      <c r="J1630">
        <f t="shared" si="688"/>
        <v>0.99899999999999878</v>
      </c>
      <c r="K1630">
        <f t="shared" ca="1" si="689"/>
        <v>51</v>
      </c>
      <c r="L1630">
        <f t="shared" ca="1" si="693"/>
        <v>0.29537988226338141</v>
      </c>
      <c r="M1630">
        <f t="shared" ca="1" si="668"/>
        <v>1.5152987960111466</v>
      </c>
      <c r="N1630">
        <f t="shared" ca="1" si="669"/>
        <v>0.26487719435575641</v>
      </c>
      <c r="O1630">
        <f t="shared" ca="1" si="670"/>
        <v>33.656728385353276</v>
      </c>
      <c r="P1630">
        <f t="shared" ca="1" si="671"/>
        <v>631.79537988226343</v>
      </c>
      <c r="Q1630">
        <f t="shared" ca="1" si="672"/>
        <v>689.531127364702</v>
      </c>
      <c r="R1630">
        <f t="shared" ca="1" si="673"/>
        <v>1.4983049828376631</v>
      </c>
      <c r="S1630">
        <f t="shared" ca="1" si="690"/>
        <v>-6.7688803236392232</v>
      </c>
      <c r="T1630">
        <f t="shared" ca="1" si="691"/>
        <v>0</v>
      </c>
      <c r="U1630">
        <f t="shared" ca="1" si="674"/>
        <v>0.05</v>
      </c>
      <c r="V1630">
        <f t="shared" ca="1" si="675"/>
        <v>0.25650000000000001</v>
      </c>
      <c r="W1630">
        <f t="shared" ca="1" si="676"/>
        <v>4.9043977055449335E-2</v>
      </c>
      <c r="X1630">
        <f t="shared" ca="1" si="677"/>
        <v>198.83040935672514</v>
      </c>
      <c r="Y1630">
        <f t="shared" ca="1" si="678"/>
        <v>631.54999999999995</v>
      </c>
      <c r="Z1630">
        <f t="shared" ca="1" si="679"/>
        <v>2646.5108402121759</v>
      </c>
      <c r="AA1630">
        <f t="shared" ca="1" si="680"/>
        <v>495.48885530245536</v>
      </c>
      <c r="AB1630">
        <f t="shared" ca="1" si="681"/>
        <v>603.96892863525909</v>
      </c>
      <c r="AC1630">
        <f t="shared" ca="1" si="682"/>
        <v>0</v>
      </c>
      <c r="AD1630">
        <f ca="1">IF(V35="Supercritical",L1630,U1630)</f>
        <v>0.05</v>
      </c>
      <c r="AE1630">
        <f t="shared" ca="1" si="683"/>
        <v>631.54999999999995</v>
      </c>
      <c r="AF1630">
        <f t="shared" ca="1" si="684"/>
        <v>2646.5108402121759</v>
      </c>
      <c r="AH1630">
        <v>635.5</v>
      </c>
      <c r="AI1630">
        <v>0</v>
      </c>
      <c r="AJ1630">
        <f t="shared" ca="1" si="694"/>
        <v>0</v>
      </c>
      <c r="AK1630">
        <f t="shared" ca="1" si="685"/>
        <v>0</v>
      </c>
      <c r="AL1630">
        <f t="shared" ca="1" si="692"/>
        <v>0</v>
      </c>
      <c r="AM1630">
        <f t="shared" ca="1" si="686"/>
        <v>283.89863262877304</v>
      </c>
      <c r="AN1630" t="str">
        <f t="shared" ca="1" si="687"/>
        <v>Supercritical</v>
      </c>
      <c r="AO1630">
        <f ca="1">IF(V35="Supercritical",R1630,AA1630)</f>
        <v>495.48885530245536</v>
      </c>
    </row>
    <row r="1631" spans="1:41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174</v>
      </c>
      <c r="I1631">
        <v>5.2999999999999999E-2</v>
      </c>
      <c r="J1631">
        <f t="shared" si="688"/>
        <v>1</v>
      </c>
      <c r="K1631">
        <f t="shared" ca="1" si="689"/>
        <v>51</v>
      </c>
      <c r="L1631">
        <f t="shared" ca="1" si="693"/>
        <v>0.29537988226338141</v>
      </c>
      <c r="M1631">
        <f t="shared" ca="1" si="668"/>
        <v>1.4831023888444381</v>
      </c>
      <c r="N1631">
        <f t="shared" ca="1" si="669"/>
        <v>0.26428472548298892</v>
      </c>
      <c r="O1631">
        <f t="shared" ca="1" si="670"/>
        <v>34.387376342732978</v>
      </c>
      <c r="P1631">
        <f t="shared" ca="1" si="671"/>
        <v>631.79537988226343</v>
      </c>
      <c r="Q1631">
        <f t="shared" ca="1" si="672"/>
        <v>692.06508690248518</v>
      </c>
      <c r="R1631">
        <f t="shared" ca="1" si="673"/>
        <v>1.5687407695413971</v>
      </c>
      <c r="S1631">
        <f t="shared" ca="1" si="690"/>
        <v>-4.3262021918711753</v>
      </c>
      <c r="T1631">
        <f t="shared" ca="1" si="691"/>
        <v>0</v>
      </c>
      <c r="U1631">
        <f t="shared" ca="1" si="674"/>
        <v>0.05</v>
      </c>
      <c r="V1631">
        <f t="shared" ca="1" si="675"/>
        <v>0.25105</v>
      </c>
      <c r="W1631">
        <f t="shared" ca="1" si="676"/>
        <v>4.9023628197617658E-2</v>
      </c>
      <c r="X1631">
        <f t="shared" ca="1" si="677"/>
        <v>203.1467835092611</v>
      </c>
      <c r="Y1631">
        <f t="shared" ca="1" si="678"/>
        <v>631.54999999999995</v>
      </c>
      <c r="Z1631">
        <f t="shared" ca="1" si="679"/>
        <v>2734.9452930763809</v>
      </c>
      <c r="AA1631">
        <f t="shared" ca="1" si="680"/>
        <v>517.52160583170098</v>
      </c>
      <c r="AB1631">
        <f t="shared" ca="1" si="681"/>
        <v>633.83821074223806</v>
      </c>
      <c r="AC1631">
        <f t="shared" ca="1" si="682"/>
        <v>0</v>
      </c>
      <c r="AD1631">
        <f ca="1">IF(V35="Supercritical",L1631,U1631)</f>
        <v>0.05</v>
      </c>
      <c r="AE1631">
        <f t="shared" ca="1" si="683"/>
        <v>631.54999999999995</v>
      </c>
      <c r="AF1631">
        <f t="shared" ca="1" si="684"/>
        <v>2734.9452930763809</v>
      </c>
      <c r="AH1631">
        <v>635.5</v>
      </c>
      <c r="AI1631">
        <v>0</v>
      </c>
      <c r="AJ1631">
        <f t="shared" ca="1" si="694"/>
        <v>0</v>
      </c>
      <c r="AK1631">
        <f t="shared" ca="1" si="685"/>
        <v>0</v>
      </c>
      <c r="AL1631">
        <f t="shared" ca="1" si="692"/>
        <v>0</v>
      </c>
      <c r="AM1631">
        <f t="shared" ca="1" si="686"/>
        <v>290.06173777845163</v>
      </c>
      <c r="AN1631" t="str">
        <f t="shared" ca="1" si="687"/>
        <v>Supercritical</v>
      </c>
      <c r="AO1631">
        <f ca="1">IF(V35="Supercritical",R1631,AA1631)</f>
        <v>517.52160583170098</v>
      </c>
    </row>
    <row r="1632" spans="1:41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174</v>
      </c>
      <c r="I1632">
        <v>5.2999999999999999E-2</v>
      </c>
      <c r="J1632">
        <f t="shared" si="688"/>
        <v>1.0010000000000012</v>
      </c>
      <c r="K1632">
        <f t="shared" ca="1" si="689"/>
        <v>51</v>
      </c>
      <c r="L1632">
        <f t="shared" ca="1" si="693"/>
        <v>0.29537988226338141</v>
      </c>
      <c r="M1632">
        <f t="shared" ca="1" si="668"/>
        <v>1.4509059816777294</v>
      </c>
      <c r="N1632">
        <f t="shared" ca="1" si="669"/>
        <v>0.26366878507597491</v>
      </c>
      <c r="O1632">
        <f t="shared" ca="1" si="670"/>
        <v>35.15045126564786</v>
      </c>
      <c r="P1632">
        <f t="shared" ca="1" si="671"/>
        <v>631.79537988226343</v>
      </c>
      <c r="Q1632">
        <f t="shared" ca="1" si="672"/>
        <v>694.76960129809856</v>
      </c>
      <c r="R1632">
        <f t="shared" ca="1" si="673"/>
        <v>1.6442431346331483</v>
      </c>
      <c r="S1632">
        <f t="shared" ca="1" si="690"/>
        <v>-4.5886270021057953</v>
      </c>
      <c r="T1632">
        <f t="shared" ca="1" si="691"/>
        <v>0</v>
      </c>
      <c r="U1632">
        <f t="shared" ca="1" si="674"/>
        <v>0.05</v>
      </c>
      <c r="V1632">
        <f t="shared" ca="1" si="675"/>
        <v>0.24560000000000001</v>
      </c>
      <c r="W1632">
        <f t="shared" ca="1" si="676"/>
        <v>4.900239425379091E-2</v>
      </c>
      <c r="X1632">
        <f t="shared" ca="1" si="677"/>
        <v>207.65472312703582</v>
      </c>
      <c r="Y1632">
        <f t="shared" ca="1" si="678"/>
        <v>631.54999999999995</v>
      </c>
      <c r="Z1632">
        <f t="shared" ca="1" si="679"/>
        <v>2829.3320610074361</v>
      </c>
      <c r="AA1632">
        <f t="shared" ca="1" si="680"/>
        <v>541.05707269514789</v>
      </c>
      <c r="AB1632">
        <f t="shared" ca="1" si="681"/>
        <v>665.79287780652658</v>
      </c>
      <c r="AC1632">
        <f t="shared" ca="1" si="682"/>
        <v>0</v>
      </c>
      <c r="AD1632">
        <f ca="1">IF(V35="Supercritical",L1632,U1632)</f>
        <v>0.05</v>
      </c>
      <c r="AE1632">
        <f t="shared" ca="1" si="683"/>
        <v>631.54999999999995</v>
      </c>
      <c r="AF1632">
        <f t="shared" ca="1" si="684"/>
        <v>2829.3320610074361</v>
      </c>
      <c r="AH1632">
        <v>635.5</v>
      </c>
      <c r="AI1632">
        <v>0</v>
      </c>
      <c r="AJ1632">
        <f t="shared" ca="1" si="694"/>
        <v>0</v>
      </c>
      <c r="AK1632">
        <f t="shared" ca="1" si="685"/>
        <v>0</v>
      </c>
      <c r="AL1632">
        <f t="shared" ca="1" si="692"/>
        <v>0</v>
      </c>
      <c r="AM1632">
        <f t="shared" ca="1" si="686"/>
        <v>296.49836836026174</v>
      </c>
      <c r="AN1632" t="str">
        <f t="shared" ca="1" si="687"/>
        <v>Supercritical</v>
      </c>
      <c r="AO1632">
        <f ca="1">IF(V35="Supercritical",R1632,AA1632)</f>
        <v>541.05707269514789</v>
      </c>
    </row>
    <row r="1633" spans="1:41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174</v>
      </c>
      <c r="I1633">
        <v>0</v>
      </c>
      <c r="J1633">
        <f t="shared" si="688"/>
        <v>1</v>
      </c>
      <c r="K1633">
        <f t="shared" ca="1" si="689"/>
        <v>51</v>
      </c>
      <c r="L1633">
        <f t="shared" ca="1" si="693"/>
        <v>0.29537988226338141</v>
      </c>
      <c r="M1633">
        <f t="shared" ca="1" si="668"/>
        <v>1.4184141946287574</v>
      </c>
      <c r="N1633">
        <f t="shared" ca="1" si="669"/>
        <v>0.26302195101643455</v>
      </c>
      <c r="O1633">
        <f t="shared" ca="1" si="670"/>
        <v>35.955646942287032</v>
      </c>
      <c r="P1633">
        <f t="shared" ca="1" si="671"/>
        <v>631.79537988226343</v>
      </c>
      <c r="Q1633">
        <f t="shared" ca="1" si="672"/>
        <v>697.68776250399605</v>
      </c>
      <c r="R1633">
        <f t="shared" ca="1" si="673"/>
        <v>1.7260792811092107</v>
      </c>
      <c r="S1633">
        <f t="shared" ca="1" si="690"/>
        <v>-4.8951385343583524</v>
      </c>
      <c r="T1633">
        <f t="shared" ca="1" si="691"/>
        <v>0</v>
      </c>
      <c r="U1633">
        <f t="shared" ca="1" si="674"/>
        <v>0.05</v>
      </c>
      <c r="V1633">
        <f t="shared" ca="1" si="675"/>
        <v>0.24009999999999998</v>
      </c>
      <c r="W1633">
        <f t="shared" ca="1" si="676"/>
        <v>4.8980008159934724E-2</v>
      </c>
      <c r="X1633">
        <f t="shared" ca="1" si="677"/>
        <v>212.41149521032904</v>
      </c>
      <c r="Y1633">
        <f t="shared" ca="1" si="678"/>
        <v>631.54999999999995</v>
      </c>
      <c r="Z1633">
        <f t="shared" ca="1" si="679"/>
        <v>2931.1750406466681</v>
      </c>
      <c r="AA1633">
        <f t="shared" ca="1" si="680"/>
        <v>566.47412771159475</v>
      </c>
      <c r="AB1633">
        <f t="shared" ca="1" si="681"/>
        <v>698.48941069205648</v>
      </c>
      <c r="AC1633">
        <f t="shared" ca="1" si="682"/>
        <v>0</v>
      </c>
      <c r="AD1633">
        <f ca="1">IF(V35="Supercritical",L1633,U1633)</f>
        <v>0.05</v>
      </c>
      <c r="AE1633">
        <f t="shared" ca="1" si="683"/>
        <v>631.54999999999995</v>
      </c>
      <c r="AF1633">
        <f t="shared" ca="1" si="684"/>
        <v>2931.1750406466681</v>
      </c>
      <c r="AH1633">
        <v>635.5</v>
      </c>
      <c r="AI1633">
        <v>0</v>
      </c>
      <c r="AJ1633">
        <f t="shared" ca="1" si="694"/>
        <v>0</v>
      </c>
      <c r="AK1633">
        <f t="shared" ca="1" si="685"/>
        <v>0</v>
      </c>
      <c r="AL1633">
        <f t="shared" ca="1" si="692"/>
        <v>0</v>
      </c>
      <c r="AM1633">
        <f t="shared" ca="1" si="686"/>
        <v>303.29029266672342</v>
      </c>
      <c r="AN1633" t="str">
        <f t="shared" ca="1" si="687"/>
        <v>Supercritical</v>
      </c>
      <c r="AO1633">
        <f ca="1">IF(V35="Supercritical",R1633,AA1633)</f>
        <v>566.47412771159475</v>
      </c>
    </row>
    <row r="1634" spans="1:41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174</v>
      </c>
      <c r="I1634">
        <v>5.7000000000000002E-2</v>
      </c>
      <c r="J1634">
        <f t="shared" si="688"/>
        <v>0.99899999999999878</v>
      </c>
      <c r="K1634">
        <f t="shared" ca="1" si="689"/>
        <v>51</v>
      </c>
      <c r="L1634">
        <f t="shared" ca="1" si="693"/>
        <v>0.29537988226338141</v>
      </c>
      <c r="M1634">
        <f t="shared" ca="1" si="668"/>
        <v>1.3862177874620489</v>
      </c>
      <c r="N1634">
        <f t="shared" ca="1" si="669"/>
        <v>0.26235443117013191</v>
      </c>
      <c r="O1634">
        <f t="shared" ca="1" si="670"/>
        <v>36.7907557248801</v>
      </c>
      <c r="P1634">
        <f t="shared" ca="1" si="671"/>
        <v>631.79537988226343</v>
      </c>
      <c r="Q1634">
        <f t="shared" ca="1" si="672"/>
        <v>700.78415189081579</v>
      </c>
      <c r="R1634">
        <f t="shared" ca="1" si="673"/>
        <v>1.8133239486501573</v>
      </c>
      <c r="S1634">
        <f t="shared" ca="1" si="690"/>
        <v>-5.1805141721073369</v>
      </c>
      <c r="T1634">
        <f t="shared" ca="1" si="691"/>
        <v>0</v>
      </c>
      <c r="U1634">
        <f t="shared" ca="1" si="674"/>
        <v>0.05</v>
      </c>
      <c r="V1634">
        <f t="shared" ca="1" si="675"/>
        <v>0.23465</v>
      </c>
      <c r="W1634">
        <f t="shared" ca="1" si="676"/>
        <v>4.8956812017525567E-2</v>
      </c>
      <c r="X1634">
        <f t="shared" ca="1" si="677"/>
        <v>217.34498188791818</v>
      </c>
      <c r="Y1634">
        <f t="shared" ca="1" si="678"/>
        <v>631.54999999999995</v>
      </c>
      <c r="Z1634">
        <f t="shared" ca="1" si="679"/>
        <v>3039.2381321029297</v>
      </c>
      <c r="AA1634">
        <f t="shared" ca="1" si="680"/>
        <v>593.46837422558121</v>
      </c>
      <c r="AB1634">
        <f t="shared" ca="1" si="681"/>
        <v>735.64272504580867</v>
      </c>
      <c r="AC1634">
        <f t="shared" ca="1" si="682"/>
        <v>0</v>
      </c>
      <c r="AD1634">
        <f ca="1">IF(V35="Supercritical",L1634,U1634)</f>
        <v>0.05</v>
      </c>
      <c r="AE1634">
        <f t="shared" ca="1" si="683"/>
        <v>631.54999999999995</v>
      </c>
      <c r="AF1634">
        <f t="shared" ca="1" si="684"/>
        <v>3039.2381321029297</v>
      </c>
      <c r="AH1634">
        <v>635.5</v>
      </c>
      <c r="AI1634">
        <v>0</v>
      </c>
      <c r="AJ1634">
        <f t="shared" ca="1" si="694"/>
        <v>0</v>
      </c>
      <c r="AK1634">
        <f t="shared" ca="1" si="685"/>
        <v>0</v>
      </c>
      <c r="AL1634">
        <f t="shared" ca="1" si="692"/>
        <v>0</v>
      </c>
      <c r="AM1634">
        <f t="shared" ca="1" si="686"/>
        <v>310.33453769137134</v>
      </c>
      <c r="AN1634" t="str">
        <f t="shared" ca="1" si="687"/>
        <v>Supercritical</v>
      </c>
      <c r="AO1634">
        <f ca="1">IF(V35="Supercritical",R1634,AA1634)</f>
        <v>593.46837422558121</v>
      </c>
    </row>
    <row r="1635" spans="1:41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174</v>
      </c>
      <c r="I1635">
        <v>5.7000000000000002E-2</v>
      </c>
      <c r="J1635">
        <f t="shared" si="688"/>
        <v>1</v>
      </c>
      <c r="K1635">
        <f t="shared" ca="1" si="689"/>
        <v>51</v>
      </c>
      <c r="L1635">
        <f t="shared" ca="1" si="693"/>
        <v>0.29537988226338141</v>
      </c>
      <c r="M1635">
        <f t="shared" ca="1" si="668"/>
        <v>1.3540213802953402</v>
      </c>
      <c r="N1635">
        <f t="shared" ca="1" si="669"/>
        <v>0.26165879034177097</v>
      </c>
      <c r="O1635">
        <f t="shared" ca="1" si="670"/>
        <v>37.66557954120033</v>
      </c>
      <c r="P1635">
        <f t="shared" ca="1" si="671"/>
        <v>631.79537988226343</v>
      </c>
      <c r="Q1635">
        <f t="shared" ca="1" si="672"/>
        <v>704.10403850481634</v>
      </c>
      <c r="R1635">
        <f t="shared" ca="1" si="673"/>
        <v>1.907325084694848</v>
      </c>
      <c r="S1635">
        <f t="shared" ca="1" si="690"/>
        <v>-5.5190691146422068</v>
      </c>
      <c r="T1635">
        <f t="shared" ca="1" si="691"/>
        <v>0</v>
      </c>
      <c r="U1635">
        <f t="shared" ca="1" si="674"/>
        <v>0.05</v>
      </c>
      <c r="V1635">
        <f t="shared" ca="1" si="675"/>
        <v>0.22919999999999999</v>
      </c>
      <c r="W1635">
        <f t="shared" ca="1" si="676"/>
        <v>4.8932536293766017E-2</v>
      </c>
      <c r="X1635">
        <f t="shared" ca="1" si="677"/>
        <v>222.51308900523563</v>
      </c>
      <c r="Y1635">
        <f t="shared" ca="1" si="678"/>
        <v>631.54999999999995</v>
      </c>
      <c r="Z1635">
        <f t="shared" ca="1" si="679"/>
        <v>3155.1012119598327</v>
      </c>
      <c r="AA1635">
        <f t="shared" ca="1" si="680"/>
        <v>622.43882545057727</v>
      </c>
      <c r="AB1635">
        <f t="shared" ca="1" si="681"/>
        <v>775.12032543606983</v>
      </c>
      <c r="AC1635">
        <f t="shared" ca="1" si="682"/>
        <v>0</v>
      </c>
      <c r="AD1635">
        <f ca="1">IF(V35="Supercritical",L1635,U1635)</f>
        <v>0.05</v>
      </c>
      <c r="AE1635">
        <f t="shared" ca="1" si="683"/>
        <v>631.54999999999995</v>
      </c>
      <c r="AF1635">
        <f t="shared" ca="1" si="684"/>
        <v>3155.1012119598327</v>
      </c>
      <c r="AH1635">
        <v>635.5</v>
      </c>
      <c r="AI1635">
        <v>0</v>
      </c>
      <c r="AJ1635">
        <f t="shared" ca="1" si="694"/>
        <v>0</v>
      </c>
      <c r="AK1635">
        <f t="shared" ca="1" si="685"/>
        <v>0</v>
      </c>
      <c r="AL1635">
        <f t="shared" ca="1" si="692"/>
        <v>0</v>
      </c>
      <c r="AM1635">
        <f t="shared" ca="1" si="686"/>
        <v>317.71378389738345</v>
      </c>
      <c r="AN1635" t="str">
        <f t="shared" ca="1" si="687"/>
        <v>Supercritical</v>
      </c>
      <c r="AO1635">
        <f ca="1">IF(V35="Supercritical",R1635,AA1635)</f>
        <v>622.43882545057727</v>
      </c>
    </row>
    <row r="1636" spans="1:41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174</v>
      </c>
      <c r="I1636">
        <v>5.2999999999999999E-2</v>
      </c>
      <c r="J1636">
        <f t="shared" si="688"/>
        <v>1</v>
      </c>
      <c r="K1636">
        <f t="shared" ca="1" si="689"/>
        <v>51</v>
      </c>
      <c r="L1636">
        <f t="shared" ca="1" si="693"/>
        <v>0.29537988226338141</v>
      </c>
      <c r="M1636">
        <f t="shared" ca="1" si="668"/>
        <v>1.3218249731286318</v>
      </c>
      <c r="N1636">
        <f t="shared" ca="1" si="669"/>
        <v>0.2609332132930538</v>
      </c>
      <c r="O1636">
        <f t="shared" ca="1" si="670"/>
        <v>38.583020473041856</v>
      </c>
      <c r="P1636">
        <f t="shared" ca="1" si="671"/>
        <v>631.79537988226343</v>
      </c>
      <c r="Q1636">
        <f t="shared" ca="1" si="672"/>
        <v>707.66946086203745</v>
      </c>
      <c r="R1636">
        <f t="shared" ca="1" si="673"/>
        <v>2.0087959075897861</v>
      </c>
      <c r="S1636">
        <f t="shared" ca="1" si="690"/>
        <v>-5.8867272995721578</v>
      </c>
      <c r="T1636">
        <f t="shared" ca="1" si="691"/>
        <v>0</v>
      </c>
      <c r="U1636">
        <f t="shared" ca="1" si="674"/>
        <v>0.05</v>
      </c>
      <c r="V1636">
        <f t="shared" ca="1" si="675"/>
        <v>0.22375</v>
      </c>
      <c r="W1636">
        <f t="shared" ca="1" si="676"/>
        <v>4.8907103825136619E-2</v>
      </c>
      <c r="X1636">
        <f t="shared" ca="1" si="677"/>
        <v>227.93296089385476</v>
      </c>
      <c r="Y1636">
        <f t="shared" ca="1" si="678"/>
        <v>631.54999999999995</v>
      </c>
      <c r="Z1636">
        <f t="shared" ca="1" si="679"/>
        <v>3279.5334180346335</v>
      </c>
      <c r="AA1636">
        <f t="shared" ca="1" si="680"/>
        <v>653.58316165314795</v>
      </c>
      <c r="AB1636">
        <f t="shared" ca="1" si="681"/>
        <v>818.52430021319196</v>
      </c>
      <c r="AC1636">
        <f t="shared" ca="1" si="682"/>
        <v>0</v>
      </c>
      <c r="AD1636">
        <f ca="1">IF(V35="Supercritical",L1636,U1636)</f>
        <v>0.05</v>
      </c>
      <c r="AE1636">
        <f t="shared" ca="1" si="683"/>
        <v>631.54999999999995</v>
      </c>
      <c r="AF1636">
        <f t="shared" ca="1" si="684"/>
        <v>3279.5334180346335</v>
      </c>
      <c r="AH1636">
        <v>635.5</v>
      </c>
      <c r="AI1636">
        <v>0</v>
      </c>
      <c r="AJ1636">
        <f t="shared" ca="1" si="694"/>
        <v>0</v>
      </c>
      <c r="AK1636">
        <f t="shared" ca="1" si="685"/>
        <v>0</v>
      </c>
      <c r="AL1636">
        <f t="shared" ca="1" si="692"/>
        <v>0</v>
      </c>
      <c r="AM1636">
        <f t="shared" ca="1" si="686"/>
        <v>325.45251070069401</v>
      </c>
      <c r="AN1636" t="str">
        <f t="shared" ca="1" si="687"/>
        <v>Supercritical</v>
      </c>
      <c r="AO1636">
        <f ca="1">IF(V35="Supercritical",R1636,AA1636)</f>
        <v>653.58316165314795</v>
      </c>
    </row>
    <row r="1637" spans="1:41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174</v>
      </c>
      <c r="I1637">
        <v>5.2999999999999999E-2</v>
      </c>
      <c r="J1637">
        <f t="shared" si="688"/>
        <v>1.0010000000000012</v>
      </c>
      <c r="K1637">
        <f t="shared" ca="1" si="689"/>
        <v>51</v>
      </c>
      <c r="L1637">
        <f t="shared" ca="1" si="693"/>
        <v>0.29537988226338141</v>
      </c>
      <c r="M1637">
        <f t="shared" ca="1" si="668"/>
        <v>1.2896285659619231</v>
      </c>
      <c r="N1637">
        <f t="shared" ca="1" si="669"/>
        <v>0.26017572511607245</v>
      </c>
      <c r="O1637">
        <f t="shared" ca="1" si="670"/>
        <v>39.546270411558019</v>
      </c>
      <c r="P1637">
        <f t="shared" ca="1" si="671"/>
        <v>631.79537988226343</v>
      </c>
      <c r="Q1637">
        <f t="shared" ca="1" si="672"/>
        <v>711.5052424441426</v>
      </c>
      <c r="R1637">
        <f t="shared" ca="1" si="673"/>
        <v>2.1185459269178644</v>
      </c>
      <c r="S1637">
        <f t="shared" ca="1" si="690"/>
        <v>-6.2921353663463151</v>
      </c>
      <c r="T1637">
        <f t="shared" ca="1" si="691"/>
        <v>0</v>
      </c>
      <c r="U1637">
        <f t="shared" ca="1" si="674"/>
        <v>0.05</v>
      </c>
      <c r="V1637">
        <f t="shared" ca="1" si="675"/>
        <v>0.21829999999999999</v>
      </c>
      <c r="W1637">
        <f t="shared" ca="1" si="676"/>
        <v>4.8880429914912676E-2</v>
      </c>
      <c r="X1637">
        <f t="shared" ca="1" si="677"/>
        <v>233.62345396243703</v>
      </c>
      <c r="Y1637">
        <f t="shared" ca="1" si="678"/>
        <v>631.54999999999995</v>
      </c>
      <c r="Z1637">
        <f t="shared" ca="1" si="679"/>
        <v>3413.4010826370504</v>
      </c>
      <c r="AA1637">
        <f t="shared" ca="1" si="680"/>
        <v>687.12440871961178</v>
      </c>
      <c r="AB1637">
        <f t="shared" ca="1" si="681"/>
        <v>864.20760369899381</v>
      </c>
      <c r="AC1637">
        <f t="shared" ca="1" si="682"/>
        <v>0</v>
      </c>
      <c r="AD1637">
        <f ca="1">IF(V35="Supercritical",L1637,U1637)</f>
        <v>0.05</v>
      </c>
      <c r="AE1637">
        <f t="shared" ca="1" si="683"/>
        <v>631.54999999999995</v>
      </c>
      <c r="AF1637">
        <f t="shared" ca="1" si="684"/>
        <v>3413.4010826370504</v>
      </c>
      <c r="AH1637">
        <v>635.5</v>
      </c>
      <c r="AI1637">
        <v>0</v>
      </c>
      <c r="AJ1637">
        <f t="shared" ca="1" si="694"/>
        <v>0</v>
      </c>
      <c r="AK1637">
        <f t="shared" ca="1" si="685"/>
        <v>0</v>
      </c>
      <c r="AL1637">
        <f t="shared" ca="1" si="692"/>
        <v>0</v>
      </c>
      <c r="AM1637">
        <f t="shared" ca="1" si="686"/>
        <v>333.57764209473333</v>
      </c>
      <c r="AN1637" t="str">
        <f t="shared" ca="1" si="687"/>
        <v>Supercritical</v>
      </c>
      <c r="AO1637">
        <f ca="1">IF(V35="Supercritical",R1637,AA1637)</f>
        <v>687.12440871961178</v>
      </c>
    </row>
    <row r="1638" spans="1:41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174</v>
      </c>
      <c r="I1638">
        <v>5.7000000000000002E-2</v>
      </c>
      <c r="J1638">
        <f t="shared" si="688"/>
        <v>1</v>
      </c>
      <c r="K1638">
        <f t="shared" ca="1" si="689"/>
        <v>51</v>
      </c>
      <c r="L1638">
        <f t="shared" ca="1" si="693"/>
        <v>0.29537988226338141</v>
      </c>
      <c r="M1638">
        <f t="shared" ca="1" si="668"/>
        <v>1.2574321587952146</v>
      </c>
      <c r="N1638">
        <f t="shared" ca="1" si="669"/>
        <v>0.2593841732827627</v>
      </c>
      <c r="O1638">
        <f t="shared" ca="1" si="670"/>
        <v>40.558848159939465</v>
      </c>
      <c r="P1638">
        <f t="shared" ca="1" si="671"/>
        <v>631.79537988226343</v>
      </c>
      <c r="Q1638">
        <f t="shared" ca="1" si="672"/>
        <v>715.63942494143907</v>
      </c>
      <c r="R1638">
        <f t="shared" ca="1" si="673"/>
        <v>2.2374969189299327</v>
      </c>
      <c r="S1638">
        <f t="shared" ca="1" si="690"/>
        <v>-6.7335873542306217</v>
      </c>
      <c r="T1638">
        <f t="shared" ca="1" si="691"/>
        <v>0</v>
      </c>
      <c r="U1638">
        <f t="shared" ca="1" si="674"/>
        <v>0.05</v>
      </c>
      <c r="V1638">
        <f t="shared" ca="1" si="675"/>
        <v>0.21284999999999998</v>
      </c>
      <c r="W1638">
        <f t="shared" ca="1" si="676"/>
        <v>4.8852421390865278E-2</v>
      </c>
      <c r="X1638">
        <f t="shared" ca="1" si="677"/>
        <v>239.60535588442568</v>
      </c>
      <c r="Y1638">
        <f t="shared" ca="1" si="678"/>
        <v>631.54999999999995</v>
      </c>
      <c r="Z1638">
        <f t="shared" ca="1" si="679"/>
        <v>3557.6828526249883</v>
      </c>
      <c r="AA1638">
        <f t="shared" ca="1" si="680"/>
        <v>723.31493946291482</v>
      </c>
      <c r="AB1638">
        <f t="shared" ca="1" si="681"/>
        <v>913.81324280961326</v>
      </c>
      <c r="AC1638">
        <f t="shared" ca="1" si="682"/>
        <v>0</v>
      </c>
      <c r="AD1638">
        <f ca="1">IF(V35="Supercritical",L1638,U1638)</f>
        <v>0.05</v>
      </c>
      <c r="AE1638">
        <f t="shared" ca="1" si="683"/>
        <v>631.54999999999995</v>
      </c>
      <c r="AF1638">
        <f t="shared" ca="1" si="684"/>
        <v>3557.6828526249883</v>
      </c>
      <c r="AH1638">
        <v>635.5</v>
      </c>
      <c r="AI1638">
        <v>0</v>
      </c>
      <c r="AJ1638">
        <f t="shared" ca="1" si="694"/>
        <v>0</v>
      </c>
      <c r="AK1638">
        <f t="shared" ca="1" si="685"/>
        <v>0</v>
      </c>
      <c r="AL1638">
        <f t="shared" ca="1" si="692"/>
        <v>0</v>
      </c>
      <c r="AM1638">
        <f t="shared" ca="1" si="686"/>
        <v>342.11885961606902</v>
      </c>
      <c r="AN1638" t="str">
        <f t="shared" ca="1" si="687"/>
        <v>Supercritical</v>
      </c>
      <c r="AO1638">
        <f ca="1">IF(V35="Supercritical",R1638,AA1638)</f>
        <v>723.31493946291482</v>
      </c>
    </row>
    <row r="1639" spans="1:41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174</v>
      </c>
      <c r="I1639">
        <v>5.7000000000000002E-2</v>
      </c>
      <c r="J1639">
        <f t="shared" si="688"/>
        <v>0.99899999999999878</v>
      </c>
      <c r="K1639">
        <f t="shared" ca="1" si="689"/>
        <v>51</v>
      </c>
      <c r="L1639">
        <f t="shared" ca="1" si="693"/>
        <v>0.29537988226338141</v>
      </c>
      <c r="M1639">
        <f t="shared" ca="1" si="668"/>
        <v>1.225235751628506</v>
      </c>
      <c r="N1639">
        <f t="shared" ca="1" si="669"/>
        <v>0.2585562072169878</v>
      </c>
      <c r="O1639">
        <f t="shared" ca="1" si="670"/>
        <v>41.62464238593595</v>
      </c>
      <c r="P1639">
        <f t="shared" ca="1" si="671"/>
        <v>631.79537988226343</v>
      </c>
      <c r="Q1639">
        <f t="shared" ca="1" si="672"/>
        <v>720.10378221442738</v>
      </c>
      <c r="R1639">
        <f t="shared" ca="1" si="673"/>
        <v>2.3667020712390441</v>
      </c>
      <c r="S1639">
        <f t="shared" ca="1" si="690"/>
        <v>-7.2189796940980386</v>
      </c>
      <c r="T1639">
        <f t="shared" ca="1" si="691"/>
        <v>0</v>
      </c>
      <c r="U1639">
        <f t="shared" ca="1" si="674"/>
        <v>0.05</v>
      </c>
      <c r="V1639">
        <f t="shared" ca="1" si="675"/>
        <v>0.2074</v>
      </c>
      <c r="W1639">
        <f t="shared" ca="1" si="676"/>
        <v>4.8822975517890783E-2</v>
      </c>
      <c r="X1639">
        <f t="shared" ca="1" si="677"/>
        <v>245.90163934426229</v>
      </c>
      <c r="Y1639">
        <f t="shared" ca="1" si="678"/>
        <v>631.54999999999995</v>
      </c>
      <c r="Z1639">
        <f t="shared" ca="1" si="679"/>
        <v>3713.487626513539</v>
      </c>
      <c r="AA1639">
        <f t="shared" ca="1" si="680"/>
        <v>762.44123162355174</v>
      </c>
      <c r="AB1639">
        <f t="shared" ca="1" si="681"/>
        <v>971.34352618096091</v>
      </c>
      <c r="AC1639">
        <f t="shared" ca="1" si="682"/>
        <v>0</v>
      </c>
      <c r="AD1639">
        <f ca="1">IF(V35="Supercritical",L1639,U1639)</f>
        <v>0.05</v>
      </c>
      <c r="AE1639">
        <f t="shared" ca="1" si="683"/>
        <v>631.54999999999995</v>
      </c>
      <c r="AF1639">
        <f t="shared" ca="1" si="684"/>
        <v>3713.487626513539</v>
      </c>
      <c r="AH1639">
        <v>635.5</v>
      </c>
      <c r="AI1639">
        <v>0</v>
      </c>
      <c r="AJ1639">
        <f t="shared" ca="1" si="694"/>
        <v>0</v>
      </c>
      <c r="AK1639">
        <f t="shared" ca="1" si="685"/>
        <v>0</v>
      </c>
      <c r="AL1639">
        <f t="shared" ca="1" si="692"/>
        <v>0</v>
      </c>
      <c r="AM1639">
        <f t="shared" ca="1" si="686"/>
        <v>351.10896465419614</v>
      </c>
      <c r="AN1639" t="str">
        <f t="shared" ca="1" si="687"/>
        <v>Supercritical</v>
      </c>
      <c r="AO1639">
        <f ca="1">IF(V35="Supercritical",R1639,AA1639)</f>
        <v>762.44123162355174</v>
      </c>
    </row>
    <row r="1640" spans="1:41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174</v>
      </c>
      <c r="I1640">
        <v>5.2999999999999999E-2</v>
      </c>
      <c r="J1640">
        <f t="shared" si="688"/>
        <v>1</v>
      </c>
      <c r="K1640">
        <f t="shared" ca="1" si="689"/>
        <v>51</v>
      </c>
      <c r="L1640">
        <f t="shared" ca="1" si="693"/>
        <v>0.29537988226338141</v>
      </c>
      <c r="M1640">
        <f t="shared" ca="1" si="668"/>
        <v>1.1927439645795341</v>
      </c>
      <c r="N1640">
        <f t="shared" ca="1" si="669"/>
        <v>0.25768111227554241</v>
      </c>
      <c r="O1640">
        <f t="shared" ca="1" si="670"/>
        <v>42.758547948702898</v>
      </c>
      <c r="P1640">
        <f t="shared" ca="1" si="671"/>
        <v>631.79537988226343</v>
      </c>
      <c r="Q1640">
        <f t="shared" ca="1" si="672"/>
        <v>724.98056962138298</v>
      </c>
      <c r="R1640">
        <f t="shared" ca="1" si="673"/>
        <v>2.508716770723161</v>
      </c>
      <c r="S1640">
        <f t="shared" ca="1" si="690"/>
        <v>-7.8104069270592618</v>
      </c>
      <c r="T1640">
        <f t="shared" ca="1" si="691"/>
        <v>0</v>
      </c>
      <c r="U1640">
        <f t="shared" ca="1" si="674"/>
        <v>0.05</v>
      </c>
      <c r="V1640">
        <f t="shared" ca="1" si="675"/>
        <v>0.20190000000000002</v>
      </c>
      <c r="W1640">
        <f t="shared" ca="1" si="676"/>
        <v>4.8791686805219919E-2</v>
      </c>
      <c r="X1640">
        <f t="shared" ca="1" si="677"/>
        <v>252.60029717682019</v>
      </c>
      <c r="Y1640">
        <f t="shared" ca="1" si="678"/>
        <v>631.54999999999995</v>
      </c>
      <c r="Z1640">
        <f t="shared" ca="1" si="679"/>
        <v>3883.686092447394</v>
      </c>
      <c r="AA1640">
        <f t="shared" ca="1" si="680"/>
        <v>805.23465164088952</v>
      </c>
      <c r="AB1640">
        <f t="shared" ca="1" si="681"/>
        <v>1030.6375885030502</v>
      </c>
      <c r="AC1640">
        <f t="shared" ca="1" si="682"/>
        <v>0</v>
      </c>
      <c r="AD1640">
        <f ca="1">IF(V35="Supercritical",L1640,U1640)</f>
        <v>0.05</v>
      </c>
      <c r="AE1640">
        <f t="shared" ca="1" si="683"/>
        <v>631.54999999999995</v>
      </c>
      <c r="AF1640">
        <f t="shared" ca="1" si="684"/>
        <v>3883.686092447394</v>
      </c>
      <c r="AH1640">
        <v>635.5</v>
      </c>
      <c r="AI1640">
        <v>0</v>
      </c>
      <c r="AJ1640">
        <f t="shared" ca="1" si="694"/>
        <v>0</v>
      </c>
      <c r="AK1640">
        <f t="shared" ca="1" si="685"/>
        <v>0</v>
      </c>
      <c r="AL1640">
        <f t="shared" ca="1" si="692"/>
        <v>0</v>
      </c>
      <c r="AM1640">
        <f t="shared" ca="1" si="686"/>
        <v>360.67359717325547</v>
      </c>
      <c r="AN1640" t="str">
        <f t="shared" ca="1" si="687"/>
        <v>Supercritical</v>
      </c>
      <c r="AO1640">
        <f ca="1">IF(V35="Supercritical",R1640,AA1640)</f>
        <v>805.23465164088952</v>
      </c>
    </row>
    <row r="1641" spans="1:41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174</v>
      </c>
      <c r="I1641">
        <v>5.2999999999999999E-2</v>
      </c>
      <c r="J1641">
        <f t="shared" si="688"/>
        <v>1.0009999999999977</v>
      </c>
      <c r="K1641">
        <f t="shared" ca="1" si="689"/>
        <v>51</v>
      </c>
      <c r="L1641">
        <f t="shared" ca="1" si="693"/>
        <v>0.29537988226338141</v>
      </c>
      <c r="M1641">
        <f t="shared" ca="1" si="668"/>
        <v>1.1605475574128254</v>
      </c>
      <c r="N1641">
        <f t="shared" ca="1" si="669"/>
        <v>0.25677195644807455</v>
      </c>
      <c r="O1641">
        <f t="shared" ca="1" si="670"/>
        <v>43.944773890776865</v>
      </c>
      <c r="P1641">
        <f t="shared" ca="1" si="671"/>
        <v>631.79537988226343</v>
      </c>
      <c r="Q1641">
        <f t="shared" ca="1" si="672"/>
        <v>730.22265573911886</v>
      </c>
      <c r="R1641">
        <f t="shared" ca="1" si="673"/>
        <v>2.662360531197224</v>
      </c>
      <c r="S1641">
        <f t="shared" ca="1" si="690"/>
        <v>-8.3631133284878842</v>
      </c>
      <c r="T1641">
        <f t="shared" ca="1" si="691"/>
        <v>0</v>
      </c>
      <c r="U1641">
        <f t="shared" ca="1" si="674"/>
        <v>0.05</v>
      </c>
      <c r="V1641">
        <f t="shared" ca="1" si="675"/>
        <v>0.19645000000000001</v>
      </c>
      <c r="W1641">
        <f t="shared" ca="1" si="676"/>
        <v>4.8758997269793998E-2</v>
      </c>
      <c r="X1641">
        <f t="shared" ca="1" si="677"/>
        <v>259.60804275897175</v>
      </c>
      <c r="Y1641">
        <f t="shared" ca="1" si="678"/>
        <v>631.54999999999995</v>
      </c>
      <c r="Z1641">
        <f t="shared" ca="1" si="679"/>
        <v>4066.6333774283439</v>
      </c>
      <c r="AA1641">
        <f t="shared" ca="1" si="680"/>
        <v>851.29310591955209</v>
      </c>
      <c r="AB1641">
        <f t="shared" ca="1" si="681"/>
        <v>1095.0691403177134</v>
      </c>
      <c r="AC1641">
        <f t="shared" ca="1" si="682"/>
        <v>0</v>
      </c>
      <c r="AD1641">
        <f ca="1">IF(V35="Supercritical",L1641,U1641)</f>
        <v>0.05</v>
      </c>
      <c r="AE1641">
        <f t="shared" ca="1" si="683"/>
        <v>631.54999999999995</v>
      </c>
      <c r="AF1641">
        <f t="shared" ca="1" si="684"/>
        <v>4066.6333774283439</v>
      </c>
      <c r="AH1641">
        <v>635.5</v>
      </c>
      <c r="AI1641">
        <v>0</v>
      </c>
      <c r="AJ1641">
        <f t="shared" ca="1" si="694"/>
        <v>0</v>
      </c>
      <c r="AK1641">
        <f t="shared" ca="1" si="685"/>
        <v>0</v>
      </c>
      <c r="AL1641">
        <f t="shared" ca="1" si="692"/>
        <v>0</v>
      </c>
      <c r="AM1641">
        <f t="shared" ca="1" si="686"/>
        <v>370.6795585099531</v>
      </c>
      <c r="AN1641" t="str">
        <f t="shared" ca="1" si="687"/>
        <v>Supercritical</v>
      </c>
      <c r="AO1641">
        <f ca="1">IF(V35="Supercritical",R1641,AA1641)</f>
        <v>851.29310591955209</v>
      </c>
    </row>
    <row r="1642" spans="1:41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174</v>
      </c>
      <c r="I1642">
        <v>0</v>
      </c>
      <c r="J1642">
        <f t="shared" si="688"/>
        <v>1</v>
      </c>
      <c r="K1642">
        <f t="shared" ca="1" si="689"/>
        <v>51</v>
      </c>
      <c r="L1642">
        <f t="shared" ca="1" si="693"/>
        <v>0.29537988226338141</v>
      </c>
      <c r="M1642">
        <f t="shared" ca="1" si="668"/>
        <v>1.128351150246117</v>
      </c>
      <c r="N1642">
        <f t="shared" ca="1" si="669"/>
        <v>0.25581786596513484</v>
      </c>
      <c r="O1642">
        <f t="shared" ca="1" si="670"/>
        <v>45.198695449440393</v>
      </c>
      <c r="P1642">
        <f t="shared" ca="1" si="671"/>
        <v>631.79537988226343</v>
      </c>
      <c r="Q1642">
        <f t="shared" ca="1" si="672"/>
        <v>735.91984829873968</v>
      </c>
      <c r="R1642">
        <f t="shared" ca="1" si="673"/>
        <v>2.8304782547462506</v>
      </c>
      <c r="S1642">
        <f t="shared" ca="1" si="690"/>
        <v>-9.0133312085546322</v>
      </c>
      <c r="T1642">
        <f t="shared" ca="1" si="691"/>
        <v>0</v>
      </c>
      <c r="U1642">
        <f>MAX($D$16,(P8)-E1642)</f>
        <v>0.05</v>
      </c>
      <c r="V1642">
        <f t="shared" si="675"/>
        <v>0.191</v>
      </c>
      <c r="W1642">
        <f t="shared" si="676"/>
        <v>4.8724489795918369E-2</v>
      </c>
      <c r="X1642">
        <f t="shared" ca="1" si="677"/>
        <v>267.01570680628271</v>
      </c>
      <c r="Y1642">
        <f t="shared" si="678"/>
        <v>631.54999999999995</v>
      </c>
      <c r="Z1642">
        <f t="shared" ca="1" si="679"/>
        <v>4265.4637452221568</v>
      </c>
      <c r="AA1642">
        <f t="shared" ca="1" si="680"/>
        <v>901.4183655694851</v>
      </c>
      <c r="AB1642">
        <v>0</v>
      </c>
      <c r="AC1642">
        <v>1</v>
      </c>
      <c r="AD1642">
        <f>IF(V35="Supercritical",L1642,U1642)</f>
        <v>0.05</v>
      </c>
      <c r="AE1642">
        <f t="shared" si="683"/>
        <v>631.54999999999995</v>
      </c>
      <c r="AF1642">
        <f t="shared" ca="1" si="684"/>
        <v>4265.4637452221568</v>
      </c>
      <c r="AH1642">
        <v>635.5</v>
      </c>
      <c r="AI1642">
        <v>0</v>
      </c>
      <c r="AJ1642">
        <f t="shared" si="694"/>
        <v>0</v>
      </c>
      <c r="AK1642">
        <f ca="1">AI1642+AJ1642+MAX(0,K1642-(AI1642+AJ1642))</f>
        <v>51</v>
      </c>
      <c r="AL1642">
        <f t="shared" ca="1" si="692"/>
        <v>51</v>
      </c>
      <c r="AM1642">
        <f t="shared" ca="1" si="686"/>
        <v>381.25654067686008</v>
      </c>
      <c r="AN1642" t="str">
        <f t="shared" ca="1" si="687"/>
        <v>Supercritical</v>
      </c>
      <c r="AO1642">
        <f ca="1">IF(V35="Supercritical",R1642,AA1642)</f>
        <v>901.4183655694851</v>
      </c>
    </row>
    <row r="1645" spans="1:41" x14ac:dyDescent="0.35">
      <c r="A1645" t="s">
        <v>180</v>
      </c>
      <c r="E1645">
        <f>E36</f>
        <v>45.363</v>
      </c>
      <c r="F1645" t="s">
        <v>129</v>
      </c>
      <c r="H1645">
        <f ca="1">N36</f>
        <v>51.074481979025386</v>
      </c>
      <c r="I1645" t="s">
        <v>13</v>
      </c>
      <c r="K1645" t="str">
        <f>V36</f>
        <v>Subcritical</v>
      </c>
      <c r="L1645" t="s">
        <v>130</v>
      </c>
    </row>
    <row r="1646" spans="1:41" x14ac:dyDescent="0.35">
      <c r="A1646" t="s">
        <v>131</v>
      </c>
      <c r="B1646" t="s">
        <v>132</v>
      </c>
      <c r="C1646" t="s">
        <v>133</v>
      </c>
      <c r="D1646" t="s">
        <v>134</v>
      </c>
      <c r="E1646" t="s">
        <v>135</v>
      </c>
      <c r="F1646" t="s">
        <v>136</v>
      </c>
      <c r="G1646" t="s">
        <v>137</v>
      </c>
      <c r="H1646" t="s">
        <v>9</v>
      </c>
      <c r="I1646" t="s">
        <v>138</v>
      </c>
      <c r="J1646" t="s">
        <v>139</v>
      </c>
      <c r="K1646" t="s">
        <v>140</v>
      </c>
      <c r="L1646" t="s">
        <v>141</v>
      </c>
      <c r="M1646" t="s">
        <v>142</v>
      </c>
      <c r="N1646" t="s">
        <v>143</v>
      </c>
      <c r="O1646" t="s">
        <v>144</v>
      </c>
      <c r="P1646" t="s">
        <v>145</v>
      </c>
      <c r="Q1646" t="s">
        <v>146</v>
      </c>
      <c r="R1646" t="s">
        <v>147</v>
      </c>
      <c r="S1646" t="s">
        <v>148</v>
      </c>
      <c r="T1646" t="s">
        <v>149</v>
      </c>
      <c r="U1646" t="s">
        <v>150</v>
      </c>
      <c r="V1646" t="s">
        <v>151</v>
      </c>
      <c r="W1646" t="s">
        <v>152</v>
      </c>
      <c r="X1646" t="s">
        <v>153</v>
      </c>
      <c r="Y1646" t="s">
        <v>154</v>
      </c>
      <c r="Z1646" t="s">
        <v>155</v>
      </c>
      <c r="AA1646" t="s">
        <v>156</v>
      </c>
      <c r="AB1646" t="s">
        <v>157</v>
      </c>
      <c r="AC1646" t="s">
        <v>158</v>
      </c>
      <c r="AD1646" t="s">
        <v>159</v>
      </c>
      <c r="AE1646" t="s">
        <v>160</v>
      </c>
      <c r="AF1646" t="s">
        <v>161</v>
      </c>
      <c r="AG1646" t="s">
        <v>162</v>
      </c>
      <c r="AH1646" t="s">
        <v>163</v>
      </c>
      <c r="AI1646" t="s">
        <v>164</v>
      </c>
      <c r="AJ1646" t="s">
        <v>165</v>
      </c>
      <c r="AK1646" t="s">
        <v>166</v>
      </c>
      <c r="AL1646" t="s">
        <v>167</v>
      </c>
      <c r="AM1646" t="s">
        <v>168</v>
      </c>
      <c r="AN1646" t="s">
        <v>169</v>
      </c>
      <c r="AO1646" t="s">
        <v>170</v>
      </c>
    </row>
    <row r="1647" spans="1:41" x14ac:dyDescent="0.35">
      <c r="A1647" t="s">
        <v>22</v>
      </c>
      <c r="B1647" t="s">
        <v>52</v>
      </c>
      <c r="C1647" t="s">
        <v>52</v>
      </c>
      <c r="D1647" t="s">
        <v>52</v>
      </c>
      <c r="E1647" t="s">
        <v>52</v>
      </c>
      <c r="F1647" t="s">
        <v>52</v>
      </c>
      <c r="G1647" t="s">
        <v>22</v>
      </c>
      <c r="H1647" t="s">
        <v>22</v>
      </c>
      <c r="I1647" t="s">
        <v>171</v>
      </c>
      <c r="J1647" t="s">
        <v>52</v>
      </c>
      <c r="K1647" t="s">
        <v>13</v>
      </c>
      <c r="L1647" t="s">
        <v>52</v>
      </c>
      <c r="M1647" t="s">
        <v>172</v>
      </c>
      <c r="N1647" t="s">
        <v>52</v>
      </c>
      <c r="O1647" t="s">
        <v>173</v>
      </c>
      <c r="P1647" t="s">
        <v>52</v>
      </c>
      <c r="Q1647" t="s">
        <v>52</v>
      </c>
      <c r="R1647" t="s">
        <v>22</v>
      </c>
      <c r="S1647" t="s">
        <v>52</v>
      </c>
      <c r="T1647" t="s">
        <v>22</v>
      </c>
      <c r="U1647" t="s">
        <v>52</v>
      </c>
      <c r="V1647" t="s">
        <v>172</v>
      </c>
      <c r="W1647" t="s">
        <v>52</v>
      </c>
      <c r="X1647" t="s">
        <v>173</v>
      </c>
      <c r="Y1647" t="s">
        <v>52</v>
      </c>
      <c r="Z1647" t="s">
        <v>52</v>
      </c>
      <c r="AA1647" t="s">
        <v>22</v>
      </c>
      <c r="AB1647" t="s">
        <v>52</v>
      </c>
      <c r="AC1647" t="s">
        <v>22</v>
      </c>
      <c r="AD1647" t="s">
        <v>52</v>
      </c>
      <c r="AE1647" t="s">
        <v>52</v>
      </c>
      <c r="AF1647" t="s">
        <v>52</v>
      </c>
      <c r="AG1647" t="s">
        <v>52</v>
      </c>
      <c r="AH1647" t="s">
        <v>52</v>
      </c>
      <c r="AI1647" t="s">
        <v>13</v>
      </c>
      <c r="AJ1647" t="s">
        <v>13</v>
      </c>
      <c r="AK1647" t="s">
        <v>13</v>
      </c>
      <c r="AL1647" t="s">
        <v>13</v>
      </c>
      <c r="AM1647" t="s">
        <v>22</v>
      </c>
      <c r="AN1647" t="s">
        <v>22</v>
      </c>
      <c r="AO1647" t="s">
        <v>22</v>
      </c>
    </row>
    <row r="1648" spans="1:41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174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695">((F1648)+(G1648)*(L1648))*(L1648)</f>
        <v>0.10249999999999999</v>
      </c>
      <c r="N1648">
        <f t="shared" ref="N1648:N1694" si="696">(((F1648)+(G1648)*(L1648))*(L1648))/MAX((F1648)+2*(L1648)*SQRT(1+(G1648)^2),0.000001)</f>
        <v>4.7674418604651159E-2</v>
      </c>
      <c r="O1648">
        <f t="shared" ref="O1648:O1694" si="697">ABS(K1648)/MAX(((F1648)+(G1648)*(L1648))*(L1648),0.000001)</f>
        <v>0</v>
      </c>
      <c r="P1648">
        <f t="shared" ref="P1648:P1694" si="698">E1648+L1648</f>
        <v>631.54999999999995</v>
      </c>
      <c r="Q1648">
        <f t="shared" ref="Q1648:Q1694" si="699">P1648+((ABS(K1648)/MAX(((F1648)+(G1648)*(L1648))*(L1648),0.000001))^2)/(2*$I$5)</f>
        <v>631.54999999999995</v>
      </c>
      <c r="R1648">
        <f t="shared" ref="R1648:R1694" si="700">((ABS(K1648)*$D$6)/(MAX(((F1648)+(G1648)*(L1648))*(L1648),0.000001)*MAX(((((F1648)+(G1648)*(L1648))*(L1648))/MAX((F1648)+2*(L1648)*SQRT(1+(G1648)^2),0.000001))^(2/3),0.000001)))^2</f>
        <v>0</v>
      </c>
      <c r="S1648">
        <v>0</v>
      </c>
      <c r="T1648">
        <v>1</v>
      </c>
      <c r="U1648">
        <f t="shared" ref="U1648:U1693" ca="1" si="701">IF($D$20=0,U1649,IF(AC1649=0,U1649,IF(U1648=0,U1649,IF(ABS(AB1648)&gt;$D$19,MAX($D$16,U1648+((AB1648)*$D$18*IF((ABS(ABS(K1648)/MAX(((F1648)+(G1648)*(U1648))*(U1648),0.000001))/SQRT($I$5*MAX((((F1648)+(G1648)*(U1648))*(U1648))/MAX((F1648)+2*(G1648)*(U1648),0.000001),0.000001)))&lt;1,1,-1))),U1648))))</f>
        <v>2.9609412708614626</v>
      </c>
      <c r="V1648">
        <f t="shared" ref="V1648:V1694" ca="1" si="702">((F1648)+(G1648)*(U1648))*(U1648)</f>
        <v>6.0699296052659975</v>
      </c>
      <c r="W1648">
        <f t="shared" ref="W1648:W1694" ca="1" si="703">(((F1648)+(G1648)*(U1648))*(U1648))/MAX((F1648)+2*(U1648)*SQRT(1+(G1648)^2),0.000001)</f>
        <v>0.76141734069681022</v>
      </c>
      <c r="X1648">
        <f t="shared" ref="X1648:X1694" ca="1" si="704">ABS(K1648)/MAX(((F1648)+(G1648)*(U1648))*(U1648),0.000001)</f>
        <v>0</v>
      </c>
      <c r="Y1648">
        <f t="shared" ref="Y1648:Y1694" ca="1" si="705">E1648+U1648</f>
        <v>634.46094127086144</v>
      </c>
      <c r="Z1648">
        <f t="shared" ref="Z1648:Z1694" ca="1" si="706">Y1648+((ABS(K1648)/MAX(((F1648)+(G1648)*(U1648))*(U1648),0.000001))^2)/(2*$I$5)</f>
        <v>634.46094127086144</v>
      </c>
      <c r="AA1648">
        <f t="shared" ref="AA1648:AA1694" ca="1" si="707">((ABS(K1648)*$D$6)/(MAX(((F1648)+(G1648)*(U1648))*(U1648),0.000001)*MAX(((((F1648)+(G1648)*(U1648))*(U1648))/MAX((F1648)+2*(U1648)*SQRT(1+(G1648)^2),0.000001))^(2/3),0.000001)))^2</f>
        <v>0</v>
      </c>
      <c r="AB1648">
        <f t="shared" ref="AB1648:AB1693" ca="1" si="708">Z1649+(((AA1648+AA1649)/2)*J1649)+(IF(X1648&gt;X1649,$D$8*((X1648^2-X1649^2)/(2*$I$5)),$D$9*((X1649^2-X1648^2)/(2*$I$5)))+($D$10*(ABS(I1649)/90)*(MAX(X1648^2,X1649^2)/(2*$I$5))))-Z1648</f>
        <v>-1.6620125791177998E-4</v>
      </c>
      <c r="AC1648">
        <f t="shared" ref="AC1648:AC1693" ca="1" si="709">IF(ABS(AB1648)&lt;$D$19,1,0)</f>
        <v>1</v>
      </c>
      <c r="AD1648">
        <f ca="1">IF(V36="Supercritical",L1648,U1648)</f>
        <v>2.9609412708614626</v>
      </c>
      <c r="AE1648">
        <f t="shared" ref="AE1648:AE1694" ca="1" si="710">E1648+AD1648</f>
        <v>634.46094127086144</v>
      </c>
      <c r="AF1648">
        <f t="shared" ref="AF1648:AF1694" ca="1" si="711">AE1648+((ABS(K1648)/MAX(((F1648)+(G1648)*(AD1648))*(AD1648),0.000001))^2)/(2*$I$5)</f>
        <v>634.46094127086144</v>
      </c>
      <c r="AI1648">
        <v>0</v>
      </c>
      <c r="AJ1648">
        <v>0</v>
      </c>
      <c r="AK1648">
        <f t="shared" ref="AK1648:AK1694" si="712">AI1648+AJ1648</f>
        <v>0</v>
      </c>
      <c r="AL1648">
        <f>AK1648</f>
        <v>0</v>
      </c>
      <c r="AM1648">
        <f t="shared" ref="AM1648:AM1694" ca="1" si="713">ABS(ABS(K1648)/MAX(((F1648)+(G1648)*(AD1648))*(AD1648),0.000001))/SQRT($I$5*MAX((((F1648)+(G1648)*(AD1648))*(AD1648))/MAX((F1648)+2*(G1648)*(AD1648),0.000001),0.000001))</f>
        <v>0</v>
      </c>
      <c r="AN1648" t="str">
        <f t="shared" ref="AN1648:AN1694" ca="1" si="714">IF(AM1648&lt;1,"Subcritical","Supercritical")</f>
        <v>Subcritical</v>
      </c>
      <c r="AO1648">
        <f ca="1">IF(V36="Supercritical",R1648,AA1648)</f>
        <v>0</v>
      </c>
    </row>
    <row r="1649" spans="1:41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174</v>
      </c>
      <c r="I1649">
        <v>0</v>
      </c>
      <c r="J1649">
        <f t="shared" ref="J1649:J1694" si="715">B1649-B1648</f>
        <v>1</v>
      </c>
      <c r="K1649">
        <v>0</v>
      </c>
      <c r="L1649">
        <f t="shared" ref="L1649:L1694" ca="1" si="716">IF($D$20=0,L1648,IF(T1648=0,L1648,IF(L1649=0,L1648,IF(ABS(S1649)&gt;$D$19,MAX($D$16,L1649+((S1649)*$D$18*IF((ABS(ABS(K1649)/MAX(((F1649)+(G1649)*(L1649))*(L1649),0.000001))/SQRT($I$5*MAX((((F1649)+(G1649)*(L1649))*(L1649))/MAX((F1649)+2*(G1649)*(L1649),0.000001),0.000001)))&lt;1,1,-1))),L1649))))</f>
        <v>0.05</v>
      </c>
      <c r="M1649">
        <f t="shared" ca="1" si="695"/>
        <v>0.1166</v>
      </c>
      <c r="N1649">
        <f t="shared" ca="1" si="696"/>
        <v>4.7944078947368421E-2</v>
      </c>
      <c r="O1649">
        <f t="shared" ca="1" si="697"/>
        <v>0</v>
      </c>
      <c r="P1649">
        <f t="shared" ca="1" si="698"/>
        <v>631.54999999999995</v>
      </c>
      <c r="Q1649">
        <f t="shared" ca="1" si="699"/>
        <v>631.54999999999995</v>
      </c>
      <c r="R1649">
        <f t="shared" ca="1" si="700"/>
        <v>0</v>
      </c>
      <c r="S1649">
        <f t="shared" ref="S1649:S1694" ca="1" si="717">Q1648-(((R1648+R1649)/2)*J1649)-(IF(O1648&gt;O1649,$D$8*((O1648^2-O1649^2)/(2*$I$5)),$D$9*((O1649^2-O1648^2)/(2*$I$5)))+($D$10*(ABS(I1649)/90)*(MAX(O1648^2,O1649^2)/(2*$I$5))))-Q1649</f>
        <v>0</v>
      </c>
      <c r="T1649">
        <f t="shared" ref="T1649:T1694" ca="1" si="718">IF(ABS(S1649)&lt;$D$19,1,0)</f>
        <v>1</v>
      </c>
      <c r="U1649">
        <f t="shared" ca="1" si="701"/>
        <v>2.9607750696035056</v>
      </c>
      <c r="V1649">
        <f t="shared" ca="1" si="702"/>
        <v>6.9045274623153743</v>
      </c>
      <c r="W1649">
        <f t="shared" ca="1" si="703"/>
        <v>0.83655243451138117</v>
      </c>
      <c r="X1649">
        <f t="shared" ca="1" si="704"/>
        <v>0</v>
      </c>
      <c r="Y1649">
        <f t="shared" ca="1" si="705"/>
        <v>634.46077506960353</v>
      </c>
      <c r="Z1649">
        <f t="shared" ca="1" si="706"/>
        <v>634.46077506960353</v>
      </c>
      <c r="AA1649">
        <f t="shared" ca="1" si="707"/>
        <v>0</v>
      </c>
      <c r="AB1649">
        <f t="shared" ca="1" si="708"/>
        <v>-5.203665648423339E-5</v>
      </c>
      <c r="AC1649">
        <f t="shared" ca="1" si="709"/>
        <v>1</v>
      </c>
      <c r="AD1649">
        <f ca="1">IF(V36="Supercritical",L1649,U1649)</f>
        <v>2.9607750696035056</v>
      </c>
      <c r="AE1649">
        <f t="shared" ca="1" si="710"/>
        <v>634.46077506960353</v>
      </c>
      <c r="AF1649">
        <f t="shared" ca="1" si="711"/>
        <v>634.46077506960353</v>
      </c>
      <c r="AI1649">
        <v>0</v>
      </c>
      <c r="AJ1649">
        <v>0</v>
      </c>
      <c r="AK1649">
        <f t="shared" si="712"/>
        <v>0</v>
      </c>
      <c r="AL1649">
        <f t="shared" ref="AL1649:AL1694" si="719">AL1648+AK1649</f>
        <v>0</v>
      </c>
      <c r="AM1649">
        <f t="shared" ca="1" si="713"/>
        <v>0</v>
      </c>
      <c r="AN1649" t="str">
        <f t="shared" ca="1" si="714"/>
        <v>Subcritical</v>
      </c>
      <c r="AO1649">
        <f ca="1">IF(V36="Supercritical",R1649,AA1649)</f>
        <v>0</v>
      </c>
    </row>
    <row r="1650" spans="1:41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174</v>
      </c>
      <c r="I1650">
        <v>5.1999999999999998E-2</v>
      </c>
      <c r="J1650">
        <f t="shared" si="715"/>
        <v>1</v>
      </c>
      <c r="K1650">
        <f t="shared" ref="K1650:K1675" ca="1" si="720">K1649+(AK1570 + AK1616)</f>
        <v>5.6742586062387195E-3</v>
      </c>
      <c r="L1650">
        <f t="shared" ca="1" si="716"/>
        <v>0.05</v>
      </c>
      <c r="M1650">
        <f t="shared" ca="1" si="695"/>
        <v>0.13070000000000001</v>
      </c>
      <c r="N1650">
        <f t="shared" ca="1" si="696"/>
        <v>4.8157700810611645E-2</v>
      </c>
      <c r="O1650">
        <f t="shared" ca="1" si="697"/>
        <v>4.341437342187237E-2</v>
      </c>
      <c r="P1650">
        <f t="shared" ca="1" si="698"/>
        <v>631.54999999999995</v>
      </c>
      <c r="Q1650">
        <f t="shared" ca="1" si="699"/>
        <v>631.55009606563806</v>
      </c>
      <c r="R1650">
        <f t="shared" ca="1" si="700"/>
        <v>2.4204452717253477E-5</v>
      </c>
      <c r="S1650">
        <f t="shared" ca="1" si="717"/>
        <v>-1.1778275393226068E-4</v>
      </c>
      <c r="T1650">
        <f t="shared" ca="1" si="718"/>
        <v>1</v>
      </c>
      <c r="U1650">
        <f t="shared" ca="1" si="701"/>
        <v>2.9607230027383658</v>
      </c>
      <c r="V1650">
        <f t="shared" ca="1" si="702"/>
        <v>7.7393299291580879</v>
      </c>
      <c r="W1650">
        <f t="shared" ca="1" si="703"/>
        <v>0.90672823941387248</v>
      </c>
      <c r="X1650">
        <f t="shared" ca="1" si="704"/>
        <v>7.3317181954743026E-4</v>
      </c>
      <c r="Y1650">
        <f t="shared" ca="1" si="705"/>
        <v>634.4607230027384</v>
      </c>
      <c r="Z1650">
        <f t="shared" ca="1" si="706"/>
        <v>634.46072303013602</v>
      </c>
      <c r="AA1650">
        <f t="shared" ca="1" si="707"/>
        <v>1.3781331842867477E-10</v>
      </c>
      <c r="AB1650">
        <f t="shared" ca="1" si="708"/>
        <v>1.6837115299495053E-4</v>
      </c>
      <c r="AC1650">
        <f t="shared" ca="1" si="709"/>
        <v>1</v>
      </c>
      <c r="AD1650">
        <f ca="1">IF(V36="Supercritical",L1650,U1650)</f>
        <v>2.9607230027383658</v>
      </c>
      <c r="AE1650">
        <f t="shared" ca="1" si="710"/>
        <v>634.4607230027384</v>
      </c>
      <c r="AF1650">
        <f t="shared" ca="1" si="711"/>
        <v>634.46072303013602</v>
      </c>
      <c r="AI1650">
        <v>0</v>
      </c>
      <c r="AJ1650">
        <v>0</v>
      </c>
      <c r="AK1650">
        <f t="shared" si="712"/>
        <v>0</v>
      </c>
      <c r="AL1650">
        <f t="shared" si="719"/>
        <v>0</v>
      </c>
      <c r="AM1650">
        <f t="shared" ca="1" si="713"/>
        <v>1.3604180054557649E-4</v>
      </c>
      <c r="AN1650" t="str">
        <f t="shared" ca="1" si="714"/>
        <v>Subcritical</v>
      </c>
      <c r="AO1650">
        <f ca="1">IF(V36="Supercritical",R1650,AA1650)</f>
        <v>1.3781331842867477E-10</v>
      </c>
    </row>
    <row r="1651" spans="1:41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174</v>
      </c>
      <c r="I1651">
        <v>5.1999999999999998E-2</v>
      </c>
      <c r="J1651">
        <f t="shared" si="715"/>
        <v>1</v>
      </c>
      <c r="K1651">
        <f t="shared" ca="1" si="720"/>
        <v>1.1013267202884541E-2</v>
      </c>
      <c r="L1651">
        <f t="shared" ca="1" si="716"/>
        <v>0.05</v>
      </c>
      <c r="M1651">
        <f t="shared" ca="1" si="695"/>
        <v>0.14485000000000001</v>
      </c>
      <c r="N1651">
        <f t="shared" ca="1" si="696"/>
        <v>4.8331664998331671E-2</v>
      </c>
      <c r="O1651">
        <f t="shared" ca="1" si="697"/>
        <v>7.6032220938105216E-2</v>
      </c>
      <c r="P1651">
        <f t="shared" ca="1" si="698"/>
        <v>631.54999999999995</v>
      </c>
      <c r="Q1651">
        <f t="shared" ca="1" si="699"/>
        <v>631.55029464315089</v>
      </c>
      <c r="R1651">
        <f t="shared" ca="1" si="700"/>
        <v>7.3881470227831275E-5</v>
      </c>
      <c r="S1651">
        <f t="shared" ca="1" si="717"/>
        <v>-2.6750376127893105E-4</v>
      </c>
      <c r="T1651">
        <f t="shared" ca="1" si="718"/>
        <v>1</v>
      </c>
      <c r="U1651">
        <f t="shared" ca="1" si="701"/>
        <v>2.960891311336213</v>
      </c>
      <c r="V1651">
        <f t="shared" ca="1" si="702"/>
        <v>8.5777021289410076</v>
      </c>
      <c r="W1651">
        <f t="shared" ca="1" si="703"/>
        <v>0.97266283748602456</v>
      </c>
      <c r="X1651">
        <f t="shared" ca="1" si="704"/>
        <v>1.283941437617189E-3</v>
      </c>
      <c r="Y1651">
        <f t="shared" ca="1" si="705"/>
        <v>634.46089131133624</v>
      </c>
      <c r="Z1651">
        <f t="shared" ca="1" si="706"/>
        <v>634.46089139535798</v>
      </c>
      <c r="AA1651">
        <f t="shared" ca="1" si="707"/>
        <v>3.8487808654260909E-10</v>
      </c>
      <c r="AB1651">
        <f t="shared" ca="1" si="708"/>
        <v>9.5374873149012274E-4</v>
      </c>
      <c r="AC1651">
        <f t="shared" ca="1" si="709"/>
        <v>1</v>
      </c>
      <c r="AD1651">
        <f ca="1">IF(V36="Supercritical",L1651,U1651)</f>
        <v>2.960891311336213</v>
      </c>
      <c r="AE1651">
        <f t="shared" ca="1" si="710"/>
        <v>634.46089131133624</v>
      </c>
      <c r="AF1651">
        <f t="shared" ca="1" si="711"/>
        <v>634.46089139535798</v>
      </c>
      <c r="AI1651">
        <v>0</v>
      </c>
      <c r="AJ1651">
        <v>0</v>
      </c>
      <c r="AK1651">
        <f t="shared" si="712"/>
        <v>0</v>
      </c>
      <c r="AL1651">
        <f t="shared" si="719"/>
        <v>0</v>
      </c>
      <c r="AM1651">
        <f t="shared" ca="1" si="713"/>
        <v>2.3823166110299905E-4</v>
      </c>
      <c r="AN1651" t="str">
        <f t="shared" ca="1" si="714"/>
        <v>Subcritical</v>
      </c>
      <c r="AO1651">
        <f ca="1">IF(V36="Supercritical",R1651,AA1651)</f>
        <v>3.8487808654260909E-10</v>
      </c>
    </row>
    <row r="1652" spans="1:41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174</v>
      </c>
      <c r="I1652">
        <v>0</v>
      </c>
      <c r="J1652">
        <f t="shared" si="715"/>
        <v>1</v>
      </c>
      <c r="K1652">
        <f t="shared" ca="1" si="720"/>
        <v>1.6024046921013276E-2</v>
      </c>
      <c r="L1652">
        <f t="shared" ca="1" si="716"/>
        <v>0.05</v>
      </c>
      <c r="M1652">
        <f t="shared" ca="1" si="695"/>
        <v>0.15895000000000001</v>
      </c>
      <c r="N1652">
        <f t="shared" ca="1" si="696"/>
        <v>4.8475144861238183E-2</v>
      </c>
      <c r="O1652">
        <f t="shared" ca="1" si="697"/>
        <v>0.10081187116082589</v>
      </c>
      <c r="P1652">
        <f t="shared" ca="1" si="698"/>
        <v>631.54999999999995</v>
      </c>
      <c r="Q1652">
        <f t="shared" ca="1" si="699"/>
        <v>631.55051799354567</v>
      </c>
      <c r="R1652">
        <f t="shared" ca="1" si="700"/>
        <v>1.2937401276671607E-4</v>
      </c>
      <c r="S1652">
        <f t="shared" ca="1" si="717"/>
        <v>-3.4731317578007292E-4</v>
      </c>
      <c r="T1652">
        <f t="shared" ca="1" si="718"/>
        <v>1</v>
      </c>
      <c r="U1652">
        <f t="shared" ca="1" si="701"/>
        <v>2.961844989607787</v>
      </c>
      <c r="V1652">
        <f t="shared" ca="1" si="702"/>
        <v>9.4157052219631545</v>
      </c>
      <c r="W1652">
        <f t="shared" ca="1" si="703"/>
        <v>1.0343871145191472</v>
      </c>
      <c r="X1652">
        <f t="shared" ca="1" si="704"/>
        <v>1.7018424582404563E-3</v>
      </c>
      <c r="Y1652">
        <f t="shared" ca="1" si="705"/>
        <v>634.46184498960781</v>
      </c>
      <c r="Z1652">
        <f t="shared" ca="1" si="706"/>
        <v>634.46184513722596</v>
      </c>
      <c r="AA1652">
        <f t="shared" ca="1" si="707"/>
        <v>6.2293647039529608E-10</v>
      </c>
      <c r="AB1652">
        <f t="shared" ca="1" si="708"/>
        <v>1.7164109476652811E-4</v>
      </c>
      <c r="AC1652">
        <f t="shared" ca="1" si="709"/>
        <v>1</v>
      </c>
      <c r="AD1652">
        <f ca="1">IF(V36="Supercritical",L1652,U1652)</f>
        <v>2.961844989607787</v>
      </c>
      <c r="AE1652">
        <f t="shared" ca="1" si="710"/>
        <v>634.46184498960781</v>
      </c>
      <c r="AF1652">
        <f t="shared" ca="1" si="711"/>
        <v>634.46184513722596</v>
      </c>
      <c r="AI1652">
        <v>0</v>
      </c>
      <c r="AJ1652">
        <v>0</v>
      </c>
      <c r="AK1652">
        <f t="shared" si="712"/>
        <v>0</v>
      </c>
      <c r="AL1652">
        <f t="shared" si="719"/>
        <v>0</v>
      </c>
      <c r="AM1652">
        <f t="shared" ca="1" si="713"/>
        <v>3.1572115862003484E-4</v>
      </c>
      <c r="AN1652" t="str">
        <f t="shared" ca="1" si="714"/>
        <v>Subcritical</v>
      </c>
      <c r="AO1652">
        <f ca="1">IF(V36="Supercritical",R1652,AA1652)</f>
        <v>6.2293647039529608E-10</v>
      </c>
    </row>
    <row r="1653" spans="1:41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174</v>
      </c>
      <c r="I1653">
        <v>5.1999999999999998E-2</v>
      </c>
      <c r="J1653">
        <f t="shared" si="715"/>
        <v>1</v>
      </c>
      <c r="K1653">
        <f t="shared" ca="1" si="720"/>
        <v>2.0713471780653081E-2</v>
      </c>
      <c r="L1653">
        <f t="shared" ca="1" si="716"/>
        <v>0.05</v>
      </c>
      <c r="M1653">
        <f t="shared" ca="1" si="695"/>
        <v>0.17305000000000001</v>
      </c>
      <c r="N1653">
        <f t="shared" ca="1" si="696"/>
        <v>4.8595900028081999E-2</v>
      </c>
      <c r="O1653">
        <f t="shared" ca="1" si="697"/>
        <v>0.11969645640365836</v>
      </c>
      <c r="P1653">
        <f t="shared" ca="1" si="698"/>
        <v>631.54999999999995</v>
      </c>
      <c r="Q1653">
        <f t="shared" ca="1" si="699"/>
        <v>631.55073023657872</v>
      </c>
      <c r="R1653">
        <f t="shared" ca="1" si="700"/>
        <v>1.8177979036608133E-4</v>
      </c>
      <c r="S1653">
        <f t="shared" ca="1" si="717"/>
        <v>-3.8910752505216806E-4</v>
      </c>
      <c r="T1653">
        <f t="shared" ca="1" si="718"/>
        <v>1</v>
      </c>
      <c r="U1653">
        <f t="shared" ca="1" si="701"/>
        <v>2.9620165634576132</v>
      </c>
      <c r="V1653">
        <f t="shared" ca="1" si="702"/>
        <v>10.2515393261268</v>
      </c>
      <c r="W1653">
        <f t="shared" ca="1" si="703"/>
        <v>1.0923285179171642</v>
      </c>
      <c r="X1653">
        <f t="shared" ca="1" si="704"/>
        <v>2.0205230767503645E-3</v>
      </c>
      <c r="Y1653">
        <f t="shared" ca="1" si="705"/>
        <v>634.46201656345761</v>
      </c>
      <c r="Z1653">
        <f t="shared" ca="1" si="706"/>
        <v>634.46201677153681</v>
      </c>
      <c r="AA1653">
        <f t="shared" ca="1" si="707"/>
        <v>8.1653057561208754E-10</v>
      </c>
      <c r="AB1653">
        <f t="shared" ca="1" si="708"/>
        <v>-1.0174669579328111E-3</v>
      </c>
      <c r="AC1653">
        <f t="shared" ca="1" si="709"/>
        <v>0</v>
      </c>
      <c r="AD1653">
        <f ca="1">IF(V36="Supercritical",L1653,U1653)</f>
        <v>2.9620165634576132</v>
      </c>
      <c r="AE1653">
        <f t="shared" ca="1" si="710"/>
        <v>634.46201656345761</v>
      </c>
      <c r="AF1653">
        <f t="shared" ca="1" si="711"/>
        <v>634.46201677153681</v>
      </c>
      <c r="AI1653">
        <v>0</v>
      </c>
      <c r="AJ1653">
        <v>0</v>
      </c>
      <c r="AK1653">
        <f t="shared" si="712"/>
        <v>0</v>
      </c>
      <c r="AL1653">
        <f t="shared" si="719"/>
        <v>0</v>
      </c>
      <c r="AM1653">
        <f t="shared" ca="1" si="713"/>
        <v>3.7483105897640162E-4</v>
      </c>
      <c r="AN1653" t="str">
        <f t="shared" ca="1" si="714"/>
        <v>Subcritical</v>
      </c>
      <c r="AO1653">
        <f ca="1">IF(V36="Supercritical",R1653,AA1653)</f>
        <v>8.1653057561208754E-10</v>
      </c>
    </row>
    <row r="1654" spans="1:41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174</v>
      </c>
      <c r="I1654">
        <v>5.266</v>
      </c>
      <c r="J1654">
        <f t="shared" si="715"/>
        <v>1.0010000000000003</v>
      </c>
      <c r="K1654">
        <f t="shared" ca="1" si="720"/>
        <v>2.5088860461938714E-2</v>
      </c>
      <c r="L1654">
        <f t="shared" ca="1" si="716"/>
        <v>0.05</v>
      </c>
      <c r="M1654">
        <f t="shared" ca="1" si="695"/>
        <v>0.19490000000000002</v>
      </c>
      <c r="N1654">
        <f t="shared" ca="1" si="696"/>
        <v>4.8749374687343673E-2</v>
      </c>
      <c r="O1654">
        <f t="shared" ca="1" si="697"/>
        <v>0.12872683664411858</v>
      </c>
      <c r="P1654">
        <f t="shared" ca="1" si="698"/>
        <v>631.54999999999995</v>
      </c>
      <c r="Q1654">
        <f t="shared" ca="1" si="699"/>
        <v>631.5508445768844</v>
      </c>
      <c r="R1654">
        <f t="shared" ca="1" si="700"/>
        <v>2.0936077289083259E-4</v>
      </c>
      <c r="S1654">
        <f t="shared" ca="1" si="717"/>
        <v>-3.2895275796818169E-4</v>
      </c>
      <c r="T1654">
        <f t="shared" ca="1" si="718"/>
        <v>1</v>
      </c>
      <c r="U1654">
        <f t="shared" ca="1" si="701"/>
        <v>2.9605978141346765</v>
      </c>
      <c r="V1654">
        <f t="shared" ca="1" si="702"/>
        <v>11.540410279496969</v>
      </c>
      <c r="W1654">
        <f t="shared" ca="1" si="703"/>
        <v>1.1752907994084829</v>
      </c>
      <c r="X1654">
        <f t="shared" ca="1" si="704"/>
        <v>2.1740007377824616E-3</v>
      </c>
      <c r="Y1654">
        <f t="shared" ca="1" si="705"/>
        <v>634.46059781413464</v>
      </c>
      <c r="Z1654">
        <f t="shared" ca="1" si="706"/>
        <v>634.46059805502557</v>
      </c>
      <c r="AA1654">
        <f t="shared" ca="1" si="707"/>
        <v>8.5738282049894991E-10</v>
      </c>
      <c r="AB1654">
        <f t="shared" ca="1" si="708"/>
        <v>4.2933947952406015E-8</v>
      </c>
      <c r="AC1654">
        <f t="shared" ca="1" si="709"/>
        <v>1</v>
      </c>
      <c r="AD1654">
        <f ca="1">IF(V36="Supercritical",L1654,U1654)</f>
        <v>2.9605978141346765</v>
      </c>
      <c r="AE1654">
        <f t="shared" ca="1" si="710"/>
        <v>634.46059781413464</v>
      </c>
      <c r="AF1654">
        <f t="shared" ca="1" si="711"/>
        <v>634.46059805502557</v>
      </c>
      <c r="AI1654">
        <v>0</v>
      </c>
      <c r="AJ1654">
        <v>0</v>
      </c>
      <c r="AK1654">
        <f t="shared" si="712"/>
        <v>0</v>
      </c>
      <c r="AL1654">
        <f t="shared" si="719"/>
        <v>0</v>
      </c>
      <c r="AM1654">
        <f t="shared" ca="1" si="713"/>
        <v>4.0339961219135206E-4</v>
      </c>
      <c r="AN1654" t="str">
        <f t="shared" ca="1" si="714"/>
        <v>Subcritical</v>
      </c>
      <c r="AO1654">
        <f ca="1">IF(V36="Supercritical",R1654,AA1654)</f>
        <v>8.5738282049894991E-10</v>
      </c>
    </row>
    <row r="1655" spans="1:41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174</v>
      </c>
      <c r="I1655">
        <v>17.565999999999999</v>
      </c>
      <c r="J1655">
        <f t="shared" si="715"/>
        <v>0.98499999999999943</v>
      </c>
      <c r="K1655">
        <f t="shared" ca="1" si="720"/>
        <v>2.9157403104956289E-2</v>
      </c>
      <c r="L1655">
        <f t="shared" ca="1" si="716"/>
        <v>0.05</v>
      </c>
      <c r="M1655">
        <f t="shared" ca="1" si="695"/>
        <v>0.21320000000000003</v>
      </c>
      <c r="N1655">
        <f t="shared" ca="1" si="696"/>
        <v>4.8854262144821275E-2</v>
      </c>
      <c r="O1655">
        <f t="shared" ca="1" si="697"/>
        <v>0.13676080255608014</v>
      </c>
      <c r="P1655">
        <f t="shared" ca="1" si="698"/>
        <v>631.54999999999995</v>
      </c>
      <c r="Q1655">
        <f t="shared" ca="1" si="699"/>
        <v>631.55095328833409</v>
      </c>
      <c r="R1655">
        <f t="shared" ca="1" si="700"/>
        <v>2.3563286022023597E-4</v>
      </c>
      <c r="S1655">
        <f t="shared" ca="1" si="717"/>
        <v>-3.6665106370037392E-4</v>
      </c>
      <c r="T1655">
        <f t="shared" ca="1" si="718"/>
        <v>1</v>
      </c>
      <c r="U1655">
        <f t="shared" ca="1" si="701"/>
        <v>2.9601942534646279</v>
      </c>
      <c r="V1655">
        <f t="shared" ca="1" si="702"/>
        <v>12.622268296773175</v>
      </c>
      <c r="W1655">
        <f t="shared" ca="1" si="703"/>
        <v>1.2393741939621838</v>
      </c>
      <c r="X1655">
        <f t="shared" ca="1" si="704"/>
        <v>2.3099970955624705E-3</v>
      </c>
      <c r="Y1655">
        <f t="shared" ca="1" si="705"/>
        <v>634.46019425346458</v>
      </c>
      <c r="Z1655">
        <f t="shared" ca="1" si="706"/>
        <v>634.46019452543635</v>
      </c>
      <c r="AA1655">
        <f t="shared" ca="1" si="707"/>
        <v>9.0185237569694338E-10</v>
      </c>
      <c r="AB1655">
        <f t="shared" ca="1" si="708"/>
        <v>-2.6410319475189681E-3</v>
      </c>
      <c r="AC1655">
        <f t="shared" ca="1" si="709"/>
        <v>0</v>
      </c>
      <c r="AD1655">
        <f ca="1">IF(V36="Supercritical",L1655,U1655)</f>
        <v>2.9601942534646279</v>
      </c>
      <c r="AE1655">
        <f t="shared" ca="1" si="710"/>
        <v>634.46019425346458</v>
      </c>
      <c r="AF1655">
        <f t="shared" ca="1" si="711"/>
        <v>634.46019452543635</v>
      </c>
      <c r="AI1655">
        <v>0</v>
      </c>
      <c r="AJ1655">
        <v>0</v>
      </c>
      <c r="AK1655">
        <f t="shared" si="712"/>
        <v>0</v>
      </c>
      <c r="AL1655">
        <f t="shared" si="719"/>
        <v>0</v>
      </c>
      <c r="AM1655">
        <f t="shared" ca="1" si="713"/>
        <v>4.2866381479459402E-4</v>
      </c>
      <c r="AN1655" t="str">
        <f t="shared" ca="1" si="714"/>
        <v>Subcritical</v>
      </c>
      <c r="AO1655">
        <f ca="1">IF(V36="Supercritical",R1655,AA1655)</f>
        <v>9.0185237569694338E-10</v>
      </c>
    </row>
    <row r="1656" spans="1:41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174</v>
      </c>
      <c r="I1656">
        <v>5.8999999999999997E-2</v>
      </c>
      <c r="J1656">
        <f t="shared" si="715"/>
        <v>1.0010000000000003</v>
      </c>
      <c r="K1656">
        <f t="shared" ca="1" si="720"/>
        <v>3.2909047270189812E-2</v>
      </c>
      <c r="L1656">
        <f t="shared" ca="1" si="716"/>
        <v>0.05</v>
      </c>
      <c r="M1656">
        <f t="shared" ca="1" si="695"/>
        <v>0.2303</v>
      </c>
      <c r="N1656">
        <f t="shared" ca="1" si="696"/>
        <v>4.8937526561835962E-2</v>
      </c>
      <c r="O1656">
        <f t="shared" ca="1" si="697"/>
        <v>0.14289642757355542</v>
      </c>
      <c r="P1656">
        <f t="shared" ca="1" si="698"/>
        <v>631.54999999999995</v>
      </c>
      <c r="Q1656">
        <f t="shared" ca="1" si="699"/>
        <v>631.5510407435786</v>
      </c>
      <c r="R1656">
        <f t="shared" ca="1" si="700"/>
        <v>2.5666653104853849E-4</v>
      </c>
      <c r="S1656">
        <f t="shared" ca="1" si="717"/>
        <v>-3.4269895411398466E-4</v>
      </c>
      <c r="T1656">
        <f t="shared" ca="1" si="718"/>
        <v>1</v>
      </c>
      <c r="U1656">
        <f t="shared" ca="1" si="701"/>
        <v>2.9572521326015604</v>
      </c>
      <c r="V1656">
        <f t="shared" ca="1" si="702"/>
        <v>13.621103322762787</v>
      </c>
      <c r="W1656">
        <f t="shared" ca="1" si="703"/>
        <v>1.2947196236415197</v>
      </c>
      <c r="X1656">
        <f t="shared" ca="1" si="704"/>
        <v>2.4160338917034825E-3</v>
      </c>
      <c r="Y1656">
        <f t="shared" ca="1" si="705"/>
        <v>634.45725213260152</v>
      </c>
      <c r="Z1656">
        <f t="shared" ca="1" si="706"/>
        <v>634.45725243011532</v>
      </c>
      <c r="AA1656">
        <f t="shared" ca="1" si="707"/>
        <v>9.3072401905271895E-10</v>
      </c>
      <c r="AB1656">
        <f t="shared" ca="1" si="708"/>
        <v>6.0092702369729523E-8</v>
      </c>
      <c r="AC1656">
        <f t="shared" ca="1" si="709"/>
        <v>1</v>
      </c>
      <c r="AD1656">
        <f ca="1">IF(V36="Supercritical",L1656,U1656)</f>
        <v>2.9572521326015604</v>
      </c>
      <c r="AE1656">
        <f t="shared" ca="1" si="710"/>
        <v>634.45725213260152</v>
      </c>
      <c r="AF1656">
        <f t="shared" ca="1" si="711"/>
        <v>634.45725243011532</v>
      </c>
      <c r="AI1656">
        <v>0</v>
      </c>
      <c r="AJ1656">
        <v>0</v>
      </c>
      <c r="AK1656">
        <f t="shared" si="712"/>
        <v>0</v>
      </c>
      <c r="AL1656">
        <f t="shared" si="719"/>
        <v>0</v>
      </c>
      <c r="AM1656">
        <f t="shared" ca="1" si="713"/>
        <v>4.4856392338387242E-4</v>
      </c>
      <c r="AN1656" t="str">
        <f t="shared" ca="1" si="714"/>
        <v>Subcritical</v>
      </c>
      <c r="AO1656">
        <f ca="1">IF(V36="Supercritical",R1656,AA1656)</f>
        <v>9.3072401905271895E-10</v>
      </c>
    </row>
    <row r="1657" spans="1:41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174</v>
      </c>
      <c r="I1657">
        <v>0</v>
      </c>
      <c r="J1657">
        <f t="shared" si="715"/>
        <v>1</v>
      </c>
      <c r="K1657">
        <f t="shared" ca="1" si="720"/>
        <v>3.6610642603357675E-2</v>
      </c>
      <c r="L1657">
        <f t="shared" ca="1" si="716"/>
        <v>0.05</v>
      </c>
      <c r="M1657">
        <f t="shared" ca="1" si="695"/>
        <v>0.23580000000000001</v>
      </c>
      <c r="N1657">
        <f t="shared" ca="1" si="696"/>
        <v>4.8961794019933558E-2</v>
      </c>
      <c r="O1657">
        <f t="shared" ca="1" si="697"/>
        <v>0.15526141901339133</v>
      </c>
      <c r="P1657">
        <f t="shared" ca="1" si="698"/>
        <v>631.54999999999995</v>
      </c>
      <c r="Q1657">
        <f t="shared" ca="1" si="699"/>
        <v>631.55122864975704</v>
      </c>
      <c r="R1657">
        <f t="shared" ca="1" si="700"/>
        <v>3.028074274472364E-4</v>
      </c>
      <c r="S1657">
        <f t="shared" ca="1" si="717"/>
        <v>-4.8643377544976829E-4</v>
      </c>
      <c r="T1657">
        <f t="shared" ca="1" si="718"/>
        <v>1</v>
      </c>
      <c r="U1657">
        <f t="shared" ca="1" si="701"/>
        <v>2.9569628095641476</v>
      </c>
      <c r="V1657">
        <f t="shared" ca="1" si="702"/>
        <v>13.94503660990452</v>
      </c>
      <c r="W1657">
        <f t="shared" ca="1" si="703"/>
        <v>1.311865869015185</v>
      </c>
      <c r="X1657">
        <f t="shared" ca="1" si="704"/>
        <v>2.6253529214369229E-3</v>
      </c>
      <c r="Y1657">
        <f t="shared" ca="1" si="705"/>
        <v>634.45696280956417</v>
      </c>
      <c r="Z1657">
        <f t="shared" ca="1" si="706"/>
        <v>634.45696316086276</v>
      </c>
      <c r="AA1657">
        <f t="shared" ca="1" si="707"/>
        <v>1.0798712862917614E-9</v>
      </c>
      <c r="AB1657">
        <f t="shared" ca="1" si="708"/>
        <v>-1.4062150492009096E-3</v>
      </c>
      <c r="AC1657">
        <f t="shared" ca="1" si="709"/>
        <v>0</v>
      </c>
      <c r="AD1657">
        <f ca="1">IF(V36="Supercritical",L1657,U1657)</f>
        <v>2.9569628095641476</v>
      </c>
      <c r="AE1657">
        <f t="shared" ca="1" si="710"/>
        <v>634.45696280956417</v>
      </c>
      <c r="AF1657">
        <f t="shared" ca="1" si="711"/>
        <v>634.45696316086276</v>
      </c>
      <c r="AI1657">
        <v>0</v>
      </c>
      <c r="AJ1657">
        <v>0</v>
      </c>
      <c r="AK1657">
        <f t="shared" si="712"/>
        <v>0</v>
      </c>
      <c r="AL1657">
        <f t="shared" si="719"/>
        <v>0</v>
      </c>
      <c r="AM1657">
        <f t="shared" ca="1" si="713"/>
        <v>4.8745020596352049E-4</v>
      </c>
      <c r="AN1657" t="str">
        <f t="shared" ca="1" si="714"/>
        <v>Subcritical</v>
      </c>
      <c r="AO1657">
        <f ca="1">IF(V36="Supercritical",R1657,AA1657)</f>
        <v>1.0798712862917614E-9</v>
      </c>
    </row>
    <row r="1658" spans="1:41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174</v>
      </c>
      <c r="I1658">
        <v>5.7000000000000002E-2</v>
      </c>
      <c r="J1658">
        <f t="shared" si="715"/>
        <v>0.99900000000000055</v>
      </c>
      <c r="K1658">
        <f t="shared" ca="1" si="720"/>
        <v>4.0032899826666087E-2</v>
      </c>
      <c r="L1658">
        <f t="shared" ca="1" si="716"/>
        <v>0.05</v>
      </c>
      <c r="M1658">
        <f t="shared" ca="1" si="695"/>
        <v>0.24125000000000002</v>
      </c>
      <c r="N1658">
        <f t="shared" ca="1" si="696"/>
        <v>4.8984771573604063E-2</v>
      </c>
      <c r="O1658">
        <f t="shared" ca="1" si="697"/>
        <v>0.16593948114680243</v>
      </c>
      <c r="P1658">
        <f t="shared" ca="1" si="698"/>
        <v>631.54999999999995</v>
      </c>
      <c r="Q1658">
        <f t="shared" ca="1" si="699"/>
        <v>631.55140346133544</v>
      </c>
      <c r="R1658">
        <f t="shared" ca="1" si="700"/>
        <v>3.4567437862915903E-4</v>
      </c>
      <c r="S1658">
        <f t="shared" ca="1" si="717"/>
        <v>-5.1634272722367314E-4</v>
      </c>
      <c r="T1658">
        <f t="shared" ca="1" si="718"/>
        <v>1</v>
      </c>
      <c r="U1658">
        <f t="shared" ca="1" si="701"/>
        <v>2.9558871001159179</v>
      </c>
      <c r="V1658">
        <f t="shared" ca="1" si="702"/>
        <v>14.262155258059305</v>
      </c>
      <c r="W1658">
        <f t="shared" ca="1" si="703"/>
        <v>1.3283463908322994</v>
      </c>
      <c r="X1658">
        <f t="shared" ca="1" si="704"/>
        <v>2.8069319890515259E-3</v>
      </c>
      <c r="Y1658">
        <f t="shared" ca="1" si="705"/>
        <v>634.45588710011589</v>
      </c>
      <c r="Z1658">
        <f t="shared" ca="1" si="706"/>
        <v>634.45588750168918</v>
      </c>
      <c r="AA1658">
        <f t="shared" ca="1" si="707"/>
        <v>1.2140349175343593E-9</v>
      </c>
      <c r="AB1658">
        <f t="shared" ca="1" si="708"/>
        <v>5.6161184147640597E-8</v>
      </c>
      <c r="AC1658">
        <f t="shared" ca="1" si="709"/>
        <v>1</v>
      </c>
      <c r="AD1658">
        <f ca="1">IF(V36="Supercritical",L1658,U1658)</f>
        <v>2.9558871001159179</v>
      </c>
      <c r="AE1658">
        <f t="shared" ca="1" si="710"/>
        <v>634.45588710011589</v>
      </c>
      <c r="AF1658">
        <f t="shared" ca="1" si="711"/>
        <v>634.45588750168918</v>
      </c>
      <c r="AI1658">
        <v>0</v>
      </c>
      <c r="AJ1658">
        <v>0</v>
      </c>
      <c r="AK1658">
        <f t="shared" si="712"/>
        <v>0</v>
      </c>
      <c r="AL1658">
        <f t="shared" si="719"/>
        <v>0</v>
      </c>
      <c r="AM1658">
        <f t="shared" ca="1" si="713"/>
        <v>5.2125887835451437E-4</v>
      </c>
      <c r="AN1658" t="str">
        <f t="shared" ca="1" si="714"/>
        <v>Subcritical</v>
      </c>
      <c r="AO1658">
        <f ca="1">IF(V36="Supercritical",R1658,AA1658)</f>
        <v>1.2140349175343593E-9</v>
      </c>
    </row>
    <row r="1659" spans="1:41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174</v>
      </c>
      <c r="I1659">
        <v>5.5E-2</v>
      </c>
      <c r="J1659">
        <f t="shared" si="715"/>
        <v>1</v>
      </c>
      <c r="K1659">
        <f t="shared" ca="1" si="720"/>
        <v>4.3404148038738072E-2</v>
      </c>
      <c r="L1659">
        <f t="shared" ca="1" si="716"/>
        <v>0.05</v>
      </c>
      <c r="M1659">
        <f t="shared" ca="1" si="695"/>
        <v>0.24670000000000003</v>
      </c>
      <c r="N1659">
        <f t="shared" ca="1" si="696"/>
        <v>4.9006754072308312E-2</v>
      </c>
      <c r="O1659">
        <f t="shared" ca="1" si="697"/>
        <v>0.17593898678045425</v>
      </c>
      <c r="P1659">
        <f t="shared" ca="1" si="698"/>
        <v>631.54999999999995</v>
      </c>
      <c r="Q1659">
        <f t="shared" ca="1" si="699"/>
        <v>631.55157770270478</v>
      </c>
      <c r="R1659">
        <f t="shared" ca="1" si="700"/>
        <v>3.8835786678931262E-4</v>
      </c>
      <c r="S1659">
        <f t="shared" ca="1" si="717"/>
        <v>-5.5882625167669175E-4</v>
      </c>
      <c r="T1659">
        <f t="shared" ca="1" si="718"/>
        <v>1</v>
      </c>
      <c r="U1659">
        <f t="shared" ca="1" si="701"/>
        <v>2.9563035835737725</v>
      </c>
      <c r="V1659">
        <f t="shared" ca="1" si="702"/>
        <v>14.586401881352995</v>
      </c>
      <c r="W1659">
        <f t="shared" ca="1" si="703"/>
        <v>1.3447893573146656</v>
      </c>
      <c r="X1659">
        <f t="shared" ca="1" si="704"/>
        <v>2.9756583146269395E-3</v>
      </c>
      <c r="Y1659">
        <f t="shared" ca="1" si="705"/>
        <v>634.4563035835738</v>
      </c>
      <c r="Z1659">
        <f t="shared" ca="1" si="706"/>
        <v>634.45630403487564</v>
      </c>
      <c r="AA1659">
        <f t="shared" ca="1" si="707"/>
        <v>1.342176474754521E-9</v>
      </c>
      <c r="AB1659">
        <f t="shared" ca="1" si="708"/>
        <v>3.2746994803574125E-3</v>
      </c>
      <c r="AC1659">
        <f t="shared" ca="1" si="709"/>
        <v>0</v>
      </c>
      <c r="AD1659">
        <f ca="1">IF(V36="Supercritical",L1659,U1659)</f>
        <v>2.9563035835737725</v>
      </c>
      <c r="AE1659">
        <f t="shared" ca="1" si="710"/>
        <v>634.4563035835738</v>
      </c>
      <c r="AF1659">
        <f t="shared" ca="1" si="711"/>
        <v>634.45630403487564</v>
      </c>
      <c r="AI1659">
        <v>0</v>
      </c>
      <c r="AJ1659">
        <v>0</v>
      </c>
      <c r="AK1659">
        <f t="shared" si="712"/>
        <v>0</v>
      </c>
      <c r="AL1659">
        <f t="shared" si="719"/>
        <v>0</v>
      </c>
      <c r="AM1659">
        <f t="shared" ca="1" si="713"/>
        <v>5.5255312887668342E-4</v>
      </c>
      <c r="AN1659" t="str">
        <f t="shared" ca="1" si="714"/>
        <v>Subcritical</v>
      </c>
      <c r="AO1659">
        <f ca="1">IF(V36="Supercritical",R1659,AA1659)</f>
        <v>1.342176474754521E-9</v>
      </c>
    </row>
    <row r="1660" spans="1:41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174</v>
      </c>
      <c r="I1660">
        <v>2E-3</v>
      </c>
      <c r="J1660">
        <f t="shared" si="715"/>
        <v>1.0009999999999994</v>
      </c>
      <c r="K1660">
        <f t="shared" ca="1" si="720"/>
        <v>4.6491219038170224E-2</v>
      </c>
      <c r="L1660">
        <f t="shared" ca="1" si="716"/>
        <v>0.05</v>
      </c>
      <c r="M1660">
        <f t="shared" ca="1" si="695"/>
        <v>0.25215000000000004</v>
      </c>
      <c r="N1660">
        <f t="shared" ca="1" si="696"/>
        <v>4.9027804783200478E-2</v>
      </c>
      <c r="O1660">
        <f t="shared" ca="1" si="697"/>
        <v>0.18437921490450215</v>
      </c>
      <c r="P1660">
        <f t="shared" ca="1" si="698"/>
        <v>631.54999999999995</v>
      </c>
      <c r="Q1660">
        <f t="shared" ca="1" si="699"/>
        <v>631.55173270616149</v>
      </c>
      <c r="R1660">
        <f t="shared" ca="1" si="700"/>
        <v>4.2626843712164551E-4</v>
      </c>
      <c r="S1660">
        <f t="shared" ca="1" si="717"/>
        <v>-5.7823004317469895E-4</v>
      </c>
      <c r="T1660">
        <f t="shared" ca="1" si="718"/>
        <v>1</v>
      </c>
      <c r="U1660">
        <f t="shared" ca="1" si="701"/>
        <v>2.9604764891554258</v>
      </c>
      <c r="V1660">
        <f t="shared" ca="1" si="702"/>
        <v>14.929682934810813</v>
      </c>
      <c r="W1660">
        <f t="shared" ca="1" si="703"/>
        <v>1.3617062171230634</v>
      </c>
      <c r="X1660">
        <f t="shared" ca="1" si="704"/>
        <v>3.1140124837995666E-3</v>
      </c>
      <c r="Y1660">
        <f t="shared" ca="1" si="705"/>
        <v>634.46047648915544</v>
      </c>
      <c r="Z1660">
        <f t="shared" ca="1" si="706"/>
        <v>634.46047698339976</v>
      </c>
      <c r="AA1660">
        <f t="shared" ca="1" si="707"/>
        <v>1.445590624536731E-9</v>
      </c>
      <c r="AB1660">
        <f t="shared" ca="1" si="708"/>
        <v>4.9059963203035295E-8</v>
      </c>
      <c r="AC1660">
        <f t="shared" ca="1" si="709"/>
        <v>1</v>
      </c>
      <c r="AD1660">
        <f ca="1">IF(V36="Supercritical",L1660,U1660)</f>
        <v>2.9604764891554258</v>
      </c>
      <c r="AE1660">
        <f t="shared" ca="1" si="710"/>
        <v>634.46047648915544</v>
      </c>
      <c r="AF1660">
        <f t="shared" ca="1" si="711"/>
        <v>634.46047698339976</v>
      </c>
      <c r="AI1660">
        <v>0</v>
      </c>
      <c r="AJ1660">
        <v>0</v>
      </c>
      <c r="AK1660">
        <f t="shared" si="712"/>
        <v>0</v>
      </c>
      <c r="AL1660">
        <f t="shared" si="719"/>
        <v>0</v>
      </c>
      <c r="AM1660">
        <f t="shared" ca="1" si="713"/>
        <v>5.7783658789873488E-4</v>
      </c>
      <c r="AN1660" t="str">
        <f t="shared" ca="1" si="714"/>
        <v>Subcritical</v>
      </c>
      <c r="AO1660">
        <f ca="1">IF(V36="Supercritical",R1660,AA1660)</f>
        <v>1.445590624536731E-9</v>
      </c>
    </row>
    <row r="1661" spans="1:41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174</v>
      </c>
      <c r="I1661">
        <v>5.7000000000000002E-2</v>
      </c>
      <c r="J1661">
        <f t="shared" si="715"/>
        <v>0.99900000000000055</v>
      </c>
      <c r="K1661">
        <f t="shared" ca="1" si="720"/>
        <v>4.9528065589893921E-2</v>
      </c>
      <c r="L1661">
        <f t="shared" ca="1" si="716"/>
        <v>0.05</v>
      </c>
      <c r="M1661">
        <f t="shared" ca="1" si="695"/>
        <v>0.2576</v>
      </c>
      <c r="N1661">
        <f t="shared" ca="1" si="696"/>
        <v>4.9047981721249051E-2</v>
      </c>
      <c r="O1661">
        <f t="shared" ca="1" si="697"/>
        <v>0.19226733536449503</v>
      </c>
      <c r="P1661">
        <f t="shared" ca="1" si="698"/>
        <v>631.54999999999995</v>
      </c>
      <c r="Q1661">
        <f t="shared" ca="1" si="699"/>
        <v>631.55188413497694</v>
      </c>
      <c r="R1661">
        <f t="shared" ca="1" si="700"/>
        <v>4.6326768932241068E-4</v>
      </c>
      <c r="S1661">
        <f t="shared" ca="1" si="717"/>
        <v>-6.1107398494186782E-4</v>
      </c>
      <c r="T1661">
        <f t="shared" ca="1" si="718"/>
        <v>1</v>
      </c>
      <c r="U1661">
        <f t="shared" ca="1" si="701"/>
        <v>2.9613517239240625</v>
      </c>
      <c r="V1661">
        <f t="shared" ca="1" si="702"/>
        <v>15.256884081656771</v>
      </c>
      <c r="W1661">
        <f t="shared" ca="1" si="703"/>
        <v>1.3776336453163687</v>
      </c>
      <c r="X1661">
        <f t="shared" ca="1" si="704"/>
        <v>3.2462765873302476E-3</v>
      </c>
      <c r="Y1661">
        <f t="shared" ca="1" si="705"/>
        <v>634.46135172392405</v>
      </c>
      <c r="Z1661">
        <f t="shared" ca="1" si="706"/>
        <v>634.46135226104491</v>
      </c>
      <c r="AA1661">
        <f t="shared" ca="1" si="707"/>
        <v>1.5468275652817314E-9</v>
      </c>
      <c r="AB1661">
        <f t="shared" ca="1" si="708"/>
        <v>5.5927322408706459E-3</v>
      </c>
      <c r="AC1661">
        <f t="shared" ca="1" si="709"/>
        <v>0</v>
      </c>
      <c r="AD1661">
        <f ca="1">IF(V36="Supercritical",L1661,U1661)</f>
        <v>2.9613517239240625</v>
      </c>
      <c r="AE1661">
        <f t="shared" ca="1" si="710"/>
        <v>634.46135172392405</v>
      </c>
      <c r="AF1661">
        <f t="shared" ca="1" si="711"/>
        <v>634.46135226104491</v>
      </c>
      <c r="AI1661">
        <v>0</v>
      </c>
      <c r="AJ1661">
        <v>0</v>
      </c>
      <c r="AK1661">
        <f t="shared" si="712"/>
        <v>0</v>
      </c>
      <c r="AL1661">
        <f t="shared" si="719"/>
        <v>0</v>
      </c>
      <c r="AM1661">
        <f t="shared" ca="1" si="713"/>
        <v>6.0229050932042135E-4</v>
      </c>
      <c r="AN1661" t="str">
        <f t="shared" ca="1" si="714"/>
        <v>Subcritical</v>
      </c>
      <c r="AO1661">
        <f ca="1">IF(V36="Supercritical",R1661,AA1661)</f>
        <v>1.5468275652817314E-9</v>
      </c>
    </row>
    <row r="1662" spans="1:41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174</v>
      </c>
      <c r="I1662">
        <v>5.5E-2</v>
      </c>
      <c r="J1662">
        <f t="shared" si="715"/>
        <v>1</v>
      </c>
      <c r="K1662">
        <f t="shared" ca="1" si="720"/>
        <v>5.2285553841673875E-2</v>
      </c>
      <c r="L1662">
        <f t="shared" ca="1" si="716"/>
        <v>0.05</v>
      </c>
      <c r="M1662">
        <f t="shared" ca="1" si="695"/>
        <v>0.26305000000000001</v>
      </c>
      <c r="N1662">
        <f t="shared" ca="1" si="696"/>
        <v>4.9067338183174783E-2</v>
      </c>
      <c r="O1662">
        <f t="shared" ca="1" si="697"/>
        <v>0.19876659890391132</v>
      </c>
      <c r="P1662">
        <f t="shared" ca="1" si="698"/>
        <v>631.54999999999995</v>
      </c>
      <c r="Q1662">
        <f t="shared" ca="1" si="699"/>
        <v>631.55201366772883</v>
      </c>
      <c r="R1662">
        <f t="shared" ca="1" si="700"/>
        <v>4.9485656102278032E-4</v>
      </c>
      <c r="S1662">
        <f t="shared" ca="1" si="717"/>
        <v>-6.2173273840926413E-4</v>
      </c>
      <c r="T1662">
        <f t="shared" ca="1" si="718"/>
        <v>1</v>
      </c>
      <c r="U1662">
        <f t="shared" ca="1" si="701"/>
        <v>2.9674136253714991</v>
      </c>
      <c r="V1662">
        <f t="shared" ca="1" si="702"/>
        <v>15.611563083079457</v>
      </c>
      <c r="W1662">
        <f t="shared" ca="1" si="703"/>
        <v>1.3944090716515312</v>
      </c>
      <c r="X1662">
        <f t="shared" ca="1" si="704"/>
        <v>3.3491555946978434E-3</v>
      </c>
      <c r="Y1662">
        <f t="shared" ca="1" si="705"/>
        <v>634.46741362537148</v>
      </c>
      <c r="Z1662">
        <f t="shared" ca="1" si="706"/>
        <v>634.46741419707598</v>
      </c>
      <c r="AA1662">
        <f t="shared" ca="1" si="707"/>
        <v>1.6200667209156906E-9</v>
      </c>
      <c r="AB1662">
        <f t="shared" ca="1" si="708"/>
        <v>4.0617010199639481E-8</v>
      </c>
      <c r="AC1662">
        <f t="shared" ca="1" si="709"/>
        <v>1</v>
      </c>
      <c r="AD1662">
        <f ca="1">IF(V36="Supercritical",L1662,U1662)</f>
        <v>2.9674136253714991</v>
      </c>
      <c r="AE1662">
        <f t="shared" ca="1" si="710"/>
        <v>634.46741362537148</v>
      </c>
      <c r="AF1662">
        <f t="shared" ca="1" si="711"/>
        <v>634.46741419707598</v>
      </c>
      <c r="AI1662">
        <v>0</v>
      </c>
      <c r="AJ1662">
        <v>0</v>
      </c>
      <c r="AK1662">
        <f t="shared" si="712"/>
        <v>0</v>
      </c>
      <c r="AL1662">
        <f t="shared" si="719"/>
        <v>0</v>
      </c>
      <c r="AM1662">
        <f t="shared" ca="1" si="713"/>
        <v>6.2074292378814838E-4</v>
      </c>
      <c r="AN1662" t="str">
        <f t="shared" ca="1" si="714"/>
        <v>Subcritical</v>
      </c>
      <c r="AO1662">
        <f ca="1">IF(V36="Supercritical",R1662,AA1662)</f>
        <v>1.6200667209156906E-9</v>
      </c>
    </row>
    <row r="1663" spans="1:41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174</v>
      </c>
      <c r="I1663">
        <v>2E-3</v>
      </c>
      <c r="J1663">
        <f t="shared" si="715"/>
        <v>1.0009999999999994</v>
      </c>
      <c r="K1663">
        <f t="shared" ca="1" si="720"/>
        <v>5.4996951697705798E-2</v>
      </c>
      <c r="L1663">
        <f t="shared" ca="1" si="716"/>
        <v>0.05</v>
      </c>
      <c r="M1663">
        <f t="shared" ca="1" si="695"/>
        <v>0.26850000000000002</v>
      </c>
      <c r="N1663">
        <f t="shared" ca="1" si="696"/>
        <v>4.908592321755028E-2</v>
      </c>
      <c r="O1663">
        <f t="shared" ca="1" si="697"/>
        <v>0.20483036014043127</v>
      </c>
      <c r="P1663">
        <f t="shared" ca="1" si="698"/>
        <v>631.54999999999995</v>
      </c>
      <c r="Q1663">
        <f t="shared" ca="1" si="699"/>
        <v>631.55213840348802</v>
      </c>
      <c r="R1663">
        <f t="shared" ca="1" si="700"/>
        <v>5.2524495582497994E-4</v>
      </c>
      <c r="S1663">
        <f t="shared" ca="1" si="717"/>
        <v>-6.4777727232012694E-4</v>
      </c>
      <c r="T1663">
        <f t="shared" ca="1" si="718"/>
        <v>1</v>
      </c>
      <c r="U1663">
        <f t="shared" ca="1" si="701"/>
        <v>2.9678124531243428</v>
      </c>
      <c r="V1663">
        <f t="shared" ca="1" si="702"/>
        <v>15.937152873277721</v>
      </c>
      <c r="W1663">
        <f t="shared" ca="1" si="703"/>
        <v>1.4096658084303826</v>
      </c>
      <c r="X1663">
        <f t="shared" ca="1" si="704"/>
        <v>3.4508642876809417E-3</v>
      </c>
      <c r="Y1663">
        <f t="shared" ca="1" si="705"/>
        <v>634.46781245312434</v>
      </c>
      <c r="Z1663">
        <f t="shared" ca="1" si="706"/>
        <v>634.46781306007972</v>
      </c>
      <c r="AA1663">
        <f t="shared" ca="1" si="707"/>
        <v>1.6951835276943057E-9</v>
      </c>
      <c r="AB1663">
        <f t="shared" ca="1" si="708"/>
        <v>1.5842724786807594E-3</v>
      </c>
      <c r="AC1663">
        <f t="shared" ca="1" si="709"/>
        <v>0</v>
      </c>
      <c r="AD1663">
        <f ca="1">IF(V36="Supercritical",L1663,U1663)</f>
        <v>2.9678124531243428</v>
      </c>
      <c r="AE1663">
        <f t="shared" ca="1" si="710"/>
        <v>634.46781245312434</v>
      </c>
      <c r="AF1663">
        <f t="shared" ca="1" si="711"/>
        <v>634.46781306007972</v>
      </c>
      <c r="AI1663">
        <v>0</v>
      </c>
      <c r="AJ1663">
        <v>0</v>
      </c>
      <c r="AK1663">
        <f t="shared" si="712"/>
        <v>0</v>
      </c>
      <c r="AL1663">
        <f t="shared" si="719"/>
        <v>0</v>
      </c>
      <c r="AM1663">
        <f t="shared" ca="1" si="713"/>
        <v>6.395509523898494E-4</v>
      </c>
      <c r="AN1663" t="str">
        <f t="shared" ca="1" si="714"/>
        <v>Subcritical</v>
      </c>
      <c r="AO1663">
        <f ca="1">IF(V36="Supercritical",R1663,AA1663)</f>
        <v>1.6951835276943057E-9</v>
      </c>
    </row>
    <row r="1664" spans="1:41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174</v>
      </c>
      <c r="I1664">
        <v>5.7000000000000002E-2</v>
      </c>
      <c r="J1664">
        <f t="shared" si="715"/>
        <v>1</v>
      </c>
      <c r="K1664">
        <f t="shared" ca="1" si="720"/>
        <v>5.7452120184493957E-2</v>
      </c>
      <c r="L1664">
        <f t="shared" ca="1" si="716"/>
        <v>0.05</v>
      </c>
      <c r="M1664">
        <f t="shared" ca="1" si="695"/>
        <v>0.27400000000000002</v>
      </c>
      <c r="N1664">
        <f t="shared" ca="1" si="696"/>
        <v>4.910394265232975E-2</v>
      </c>
      <c r="O1664">
        <f t="shared" ca="1" si="697"/>
        <v>0.20967927074632831</v>
      </c>
      <c r="P1664">
        <f t="shared" ca="1" si="698"/>
        <v>631.54999999999995</v>
      </c>
      <c r="Q1664">
        <f t="shared" ca="1" si="699"/>
        <v>631.55224084590111</v>
      </c>
      <c r="R1664">
        <f t="shared" ca="1" si="700"/>
        <v>5.5013806373747421E-4</v>
      </c>
      <c r="S1664">
        <f t="shared" ca="1" si="717"/>
        <v>-6.5059104451847816E-4</v>
      </c>
      <c r="T1664">
        <f t="shared" ca="1" si="718"/>
        <v>1</v>
      </c>
      <c r="U1664">
        <f t="shared" ca="1" si="701"/>
        <v>2.9685129451664976</v>
      </c>
      <c r="V1664">
        <f t="shared" ca="1" si="702"/>
        <v>16.267450939512408</v>
      </c>
      <c r="W1664">
        <f t="shared" ca="1" si="703"/>
        <v>1.4248413812643059</v>
      </c>
      <c r="X1664">
        <f t="shared" ca="1" si="704"/>
        <v>3.53172235761579E-3</v>
      </c>
      <c r="Y1664">
        <f t="shared" ca="1" si="705"/>
        <v>634.46851294516648</v>
      </c>
      <c r="Z1664">
        <f t="shared" ca="1" si="706"/>
        <v>634.4685135808985</v>
      </c>
      <c r="AA1664">
        <f t="shared" ca="1" si="707"/>
        <v>1.750385073315552E-9</v>
      </c>
      <c r="AB1664">
        <f t="shared" ca="1" si="708"/>
        <v>3.2366983759857249E-8</v>
      </c>
      <c r="AC1664">
        <f t="shared" ca="1" si="709"/>
        <v>1</v>
      </c>
      <c r="AD1664">
        <f ca="1">IF(V36="Supercritical",L1664,U1664)</f>
        <v>2.9685129451664976</v>
      </c>
      <c r="AE1664">
        <f t="shared" ca="1" si="710"/>
        <v>634.46851294516648</v>
      </c>
      <c r="AF1664">
        <f t="shared" ca="1" si="711"/>
        <v>634.4685135808985</v>
      </c>
      <c r="AI1664">
        <v>0</v>
      </c>
      <c r="AJ1664">
        <v>0</v>
      </c>
      <c r="AK1664">
        <f t="shared" si="712"/>
        <v>0</v>
      </c>
      <c r="AL1664">
        <f t="shared" si="719"/>
        <v>0</v>
      </c>
      <c r="AM1664">
        <f t="shared" ca="1" si="713"/>
        <v>6.5445920040749922E-4</v>
      </c>
      <c r="AN1664" t="str">
        <f t="shared" ca="1" si="714"/>
        <v>Subcritical</v>
      </c>
      <c r="AO1664">
        <f ca="1">IF(V36="Supercritical",R1664,AA1664)</f>
        <v>1.750385073315552E-9</v>
      </c>
    </row>
    <row r="1665" spans="1:41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174</v>
      </c>
      <c r="I1665">
        <v>5.7000000000000002E-2</v>
      </c>
      <c r="J1665">
        <f t="shared" si="715"/>
        <v>0.99900000000000055</v>
      </c>
      <c r="K1665">
        <f t="shared" ca="1" si="720"/>
        <v>5.9860242131416989E-2</v>
      </c>
      <c r="L1665">
        <f t="shared" ca="1" si="716"/>
        <v>0.05</v>
      </c>
      <c r="M1665">
        <f t="shared" ca="1" si="695"/>
        <v>0.27945000000000003</v>
      </c>
      <c r="N1665">
        <f t="shared" ca="1" si="696"/>
        <v>4.9121110915802429E-2</v>
      </c>
      <c r="O1665">
        <f t="shared" ca="1" si="697"/>
        <v>0.21420734346543918</v>
      </c>
      <c r="P1665">
        <f t="shared" ca="1" si="698"/>
        <v>631.54999999999995</v>
      </c>
      <c r="Q1665">
        <f t="shared" ca="1" si="699"/>
        <v>631.55233867410777</v>
      </c>
      <c r="R1665">
        <f t="shared" ca="1" si="700"/>
        <v>5.7388779468958186E-4</v>
      </c>
      <c r="S1665">
        <f t="shared" ca="1" si="717"/>
        <v>-6.6928411763456097E-4</v>
      </c>
      <c r="T1665">
        <f t="shared" ca="1" si="718"/>
        <v>1</v>
      </c>
      <c r="U1665">
        <f t="shared" ca="1" si="701"/>
        <v>2.9682658745364221</v>
      </c>
      <c r="V1665">
        <f t="shared" ca="1" si="702"/>
        <v>16.589637972784065</v>
      </c>
      <c r="W1665">
        <f t="shared" ca="1" si="703"/>
        <v>1.4393815690211946</v>
      </c>
      <c r="X1665">
        <f t="shared" ca="1" si="704"/>
        <v>3.6082910446641457E-3</v>
      </c>
      <c r="Y1665">
        <f t="shared" ca="1" si="705"/>
        <v>634.46826587453643</v>
      </c>
      <c r="Z1665">
        <f t="shared" ca="1" si="706"/>
        <v>634.46826653813298</v>
      </c>
      <c r="AA1665">
        <f t="shared" ca="1" si="707"/>
        <v>1.802537834974953E-9</v>
      </c>
      <c r="AB1665">
        <f t="shared" ca="1" si="708"/>
        <v>-6.9335919237119015E-3</v>
      </c>
      <c r="AC1665">
        <f t="shared" ca="1" si="709"/>
        <v>0</v>
      </c>
      <c r="AD1665">
        <f ca="1">IF(V36="Supercritical",L1665,U1665)</f>
        <v>2.9682658745364221</v>
      </c>
      <c r="AE1665">
        <f t="shared" ca="1" si="710"/>
        <v>634.46826587453643</v>
      </c>
      <c r="AF1665">
        <f t="shared" ca="1" si="711"/>
        <v>634.46826653813298</v>
      </c>
      <c r="AI1665">
        <v>0</v>
      </c>
      <c r="AJ1665">
        <v>0</v>
      </c>
      <c r="AK1665">
        <f t="shared" si="712"/>
        <v>0</v>
      </c>
      <c r="AL1665">
        <f t="shared" si="719"/>
        <v>0</v>
      </c>
      <c r="AM1665">
        <f t="shared" ca="1" si="713"/>
        <v>6.6867587890846584E-4</v>
      </c>
      <c r="AN1665" t="str">
        <f t="shared" ca="1" si="714"/>
        <v>Subcritical</v>
      </c>
      <c r="AO1665">
        <f ca="1">IF(V36="Supercritical",R1665,AA1665)</f>
        <v>1.802537834974953E-9</v>
      </c>
    </row>
    <row r="1666" spans="1:41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174</v>
      </c>
      <c r="I1666">
        <v>2E-3</v>
      </c>
      <c r="J1666">
        <f t="shared" si="715"/>
        <v>1</v>
      </c>
      <c r="K1666">
        <f t="shared" ca="1" si="720"/>
        <v>6.2007576614155964E-2</v>
      </c>
      <c r="L1666">
        <f t="shared" ca="1" si="716"/>
        <v>0.05</v>
      </c>
      <c r="M1666">
        <f t="shared" ca="1" si="695"/>
        <v>0.28490000000000004</v>
      </c>
      <c r="N1666">
        <f t="shared" ca="1" si="696"/>
        <v>4.9137633666781658E-2</v>
      </c>
      <c r="O1666">
        <f t="shared" ca="1" si="697"/>
        <v>0.21764681156249896</v>
      </c>
      <c r="P1666">
        <f t="shared" ca="1" si="698"/>
        <v>631.54999999999995</v>
      </c>
      <c r="Q1666">
        <f t="shared" ca="1" si="699"/>
        <v>631.55241437994812</v>
      </c>
      <c r="R1666">
        <f t="shared" ca="1" si="700"/>
        <v>5.9219965824078324E-4</v>
      </c>
      <c r="S1666">
        <f t="shared" ca="1" si="717"/>
        <v>-6.663281988039671E-4</v>
      </c>
      <c r="T1666">
        <f t="shared" ca="1" si="718"/>
        <v>1</v>
      </c>
      <c r="U1666">
        <f t="shared" ca="1" si="701"/>
        <v>2.9646431330991181</v>
      </c>
      <c r="V1666">
        <f t="shared" ca="1" si="702"/>
        <v>16.892536572398775</v>
      </c>
      <c r="W1666">
        <f t="shared" ca="1" si="703"/>
        <v>1.4528356992041371</v>
      </c>
      <c r="X1666">
        <f t="shared" ca="1" si="704"/>
        <v>3.6707084426546108E-3</v>
      </c>
      <c r="Y1666">
        <f t="shared" ca="1" si="705"/>
        <v>634.46464313309912</v>
      </c>
      <c r="Z1666">
        <f t="shared" ca="1" si="706"/>
        <v>634.46464381985243</v>
      </c>
      <c r="AA1666">
        <f t="shared" ca="1" si="707"/>
        <v>1.8424411680158765E-9</v>
      </c>
      <c r="AB1666">
        <f t="shared" ca="1" si="708"/>
        <v>2.406727617199067E-8</v>
      </c>
      <c r="AC1666">
        <f t="shared" ca="1" si="709"/>
        <v>1</v>
      </c>
      <c r="AD1666">
        <f ca="1">IF(V36="Supercritical",L1666,U1666)</f>
        <v>2.9646431330991181</v>
      </c>
      <c r="AE1666">
        <f t="shared" ca="1" si="710"/>
        <v>634.46464313309912</v>
      </c>
      <c r="AF1666">
        <f t="shared" ca="1" si="711"/>
        <v>634.46464381985243</v>
      </c>
      <c r="AI1666">
        <v>0</v>
      </c>
      <c r="AJ1666">
        <v>0</v>
      </c>
      <c r="AK1666">
        <f t="shared" si="712"/>
        <v>0</v>
      </c>
      <c r="AL1666">
        <f t="shared" si="719"/>
        <v>0</v>
      </c>
      <c r="AM1666">
        <f t="shared" ca="1" si="713"/>
        <v>6.8065834831260435E-4</v>
      </c>
      <c r="AN1666" t="str">
        <f t="shared" ca="1" si="714"/>
        <v>Subcritical</v>
      </c>
      <c r="AO1666">
        <f ca="1">IF(V36="Supercritical",R1666,AA1666)</f>
        <v>1.8424411680158765E-9</v>
      </c>
    </row>
    <row r="1667" spans="1:41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174</v>
      </c>
      <c r="I1667">
        <v>5.5E-2</v>
      </c>
      <c r="J1667">
        <f t="shared" si="715"/>
        <v>1.0009999999999977</v>
      </c>
      <c r="K1667">
        <f t="shared" ca="1" si="720"/>
        <v>6.4113231068746002E-2</v>
      </c>
      <c r="L1667">
        <f t="shared" ca="1" si="716"/>
        <v>0.05</v>
      </c>
      <c r="M1667">
        <f t="shared" ca="1" si="695"/>
        <v>0.29035000000000005</v>
      </c>
      <c r="N1667">
        <f t="shared" ca="1" si="696"/>
        <v>4.9153546639580166E-2</v>
      </c>
      <c r="O1667">
        <f t="shared" ca="1" si="697"/>
        <v>0.22081360795159632</v>
      </c>
      <c r="P1667">
        <f t="shared" ca="1" si="698"/>
        <v>631.54999999999995</v>
      </c>
      <c r="Q1667">
        <f t="shared" ca="1" si="699"/>
        <v>631.55248515032906</v>
      </c>
      <c r="R1667">
        <f t="shared" ca="1" si="700"/>
        <v>6.0929512952516722E-4</v>
      </c>
      <c r="S1667">
        <f t="shared" ca="1" si="717"/>
        <v>-6.794233656819415E-4</v>
      </c>
      <c r="T1667">
        <f t="shared" ca="1" si="718"/>
        <v>1</v>
      </c>
      <c r="U1667">
        <f t="shared" ca="1" si="701"/>
        <v>2.9590850923879333</v>
      </c>
      <c r="V1667">
        <f t="shared" ca="1" si="702"/>
        <v>17.183407131496729</v>
      </c>
      <c r="W1667">
        <f t="shared" ca="1" si="703"/>
        <v>1.4655145179733013</v>
      </c>
      <c r="X1667">
        <f t="shared" ca="1" si="704"/>
        <v>3.7311128449740421E-3</v>
      </c>
      <c r="Y1667">
        <f t="shared" ca="1" si="705"/>
        <v>634.45908509238791</v>
      </c>
      <c r="Z1667">
        <f t="shared" ca="1" si="706"/>
        <v>634.4590858019294</v>
      </c>
      <c r="AA1667">
        <f t="shared" ca="1" si="707"/>
        <v>1.8816511909612436E-9</v>
      </c>
      <c r="AB1667">
        <f t="shared" ca="1" si="708"/>
        <v>2.1834274166394607E-2</v>
      </c>
      <c r="AC1667">
        <f t="shared" ca="1" si="709"/>
        <v>0</v>
      </c>
      <c r="AD1667">
        <f ca="1">IF(V36="Supercritical",L1667,U1667)</f>
        <v>2.9590850923879333</v>
      </c>
      <c r="AE1667">
        <f t="shared" ca="1" si="710"/>
        <v>634.45908509238791</v>
      </c>
      <c r="AF1667">
        <f t="shared" ca="1" si="711"/>
        <v>634.4590858019294</v>
      </c>
      <c r="AI1667">
        <v>0</v>
      </c>
      <c r="AJ1667">
        <v>0</v>
      </c>
      <c r="AK1667">
        <f t="shared" si="712"/>
        <v>0</v>
      </c>
      <c r="AL1667">
        <f t="shared" si="719"/>
        <v>0</v>
      </c>
      <c r="AM1667">
        <f t="shared" ca="1" si="713"/>
        <v>6.9250857187009641E-4</v>
      </c>
      <c r="AN1667" t="str">
        <f t="shared" ca="1" si="714"/>
        <v>Subcritical</v>
      </c>
      <c r="AO1667">
        <f ca="1">IF(V36="Supercritical",R1667,AA1667)</f>
        <v>1.8816511909612436E-9</v>
      </c>
    </row>
    <row r="1668" spans="1:41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174</v>
      </c>
      <c r="I1668">
        <v>9.3789999999999996</v>
      </c>
      <c r="J1668">
        <f t="shared" si="715"/>
        <v>0.99900000000000233</v>
      </c>
      <c r="K1668">
        <f t="shared" ca="1" si="720"/>
        <v>6.5987913785001934E-2</v>
      </c>
      <c r="L1668">
        <f t="shared" ca="1" si="716"/>
        <v>0.05</v>
      </c>
      <c r="M1668">
        <f t="shared" ca="1" si="695"/>
        <v>0.29580000000000001</v>
      </c>
      <c r="N1668">
        <f t="shared" ca="1" si="696"/>
        <v>4.9168882978723405E-2</v>
      </c>
      <c r="O1668">
        <f t="shared" ca="1" si="697"/>
        <v>0.22308287283638245</v>
      </c>
      <c r="P1668">
        <f t="shared" ca="1" si="698"/>
        <v>631.54999999999995</v>
      </c>
      <c r="Q1668">
        <f t="shared" ca="1" si="699"/>
        <v>631.55253649175086</v>
      </c>
      <c r="R1668">
        <f t="shared" ca="1" si="700"/>
        <v>6.2162411314581854E-4</v>
      </c>
      <c r="S1668">
        <f t="shared" ca="1" si="717"/>
        <v>-7.109693192433042E-4</v>
      </c>
      <c r="T1668">
        <f t="shared" ca="1" si="718"/>
        <v>1</v>
      </c>
      <c r="U1668">
        <f t="shared" ca="1" si="701"/>
        <v>2.9252217477844615</v>
      </c>
      <c r="V1668">
        <f t="shared" ca="1" si="702"/>
        <v>17.305611859892874</v>
      </c>
      <c r="W1668">
        <f t="shared" ca="1" si="703"/>
        <v>1.4707597811020741</v>
      </c>
      <c r="X1668">
        <f t="shared" ca="1" si="704"/>
        <v>3.8130933664318536E-3</v>
      </c>
      <c r="Y1668">
        <f t="shared" ca="1" si="705"/>
        <v>634.42522174778446</v>
      </c>
      <c r="Z1668">
        <f t="shared" ca="1" si="706"/>
        <v>634.4252224888487</v>
      </c>
      <c r="AA1668">
        <f t="shared" ca="1" si="707"/>
        <v>1.9559079108956949E-9</v>
      </c>
      <c r="AB1668">
        <f t="shared" ca="1" si="708"/>
        <v>8.1931716522376519E-8</v>
      </c>
      <c r="AC1668">
        <f t="shared" ca="1" si="709"/>
        <v>1</v>
      </c>
      <c r="AD1668">
        <f ca="1">IF(V36="Supercritical",L1668,U1668)</f>
        <v>2.9252217477844615</v>
      </c>
      <c r="AE1668">
        <f t="shared" ca="1" si="710"/>
        <v>634.42522174778446</v>
      </c>
      <c r="AF1668">
        <f t="shared" ca="1" si="711"/>
        <v>634.4252224888487</v>
      </c>
      <c r="AI1668">
        <v>0</v>
      </c>
      <c r="AJ1668">
        <v>0</v>
      </c>
      <c r="AK1668">
        <f t="shared" si="712"/>
        <v>0</v>
      </c>
      <c r="AL1668">
        <f t="shared" si="719"/>
        <v>0</v>
      </c>
      <c r="AM1668">
        <f t="shared" ca="1" si="713"/>
        <v>7.1180910506807272E-4</v>
      </c>
      <c r="AN1668" t="str">
        <f t="shared" ca="1" si="714"/>
        <v>Subcritical</v>
      </c>
      <c r="AO1668">
        <f ca="1">IF(V36="Supercritical",R1668,AA1668)</f>
        <v>1.9559079108956949E-9</v>
      </c>
    </row>
    <row r="1669" spans="1:41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174</v>
      </c>
      <c r="I1669">
        <v>24.236999999999998</v>
      </c>
      <c r="J1669">
        <f t="shared" si="715"/>
        <v>0.96600000000000108</v>
      </c>
      <c r="K1669">
        <f t="shared" ca="1" si="720"/>
        <v>6.7821991786769148E-2</v>
      </c>
      <c r="L1669">
        <f t="shared" ca="1" si="716"/>
        <v>0.05</v>
      </c>
      <c r="M1669">
        <f t="shared" ca="1" si="695"/>
        <v>0.29540000000000005</v>
      </c>
      <c r="N1669">
        <f t="shared" ca="1" si="696"/>
        <v>4.9167776298268982E-2</v>
      </c>
      <c r="O1669">
        <f t="shared" ca="1" si="697"/>
        <v>0.22959374335399166</v>
      </c>
      <c r="P1669">
        <f t="shared" ca="1" si="698"/>
        <v>631.54999999999995</v>
      </c>
      <c r="Q1669">
        <f t="shared" ca="1" si="699"/>
        <v>631.55268671187491</v>
      </c>
      <c r="R1669">
        <f t="shared" ca="1" si="700"/>
        <v>6.5845867949948403E-4</v>
      </c>
      <c r="S1669">
        <f t="shared" ca="1" si="717"/>
        <v>-8.9205185156515654E-4</v>
      </c>
      <c r="T1669">
        <f t="shared" ca="1" si="718"/>
        <v>1</v>
      </c>
      <c r="U1669">
        <f t="shared" ca="1" si="701"/>
        <v>2.9784536585175649</v>
      </c>
      <c r="V1669">
        <f t="shared" ca="1" si="702"/>
        <v>17.596704214521775</v>
      </c>
      <c r="W1669">
        <f t="shared" ca="1" si="703"/>
        <v>1.4830882150471734</v>
      </c>
      <c r="X1669">
        <f t="shared" ca="1" si="704"/>
        <v>3.8542440084205474E-3</v>
      </c>
      <c r="Y1669">
        <f t="shared" ca="1" si="705"/>
        <v>634.47845365851754</v>
      </c>
      <c r="Z1669">
        <f t="shared" ca="1" si="706"/>
        <v>634.47845441566312</v>
      </c>
      <c r="AA1669">
        <f t="shared" ca="1" si="707"/>
        <v>1.9762336267481563E-9</v>
      </c>
      <c r="AB1669">
        <f t="shared" ca="1" si="708"/>
        <v>-0.37999968563838138</v>
      </c>
      <c r="AC1669">
        <f t="shared" ca="1" si="709"/>
        <v>0</v>
      </c>
      <c r="AD1669">
        <f ca="1">IF(V36="Supercritical",L1669,U1669)</f>
        <v>2.9784536585175649</v>
      </c>
      <c r="AE1669">
        <f t="shared" ca="1" si="710"/>
        <v>634.47845365851754</v>
      </c>
      <c r="AF1669">
        <f t="shared" ca="1" si="711"/>
        <v>634.47845441566312</v>
      </c>
      <c r="AI1669">
        <v>0</v>
      </c>
      <c r="AJ1669">
        <v>0</v>
      </c>
      <c r="AK1669">
        <f t="shared" si="712"/>
        <v>0</v>
      </c>
      <c r="AL1669">
        <f t="shared" si="719"/>
        <v>0</v>
      </c>
      <c r="AM1669">
        <f t="shared" ca="1" si="713"/>
        <v>7.1303242309132158E-4</v>
      </c>
      <c r="AN1669" t="str">
        <f t="shared" ca="1" si="714"/>
        <v>Subcritical</v>
      </c>
      <c r="AO1669">
        <f ca="1">IF(V36="Supercritical",R1669,AA1669)</f>
        <v>1.9762336267481563E-9</v>
      </c>
    </row>
    <row r="1670" spans="1:41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174</v>
      </c>
      <c r="I1670">
        <v>1.9E-2</v>
      </c>
      <c r="J1670">
        <f t="shared" si="715"/>
        <v>0.99899999999999878</v>
      </c>
      <c r="K1670">
        <f t="shared" ca="1" si="720"/>
        <v>6.9431661608413575E-2</v>
      </c>
      <c r="L1670">
        <f t="shared" ca="1" si="716"/>
        <v>0.43058095299762733</v>
      </c>
      <c r="M1670">
        <f t="shared" ca="1" si="695"/>
        <v>2.2213671365147594</v>
      </c>
      <c r="N1670">
        <f t="shared" ca="1" si="696"/>
        <v>0.3689879393945506</v>
      </c>
      <c r="O1670">
        <f t="shared" ca="1" si="697"/>
        <v>3.1256274781011305E-2</v>
      </c>
      <c r="P1670">
        <f t="shared" ca="1" si="698"/>
        <v>631.55058095299762</v>
      </c>
      <c r="Q1670">
        <f t="shared" ca="1" si="699"/>
        <v>631.55063074681584</v>
      </c>
      <c r="R1670">
        <f t="shared" ca="1" si="700"/>
        <v>8.3056582161337598E-7</v>
      </c>
      <c r="S1670">
        <f t="shared" ca="1" si="717"/>
        <v>9.3548958489009237E-4</v>
      </c>
      <c r="T1670">
        <f t="shared" ca="1" si="718"/>
        <v>1</v>
      </c>
      <c r="U1670">
        <f t="shared" ca="1" si="701"/>
        <v>2.9228721782773666</v>
      </c>
      <c r="V1670">
        <f t="shared" ca="1" si="702"/>
        <v>15.079097567732934</v>
      </c>
      <c r="W1670">
        <f t="shared" ca="1" si="703"/>
        <v>1.3702360617538019</v>
      </c>
      <c r="X1670">
        <f t="shared" ca="1" si="704"/>
        <v>4.6044971389393478E-3</v>
      </c>
      <c r="Y1670">
        <f t="shared" ca="1" si="705"/>
        <v>634.04287217827732</v>
      </c>
      <c r="Z1670">
        <f t="shared" ca="1" si="706"/>
        <v>634.04287325887844</v>
      </c>
      <c r="AA1670">
        <f t="shared" ca="1" si="707"/>
        <v>3.1343903069466566E-9</v>
      </c>
      <c r="AB1670">
        <f t="shared" ca="1" si="708"/>
        <v>-0.37999978724656103</v>
      </c>
      <c r="AC1670">
        <f t="shared" ca="1" si="709"/>
        <v>0</v>
      </c>
      <c r="AD1670">
        <f ca="1">IF(V36="Supercritical",L1670,U1670)</f>
        <v>2.9228721782773666</v>
      </c>
      <c r="AE1670">
        <f t="shared" ca="1" si="710"/>
        <v>634.04287217827732</v>
      </c>
      <c r="AF1670">
        <f t="shared" ca="1" si="711"/>
        <v>634.04287325887844</v>
      </c>
      <c r="AI1670">
        <v>0</v>
      </c>
      <c r="AJ1670">
        <v>0</v>
      </c>
      <c r="AK1670">
        <f t="shared" si="712"/>
        <v>0</v>
      </c>
      <c r="AL1670">
        <f t="shared" si="719"/>
        <v>0</v>
      </c>
      <c r="AM1670">
        <f t="shared" ca="1" si="713"/>
        <v>8.5988978945739916E-4</v>
      </c>
      <c r="AN1670" t="str">
        <f t="shared" ca="1" si="714"/>
        <v>Subcritical</v>
      </c>
      <c r="AO1670">
        <f ca="1">IF(V36="Supercritical",R1670,AA1670)</f>
        <v>3.1343903069466566E-9</v>
      </c>
    </row>
    <row r="1671" spans="1:41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174</v>
      </c>
      <c r="I1671">
        <v>4.9000000000000002E-2</v>
      </c>
      <c r="J1671">
        <f t="shared" si="715"/>
        <v>1.0010000000000012</v>
      </c>
      <c r="K1671">
        <f t="shared" ca="1" si="720"/>
        <v>7.0826869174855783E-2</v>
      </c>
      <c r="L1671">
        <f t="shared" ca="1" si="716"/>
        <v>0.80967343591948415</v>
      </c>
      <c r="M1671">
        <f t="shared" ca="1" si="695"/>
        <v>3.9293451845172562</v>
      </c>
      <c r="N1671">
        <f t="shared" ca="1" si="696"/>
        <v>0.60709743502990332</v>
      </c>
      <c r="O1671">
        <f t="shared" ca="1" si="697"/>
        <v>1.8025107454019033E-2</v>
      </c>
      <c r="P1671">
        <f t="shared" ca="1" si="698"/>
        <v>631.54967343591954</v>
      </c>
      <c r="Q1671">
        <f t="shared" ca="1" si="699"/>
        <v>631.54968999578182</v>
      </c>
      <c r="R1671">
        <f t="shared" ca="1" si="700"/>
        <v>1.4220898789497234E-7</v>
      </c>
      <c r="S1671">
        <f t="shared" ca="1" si="717"/>
        <v>9.3028990693255764E-4</v>
      </c>
      <c r="T1671">
        <f t="shared" ca="1" si="718"/>
        <v>1</v>
      </c>
      <c r="U1671">
        <f t="shared" ca="1" si="701"/>
        <v>2.9760074986283644</v>
      </c>
      <c r="V1671">
        <f t="shared" ca="1" si="702"/>
        <v>14.442564390843453</v>
      </c>
      <c r="W1671">
        <f t="shared" ca="1" si="703"/>
        <v>1.3366538033043227</v>
      </c>
      <c r="X1671">
        <f t="shared" ca="1" si="704"/>
        <v>4.9040369326488744E-3</v>
      </c>
      <c r="Y1671">
        <f t="shared" ca="1" si="705"/>
        <v>633.71600749862841</v>
      </c>
      <c r="Z1671">
        <f t="shared" ca="1" si="706"/>
        <v>633.71600872439694</v>
      </c>
      <c r="AA1671">
        <f t="shared" ca="1" si="707"/>
        <v>3.6750625165771233E-9</v>
      </c>
      <c r="AB1671">
        <f t="shared" ca="1" si="708"/>
        <v>-0.37999980133815825</v>
      </c>
      <c r="AC1671">
        <f t="shared" ca="1" si="709"/>
        <v>0</v>
      </c>
      <c r="AD1671">
        <f ca="1">IF(V36="Supercritical",L1671,U1671)</f>
        <v>2.9760074986283644</v>
      </c>
      <c r="AE1671">
        <f t="shared" ca="1" si="710"/>
        <v>633.71600749862841</v>
      </c>
      <c r="AF1671">
        <f t="shared" ca="1" si="711"/>
        <v>633.71600872439694</v>
      </c>
      <c r="AI1671">
        <v>0</v>
      </c>
      <c r="AJ1671">
        <v>0</v>
      </c>
      <c r="AK1671">
        <f t="shared" si="712"/>
        <v>0</v>
      </c>
      <c r="AL1671">
        <f t="shared" si="719"/>
        <v>0</v>
      </c>
      <c r="AM1671">
        <f t="shared" ca="1" si="713"/>
        <v>9.0761615604709384E-4</v>
      </c>
      <c r="AN1671" t="str">
        <f t="shared" ca="1" si="714"/>
        <v>Subcritical</v>
      </c>
      <c r="AO1671">
        <f ca="1">IF(V36="Supercritical",R1671,AA1671)</f>
        <v>3.6750625165771233E-9</v>
      </c>
    </row>
    <row r="1672" spans="1:41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174</v>
      </c>
      <c r="I1672">
        <v>0.03</v>
      </c>
      <c r="J1672">
        <f t="shared" si="715"/>
        <v>1</v>
      </c>
      <c r="K1672">
        <f t="shared" ca="1" si="720"/>
        <v>7.2018122295730291E-2</v>
      </c>
      <c r="L1672">
        <f t="shared" ca="1" si="716"/>
        <v>1.1887486549933555</v>
      </c>
      <c r="M1672">
        <f t="shared" ca="1" si="695"/>
        <v>5.4836975454843495</v>
      </c>
      <c r="N1672">
        <f t="shared" ca="1" si="696"/>
        <v>0.78445027618425245</v>
      </c>
      <c r="O1672">
        <f t="shared" ca="1" si="697"/>
        <v>1.3133131741562757E-2</v>
      </c>
      <c r="P1672">
        <f t="shared" ca="1" si="698"/>
        <v>631.54874865499335</v>
      </c>
      <c r="Q1672">
        <f t="shared" ca="1" si="699"/>
        <v>631.5487574459795</v>
      </c>
      <c r="R1672">
        <f t="shared" ca="1" si="700"/>
        <v>5.3641209207436358E-8</v>
      </c>
      <c r="S1672">
        <f t="shared" ca="1" si="717"/>
        <v>9.3012038644246786E-4</v>
      </c>
      <c r="T1672">
        <f t="shared" ca="1" si="718"/>
        <v>1</v>
      </c>
      <c r="U1672">
        <f t="shared" ca="1" si="701"/>
        <v>2.9205405963457496</v>
      </c>
      <c r="V1672">
        <f t="shared" ca="1" si="702"/>
        <v>13.472453770942945</v>
      </c>
      <c r="W1672">
        <f t="shared" ca="1" si="703"/>
        <v>1.2887267204660322</v>
      </c>
      <c r="X1672">
        <f t="shared" ca="1" si="704"/>
        <v>5.3455831818148229E-3</v>
      </c>
      <c r="Y1672">
        <f t="shared" ca="1" si="705"/>
        <v>633.28054059634576</v>
      </c>
      <c r="Z1672">
        <f t="shared" ca="1" si="706"/>
        <v>633.28054205278102</v>
      </c>
      <c r="AA1672">
        <f t="shared" ca="1" si="707"/>
        <v>4.5844959238720966E-9</v>
      </c>
      <c r="AB1672">
        <f t="shared" ca="1" si="708"/>
        <v>-0.37999976532421442</v>
      </c>
      <c r="AC1672">
        <f t="shared" ca="1" si="709"/>
        <v>0</v>
      </c>
      <c r="AD1672">
        <f ca="1">IF(V36="Supercritical",L1672,U1672)</f>
        <v>2.9205405963457496</v>
      </c>
      <c r="AE1672">
        <f t="shared" ca="1" si="710"/>
        <v>633.28054059634576</v>
      </c>
      <c r="AF1672">
        <f t="shared" ca="1" si="711"/>
        <v>633.28054205278102</v>
      </c>
      <c r="AI1672">
        <v>0</v>
      </c>
      <c r="AJ1672">
        <v>0</v>
      </c>
      <c r="AK1672">
        <f t="shared" si="712"/>
        <v>0</v>
      </c>
      <c r="AL1672">
        <f t="shared" si="719"/>
        <v>0</v>
      </c>
      <c r="AM1672">
        <f t="shared" ca="1" si="713"/>
        <v>9.9868600626024139E-4</v>
      </c>
      <c r="AN1672" t="str">
        <f t="shared" ca="1" si="714"/>
        <v>Subcritical</v>
      </c>
      <c r="AO1672">
        <f ca="1">IF(V36="Supercritical",R1672,AA1672)</f>
        <v>4.5844959238720966E-9</v>
      </c>
    </row>
    <row r="1673" spans="1:41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174</v>
      </c>
      <c r="I1673">
        <v>1.9E-2</v>
      </c>
      <c r="J1673">
        <f t="shared" si="715"/>
        <v>0.99899999999999878</v>
      </c>
      <c r="K1673">
        <f t="shared" ca="1" si="720"/>
        <v>7.3016459127565464E-2</v>
      </c>
      <c r="L1673">
        <f t="shared" ca="1" si="716"/>
        <v>1.5678206418748235</v>
      </c>
      <c r="M1673">
        <f t="shared" ca="1" si="695"/>
        <v>6.8576474875604774</v>
      </c>
      <c r="N1673">
        <f t="shared" ca="1" si="696"/>
        <v>0.91317910249587564</v>
      </c>
      <c r="O1673">
        <f t="shared" ca="1" si="697"/>
        <v>1.064745005630789E-2</v>
      </c>
      <c r="P1673">
        <f t="shared" ca="1" si="698"/>
        <v>631.54782064187486</v>
      </c>
      <c r="Q1673">
        <f t="shared" ca="1" si="699"/>
        <v>631.54782642007024</v>
      </c>
      <c r="R1673">
        <f t="shared" ca="1" si="700"/>
        <v>2.8791599255541977E-8</v>
      </c>
      <c r="S1673">
        <f t="shared" ca="1" si="717"/>
        <v>9.3008061844557233E-4</v>
      </c>
      <c r="T1673">
        <f t="shared" ca="1" si="718"/>
        <v>1</v>
      </c>
      <c r="U1673">
        <f t="shared" ca="1" si="701"/>
        <v>2.9735806762407822</v>
      </c>
      <c r="V1673">
        <f t="shared" ca="1" si="702"/>
        <v>13.00644187787718</v>
      </c>
      <c r="W1673">
        <f t="shared" ca="1" si="703"/>
        <v>1.2601723230254491</v>
      </c>
      <c r="X1673">
        <f t="shared" ca="1" si="704"/>
        <v>5.6138688669158682E-3</v>
      </c>
      <c r="Y1673">
        <f t="shared" ca="1" si="705"/>
        <v>632.95358067624079</v>
      </c>
      <c r="Z1673">
        <f t="shared" ca="1" si="706"/>
        <v>632.95358228253656</v>
      </c>
      <c r="AA1673">
        <f t="shared" ca="1" si="707"/>
        <v>5.2095530278165609E-9</v>
      </c>
      <c r="AB1673">
        <f t="shared" ca="1" si="708"/>
        <v>-0.3799997384917333</v>
      </c>
      <c r="AC1673">
        <f t="shared" ca="1" si="709"/>
        <v>0</v>
      </c>
      <c r="AD1673">
        <f ca="1">IF(V36="Supercritical",L1673,U1673)</f>
        <v>2.9735806762407822</v>
      </c>
      <c r="AE1673">
        <f t="shared" ca="1" si="710"/>
        <v>632.95358067624079</v>
      </c>
      <c r="AF1673">
        <f t="shared" ca="1" si="711"/>
        <v>632.95358228253656</v>
      </c>
      <c r="AI1673">
        <v>0</v>
      </c>
      <c r="AJ1673">
        <v>0</v>
      </c>
      <c r="AK1673">
        <f t="shared" si="712"/>
        <v>0</v>
      </c>
      <c r="AL1673">
        <f t="shared" si="719"/>
        <v>0</v>
      </c>
      <c r="AM1673">
        <f t="shared" ca="1" si="713"/>
        <v>1.0394124087318816E-3</v>
      </c>
      <c r="AN1673" t="str">
        <f t="shared" ca="1" si="714"/>
        <v>Subcritical</v>
      </c>
      <c r="AO1673">
        <f ca="1">IF(V36="Supercritical",R1673,AA1673)</f>
        <v>5.2095530278165609E-9</v>
      </c>
    </row>
    <row r="1674" spans="1:41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174</v>
      </c>
      <c r="I1674">
        <v>4.9000000000000002E-2</v>
      </c>
      <c r="J1674">
        <f t="shared" si="715"/>
        <v>1.0010000000000012</v>
      </c>
      <c r="K1674">
        <f t="shared" ca="1" si="720"/>
        <v>7.3833559817125388E-2</v>
      </c>
      <c r="L1674">
        <f t="shared" ca="1" si="716"/>
        <v>1.9468915938975735</v>
      </c>
      <c r="M1674">
        <f t="shared" ca="1" si="695"/>
        <v>8.0484498491725702</v>
      </c>
      <c r="N1674">
        <f t="shared" ca="1" si="696"/>
        <v>1.0025743920698857</v>
      </c>
      <c r="O1674">
        <f t="shared" ca="1" si="697"/>
        <v>9.1736373091417019E-3</v>
      </c>
      <c r="P1674">
        <f t="shared" ca="1" si="698"/>
        <v>631.54689159389761</v>
      </c>
      <c r="Q1674">
        <f t="shared" ca="1" si="699"/>
        <v>631.54689588317501</v>
      </c>
      <c r="R1674">
        <f t="shared" ca="1" si="700"/>
        <v>1.8870214616046823E-8</v>
      </c>
      <c r="S1674">
        <f t="shared" ca="1" si="717"/>
        <v>9.3006589327160327E-4</v>
      </c>
      <c r="T1674">
        <f t="shared" ca="1" si="718"/>
        <v>1</v>
      </c>
      <c r="U1674">
        <f t="shared" ca="1" si="701"/>
        <v>2.9182268306884382</v>
      </c>
      <c r="V1674">
        <f t="shared" ca="1" si="702"/>
        <v>12.063949718066004</v>
      </c>
      <c r="W1674">
        <f t="shared" ca="1" si="703"/>
        <v>1.2099699901117664</v>
      </c>
      <c r="X1674">
        <f t="shared" ca="1" si="704"/>
        <v>6.1201813288858592E-3</v>
      </c>
      <c r="Y1674">
        <f t="shared" ca="1" si="705"/>
        <v>632.51822683068849</v>
      </c>
      <c r="Z1674">
        <f t="shared" ca="1" si="706"/>
        <v>632.51822873979245</v>
      </c>
      <c r="AA1674">
        <f t="shared" ca="1" si="707"/>
        <v>6.5364954823532296E-9</v>
      </c>
      <c r="AB1674">
        <f t="shared" ca="1" si="708"/>
        <v>-0.37999968392000483</v>
      </c>
      <c r="AC1674">
        <f t="shared" ca="1" si="709"/>
        <v>0</v>
      </c>
      <c r="AD1674">
        <f ca="1">IF(V36="Supercritical",L1674,U1674)</f>
        <v>2.9182268306884382</v>
      </c>
      <c r="AE1674">
        <f t="shared" ca="1" si="710"/>
        <v>632.51822683068849</v>
      </c>
      <c r="AF1674">
        <f t="shared" ca="1" si="711"/>
        <v>632.51822873979245</v>
      </c>
      <c r="AI1674">
        <v>0</v>
      </c>
      <c r="AJ1674">
        <v>0</v>
      </c>
      <c r="AK1674">
        <f t="shared" si="712"/>
        <v>0</v>
      </c>
      <c r="AL1674">
        <f t="shared" si="719"/>
        <v>0</v>
      </c>
      <c r="AM1674">
        <f t="shared" ca="1" si="713"/>
        <v>1.1438531246448578E-3</v>
      </c>
      <c r="AN1674" t="str">
        <f t="shared" ca="1" si="714"/>
        <v>Subcritical</v>
      </c>
      <c r="AO1674">
        <f ca="1">IF(V36="Supercritical",R1674,AA1674)</f>
        <v>6.5364954823532296E-9</v>
      </c>
    </row>
    <row r="1675" spans="1:41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174</v>
      </c>
      <c r="I1675">
        <v>7.9000000000000001E-2</v>
      </c>
      <c r="J1675">
        <f t="shared" si="715"/>
        <v>1</v>
      </c>
      <c r="K1675">
        <f t="shared" ca="1" si="720"/>
        <v>7.4481979025387321E-2</v>
      </c>
      <c r="L1675">
        <f t="shared" ca="1" si="716"/>
        <v>2.3259621076000769</v>
      </c>
      <c r="M1675">
        <f t="shared" ca="1" si="695"/>
        <v>9.0572964469946999</v>
      </c>
      <c r="N1675">
        <f t="shared" ca="1" si="696"/>
        <v>1.0598381425949224</v>
      </c>
      <c r="O1675">
        <f t="shared" ca="1" si="697"/>
        <v>8.2234229012235951E-3</v>
      </c>
      <c r="P1675">
        <f t="shared" ca="1" si="698"/>
        <v>631.54596210760008</v>
      </c>
      <c r="Q1675">
        <f t="shared" ca="1" si="699"/>
        <v>631.54596555432204</v>
      </c>
      <c r="R1675">
        <f t="shared" ca="1" si="700"/>
        <v>1.4081050016114711E-8</v>
      </c>
      <c r="S1675">
        <f t="shared" ca="1" si="717"/>
        <v>9.3005904602705414E-4</v>
      </c>
      <c r="T1675">
        <f t="shared" ca="1" si="718"/>
        <v>1</v>
      </c>
      <c r="U1675">
        <f t="shared" ca="1" si="701"/>
        <v>2.9711730009701327</v>
      </c>
      <c r="V1675">
        <f t="shared" ca="1" si="702"/>
        <v>11.569747665777697</v>
      </c>
      <c r="W1675">
        <f t="shared" ca="1" si="703"/>
        <v>1.1762241449716704</v>
      </c>
      <c r="X1675">
        <f t="shared" ca="1" si="704"/>
        <v>6.4376493919308638E-3</v>
      </c>
      <c r="Y1675">
        <f t="shared" ca="1" si="705"/>
        <v>632.19117300097014</v>
      </c>
      <c r="Z1675">
        <f t="shared" ca="1" si="706"/>
        <v>632.19117511327033</v>
      </c>
      <c r="AA1675">
        <f t="shared" ca="1" si="707"/>
        <v>7.5101804489981548E-9</v>
      </c>
      <c r="AB1675">
        <f t="shared" ca="1" si="708"/>
        <v>0.82381678064780317</v>
      </c>
      <c r="AC1675">
        <f t="shared" ca="1" si="709"/>
        <v>0</v>
      </c>
      <c r="AD1675">
        <f ca="1">IF(V36="Supercritical",L1675,U1675)</f>
        <v>2.9711730009701327</v>
      </c>
      <c r="AE1675">
        <f t="shared" ca="1" si="710"/>
        <v>632.19117300097014</v>
      </c>
      <c r="AF1675">
        <f t="shared" ca="1" si="711"/>
        <v>632.19117511327033</v>
      </c>
      <c r="AI1675">
        <v>0</v>
      </c>
      <c r="AJ1675">
        <v>0</v>
      </c>
      <c r="AK1675">
        <f t="shared" si="712"/>
        <v>0</v>
      </c>
      <c r="AL1675">
        <f t="shared" si="719"/>
        <v>0</v>
      </c>
      <c r="AM1675">
        <f t="shared" ca="1" si="713"/>
        <v>1.1924188881133947E-3</v>
      </c>
      <c r="AN1675" t="str">
        <f t="shared" ca="1" si="714"/>
        <v>Subcritical</v>
      </c>
      <c r="AO1675">
        <f ca="1">IF(V36="Supercritical",R1675,AA1675)</f>
        <v>7.5101804489981548E-9</v>
      </c>
    </row>
    <row r="1676" spans="1:41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174</v>
      </c>
      <c r="I1676">
        <v>0.41299999999999998</v>
      </c>
      <c r="J1676">
        <f t="shared" si="715"/>
        <v>0.99899999999999878</v>
      </c>
      <c r="K1676">
        <f ca="1">K1675+(AK1642)</f>
        <v>51.074481979025386</v>
      </c>
      <c r="L1676">
        <f t="shared" ca="1" si="716"/>
        <v>2.8825398400527296</v>
      </c>
      <c r="M1676">
        <f t="shared" ca="1" si="695"/>
        <v>10.705752965955838</v>
      </c>
      <c r="N1676">
        <f t="shared" ca="1" si="696"/>
        <v>1.1294084792245076</v>
      </c>
      <c r="O1676">
        <f t="shared" ca="1" si="697"/>
        <v>4.7707510290440664</v>
      </c>
      <c r="P1676">
        <f t="shared" ca="1" si="698"/>
        <v>631.72253984005272</v>
      </c>
      <c r="Q1676">
        <f t="shared" ca="1" si="699"/>
        <v>632.88258394714364</v>
      </c>
      <c r="R1676">
        <f t="shared" ca="1" si="700"/>
        <v>4.3539953892285394E-3</v>
      </c>
      <c r="S1676">
        <f t="shared" ca="1" si="717"/>
        <v>-1.4555957836159905</v>
      </c>
      <c r="T1676">
        <f t="shared" ca="1" si="718"/>
        <v>0</v>
      </c>
      <c r="U1676">
        <f t="shared" ca="1" si="701"/>
        <v>2.915930712392945</v>
      </c>
      <c r="V1676">
        <f t="shared" ca="1" si="702"/>
        <v>10.829766665827398</v>
      </c>
      <c r="W1676">
        <f t="shared" ca="1" si="703"/>
        <v>1.134498625520358</v>
      </c>
      <c r="X1676">
        <f t="shared" ca="1" si="704"/>
        <v>4.7161202595608538</v>
      </c>
      <c r="Y1676">
        <f t="shared" ca="1" si="705"/>
        <v>631.75593071239302</v>
      </c>
      <c r="Z1676">
        <f t="shared" ca="1" si="706"/>
        <v>632.88955916818509</v>
      </c>
      <c r="AA1676">
        <f t="shared" ca="1" si="707"/>
        <v>4.229414935226614E-3</v>
      </c>
      <c r="AB1676">
        <f t="shared" ca="1" si="708"/>
        <v>-0.40910630887083244</v>
      </c>
      <c r="AC1676">
        <f t="shared" ca="1" si="709"/>
        <v>0</v>
      </c>
      <c r="AD1676">
        <f ca="1">IF(V36="Supercritical",L1676,U1676)</f>
        <v>2.915930712392945</v>
      </c>
      <c r="AE1676">
        <f t="shared" ca="1" si="710"/>
        <v>631.75593071239302</v>
      </c>
      <c r="AF1676">
        <f t="shared" ca="1" si="711"/>
        <v>632.88955916818509</v>
      </c>
      <c r="AI1676">
        <v>0</v>
      </c>
      <c r="AJ1676">
        <v>0</v>
      </c>
      <c r="AK1676">
        <f t="shared" si="712"/>
        <v>0</v>
      </c>
      <c r="AL1676">
        <f t="shared" si="719"/>
        <v>0</v>
      </c>
      <c r="AM1676">
        <f t="shared" ca="1" si="713"/>
        <v>0.88178309218467432</v>
      </c>
      <c r="AN1676" t="str">
        <f t="shared" ca="1" si="714"/>
        <v>Subcritical</v>
      </c>
      <c r="AO1676">
        <f ca="1">IF(V36="Supercritical",R1676,AA1676)</f>
        <v>4.229414935226614E-3</v>
      </c>
    </row>
    <row r="1677" spans="1:41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174</v>
      </c>
      <c r="I1677">
        <v>6.0519999999999996</v>
      </c>
      <c r="J1677">
        <f t="shared" si="715"/>
        <v>1</v>
      </c>
      <c r="K1677">
        <f t="shared" ref="K1677:K1694" ca="1" si="721">K1676+0</f>
        <v>51.074481979025386</v>
      </c>
      <c r="L1677">
        <f t="shared" ca="1" si="716"/>
        <v>2.8825398400527296</v>
      </c>
      <c r="M1677">
        <f t="shared" ca="1" si="695"/>
        <v>11.019949808521584</v>
      </c>
      <c r="N1677">
        <f t="shared" ca="1" si="696"/>
        <v>1.1493385720799909</v>
      </c>
      <c r="O1677">
        <f t="shared" ca="1" si="697"/>
        <v>4.6347290928249194</v>
      </c>
      <c r="P1677">
        <f t="shared" ca="1" si="698"/>
        <v>631.34253984005272</v>
      </c>
      <c r="Q1677">
        <f t="shared" ca="1" si="699"/>
        <v>632.43737744269686</v>
      </c>
      <c r="R1677">
        <f t="shared" ca="1" si="700"/>
        <v>4.0145226898956349E-3</v>
      </c>
      <c r="S1677">
        <f t="shared" ca="1" si="717"/>
        <v>0.40975931584625869</v>
      </c>
      <c r="T1677">
        <f t="shared" ca="1" si="718"/>
        <v>0</v>
      </c>
      <c r="U1677">
        <f t="shared" ca="1" si="701"/>
        <v>2.9687842851208739</v>
      </c>
      <c r="V1677">
        <f t="shared" ca="1" si="702"/>
        <v>11.349662322017101</v>
      </c>
      <c r="W1677">
        <f t="shared" ca="1" si="703"/>
        <v>1.1628074983889995</v>
      </c>
      <c r="X1677">
        <f t="shared" ca="1" si="704"/>
        <v>4.5000882431494444</v>
      </c>
      <c r="Y1677">
        <f t="shared" ca="1" si="705"/>
        <v>631.42878428512086</v>
      </c>
      <c r="Z1677">
        <f t="shared" ca="1" si="706"/>
        <v>632.46093485576978</v>
      </c>
      <c r="AA1677">
        <f t="shared" ca="1" si="707"/>
        <v>3.7263257128208852E-3</v>
      </c>
      <c r="AB1677">
        <f t="shared" ca="1" si="708"/>
        <v>-0.41407777992151296</v>
      </c>
      <c r="AC1677">
        <f t="shared" ca="1" si="709"/>
        <v>0</v>
      </c>
      <c r="AD1677">
        <f ca="1">IF(V36="Supercritical",L1677,U1677)</f>
        <v>2.9687842851208739</v>
      </c>
      <c r="AE1677">
        <f t="shared" ca="1" si="710"/>
        <v>631.42878428512086</v>
      </c>
      <c r="AF1677">
        <f t="shared" ca="1" si="711"/>
        <v>632.46093485576978</v>
      </c>
      <c r="AI1677">
        <v>0</v>
      </c>
      <c r="AJ1677">
        <v>0</v>
      </c>
      <c r="AK1677">
        <f t="shared" si="712"/>
        <v>0</v>
      </c>
      <c r="AL1677">
        <f t="shared" si="719"/>
        <v>0</v>
      </c>
      <c r="AM1677">
        <f t="shared" ca="1" si="713"/>
        <v>0.83386780255022508</v>
      </c>
      <c r="AN1677" t="str">
        <f t="shared" ca="1" si="714"/>
        <v>Subcritical</v>
      </c>
      <c r="AO1677">
        <f ca="1">IF(V36="Supercritical",R1677,AA1677)</f>
        <v>3.7263257128208852E-3</v>
      </c>
    </row>
    <row r="1678" spans="1:41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174</v>
      </c>
      <c r="I1678">
        <v>5.1999999999999998E-2</v>
      </c>
      <c r="J1678">
        <f t="shared" si="715"/>
        <v>1.0010000000000012</v>
      </c>
      <c r="K1678">
        <f t="shared" ca="1" si="721"/>
        <v>51.074481979025386</v>
      </c>
      <c r="L1678">
        <f t="shared" ca="1" si="716"/>
        <v>2.8825398400527296</v>
      </c>
      <c r="M1678">
        <f t="shared" ca="1" si="695"/>
        <v>11.31973395188707</v>
      </c>
      <c r="N1678">
        <f t="shared" ca="1" si="696"/>
        <v>1.1679365343149861</v>
      </c>
      <c r="O1678">
        <f t="shared" ca="1" si="697"/>
        <v>4.511986076361004</v>
      </c>
      <c r="P1678">
        <f t="shared" ca="1" si="698"/>
        <v>630.96253984005273</v>
      </c>
      <c r="Q1678">
        <f t="shared" ca="1" si="699"/>
        <v>632.00015545438885</v>
      </c>
      <c r="R1678">
        <f t="shared" ca="1" si="700"/>
        <v>3.7241373903389224E-3</v>
      </c>
      <c r="S1678">
        <f t="shared" ca="1" si="717"/>
        <v>0.41608730652001213</v>
      </c>
      <c r="T1678">
        <f t="shared" ca="1" si="718"/>
        <v>0</v>
      </c>
      <c r="U1678">
        <f t="shared" ca="1" si="701"/>
        <v>2.9136520748914547</v>
      </c>
      <c r="V1678">
        <f t="shared" ca="1" si="702"/>
        <v>11.441911698098743</v>
      </c>
      <c r="W1678">
        <f t="shared" ca="1" si="703"/>
        <v>1.1730115774945764</v>
      </c>
      <c r="X1678">
        <f t="shared" ca="1" si="704"/>
        <v>4.4638066895335538</v>
      </c>
      <c r="Y1678">
        <f t="shared" ca="1" si="705"/>
        <v>630.99365207489154</v>
      </c>
      <c r="Z1678">
        <f t="shared" ca="1" si="706"/>
        <v>632.00922649698759</v>
      </c>
      <c r="AA1678">
        <f t="shared" ca="1" si="707"/>
        <v>3.624016870531262E-3</v>
      </c>
      <c r="AB1678">
        <f t="shared" ca="1" si="708"/>
        <v>-0.41271293934460118</v>
      </c>
      <c r="AC1678">
        <f t="shared" ca="1" si="709"/>
        <v>0</v>
      </c>
      <c r="AD1678">
        <f ca="1">IF(V36="Supercritical",L1678,U1678)</f>
        <v>2.9136520748914547</v>
      </c>
      <c r="AE1678">
        <f t="shared" ca="1" si="710"/>
        <v>630.99365207489154</v>
      </c>
      <c r="AF1678">
        <f t="shared" ca="1" si="711"/>
        <v>632.00922649698759</v>
      </c>
      <c r="AI1678">
        <v>0</v>
      </c>
      <c r="AJ1678">
        <v>0</v>
      </c>
      <c r="AK1678">
        <f t="shared" si="712"/>
        <v>0</v>
      </c>
      <c r="AL1678">
        <f t="shared" si="719"/>
        <v>0</v>
      </c>
      <c r="AM1678">
        <f t="shared" ca="1" si="713"/>
        <v>0.83493377521248258</v>
      </c>
      <c r="AN1678" t="str">
        <f t="shared" ca="1" si="714"/>
        <v>Subcritical</v>
      </c>
      <c r="AO1678">
        <f ca="1">IF(V36="Supercritical",R1678,AA1678)</f>
        <v>3.624016870531262E-3</v>
      </c>
    </row>
    <row r="1679" spans="1:41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174</v>
      </c>
      <c r="I1679">
        <v>0</v>
      </c>
      <c r="J1679">
        <f t="shared" si="715"/>
        <v>1</v>
      </c>
      <c r="K1679">
        <f t="shared" ca="1" si="721"/>
        <v>51.074481979025386</v>
      </c>
      <c r="L1679">
        <f t="shared" ca="1" si="716"/>
        <v>2.8825398400527296</v>
      </c>
      <c r="M1679">
        <f t="shared" ca="1" si="695"/>
        <v>11.619518095252552</v>
      </c>
      <c r="N1679">
        <f t="shared" ca="1" si="696"/>
        <v>1.1861396063213181</v>
      </c>
      <c r="O1679">
        <f t="shared" ca="1" si="697"/>
        <v>4.3955766117265362</v>
      </c>
      <c r="P1679">
        <f t="shared" ca="1" si="698"/>
        <v>630.58253984005273</v>
      </c>
      <c r="Q1679">
        <f t="shared" ca="1" si="699"/>
        <v>631.56730506683959</v>
      </c>
      <c r="R1679">
        <f t="shared" ca="1" si="700"/>
        <v>3.4623142434060117E-3</v>
      </c>
      <c r="S1679">
        <f t="shared" ca="1" si="717"/>
        <v>0.41340204546759196</v>
      </c>
      <c r="T1679">
        <f t="shared" ca="1" si="718"/>
        <v>0</v>
      </c>
      <c r="U1679">
        <f t="shared" ca="1" si="701"/>
        <v>2.9664143436369996</v>
      </c>
      <c r="V1679">
        <f t="shared" ca="1" si="702"/>
        <v>11.957616219200744</v>
      </c>
      <c r="W1679">
        <f t="shared" ca="1" si="703"/>
        <v>1.2001025503854006</v>
      </c>
      <c r="X1679">
        <f t="shared" ca="1" si="704"/>
        <v>4.2712929602986742</v>
      </c>
      <c r="Y1679">
        <f t="shared" ca="1" si="705"/>
        <v>630.66641434363703</v>
      </c>
      <c r="Z1679">
        <f t="shared" ca="1" si="706"/>
        <v>631.5962789487694</v>
      </c>
      <c r="AA1679">
        <f t="shared" ca="1" si="707"/>
        <v>3.2186722795658003E-3</v>
      </c>
      <c r="AB1679">
        <f t="shared" ca="1" si="708"/>
        <v>-0.38634424367228348</v>
      </c>
      <c r="AC1679">
        <f t="shared" ca="1" si="709"/>
        <v>0</v>
      </c>
      <c r="AD1679">
        <f ca="1">IF(V36="Supercritical",L1679,U1679)</f>
        <v>2.9664143436369996</v>
      </c>
      <c r="AE1679">
        <f t="shared" ca="1" si="710"/>
        <v>630.66641434363703</v>
      </c>
      <c r="AF1679">
        <f t="shared" ca="1" si="711"/>
        <v>631.5962789487694</v>
      </c>
      <c r="AI1679">
        <v>0</v>
      </c>
      <c r="AJ1679">
        <v>0</v>
      </c>
      <c r="AK1679">
        <f t="shared" si="712"/>
        <v>0</v>
      </c>
      <c r="AL1679">
        <f t="shared" si="719"/>
        <v>0</v>
      </c>
      <c r="AM1679">
        <f t="shared" ca="1" si="713"/>
        <v>0.79178806296121396</v>
      </c>
      <c r="AN1679" t="str">
        <f t="shared" ca="1" si="714"/>
        <v>Subcritical</v>
      </c>
      <c r="AO1679">
        <f ca="1">IF(V36="Supercritical",R1679,AA1679)</f>
        <v>3.2186722795658003E-3</v>
      </c>
    </row>
    <row r="1680" spans="1:41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174</v>
      </c>
      <c r="I1680">
        <v>14.763999999999999</v>
      </c>
      <c r="J1680">
        <f t="shared" si="715"/>
        <v>0.99899999999999878</v>
      </c>
      <c r="K1680">
        <f t="shared" ca="1" si="721"/>
        <v>51.074481979025386</v>
      </c>
      <c r="L1680">
        <f t="shared" ca="1" si="716"/>
        <v>2.8825398400527296</v>
      </c>
      <c r="M1680">
        <f t="shared" ca="1" si="695"/>
        <v>11.919302238618036</v>
      </c>
      <c r="N1680">
        <f t="shared" ca="1" si="696"/>
        <v>1.2039602330242121</v>
      </c>
      <c r="O1680">
        <f t="shared" ca="1" si="697"/>
        <v>4.2850228106093509</v>
      </c>
      <c r="P1680">
        <f t="shared" ca="1" si="698"/>
        <v>630.20253984005274</v>
      </c>
      <c r="Q1680">
        <f t="shared" ca="1" si="699"/>
        <v>631.13839205653812</v>
      </c>
      <c r="R1680">
        <f t="shared" ca="1" si="700"/>
        <v>3.2255660394773177E-3</v>
      </c>
      <c r="S1680">
        <f t="shared" ca="1" si="717"/>
        <v>0.386666721329334</v>
      </c>
      <c r="T1680">
        <f t="shared" ca="1" si="718"/>
        <v>0</v>
      </c>
      <c r="U1680">
        <f t="shared" ca="1" si="701"/>
        <v>2.9113907539177815</v>
      </c>
      <c r="V1680">
        <f t="shared" ca="1" si="702"/>
        <v>12.038600767450026</v>
      </c>
      <c r="W1680">
        <f t="shared" ca="1" si="703"/>
        <v>1.2089641410566312</v>
      </c>
      <c r="X1680">
        <f t="shared" ca="1" si="704"/>
        <v>4.2425596600163527</v>
      </c>
      <c r="Y1680">
        <f t="shared" ca="1" si="705"/>
        <v>630.23139075391782</v>
      </c>
      <c r="Z1680">
        <f t="shared" ca="1" si="706"/>
        <v>631.14878690421335</v>
      </c>
      <c r="AA1680">
        <f t="shared" ca="1" si="707"/>
        <v>3.1445164802303108E-3</v>
      </c>
      <c r="AB1680">
        <f t="shared" ca="1" si="708"/>
        <v>-0.36595662125239414</v>
      </c>
      <c r="AC1680">
        <f t="shared" ca="1" si="709"/>
        <v>0</v>
      </c>
      <c r="AD1680">
        <f ca="1">IF(V36="Supercritical",L1680,U1680)</f>
        <v>2.9113907539177815</v>
      </c>
      <c r="AE1680">
        <f t="shared" ca="1" si="710"/>
        <v>630.23139075391782</v>
      </c>
      <c r="AF1680">
        <f t="shared" ca="1" si="711"/>
        <v>631.14878690421335</v>
      </c>
      <c r="AI1680">
        <v>0</v>
      </c>
      <c r="AJ1680">
        <v>0</v>
      </c>
      <c r="AK1680">
        <f t="shared" si="712"/>
        <v>0</v>
      </c>
      <c r="AL1680">
        <f t="shared" si="719"/>
        <v>0</v>
      </c>
      <c r="AM1680">
        <f t="shared" ca="1" si="713"/>
        <v>0.79385869389799357</v>
      </c>
      <c r="AN1680" t="str">
        <f t="shared" ca="1" si="714"/>
        <v>Subcritical</v>
      </c>
      <c r="AO1680">
        <f ca="1">IF(V36="Supercritical",R1680,AA1680)</f>
        <v>3.1445164802303108E-3</v>
      </c>
    </row>
    <row r="1681" spans="1:41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174</v>
      </c>
      <c r="I1681">
        <v>5.2140000000000004</v>
      </c>
      <c r="J1681">
        <f t="shared" si="715"/>
        <v>0.98799999999999955</v>
      </c>
      <c r="K1681">
        <f t="shared" ca="1" si="721"/>
        <v>51.074481979025386</v>
      </c>
      <c r="L1681">
        <f t="shared" ca="1" si="716"/>
        <v>2.8825398400527296</v>
      </c>
      <c r="M1681">
        <f t="shared" ca="1" si="695"/>
        <v>11.902006999577718</v>
      </c>
      <c r="N1681">
        <f t="shared" ca="1" si="696"/>
        <v>1.2029423033159621</v>
      </c>
      <c r="O1681">
        <f t="shared" ca="1" si="697"/>
        <v>4.2912495330272868</v>
      </c>
      <c r="P1681">
        <f t="shared" ca="1" si="698"/>
        <v>629.82253984005274</v>
      </c>
      <c r="Q1681">
        <f t="shared" ca="1" si="699"/>
        <v>630.76111387444143</v>
      </c>
      <c r="R1681">
        <f t="shared" ca="1" si="700"/>
        <v>3.2385976226732179E-3</v>
      </c>
      <c r="S1681">
        <f t="shared" ca="1" si="717"/>
        <v>0.36565649509839204</v>
      </c>
      <c r="T1681">
        <f t="shared" ca="1" si="718"/>
        <v>0</v>
      </c>
      <c r="U1681">
        <f t="shared" ca="1" si="701"/>
        <v>2.9640629940533341</v>
      </c>
      <c r="V1681">
        <f t="shared" ca="1" si="702"/>
        <v>12.238616102446215</v>
      </c>
      <c r="W1681">
        <f t="shared" ca="1" si="703"/>
        <v>1.216909892241514</v>
      </c>
      <c r="X1681">
        <f t="shared" ca="1" si="704"/>
        <v>4.1732236350494549</v>
      </c>
      <c r="Y1681">
        <f t="shared" ca="1" si="705"/>
        <v>629.90406299405333</v>
      </c>
      <c r="Z1681">
        <f t="shared" ca="1" si="706"/>
        <v>630.79171821872899</v>
      </c>
      <c r="AA1681">
        <f t="shared" ca="1" si="707"/>
        <v>3.0161152983344585E-3</v>
      </c>
      <c r="AB1681">
        <f t="shared" ca="1" si="708"/>
        <v>-0.17723778847039284</v>
      </c>
      <c r="AC1681">
        <f t="shared" ca="1" si="709"/>
        <v>0</v>
      </c>
      <c r="AD1681">
        <f ca="1">IF(V36="Supercritical",L1681,U1681)</f>
        <v>2.9640629940533341</v>
      </c>
      <c r="AE1681">
        <f t="shared" ca="1" si="710"/>
        <v>629.90406299405333</v>
      </c>
      <c r="AF1681">
        <f t="shared" ca="1" si="711"/>
        <v>630.79171821872899</v>
      </c>
      <c r="AI1681">
        <v>0</v>
      </c>
      <c r="AJ1681">
        <v>0</v>
      </c>
      <c r="AK1681">
        <f t="shared" si="712"/>
        <v>0</v>
      </c>
      <c r="AL1681">
        <f t="shared" si="719"/>
        <v>0</v>
      </c>
      <c r="AM1681">
        <f t="shared" ca="1" si="713"/>
        <v>0.77391531324344376</v>
      </c>
      <c r="AN1681" t="str">
        <f t="shared" ca="1" si="714"/>
        <v>Subcritical</v>
      </c>
      <c r="AO1681">
        <f ca="1">IF(V36="Supercritical",R1681,AA1681)</f>
        <v>3.0161152983344585E-3</v>
      </c>
    </row>
    <row r="1682" spans="1:41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174</v>
      </c>
      <c r="I1682">
        <v>4.6479999999999997</v>
      </c>
      <c r="J1682">
        <f t="shared" si="715"/>
        <v>1</v>
      </c>
      <c r="K1682">
        <f t="shared" ca="1" si="721"/>
        <v>51.074481979025386</v>
      </c>
      <c r="L1682">
        <f t="shared" ca="1" si="716"/>
        <v>2.8825398400527296</v>
      </c>
      <c r="M1682">
        <f t="shared" ca="1" si="695"/>
        <v>10.884470436039106</v>
      </c>
      <c r="N1682">
        <f t="shared" ca="1" si="696"/>
        <v>1.1408007061019323</v>
      </c>
      <c r="O1682">
        <f t="shared" ca="1" si="697"/>
        <v>4.6924177229527722</v>
      </c>
      <c r="P1682">
        <f t="shared" ca="1" si="698"/>
        <v>629.44253984005263</v>
      </c>
      <c r="Q1682">
        <f t="shared" ca="1" si="699"/>
        <v>630.56480202591808</v>
      </c>
      <c r="R1682">
        <f t="shared" ca="1" si="700"/>
        <v>4.1561971722107035E-3</v>
      </c>
      <c r="S1682">
        <f t="shared" ca="1" si="717"/>
        <v>0.16555184491176078</v>
      </c>
      <c r="T1682">
        <f t="shared" ca="1" si="718"/>
        <v>0</v>
      </c>
      <c r="U1682">
        <f t="shared" ca="1" si="701"/>
        <v>2.9091465874652651</v>
      </c>
      <c r="V1682">
        <f t="shared" ca="1" si="702"/>
        <v>10.984937514268841</v>
      </c>
      <c r="W1682">
        <f t="shared" ca="1" si="703"/>
        <v>1.1449449494593311</v>
      </c>
      <c r="X1682">
        <f t="shared" ca="1" si="704"/>
        <v>4.6495013660917408</v>
      </c>
      <c r="Y1682">
        <f t="shared" ca="1" si="705"/>
        <v>629.46914658746516</v>
      </c>
      <c r="Z1682">
        <f t="shared" ca="1" si="706"/>
        <v>630.57097446479895</v>
      </c>
      <c r="AA1682">
        <f t="shared" ca="1" si="707"/>
        <v>4.0608392971688131E-3</v>
      </c>
      <c r="AB1682">
        <f t="shared" ca="1" si="708"/>
        <v>-0.13196850063911825</v>
      </c>
      <c r="AC1682">
        <f t="shared" ca="1" si="709"/>
        <v>0</v>
      </c>
      <c r="AD1682">
        <f ca="1">IF(V36="Supercritical",L1682,U1682)</f>
        <v>2.9091465874652651</v>
      </c>
      <c r="AE1682">
        <f t="shared" ca="1" si="710"/>
        <v>629.46914658746516</v>
      </c>
      <c r="AF1682">
        <f t="shared" ca="1" si="711"/>
        <v>630.57097446479895</v>
      </c>
      <c r="AI1682">
        <v>0</v>
      </c>
      <c r="AJ1682">
        <v>0</v>
      </c>
      <c r="AK1682">
        <f t="shared" si="712"/>
        <v>0</v>
      </c>
      <c r="AL1682">
        <f t="shared" si="719"/>
        <v>0</v>
      </c>
      <c r="AM1682">
        <f t="shared" ca="1" si="713"/>
        <v>0.87034025972040918</v>
      </c>
      <c r="AN1682" t="str">
        <f t="shared" ca="1" si="714"/>
        <v>Subcritical</v>
      </c>
      <c r="AO1682">
        <f ca="1">IF(V36="Supercritical",R1682,AA1682)</f>
        <v>4.0608392971688131E-3</v>
      </c>
    </row>
    <row r="1683" spans="1:41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174</v>
      </c>
      <c r="I1683">
        <v>5.7000000000000002E-2</v>
      </c>
      <c r="J1683">
        <f t="shared" si="715"/>
        <v>1</v>
      </c>
      <c r="K1683">
        <f t="shared" ca="1" si="721"/>
        <v>51.074481979025386</v>
      </c>
      <c r="L1683">
        <f t="shared" ca="1" si="716"/>
        <v>2.8825398400527296</v>
      </c>
      <c r="M1683">
        <f t="shared" ca="1" si="695"/>
        <v>9.9332322888217064</v>
      </c>
      <c r="N1683">
        <f t="shared" ca="1" si="696"/>
        <v>1.0784004301120083</v>
      </c>
      <c r="O1683">
        <f t="shared" ca="1" si="697"/>
        <v>5.1417786772692002</v>
      </c>
      <c r="P1683">
        <f t="shared" ca="1" si="698"/>
        <v>629.06253984005264</v>
      </c>
      <c r="Q1683">
        <f t="shared" ca="1" si="699"/>
        <v>630.41003667827999</v>
      </c>
      <c r="R1683">
        <f t="shared" ca="1" si="700"/>
        <v>5.3790123256854394E-3</v>
      </c>
      <c r="S1683">
        <f t="shared" ca="1" si="717"/>
        <v>0.12734626545329775</v>
      </c>
      <c r="T1683">
        <f t="shared" ca="1" si="718"/>
        <v>0</v>
      </c>
      <c r="U1683">
        <f t="shared" ca="1" si="701"/>
        <v>2.961730056448094</v>
      </c>
      <c r="V1683">
        <f t="shared" ca="1" si="702"/>
        <v>10.206121774520133</v>
      </c>
      <c r="W1683">
        <f t="shared" ca="1" si="703"/>
        <v>1.0892966778814031</v>
      </c>
      <c r="X1683">
        <f t="shared" ca="1" si="704"/>
        <v>5.0042987049727596</v>
      </c>
      <c r="Y1683">
        <f t="shared" ca="1" si="705"/>
        <v>629.14173005644807</v>
      </c>
      <c r="Z1683">
        <f t="shared" ca="1" si="706"/>
        <v>630.41813196922033</v>
      </c>
      <c r="AA1683">
        <f t="shared" ca="1" si="707"/>
        <v>5.0273686042170244E-3</v>
      </c>
      <c r="AB1683">
        <f t="shared" ca="1" si="708"/>
        <v>-0.15021185253704061</v>
      </c>
      <c r="AC1683">
        <f t="shared" ca="1" si="709"/>
        <v>0</v>
      </c>
      <c r="AD1683">
        <f ca="1">IF(V36="Supercritical",L1683,U1683)</f>
        <v>2.961730056448094</v>
      </c>
      <c r="AE1683">
        <f t="shared" ca="1" si="710"/>
        <v>629.14173005644807</v>
      </c>
      <c r="AF1683">
        <f t="shared" ca="1" si="711"/>
        <v>630.41813196922033</v>
      </c>
      <c r="AI1683">
        <v>0</v>
      </c>
      <c r="AJ1683">
        <v>0</v>
      </c>
      <c r="AK1683">
        <f t="shared" si="712"/>
        <v>0</v>
      </c>
      <c r="AL1683">
        <f t="shared" si="719"/>
        <v>0</v>
      </c>
      <c r="AM1683">
        <f t="shared" ca="1" si="713"/>
        <v>0.9284018231880774</v>
      </c>
      <c r="AN1683" t="str">
        <f t="shared" ca="1" si="714"/>
        <v>Subcritical</v>
      </c>
      <c r="AO1683">
        <f ca="1">IF(V36="Supercritical",R1683,AA1683)</f>
        <v>5.0273686042170244E-3</v>
      </c>
    </row>
    <row r="1684" spans="1:41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174</v>
      </c>
      <c r="I1684">
        <v>0</v>
      </c>
      <c r="J1684">
        <f t="shared" si="715"/>
        <v>1</v>
      </c>
      <c r="K1684">
        <f t="shared" ca="1" si="721"/>
        <v>51.074481979025386</v>
      </c>
      <c r="L1684">
        <f t="shared" ca="1" si="716"/>
        <v>2.8825398400527296</v>
      </c>
      <c r="M1684">
        <f t="shared" ca="1" si="695"/>
        <v>9.224127488168735</v>
      </c>
      <c r="N1684">
        <f t="shared" ca="1" si="696"/>
        <v>1.028895204204167</v>
      </c>
      <c r="O1684">
        <f t="shared" ca="1" si="697"/>
        <v>5.5370529130842705</v>
      </c>
      <c r="P1684">
        <f t="shared" ca="1" si="698"/>
        <v>628.68253984005264</v>
      </c>
      <c r="Q1684">
        <f t="shared" ca="1" si="699"/>
        <v>630.24517770765181</v>
      </c>
      <c r="R1684">
        <f t="shared" ca="1" si="700"/>
        <v>6.6411762837157622E-3</v>
      </c>
      <c r="S1684">
        <f t="shared" ca="1" si="717"/>
        <v>0.13733477338632838</v>
      </c>
      <c r="T1684">
        <f t="shared" ca="1" si="718"/>
        <v>0</v>
      </c>
      <c r="U1684">
        <f t="shared" ca="1" si="701"/>
        <v>2.9069194157454361</v>
      </c>
      <c r="V1684">
        <f t="shared" ca="1" si="702"/>
        <v>9.3021421303853966</v>
      </c>
      <c r="W1684">
        <f t="shared" ca="1" si="703"/>
        <v>1.0319845189473884</v>
      </c>
      <c r="X1684">
        <f t="shared" ca="1" si="704"/>
        <v>5.4906150930752675</v>
      </c>
      <c r="Y1684">
        <f t="shared" ca="1" si="705"/>
        <v>628.70691941574535</v>
      </c>
      <c r="Z1684">
        <f t="shared" ca="1" si="706"/>
        <v>630.24345632197912</v>
      </c>
      <c r="AA1684">
        <f t="shared" ca="1" si="707"/>
        <v>6.5041958114290931E-3</v>
      </c>
      <c r="AB1684">
        <f t="shared" ca="1" si="708"/>
        <v>-0.37349580418856476</v>
      </c>
      <c r="AC1684">
        <f t="shared" ca="1" si="709"/>
        <v>0</v>
      </c>
      <c r="AD1684">
        <f ca="1">IF(V36="Supercritical",L1684,U1684)</f>
        <v>2.9069194157454361</v>
      </c>
      <c r="AE1684">
        <f t="shared" ca="1" si="710"/>
        <v>628.70691941574535</v>
      </c>
      <c r="AF1684">
        <f t="shared" ca="1" si="711"/>
        <v>630.24345632197912</v>
      </c>
      <c r="AI1684">
        <v>0</v>
      </c>
      <c r="AJ1684">
        <v>0</v>
      </c>
      <c r="AK1684">
        <f t="shared" si="712"/>
        <v>0</v>
      </c>
      <c r="AL1684">
        <f t="shared" si="719"/>
        <v>0</v>
      </c>
      <c r="AM1684">
        <f t="shared" ca="1" si="713"/>
        <v>1.0281820070829324</v>
      </c>
      <c r="AN1684" t="str">
        <f t="shared" ca="1" si="714"/>
        <v>Supercritical</v>
      </c>
      <c r="AO1684">
        <f ca="1">IF(V36="Supercritical",R1684,AA1684)</f>
        <v>6.5041958114290931E-3</v>
      </c>
    </row>
    <row r="1685" spans="1:41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174</v>
      </c>
      <c r="I1685">
        <v>0</v>
      </c>
      <c r="J1685">
        <f t="shared" si="715"/>
        <v>1</v>
      </c>
      <c r="K1685">
        <f t="shared" ca="1" si="721"/>
        <v>51.074481979025386</v>
      </c>
      <c r="L1685">
        <f t="shared" ca="1" si="716"/>
        <v>2.8825398400527296</v>
      </c>
      <c r="M1685">
        <f t="shared" ca="1" si="695"/>
        <v>9.224127488168735</v>
      </c>
      <c r="N1685">
        <f t="shared" ca="1" si="696"/>
        <v>1.028895204204167</v>
      </c>
      <c r="O1685">
        <f t="shared" ca="1" si="697"/>
        <v>5.5370529130842705</v>
      </c>
      <c r="P1685">
        <f t="shared" ca="1" si="698"/>
        <v>628.30253984005265</v>
      </c>
      <c r="Q1685">
        <f t="shared" ca="1" si="699"/>
        <v>629.86517770765181</v>
      </c>
      <c r="R1685">
        <f t="shared" ca="1" si="700"/>
        <v>6.6411762837157622E-3</v>
      </c>
      <c r="S1685">
        <f t="shared" ca="1" si="717"/>
        <v>0.37335882371633033</v>
      </c>
      <c r="T1685">
        <f t="shared" ca="1" si="718"/>
        <v>0</v>
      </c>
      <c r="U1685">
        <f t="shared" ca="1" si="701"/>
        <v>2.9594153533961771</v>
      </c>
      <c r="V1685">
        <f t="shared" ca="1" si="702"/>
        <v>9.4701291308677664</v>
      </c>
      <c r="W1685">
        <f t="shared" ca="1" si="703"/>
        <v>1.038524503345998</v>
      </c>
      <c r="X1685">
        <f t="shared" ca="1" si="704"/>
        <v>5.393219170850454</v>
      </c>
      <c r="Y1685">
        <f t="shared" ca="1" si="705"/>
        <v>628.3794153533961</v>
      </c>
      <c r="Z1685">
        <f t="shared" ca="1" si="706"/>
        <v>629.86192366251066</v>
      </c>
      <c r="AA1685">
        <f t="shared" ca="1" si="707"/>
        <v>6.2228546932997569E-3</v>
      </c>
      <c r="AB1685">
        <f t="shared" ca="1" si="708"/>
        <v>-0.37363630701736383</v>
      </c>
      <c r="AC1685">
        <f t="shared" ca="1" si="709"/>
        <v>0</v>
      </c>
      <c r="AD1685">
        <f ca="1">IF(V36="Supercritical",L1685,U1685)</f>
        <v>2.9594153533961771</v>
      </c>
      <c r="AE1685">
        <f t="shared" ca="1" si="710"/>
        <v>628.3794153533961</v>
      </c>
      <c r="AF1685">
        <f t="shared" ca="1" si="711"/>
        <v>629.86192366251066</v>
      </c>
      <c r="AI1685">
        <v>0</v>
      </c>
      <c r="AJ1685">
        <v>0</v>
      </c>
      <c r="AK1685">
        <f t="shared" si="712"/>
        <v>0</v>
      </c>
      <c r="AL1685">
        <f t="shared" si="719"/>
        <v>0</v>
      </c>
      <c r="AM1685">
        <f t="shared" ca="1" si="713"/>
        <v>1.0009458991559106</v>
      </c>
      <c r="AN1685" t="str">
        <f t="shared" ca="1" si="714"/>
        <v>Supercritical</v>
      </c>
      <c r="AO1685">
        <f ca="1">IF(V36="Supercritical",R1685,AA1685)</f>
        <v>6.2228546932997569E-3</v>
      </c>
    </row>
    <row r="1686" spans="1:41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174</v>
      </c>
      <c r="I1686">
        <v>5.7000000000000002E-2</v>
      </c>
      <c r="J1686">
        <f t="shared" si="715"/>
        <v>1</v>
      </c>
      <c r="K1686">
        <f t="shared" ca="1" si="721"/>
        <v>51.074481979025386</v>
      </c>
      <c r="L1686">
        <f t="shared" ca="1" si="716"/>
        <v>2.8825398400527296</v>
      </c>
      <c r="M1686">
        <f t="shared" ca="1" si="695"/>
        <v>9.224127488168735</v>
      </c>
      <c r="N1686">
        <f t="shared" ca="1" si="696"/>
        <v>1.028895204204167</v>
      </c>
      <c r="O1686">
        <f t="shared" ca="1" si="697"/>
        <v>5.5370529130842705</v>
      </c>
      <c r="P1686">
        <f t="shared" ca="1" si="698"/>
        <v>627.92253984005265</v>
      </c>
      <c r="Q1686">
        <f t="shared" ca="1" si="699"/>
        <v>629.48517770765181</v>
      </c>
      <c r="R1686">
        <f t="shared" ca="1" si="700"/>
        <v>6.6411762837157622E-3</v>
      </c>
      <c r="S1686">
        <f t="shared" ca="1" si="717"/>
        <v>0.37321037311892269</v>
      </c>
      <c r="T1686">
        <f t="shared" ca="1" si="718"/>
        <v>0</v>
      </c>
      <c r="U1686">
        <f t="shared" ca="1" si="701"/>
        <v>3.0141216256445702</v>
      </c>
      <c r="V1686">
        <f t="shared" ca="1" si="702"/>
        <v>9.6451892020626246</v>
      </c>
      <c r="W1686">
        <f t="shared" ca="1" si="703"/>
        <v>1.0451815084864868</v>
      </c>
      <c r="X1686">
        <f t="shared" ca="1" si="704"/>
        <v>5.2953323059855686</v>
      </c>
      <c r="Y1686">
        <f t="shared" ca="1" si="705"/>
        <v>628.05412162564448</v>
      </c>
      <c r="Z1686">
        <f t="shared" ca="1" si="706"/>
        <v>629.4833032887849</v>
      </c>
      <c r="AA1686">
        <f t="shared" ca="1" si="707"/>
        <v>5.9481238116992656E-3</v>
      </c>
      <c r="AB1686">
        <f t="shared" ca="1" si="708"/>
        <v>-0.37391610393035535</v>
      </c>
      <c r="AC1686">
        <f t="shared" ca="1" si="709"/>
        <v>0</v>
      </c>
      <c r="AD1686">
        <f ca="1">IF(V36="Supercritical",L1686,U1686)</f>
        <v>3.0141216256445702</v>
      </c>
      <c r="AE1686">
        <f t="shared" ca="1" si="710"/>
        <v>628.05412162564448</v>
      </c>
      <c r="AF1686">
        <f t="shared" ca="1" si="711"/>
        <v>629.4833032887849</v>
      </c>
      <c r="AI1686">
        <v>0</v>
      </c>
      <c r="AJ1686">
        <v>0</v>
      </c>
      <c r="AK1686">
        <f t="shared" si="712"/>
        <v>0</v>
      </c>
      <c r="AL1686">
        <f t="shared" si="719"/>
        <v>0</v>
      </c>
      <c r="AM1686">
        <f t="shared" ca="1" si="713"/>
        <v>0.97381919135278272</v>
      </c>
      <c r="AN1686" t="str">
        <f t="shared" ca="1" si="714"/>
        <v>Subcritical</v>
      </c>
      <c r="AO1686">
        <f ca="1">IF(V36="Supercritical",R1686,AA1686)</f>
        <v>5.9481238116992656E-3</v>
      </c>
    </row>
    <row r="1687" spans="1:41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174</v>
      </c>
      <c r="I1687">
        <v>5.7000000000000002E-2</v>
      </c>
      <c r="J1687">
        <f t="shared" si="715"/>
        <v>1</v>
      </c>
      <c r="K1687">
        <f t="shared" ca="1" si="721"/>
        <v>51.074481979025386</v>
      </c>
      <c r="L1687">
        <f t="shared" ca="1" si="716"/>
        <v>2.8825398400527296</v>
      </c>
      <c r="M1687">
        <f t="shared" ca="1" si="695"/>
        <v>9.224127488168735</v>
      </c>
      <c r="N1687">
        <f t="shared" ca="1" si="696"/>
        <v>1.028895204204167</v>
      </c>
      <c r="O1687">
        <f t="shared" ca="1" si="697"/>
        <v>5.5370529130842705</v>
      </c>
      <c r="P1687">
        <f t="shared" ca="1" si="698"/>
        <v>627.54253984005265</v>
      </c>
      <c r="Q1687">
        <f t="shared" ca="1" si="699"/>
        <v>629.10517770765182</v>
      </c>
      <c r="R1687">
        <f t="shared" ca="1" si="700"/>
        <v>6.6411762837157622E-3</v>
      </c>
      <c r="S1687">
        <f t="shared" ca="1" si="717"/>
        <v>0.37321037311892269</v>
      </c>
      <c r="T1687">
        <f t="shared" ca="1" si="718"/>
        <v>0</v>
      </c>
      <c r="U1687">
        <f t="shared" ca="1" si="701"/>
        <v>2.9576091687335051</v>
      </c>
      <c r="V1687">
        <f t="shared" ca="1" si="702"/>
        <v>9.4643493399472174</v>
      </c>
      <c r="W1687">
        <f t="shared" ca="1" si="703"/>
        <v>1.0383019900955248</v>
      </c>
      <c r="X1687">
        <f t="shared" ca="1" si="704"/>
        <v>5.3965127600953737</v>
      </c>
      <c r="Y1687">
        <f t="shared" ca="1" si="705"/>
        <v>627.61760916873345</v>
      </c>
      <c r="Z1687">
        <f t="shared" ca="1" si="706"/>
        <v>629.10192873906328</v>
      </c>
      <c r="AA1687">
        <f t="shared" ca="1" si="707"/>
        <v>6.2322378481454764E-3</v>
      </c>
      <c r="AB1687">
        <f t="shared" ca="1" si="708"/>
        <v>-0.37376776215182872</v>
      </c>
      <c r="AC1687">
        <f t="shared" ca="1" si="709"/>
        <v>0</v>
      </c>
      <c r="AD1687">
        <f ca="1">IF(V36="Supercritical",L1687,U1687)</f>
        <v>2.9576091687335051</v>
      </c>
      <c r="AE1687">
        <f t="shared" ca="1" si="710"/>
        <v>627.61760916873345</v>
      </c>
      <c r="AF1687">
        <f t="shared" ca="1" si="711"/>
        <v>629.10192873906328</v>
      </c>
      <c r="AI1687">
        <v>0</v>
      </c>
      <c r="AJ1687">
        <v>0</v>
      </c>
      <c r="AK1687">
        <f t="shared" si="712"/>
        <v>0</v>
      </c>
      <c r="AL1687">
        <f t="shared" si="719"/>
        <v>0</v>
      </c>
      <c r="AM1687">
        <f t="shared" ca="1" si="713"/>
        <v>1.0018629417818428</v>
      </c>
      <c r="AN1687" t="str">
        <f t="shared" ca="1" si="714"/>
        <v>Supercritical</v>
      </c>
      <c r="AO1687">
        <f ca="1">IF(V36="Supercritical",R1687,AA1687)</f>
        <v>6.2322378481454764E-3</v>
      </c>
    </row>
    <row r="1688" spans="1:41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174</v>
      </c>
      <c r="I1688">
        <v>0</v>
      </c>
      <c r="J1688">
        <f t="shared" si="715"/>
        <v>1</v>
      </c>
      <c r="K1688">
        <f t="shared" ca="1" si="721"/>
        <v>51.074481979025386</v>
      </c>
      <c r="L1688">
        <f t="shared" ca="1" si="716"/>
        <v>2.8825398400527296</v>
      </c>
      <c r="M1688">
        <f t="shared" ca="1" si="695"/>
        <v>9.224127488168735</v>
      </c>
      <c r="N1688">
        <f t="shared" ca="1" si="696"/>
        <v>1.028895204204167</v>
      </c>
      <c r="O1688">
        <f t="shared" ca="1" si="697"/>
        <v>5.5370529130842705</v>
      </c>
      <c r="P1688">
        <f t="shared" ca="1" si="698"/>
        <v>627.16253984005266</v>
      </c>
      <c r="Q1688">
        <f t="shared" ca="1" si="699"/>
        <v>628.72517770765182</v>
      </c>
      <c r="R1688">
        <f t="shared" ca="1" si="700"/>
        <v>6.6411762837157622E-3</v>
      </c>
      <c r="S1688">
        <f t="shared" ca="1" si="717"/>
        <v>0.37335882371633033</v>
      </c>
      <c r="T1688">
        <f t="shared" ca="1" si="718"/>
        <v>0</v>
      </c>
      <c r="U1688">
        <f t="shared" ca="1" si="701"/>
        <v>3.012234397325777</v>
      </c>
      <c r="V1688">
        <f t="shared" ca="1" si="702"/>
        <v>9.6391500714424865</v>
      </c>
      <c r="W1688">
        <f t="shared" ca="1" si="703"/>
        <v>1.044954488548042</v>
      </c>
      <c r="X1688">
        <f t="shared" ca="1" si="704"/>
        <v>5.2986499432498366</v>
      </c>
      <c r="Y1688">
        <f t="shared" ca="1" si="705"/>
        <v>627.29223439732573</v>
      </c>
      <c r="Z1688">
        <f t="shared" ca="1" si="706"/>
        <v>628.72320744631156</v>
      </c>
      <c r="AA1688">
        <f t="shared" ca="1" si="707"/>
        <v>5.9573046187706424E-3</v>
      </c>
      <c r="AB1688">
        <f t="shared" ca="1" si="708"/>
        <v>-0.374042695381263</v>
      </c>
      <c r="AC1688">
        <f t="shared" ca="1" si="709"/>
        <v>0</v>
      </c>
      <c r="AD1688">
        <f ca="1">IF(V36="Supercritical",L1688,U1688)</f>
        <v>3.012234397325777</v>
      </c>
      <c r="AE1688">
        <f t="shared" ca="1" si="710"/>
        <v>627.29223439732573</v>
      </c>
      <c r="AF1688">
        <f t="shared" ca="1" si="711"/>
        <v>628.72320744631156</v>
      </c>
      <c r="AI1688">
        <v>0</v>
      </c>
      <c r="AJ1688">
        <v>0</v>
      </c>
      <c r="AK1688">
        <f t="shared" si="712"/>
        <v>0</v>
      </c>
      <c r="AL1688">
        <f t="shared" si="719"/>
        <v>0</v>
      </c>
      <c r="AM1688">
        <f t="shared" ca="1" si="713"/>
        <v>0.97473451204545125</v>
      </c>
      <c r="AN1688" t="str">
        <f t="shared" ca="1" si="714"/>
        <v>Subcritical</v>
      </c>
      <c r="AO1688">
        <f ca="1">IF(V36="Supercritical",R1688,AA1688)</f>
        <v>5.9573046187706424E-3</v>
      </c>
    </row>
    <row r="1689" spans="1:41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174</v>
      </c>
      <c r="I1689">
        <v>0</v>
      </c>
      <c r="J1689">
        <f t="shared" si="715"/>
        <v>1</v>
      </c>
      <c r="K1689">
        <f t="shared" ca="1" si="721"/>
        <v>51.074481979025386</v>
      </c>
      <c r="L1689">
        <f t="shared" ca="1" si="716"/>
        <v>2.8825398400527296</v>
      </c>
      <c r="M1689">
        <f t="shared" ca="1" si="695"/>
        <v>9.224127488168735</v>
      </c>
      <c r="N1689">
        <f t="shared" ca="1" si="696"/>
        <v>1.028895204204167</v>
      </c>
      <c r="O1689">
        <f t="shared" ca="1" si="697"/>
        <v>5.5370529130842705</v>
      </c>
      <c r="P1689">
        <f t="shared" ca="1" si="698"/>
        <v>626.78253984005266</v>
      </c>
      <c r="Q1689">
        <f t="shared" ca="1" si="699"/>
        <v>628.34517770765183</v>
      </c>
      <c r="R1689">
        <f t="shared" ca="1" si="700"/>
        <v>6.6411762837157622E-3</v>
      </c>
      <c r="S1689">
        <f t="shared" ca="1" si="717"/>
        <v>0.37335882371633033</v>
      </c>
      <c r="T1689">
        <f t="shared" ca="1" si="718"/>
        <v>0</v>
      </c>
      <c r="U1689">
        <f t="shared" ca="1" si="701"/>
        <v>2.9557097379476813</v>
      </c>
      <c r="V1689">
        <f t="shared" ca="1" si="702"/>
        <v>9.458271161432581</v>
      </c>
      <c r="W1689">
        <f t="shared" ca="1" si="703"/>
        <v>1.038067799035576</v>
      </c>
      <c r="X1689">
        <f t="shared" ca="1" si="704"/>
        <v>5.3999807266351914</v>
      </c>
      <c r="Y1689">
        <f t="shared" ca="1" si="705"/>
        <v>626.85570973794768</v>
      </c>
      <c r="Z1689">
        <f t="shared" ca="1" si="706"/>
        <v>628.34193766088504</v>
      </c>
      <c r="AA1689">
        <f t="shared" ca="1" si="707"/>
        <v>6.2421276424068943E-3</v>
      </c>
      <c r="AB1689">
        <f t="shared" ca="1" si="708"/>
        <v>-0.37361668070491305</v>
      </c>
      <c r="AC1689">
        <f t="shared" ca="1" si="709"/>
        <v>0</v>
      </c>
      <c r="AD1689">
        <f ca="1">IF(V36="Supercritical",L1689,U1689)</f>
        <v>2.9557097379476813</v>
      </c>
      <c r="AE1689">
        <f t="shared" ca="1" si="710"/>
        <v>626.85570973794768</v>
      </c>
      <c r="AF1689">
        <f t="shared" ca="1" si="711"/>
        <v>628.34193766088504</v>
      </c>
      <c r="AI1689">
        <v>0</v>
      </c>
      <c r="AJ1689">
        <v>0</v>
      </c>
      <c r="AK1689">
        <f t="shared" si="712"/>
        <v>0</v>
      </c>
      <c r="AL1689">
        <f t="shared" si="719"/>
        <v>0</v>
      </c>
      <c r="AM1689">
        <f t="shared" ca="1" si="713"/>
        <v>1.0028288392367273</v>
      </c>
      <c r="AN1689" t="str">
        <f t="shared" ca="1" si="714"/>
        <v>Supercritical</v>
      </c>
      <c r="AO1689">
        <f ca="1">IF(V36="Supercritical",R1689,AA1689)</f>
        <v>6.2421276424068943E-3</v>
      </c>
    </row>
    <row r="1690" spans="1:41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174</v>
      </c>
      <c r="I1690">
        <v>5.7000000000000002E-2</v>
      </c>
      <c r="J1690">
        <f t="shared" si="715"/>
        <v>1</v>
      </c>
      <c r="K1690">
        <f t="shared" ca="1" si="721"/>
        <v>51.074481979025386</v>
      </c>
      <c r="L1690">
        <f t="shared" ca="1" si="716"/>
        <v>2.8825398400527296</v>
      </c>
      <c r="M1690">
        <f t="shared" ca="1" si="695"/>
        <v>9.224127488168735</v>
      </c>
      <c r="N1690">
        <f t="shared" ca="1" si="696"/>
        <v>1.028895204204167</v>
      </c>
      <c r="O1690">
        <f t="shared" ca="1" si="697"/>
        <v>5.5370529130842705</v>
      </c>
      <c r="P1690">
        <f t="shared" ca="1" si="698"/>
        <v>626.40253984005267</v>
      </c>
      <c r="Q1690">
        <f t="shared" ca="1" si="699"/>
        <v>627.96517770765183</v>
      </c>
      <c r="R1690">
        <f t="shared" ca="1" si="700"/>
        <v>6.6411762837157622E-3</v>
      </c>
      <c r="S1690">
        <f t="shared" ca="1" si="717"/>
        <v>0.37321037311892269</v>
      </c>
      <c r="T1690">
        <f t="shared" ca="1" si="718"/>
        <v>0</v>
      </c>
      <c r="U1690">
        <f t="shared" ca="1" si="701"/>
        <v>3.0102501144504386</v>
      </c>
      <c r="V1690">
        <f t="shared" ca="1" si="702"/>
        <v>9.6328003662414048</v>
      </c>
      <c r="W1690">
        <f t="shared" ca="1" si="703"/>
        <v>1.0447155932004868</v>
      </c>
      <c r="X1690">
        <f t="shared" ca="1" si="704"/>
        <v>5.302142683037248</v>
      </c>
      <c r="Y1690">
        <f t="shared" ca="1" si="705"/>
        <v>626.53025011445038</v>
      </c>
      <c r="Z1690">
        <f t="shared" ca="1" si="706"/>
        <v>627.96311030972493</v>
      </c>
      <c r="AA1690">
        <f t="shared" ca="1" si="707"/>
        <v>5.9669798337215986E-3</v>
      </c>
      <c r="AB1690">
        <f t="shared" ca="1" si="708"/>
        <v>-0.37389689844769691</v>
      </c>
      <c r="AC1690">
        <f t="shared" ca="1" si="709"/>
        <v>0</v>
      </c>
      <c r="AD1690">
        <f ca="1">IF(V36="Supercritical",L1690,U1690)</f>
        <v>3.0102501144504386</v>
      </c>
      <c r="AE1690">
        <f t="shared" ca="1" si="710"/>
        <v>626.53025011445038</v>
      </c>
      <c r="AF1690">
        <f t="shared" ca="1" si="711"/>
        <v>627.96311030972493</v>
      </c>
      <c r="AI1690">
        <v>0</v>
      </c>
      <c r="AJ1690">
        <v>0</v>
      </c>
      <c r="AK1690">
        <f t="shared" si="712"/>
        <v>0</v>
      </c>
      <c r="AL1690">
        <f t="shared" si="719"/>
        <v>0</v>
      </c>
      <c r="AM1690">
        <f t="shared" ca="1" si="713"/>
        <v>0.97569845239636765</v>
      </c>
      <c r="AN1690" t="str">
        <f t="shared" ca="1" si="714"/>
        <v>Subcritical</v>
      </c>
      <c r="AO1690">
        <f ca="1">IF(V36="Supercritical",R1690,AA1690)</f>
        <v>5.9669798337215986E-3</v>
      </c>
    </row>
    <row r="1691" spans="1:41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174</v>
      </c>
      <c r="I1691">
        <v>5.7000000000000002E-2</v>
      </c>
      <c r="J1691">
        <f t="shared" si="715"/>
        <v>1</v>
      </c>
      <c r="K1691">
        <f t="shared" ca="1" si="721"/>
        <v>51.074481979025386</v>
      </c>
      <c r="L1691">
        <f t="shared" ca="1" si="716"/>
        <v>2.8825398400527296</v>
      </c>
      <c r="M1691">
        <f t="shared" ca="1" si="695"/>
        <v>9.224127488168735</v>
      </c>
      <c r="N1691">
        <f t="shared" ca="1" si="696"/>
        <v>1.028895204204167</v>
      </c>
      <c r="O1691">
        <f t="shared" ca="1" si="697"/>
        <v>5.5370529130842705</v>
      </c>
      <c r="P1691">
        <f t="shared" ca="1" si="698"/>
        <v>626.02253984005267</v>
      </c>
      <c r="Q1691">
        <f t="shared" ca="1" si="699"/>
        <v>627.58517770765184</v>
      </c>
      <c r="R1691">
        <f t="shared" ca="1" si="700"/>
        <v>6.6411762837157622E-3</v>
      </c>
      <c r="S1691">
        <f t="shared" ca="1" si="717"/>
        <v>0.37321037311892269</v>
      </c>
      <c r="T1691">
        <f t="shared" ca="1" si="718"/>
        <v>0</v>
      </c>
      <c r="U1691">
        <f t="shared" ca="1" si="701"/>
        <v>2.9537120260378611</v>
      </c>
      <c r="V1691">
        <f t="shared" ca="1" si="702"/>
        <v>9.4518784833211562</v>
      </c>
      <c r="W1691">
        <f t="shared" ca="1" si="703"/>
        <v>1.0378212795710251</v>
      </c>
      <c r="X1691">
        <f t="shared" ca="1" si="704"/>
        <v>5.4036329465250468</v>
      </c>
      <c r="Y1691">
        <f t="shared" ca="1" si="705"/>
        <v>626.09371202603779</v>
      </c>
      <c r="Z1691">
        <f t="shared" ca="1" si="706"/>
        <v>627.58195101792217</v>
      </c>
      <c r="AA1691">
        <f t="shared" ca="1" si="707"/>
        <v>6.2525538151229181E-3</v>
      </c>
      <c r="AB1691">
        <f t="shared" ca="1" si="708"/>
        <v>-0.37374744618489331</v>
      </c>
      <c r="AC1691">
        <f t="shared" ca="1" si="709"/>
        <v>0</v>
      </c>
      <c r="AD1691">
        <f ca="1">IF(V36="Supercritical",L1691,U1691)</f>
        <v>2.9537120260378611</v>
      </c>
      <c r="AE1691">
        <f t="shared" ca="1" si="710"/>
        <v>626.09371202603779</v>
      </c>
      <c r="AF1691">
        <f t="shared" ca="1" si="711"/>
        <v>627.58195101792217</v>
      </c>
      <c r="AI1691">
        <v>0</v>
      </c>
      <c r="AJ1691">
        <v>0</v>
      </c>
      <c r="AK1691">
        <f t="shared" si="712"/>
        <v>0</v>
      </c>
      <c r="AL1691">
        <f t="shared" si="719"/>
        <v>0</v>
      </c>
      <c r="AM1691">
        <f t="shared" ca="1" si="713"/>
        <v>1.003846390269894</v>
      </c>
      <c r="AN1691" t="str">
        <f t="shared" ca="1" si="714"/>
        <v>Supercritical</v>
      </c>
      <c r="AO1691">
        <f ca="1">IF(V36="Supercritical",R1691,AA1691)</f>
        <v>6.2525538151229181E-3</v>
      </c>
    </row>
    <row r="1692" spans="1:41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174</v>
      </c>
      <c r="I1692">
        <v>0</v>
      </c>
      <c r="J1692">
        <f t="shared" si="715"/>
        <v>1</v>
      </c>
      <c r="K1692">
        <f t="shared" ca="1" si="721"/>
        <v>51.074481979025386</v>
      </c>
      <c r="L1692">
        <f t="shared" ca="1" si="716"/>
        <v>2.8825398400527296</v>
      </c>
      <c r="M1692">
        <f t="shared" ca="1" si="695"/>
        <v>9.224127488168735</v>
      </c>
      <c r="N1692">
        <f t="shared" ca="1" si="696"/>
        <v>1.028895204204167</v>
      </c>
      <c r="O1692">
        <f t="shared" ca="1" si="697"/>
        <v>5.5370529130842705</v>
      </c>
      <c r="P1692">
        <f t="shared" ca="1" si="698"/>
        <v>625.64253984005268</v>
      </c>
      <c r="Q1692">
        <f t="shared" ca="1" si="699"/>
        <v>627.20517770765184</v>
      </c>
      <c r="R1692">
        <f t="shared" ca="1" si="700"/>
        <v>6.6411762837157622E-3</v>
      </c>
      <c r="S1692">
        <f t="shared" ca="1" si="717"/>
        <v>0.37335882371633033</v>
      </c>
      <c r="T1692">
        <f t="shared" ca="1" si="718"/>
        <v>0</v>
      </c>
      <c r="U1692">
        <f t="shared" ca="1" si="701"/>
        <v>3.0081635764412722</v>
      </c>
      <c r="V1692">
        <f t="shared" ca="1" si="702"/>
        <v>9.6261234446120714</v>
      </c>
      <c r="W1692">
        <f t="shared" ca="1" si="703"/>
        <v>1.0444641650553124</v>
      </c>
      <c r="X1692">
        <f t="shared" ca="1" si="704"/>
        <v>5.3058203827224721</v>
      </c>
      <c r="Y1692">
        <f t="shared" ca="1" si="705"/>
        <v>625.76816357644122</v>
      </c>
      <c r="Z1692">
        <f t="shared" ca="1" si="706"/>
        <v>627.20301219691589</v>
      </c>
      <c r="AA1692">
        <f t="shared" ca="1" si="707"/>
        <v>5.9771783320902317E-3</v>
      </c>
      <c r="AB1692">
        <f t="shared" ca="1" si="708"/>
        <v>-0.37387455397720259</v>
      </c>
      <c r="AC1692">
        <f t="shared" ca="1" si="709"/>
        <v>0</v>
      </c>
      <c r="AD1692">
        <f ca="1">IF(V36="Supercritical",L1692,U1692)</f>
        <v>3.0081635764412722</v>
      </c>
      <c r="AE1692">
        <f t="shared" ca="1" si="710"/>
        <v>625.76816357644122</v>
      </c>
      <c r="AF1692">
        <f t="shared" ca="1" si="711"/>
        <v>627.20301219691589</v>
      </c>
      <c r="AI1692">
        <v>0</v>
      </c>
      <c r="AJ1692">
        <v>0</v>
      </c>
      <c r="AK1692">
        <f t="shared" si="712"/>
        <v>0</v>
      </c>
      <c r="AL1692">
        <f t="shared" si="719"/>
        <v>0</v>
      </c>
      <c r="AM1692">
        <f t="shared" ca="1" si="713"/>
        <v>0.97671378193543845</v>
      </c>
      <c r="AN1692" t="str">
        <f t="shared" ca="1" si="714"/>
        <v>Subcritical</v>
      </c>
      <c r="AO1692">
        <f ca="1">IF(V36="Supercritical",R1692,AA1692)</f>
        <v>5.9771783320902317E-3</v>
      </c>
    </row>
    <row r="1693" spans="1:41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174</v>
      </c>
      <c r="I1693">
        <v>6.2E-2</v>
      </c>
      <c r="J1693">
        <f t="shared" si="715"/>
        <v>1</v>
      </c>
      <c r="K1693">
        <f t="shared" ca="1" si="721"/>
        <v>51.074481979025386</v>
      </c>
      <c r="L1693">
        <f t="shared" ca="1" si="716"/>
        <v>2.8825398400527296</v>
      </c>
      <c r="M1693">
        <f t="shared" ca="1" si="695"/>
        <v>9.224127488168735</v>
      </c>
      <c r="N1693">
        <f t="shared" ca="1" si="696"/>
        <v>1.028895204204167</v>
      </c>
      <c r="O1693">
        <f t="shared" ca="1" si="697"/>
        <v>5.5370529130842705</v>
      </c>
      <c r="P1693">
        <f t="shared" ca="1" si="698"/>
        <v>625.26253984005268</v>
      </c>
      <c r="Q1693">
        <f t="shared" ca="1" si="699"/>
        <v>626.82517770765185</v>
      </c>
      <c r="R1693">
        <f t="shared" ca="1" si="700"/>
        <v>6.6411762837157622E-3</v>
      </c>
      <c r="S1693">
        <f t="shared" ca="1" si="717"/>
        <v>0.37319735113669594</v>
      </c>
      <c r="T1693">
        <f t="shared" ca="1" si="718"/>
        <v>0</v>
      </c>
      <c r="U1693">
        <f t="shared" ca="1" si="701"/>
        <v>2.9516107028842882</v>
      </c>
      <c r="V1693">
        <f t="shared" ca="1" si="702"/>
        <v>9.4451542492297218</v>
      </c>
      <c r="W1693">
        <f t="shared" ca="1" si="703"/>
        <v>1.037561740862907</v>
      </c>
      <c r="X1693">
        <f t="shared" ca="1" si="704"/>
        <v>5.4074799237069788</v>
      </c>
      <c r="Y1693">
        <f t="shared" ca="1" si="705"/>
        <v>625.33161070288429</v>
      </c>
      <c r="Z1693">
        <f t="shared" ca="1" si="706"/>
        <v>626.82196947583509</v>
      </c>
      <c r="AA1693">
        <f t="shared" ca="1" si="707"/>
        <v>6.2635481065081355E-3</v>
      </c>
      <c r="AB1693">
        <f t="shared" ca="1" si="708"/>
        <v>-0.36239052882592659</v>
      </c>
      <c r="AC1693">
        <f t="shared" ca="1" si="709"/>
        <v>0</v>
      </c>
      <c r="AD1693">
        <f ca="1">IF(V36="Supercritical",L1693,U1693)</f>
        <v>2.9516107028842882</v>
      </c>
      <c r="AE1693">
        <f t="shared" ca="1" si="710"/>
        <v>625.33161070288429</v>
      </c>
      <c r="AF1693">
        <f t="shared" ca="1" si="711"/>
        <v>626.82196947583509</v>
      </c>
      <c r="AI1693">
        <v>0</v>
      </c>
      <c r="AJ1693">
        <v>0</v>
      </c>
      <c r="AK1693">
        <f t="shared" si="712"/>
        <v>0</v>
      </c>
      <c r="AL1693">
        <f t="shared" si="719"/>
        <v>0</v>
      </c>
      <c r="AM1693">
        <f t="shared" ca="1" si="713"/>
        <v>1.0049185748825977</v>
      </c>
      <c r="AN1693" t="str">
        <f t="shared" ca="1" si="714"/>
        <v>Supercritical</v>
      </c>
      <c r="AO1693">
        <f ca="1">IF(V36="Supercritical",R1693,AA1693)</f>
        <v>6.2635481065081355E-3</v>
      </c>
    </row>
    <row r="1694" spans="1:41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174</v>
      </c>
      <c r="I1694">
        <v>0</v>
      </c>
      <c r="J1694">
        <f t="shared" si="715"/>
        <v>0.42399999999999949</v>
      </c>
      <c r="K1694">
        <f t="shared" ca="1" si="721"/>
        <v>51.074481979025386</v>
      </c>
      <c r="L1694">
        <f t="shared" ca="1" si="716"/>
        <v>2.8825398400527296</v>
      </c>
      <c r="M1694">
        <f t="shared" ca="1" si="695"/>
        <v>9.224127488168735</v>
      </c>
      <c r="N1694">
        <f t="shared" ca="1" si="696"/>
        <v>1.028895204204167</v>
      </c>
      <c r="O1694">
        <f t="shared" ca="1" si="697"/>
        <v>5.5370529130842705</v>
      </c>
      <c r="P1694">
        <f t="shared" ca="1" si="698"/>
        <v>624.88253984005269</v>
      </c>
      <c r="Q1694">
        <f t="shared" ca="1" si="699"/>
        <v>626.44517770765185</v>
      </c>
      <c r="R1694">
        <f t="shared" ca="1" si="700"/>
        <v>6.6411762837157622E-3</v>
      </c>
      <c r="S1694">
        <f t="shared" ca="1" si="717"/>
        <v>0.37718414125572508</v>
      </c>
      <c r="T1694">
        <f t="shared" ca="1" si="718"/>
        <v>0</v>
      </c>
      <c r="U1694">
        <f>MAX($D$16,(P10)-E1694)</f>
        <v>3</v>
      </c>
      <c r="V1694">
        <f t="shared" si="702"/>
        <v>9.6000000000000014</v>
      </c>
      <c r="W1694">
        <f t="shared" si="703"/>
        <v>1.0434782608695654</v>
      </c>
      <c r="X1694">
        <f t="shared" ca="1" si="704"/>
        <v>5.3202585394818103</v>
      </c>
      <c r="Y1694">
        <f t="shared" si="705"/>
        <v>625</v>
      </c>
      <c r="Z1694">
        <f t="shared" ca="1" si="706"/>
        <v>626.44266824296278</v>
      </c>
      <c r="AA1694">
        <f t="shared" ca="1" si="707"/>
        <v>6.0173247707138548E-3</v>
      </c>
      <c r="AB1694">
        <v>0</v>
      </c>
      <c r="AC1694">
        <v>1</v>
      </c>
      <c r="AD1694">
        <f>IF(V36="Supercritical",L1694,U1694)</f>
        <v>3</v>
      </c>
      <c r="AE1694">
        <f t="shared" si="710"/>
        <v>625</v>
      </c>
      <c r="AF1694">
        <f t="shared" ca="1" si="711"/>
        <v>626.44266824296278</v>
      </c>
      <c r="AI1694">
        <v>0</v>
      </c>
      <c r="AJ1694">
        <v>0</v>
      </c>
      <c r="AK1694">
        <f t="shared" si="712"/>
        <v>0</v>
      </c>
      <c r="AL1694">
        <f t="shared" si="719"/>
        <v>0</v>
      </c>
      <c r="AM1694">
        <f t="shared" ca="1" si="713"/>
        <v>0.98070323168725826</v>
      </c>
      <c r="AN1694" t="str">
        <f t="shared" ca="1" si="714"/>
        <v>Subcritical</v>
      </c>
      <c r="AO1694">
        <f ca="1">IF(V36="Supercritical",R1694,AA1694)</f>
        <v>6.0173247707138548E-3</v>
      </c>
    </row>
  </sheetData>
  <autoFilter ref="A30:X36" xr:uid="{00000000-0009-0000-0000-000000000000}"/>
  <dataValidations disablePrompts="1"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2026-04-19T07:40:57Z</dcterms:created>
  <dcterms:modified xsi:type="dcterms:W3CDTF">2026-04-19T08:15:26Z</dcterms:modified>
</cp:coreProperties>
</file>